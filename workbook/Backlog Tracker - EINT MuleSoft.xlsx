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6.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Backlog" sheetId="2" state="visible" r:id="rId4"/>
    <sheet name="API Design Planning" sheetId="3" state="visible" r:id="rId5"/>
    <sheet name="RTM" sheetId="4" state="visible" r:id="rId6"/>
    <sheet name="Sprint Planning" sheetId="5" state="visible" r:id="rId7"/>
    <sheet name="Roadmap" sheetId="6" state="visible" r:id="rId8"/>
    <sheet name="Release" sheetId="7" state="visible" r:id="rId9"/>
    <sheet name="PI Governance (ROTB)" sheetId="8" state="visible" r:id="rId10"/>
    <sheet name="Q1 Backlog Report 2026" sheetId="9" state="visible" r:id="rId11"/>
    <sheet name="Q2 Backlog Report 2026" sheetId="10" state="visible" r:id="rId12"/>
    <sheet name="Q3 Backlog Report 2026" sheetId="11" state="visible" r:id="rId13"/>
    <sheet name="Q4 Backlog Report 2026" sheetId="12" state="visible" r:id="rId14"/>
    <sheet name="No scope for MS" sheetId="13" state="visible" r:id="rId15"/>
    <sheet name="Workflows" sheetId="14" state="hidden" r:id="rId16"/>
    <sheet name="Lists" sheetId="15" state="hidden" r:id="rId17"/>
  </sheets>
  <definedNames>
    <definedName function="false" hidden="false" name="ReleaseList" vbProcedure="false">Lists!$G$2:$G$100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<sst xmlns="http://schemas.openxmlformats.org/spreadsheetml/2006/main" count="4346" uniqueCount="1023">
  <si>
    <t xml:space="preserve">EINT MuleSoft Backlog Tracker — How This Works</t>
  </si>
  <si>
    <t xml:space="preserve">Automation: Auto-Archive on DONE</t>
  </si>
  <si>
    <t xml:space="preserve">Replaces: MuleSoft Team - Planning.xlsx and Requirements Traceability Matrix - EINT Mulesoft 2026.xlsx</t>
  </si>
  <si>
    <t xml:space="preserve">When an item Status is set to DONE in Backlog with a real Sprint assigned (1-16), the autoArchive automation:</t>
  </si>
  <si>
    <t xml:space="preserve">1. Appends it to the matching Quarter tab (Sprint 1-4 → Q1 Backlog Report, etc.)</t>
  </si>
  <si>
    <t xml:space="preserve">The golden rule: every field has exactly one home.</t>
  </si>
  <si>
    <t xml:space="preserve">2. Freezes formula-driven fields in the Release row to literal values</t>
  </si>
  <si>
    <t xml:space="preserve">Each requirement is one row, tracked by its Requirement ID across every tab below. Each field (Priority, Sprint, Dependencies, Release, etc.) is only ever typed into ONE tab — the tab owned by the role responsible for it. Every other tab shows that same field automatically, pulled live from wherever it was entered. If you change it in its home tab, it updates everywhere else immediately. Nobody should ever need to copy a value between tabs by hand.</t>
  </si>
  <si>
    <t xml:space="preserve">3. Removes it from the 5 working sheets (Backlog, Sprint Planning, RTM, API Design Planning, Release)</t>
  </si>
  <si>
    <t xml:space="preserve">Colour legend</t>
  </si>
  <si>
    <t xml:space="preserve">NOTE: Items with Status=DONE but no sprint (or "To Plan") are skipped—they need a real sprint first.</t>
  </si>
  <si>
    <t xml:space="preserve">Text is plain black everywhere. Row shading instead shows which Stream an item belongs to (applied automatically via conditional formatting, so it updates itself as Stream values change):</t>
  </si>
  <si>
    <t xml:space="preserve">  US</t>
  </si>
  <si>
    <t xml:space="preserve">Setup: See the "Workflows" sheet for step-by-step instructions to upload the Office Script and create the Power Automate flow.</t>
  </si>
  <si>
    <t xml:space="preserve">  MyMSC</t>
  </si>
  <si>
    <t xml:space="preserve">  Rollout / MVP Rollout</t>
  </si>
  <si>
    <t xml:space="preserve">  Backlog / Growth</t>
  </si>
  <si>
    <t xml:space="preserve">  Tech Enhancements</t>
  </si>
  <si>
    <t xml:space="preserve">  PI11, PI12, or any other PI-specific stream</t>
  </si>
  <si>
    <t xml:space="preserve">  Cross, or any other stream not listed above -- no shading (white/default)</t>
  </si>
  <si>
    <t xml:space="preserve">Who's allowed to edit which field is documented in the ownership table below, not by colour anymore.</t>
  </si>
  <si>
    <t xml:space="preserve">Requirement ID convention</t>
  </si>
  <si>
    <t xml:space="preserve">Use the Jira key (e.g. INT-171) as the Requirement ID whenever a Jira ticket already exists. Anyone can also add a future item straight to the Backlog tab with no Jira ticket at all — give it a temporary ID in the form NEW-0001, NEW-0002, etc. IMPORTANT: this Requirement ID never changes afterwards, even once a real Jira ticket exists for it — every other tab is joined to this ID, so swapping it would break those links. When the item is ready to become a real Jira ticket, set 'Create Jira Ticket?' to Yes on the Backlog tab; the returned Jira key is written into the separate Jira Key / Jira Link columns alongside the ID, not in place of it.</t>
  </si>
  <si>
    <t xml:space="preserve">Tab ownership — who edits what</t>
  </si>
  <si>
    <t xml:space="preserve">Tab</t>
  </si>
  <si>
    <t xml:space="preserve">Owner</t>
  </si>
  <si>
    <t xml:space="preserve">Types here (input)</t>
  </si>
  <si>
    <t xml:space="preserve">Shown automatically (pulled)</t>
  </si>
  <si>
    <t xml:space="preserve">Backlog</t>
  </si>
  <si>
    <t xml:space="preserve">Anyone (entry point)</t>
  </si>
  <si>
    <t xml:space="preserve">Requirement Name, Type, Stream, Status, Date Added, Create Jira Ticket?, Jira Key</t>
  </si>
  <si>
    <t xml:space="preserve">Jira Link, Priority, Sprint, Release</t>
  </si>
  <si>
    <t xml:space="preserve">API Design Planning</t>
  </si>
  <si>
    <t xml:space="preserve">API Design Lead</t>
  </si>
  <si>
    <t xml:space="preserve">RAML Required, RAML Delivery Date, Assignee, Priority, Design Status, Handover</t>
  </si>
  <si>
    <t xml:space="preserve">Requirement Name, Stream, Jira Link, Status, Sprint</t>
  </si>
  <si>
    <t xml:space="preserve">RTM</t>
  </si>
  <si>
    <t xml:space="preserve">BA</t>
  </si>
  <si>
    <t xml:space="preserve">Predecessor, Successor, Dependency Status, Notes</t>
  </si>
  <si>
    <t xml:space="preserve">Requirement Name, Stream, Jira Link, Status, Priority, Sprint</t>
  </si>
  <si>
    <t xml:space="preserve">Sprint Planning</t>
  </si>
  <si>
    <t xml:space="preserve">BA / PO / SM</t>
  </si>
  <si>
    <t xml:space="preserve">Sprint, HLE</t>
  </si>
  <si>
    <t xml:space="preserve">Requirement Name, Stream, Priority, Status</t>
  </si>
  <si>
    <t xml:space="preserve">Roadmap</t>
  </si>
  <si>
    <t xml:space="preserve">Nobody — all view</t>
  </si>
  <si>
    <t xml:space="preserve">(fully automatic)</t>
  </si>
  <si>
    <t xml:space="preserve">Stream x Sprint HLE grid</t>
  </si>
  <si>
    <t xml:space="preserve">Release</t>
  </si>
  <si>
    <t xml:space="preserve">DM / SM</t>
  </si>
  <si>
    <t xml:space="preserve">Requirement Name, Stream, Sprint, Status, Priority, HLE</t>
  </si>
  <si>
    <t xml:space="preserve">Current status</t>
  </si>
  <si>
    <t xml:space="preserve">Items from MuleSoft Team - Planning.xlsx and the Requirements Traceability Matrix have been migrated. All working tabs (Backlog, Sprint Planning, RTM, API Design Planning, Release, Roadmap) contain live data. Archived items from 2026 are in the Q1–Q3 Backlog Report tabs. The Jira and Trello integrations listed below (items 1–5) are still planned for a future phase.</t>
  </si>
  <si>
    <t xml:space="preserve">  1. Jira (labelled ticket) -&gt; auto-creates a Backlog row with Jira Key/Link filled in.</t>
  </si>
  <si>
    <t xml:space="preserve">  2. Any new Backlog row (Jira-sourced or typed straight in with no Jira ticket) -&gt; auto-creates a Trello card.</t>
  </si>
  <si>
    <t xml:space="preserve">  3. Sprint changed for an item -&gt; updates the sprint label on its Trello card.</t>
  </si>
  <si>
    <t xml:space="preserve">  4. 'Create Jira Ticket?' set to Yes on a manually-added row -&gt; creates the Jira issue and writes the key back into Jira Key/Jira Link, then flips the flag to Created.</t>
  </si>
  <si>
    <t xml:space="preserve">  5. Scheduled refresh of the RTM Dependency Status column from the live status of the Predecessor/Successor Jira key.</t>
  </si>
  <si>
    <t xml:space="preserve">Until items 1–5 are wired up, fill in Jira Key, Predecessor/Successor, and Dependency Status manually.</t>
  </si>
  <si>
    <t xml:space="preserve">Sprint Planning sort order</t>
  </si>
  <si>
    <t xml:space="preserve">Sprint Planning is kept sorted ascending by Sprint (lowest in-scope sprint first, unassigned/'To Plan' last), using a hidden 'Sort Key' column (H) that converts the Sprint text to a number. If you add new rows and want to re-sort, select the table and use Data &gt; Sort by column H — don't unhide/delete that column.</t>
  </si>
  <si>
    <t xml:space="preserve">Release tab population</t>
  </si>
  <si>
    <t xml:space="preserve">The Release tab lists every item that has a real Sprint assigned in Sprint Planning (not blank/'To Plan') — once an item gets a sprint for the first time, add its Requirement ID to the Release tab so DM/SM can assign it a Release. This mirrors how RTM/Sprint Planning/API Design Planning already work: copy the ID over when the item reaches that stage.</t>
  </si>
  <si>
    <t xml:space="preserve">Quarterly archive (automated via Office Script)</t>
  </si>
  <si>
    <t xml:space="preserve">When an item’s Status is set to Done on the Backlog tab it is automatically moved from the 5 working tabs (Backlog, API Design Planning, RTM, Sprint Planning, Release) into the correct Quarter tab. This is handled by the Office Script ‘Archive Done Items’ (file: scripts/autoArchive.ts). Run it manually from the Automate tab in Excel Online, or connect it to a Power Automate flow for automatic triggering when a row is modified.</t>
  </si>
  <si>
    <t xml:space="preserve">Sprint → Quarter mapping: Sprint 1–4 → Q1 · Sprint 5–8 → Q2 · Sprint 9–12 → Q3 · Sprint 13–16 → Q4. Update the mapping in autoArchive.ts when sprints roll into 2027.</t>
  </si>
  <si>
    <t xml:space="preserve">Requirement ID</t>
  </si>
  <si>
    <t xml:space="preserve">Requirement Name</t>
  </si>
  <si>
    <t xml:space="preserve">Type</t>
  </si>
  <si>
    <t xml:space="preserve">Stream</t>
  </si>
  <si>
    <t xml:space="preserve">Stream Owner</t>
  </si>
  <si>
    <t xml:space="preserve">Status</t>
  </si>
  <si>
    <t xml:space="preserve">Priority</t>
  </si>
  <si>
    <t xml:space="preserve">Planned Delivery</t>
  </si>
  <si>
    <t xml:space="preserve">Sprint</t>
  </si>
  <si>
    <t xml:space="preserve">HLE</t>
  </si>
  <si>
    <t xml:space="preserve">Date Added</t>
  </si>
  <si>
    <t xml:space="preserve">Create Jira Ticket?</t>
  </si>
  <si>
    <t xml:space="preserve">Jira Link</t>
  </si>
  <si>
    <t xml:space="preserve">Notes</t>
  </si>
  <si>
    <t xml:space="preserve">ID Number</t>
  </si>
  <si>
    <t xml:space="preserve">Frozen ID</t>
  </si>
  <si>
    <t xml:space="preserve">Outbound leads - Abandoned Cart - Replacement of Salescycle</t>
  </si>
  <si>
    <t xml:space="preserve">TBC</t>
  </si>
  <si>
    <t xml:space="preserve">US</t>
  </si>
  <si>
    <t xml:space="preserve">MA</t>
  </si>
  <si>
    <t xml:space="preserve">ON HOLD</t>
  </si>
  <si>
    <t xml:space="preserve">Medium</t>
  </si>
  <si>
    <t xml:space="preserve">NEW-0267</t>
  </si>
  <si>
    <t xml:space="preserve">API Prod Configurations - Attentive / Webforms</t>
  </si>
  <si>
    <t xml:space="preserve">Config</t>
  </si>
  <si>
    <t xml:space="preserve">B2CW</t>
  </si>
  <si>
    <t xml:space="preserve">IN PROGRESS</t>
  </si>
  <si>
    <t xml:space="preserve">High</t>
  </si>
  <si>
    <t xml:space="preserve">Created</t>
  </si>
  <si>
    <t xml:space="preserve">https://smartship.atlassian.net/browse/MDTTPU-14019</t>
  </si>
  <si>
    <t xml:space="preserve">NEW-0057</t>
  </si>
  <si>
    <t xml:space="preserve">CR - Attentive Error Scenarios INT 175</t>
  </si>
  <si>
    <t xml:space="preserve">CR</t>
  </si>
  <si>
    <t xml:space="preserve">https://smartship.atlassian.net/browse/MDTTPU-13413</t>
  </si>
  <si>
    <t xml:space="preserve">NEW-0058</t>
  </si>
  <si>
    <t xml:space="preserve">US Configuration myMSC - Production</t>
  </si>
  <si>
    <t xml:space="preserve">https://smartship.atlassian.net/browse/MDTTPU-14018</t>
  </si>
  <si>
    <t xml:space="preserve">NEW-0060</t>
  </si>
  <si>
    <t xml:space="preserve">Load Test + Performance Enhancements - Part 1</t>
  </si>
  <si>
    <t xml:space="preserve">Tech Task</t>
  </si>
  <si>
    <t xml:space="preserve">ALL</t>
  </si>
  <si>
    <t xml:space="preserve">https://smartship.atlassian.net/browse/MDTTPU-15260</t>
  </si>
  <si>
    <t xml:space="preserve">NEW-0061</t>
  </si>
  <si>
    <t xml:space="preserve">E2E Ticket Support - FAT and Canary Tests</t>
  </si>
  <si>
    <t xml:space="preserve">https://smartship.atlassian.net/browse/DTTP25-41779</t>
  </si>
  <si>
    <t xml:space="preserve">NEW-0071</t>
  </si>
  <si>
    <t xml:space="preserve">[EINT] [Tech Task] INT172 INT174 - Attentive Error Scenarios</t>
  </si>
  <si>
    <t xml:space="preserve">https://smartship.atlassian.net/browse/MDTTPU-13796</t>
  </si>
  <si>
    <t xml:space="preserve">NEW-0275</t>
  </si>
  <si>
    <t xml:space="preserve">MyMSC US | [INT112][INT137][INT140][INT146][INT153][INT154][INT188] Add per-country/language MyMSC campaign config check to skip optional marketing automation calls</t>
  </si>
  <si>
    <t xml:space="preserve">Growth</t>
  </si>
  <si>
    <t xml:space="preserve">https://smartship.atlassian.net/browse/MDTTPU-14929</t>
  </si>
  <si>
    <t xml:space="preserve">NEW-0368</t>
  </si>
  <si>
    <t xml:space="preserve">[DTTP] Implementation of Online Post-Cruise Complaint Form – Salesforce Integration_EA</t>
  </si>
  <si>
    <t xml:space="preserve">PI10</t>
  </si>
  <si>
    <t xml:space="preserve">https://smartship.atlassian.net/browse/DTTP25-40322</t>
  </si>
  <si>
    <t xml:space="preserve">NEW-0389</t>
  </si>
  <si>
    <t xml:space="preserve">US Growth - B2CW Payment billing data/ US Release ACS Check - Part 1 (Adding the new fields to INT007, INT140, INT146)</t>
  </si>
  <si>
    <t xml:space="preserve">NEW</t>
  </si>
  <si>
    <t xml:space="preserve">Q3 2026</t>
  </si>
  <si>
    <t xml:space="preserve">https://smartship.atlassian.net/browse/MDTTPU-15252</t>
  </si>
  <si>
    <t xml:space="preserve">NEW-0408</t>
  </si>
  <si>
    <t xml:space="preserve">Load Test Perf - Support &amp; Analysis</t>
  </si>
  <si>
    <t xml:space="preserve">NEW-0411</t>
  </si>
  <si>
    <t xml:space="preserve">US 0.1 Release Preparation - Aug 24</t>
  </si>
  <si>
    <t xml:space="preserve">Cross</t>
  </si>
  <si>
    <t xml:space="preserve">https://smartship.atlassian.net/browse/MDTTPU-15262</t>
  </si>
  <si>
    <t xml:space="preserve">NEW-0412</t>
  </si>
  <si>
    <t xml:space="preserve">ZAF Rollout - Market Configurations in CHAIN1 &amp; CHAIN2 and PROD</t>
  </si>
  <si>
    <t xml:space="preserve">MVP Rollout</t>
  </si>
  <si>
    <t xml:space="preserve">https://smartship.atlassian.net/browse/DTTP25-41351</t>
  </si>
  <si>
    <t xml:space="preserve">NEW-0064</t>
  </si>
  <si>
    <t xml:space="preserve">ZAFRollout - Market Configurations in Production</t>
  </si>
  <si>
    <t xml:space="preserve">NA</t>
  </si>
  <si>
    <t xml:space="preserve">NEW-0065</t>
  </si>
  <si>
    <t xml:space="preserve">PI11-13 [CRM] [INTP-25] CRM Dependency - Marketing Automation - Calculated fields Booking B2B/B2C</t>
  </si>
  <si>
    <t xml:space="preserve">PI11</t>
  </si>
  <si>
    <t xml:space="preserve">https://smartship.atlassian.net/browse/DTTP25-41935</t>
  </si>
  <si>
    <t xml:space="preserve">NEW-0075</t>
  </si>
  <si>
    <t xml:space="preserve">PI11-15 [CRM] [EA-1662] CRM Dependency - Lead Management - Hold option additional event fields in CDP</t>
  </si>
  <si>
    <t xml:space="preserve">https://smartship.atlassian.net/browse/DTTP25-41936</t>
  </si>
  <si>
    <t xml:space="preserve">NEW-0076</t>
  </si>
  <si>
    <t xml:space="preserve">Nordics SWE, DEN, NOR, FIN Rollout - Market Configurations in CHAIN1 &amp; CHAIN2</t>
  </si>
  <si>
    <t xml:space="preserve">https://smartship.atlassian.net/browse/DTTP25-37831</t>
  </si>
  <si>
    <t xml:space="preserve">NEW-0077</t>
  </si>
  <si>
    <t xml:space="preserve">Nordics SWE, DEN, NOR, FIN Rollout - Market Configurations in Production</t>
  </si>
  <si>
    <t xml:space="preserve">NEW-0078</t>
  </si>
  <si>
    <t xml:space="preserve">US Growth - B2CW Payment billing data/ US Release AVS Check - Part 2 (Wiring the new fields to Datatrans in INT007, INT140, INT146)</t>
  </si>
  <si>
    <t xml:space="preserve">https://smartship.atlassian.net/browse/MDTTPU-15253</t>
  </si>
  <si>
    <t xml:space="preserve">NEW-0409</t>
  </si>
  <si>
    <t xml:space="preserve">US Growth - M4M Payment billing data/ US Release AVS Check (Adding the fields in M4M transaction init)</t>
  </si>
  <si>
    <t xml:space="preserve">https://smartship.atlassian.net/browse/MDTTPU-15254</t>
  </si>
  <si>
    <t xml:space="preserve">NEW-0410</t>
  </si>
  <si>
    <t xml:space="preserve">Whatsapp Subscription (Phase 1)</t>
  </si>
  <si>
    <t xml:space="preserve">New</t>
  </si>
  <si>
    <t xml:space="preserve">https://smartship.atlassian.net/browse/DTTP25-36678</t>
  </si>
  <si>
    <t xml:space="preserve">NEW-0001</t>
  </si>
  <si>
    <t xml:space="preserve">Friends and Family INT 157</t>
  </si>
  <si>
    <t xml:space="preserve">S&amp;S</t>
  </si>
  <si>
    <t xml:space="preserve">https://smartship.atlassian.net/browse/DTTP25-36959</t>
  </si>
  <si>
    <t xml:space="preserve">NEW-0003</t>
  </si>
  <si>
    <t xml:space="preserve">MYMSC All inc CR remove logic from AEM</t>
  </si>
  <si>
    <t xml:space="preserve">MyMSC</t>
  </si>
  <si>
    <t xml:space="preserve">https://smartship.atlassian.net/browse/DTTP25-38250</t>
  </si>
  <si>
    <t xml:space="preserve">NEW-0029</t>
  </si>
  <si>
    <t xml:space="preserve">Handling of additional errors INT 139/ INT 140</t>
  </si>
  <si>
    <t xml:space="preserve">https://smartship.atlassian.net/browse/DTTP25-40357</t>
  </si>
  <si>
    <t xml:space="preserve">NEW-0030</t>
  </si>
  <si>
    <t xml:space="preserve">Hypercare</t>
  </si>
  <si>
    <t xml:space="preserve">NEW-0080</t>
  </si>
  <si>
    <t xml:space="preserve">PI11-08 [CDP] [INTP-21] Lead Management - Option event creation in CDP</t>
  </si>
  <si>
    <t xml:space="preserve">https://smartship.atlassian.net/browse/DTTP25-41937</t>
  </si>
  <si>
    <t xml:space="preserve">NEW-0085</t>
  </si>
  <si>
    <t xml:space="preserve">PI11-11 [CRM] [EA-1008] DTTP - Lead Management - FCC new outbound sources</t>
  </si>
  <si>
    <t xml:space="preserve">https://smartship.atlassian.net/browse/DTTP25-41939</t>
  </si>
  <si>
    <t xml:space="preserve">NEW-0086</t>
  </si>
  <si>
    <t xml:space="preserve">PI11-12 [CDP/CRM] CRM2-11097 / [INTP-20] Lead Management - IRL Outbound Sources Activation &amp; Form Creation</t>
  </si>
  <si>
    <t xml:space="preserve">https://smartship.atlassian.net/browse/DTTP25-41940</t>
  </si>
  <si>
    <t xml:space="preserve">NEW-0087</t>
  </si>
  <si>
    <t xml:space="preserve">INT139 / INT140 - speciality restaurants CR to handle dining inventory errors</t>
  </si>
  <si>
    <t xml:space="preserve">https://smartship.atlassian.net/browse/DTTP25-40356</t>
  </si>
  <si>
    <t xml:space="preserve">NEW-0316</t>
  </si>
  <si>
    <t xml:space="preserve">PI11-03 [B2C] Flight Enhancement - DTTP25-38915</t>
  </si>
  <si>
    <t xml:space="preserve">https://smartship.atlassian.net/browse/DTTP25-41930</t>
  </si>
  <si>
    <t xml:space="preserve">NEW-0066</t>
  </si>
  <si>
    <t xml:space="preserve">PI11-14 [CRM] [EA-1722] CRM Dependency - Lead Management - Price Description info in CDP</t>
  </si>
  <si>
    <t xml:space="preserve">https://smartship.atlassian.net/browse/DTTP25-41931</t>
  </si>
  <si>
    <t xml:space="preserve">NEW-0067</t>
  </si>
  <si>
    <t xml:space="preserve">Whatsapp Subscription (Phase 2)</t>
  </si>
  <si>
    <t xml:space="preserve">Q4 2026</t>
  </si>
  <si>
    <t xml:space="preserve">NEW-0002</t>
  </si>
  <si>
    <t xml:space="preserve">Handling multicabin booking</t>
  </si>
  <si>
    <t xml:space="preserve">NEW-0005</t>
  </si>
  <si>
    <t xml:space="preserve">New UWO Interface (decoupling) </t>
  </si>
  <si>
    <t xml:space="preserve">Q1 2027</t>
  </si>
  <si>
    <t xml:space="preserve">NEW-0006</t>
  </si>
  <si>
    <t xml:space="preserve">Update Hold option (decoupling)</t>
  </si>
  <si>
    <t xml:space="preserve">NEW-0007</t>
  </si>
  <si>
    <t xml:space="preserve">INT 101 - Cabin Selections (Booking Group Management) </t>
  </si>
  <si>
    <t xml:space="preserve">https://smartship.atlassian.net/browse/MDTTPU-8135</t>
  </si>
  <si>
    <t xml:space="preserve">NEW-0011</t>
  </si>
  <si>
    <t xml:space="preserve">myMSC Add USA Market Configuration - Chain 1/ Chain 2 </t>
  </si>
  <si>
    <t xml:space="preserve">https://smartship.atlassian.net/browse/MDTTPU-13662</t>
  </si>
  <si>
    <t xml:space="preserve">NEW-0016</t>
  </si>
  <si>
    <t xml:space="preserve">ARG Payment provider Pagtur</t>
  </si>
  <si>
    <t xml:space="preserve">NEW-0017</t>
  </si>
  <si>
    <t xml:space="preserve">BR Payment providerDireçao</t>
  </si>
  <si>
    <t xml:space="preserve">NEW-0018</t>
  </si>
  <si>
    <t xml:space="preserve">MyMSC Spa </t>
  </si>
  <si>
    <t xml:space="preserve">NEW-0020</t>
  </si>
  <si>
    <t xml:space="preserve">Super Agency Access</t>
  </si>
  <si>
    <t xml:space="preserve">NEW-0022</t>
  </si>
  <si>
    <t xml:space="preserve">Pending Configurations for DACH, MED, LATAM</t>
  </si>
  <si>
    <t xml:space="preserve">https://smartship.atlassian.net/browse/DTTP25-21230</t>
  </si>
  <si>
    <t xml:space="preserve">NEW-0033</t>
  </si>
  <si>
    <t xml:space="preserve">[EAINT] [CR][INT026][INT133][INT130] Split calls to CMS for excursion/OBS data into chunks</t>
  </si>
  <si>
    <t xml:space="preserve">NEW-0068</t>
  </si>
  <si>
    <t xml:space="preserve">TLI 99.1</t>
  </si>
  <si>
    <t xml:space="preserve">DONE</t>
  </si>
  <si>
    <t xml:space="preserve">NEW-0265</t>
  </si>
  <si>
    <t xml:space="preserve">Campaigns for loyalty program management</t>
  </si>
  <si>
    <t xml:space="preserve">NEW-0266</t>
  </si>
  <si>
    <t xml:space="preserve">Booking Group Management Cabin Selections</t>
  </si>
  <si>
    <t xml:space="preserve">NEW-0270</t>
  </si>
  <si>
    <t xml:space="preserve">INT024.2 - Addition of “Disembarkation Date” and “Pay By” fields</t>
  </si>
  <si>
    <t xml:space="preserve">NEW-0274</t>
  </si>
  <si>
    <t xml:space="preserve">DACH, MED, LATAM Configurations</t>
  </si>
  <si>
    <t xml:space="preserve">NEW-0284</t>
  </si>
  <si>
    <t xml:space="preserve">Remove of login endpoints from MyMSC EAPI</t>
  </si>
  <si>
    <t xml:space="preserve">NEW-0288</t>
  </si>
  <si>
    <t xml:space="preserve">Bug fix for cabin logic in INT135.1/135.2</t>
  </si>
  <si>
    <t xml:space="preserve">Bug</t>
  </si>
  <si>
    <t xml:space="preserve">https://smartship.atlassian.net/browse/DTTP25-29399</t>
  </si>
  <si>
    <t xml:space="preserve">NEW-0290</t>
  </si>
  <si>
    <t xml:space="preserve">Spa</t>
  </si>
  <si>
    <t xml:space="preserve">NEW-0299</t>
  </si>
  <si>
    <t xml:space="preserve">MyMSC CR to handle BKG_001 when booking retrieved</t>
  </si>
  <si>
    <t xml:space="preserve">NEW-0315</t>
  </si>
  <si>
    <t xml:space="preserve">MyMSC/MA CR for enabling DEM links to light login</t>
  </si>
  <si>
    <t xml:space="preserve">NEW-0322</t>
  </si>
  <si>
    <t xml:space="preserve">MSC- MyMSC PRE_CRM_002 error scenario change CR to additem</t>
  </si>
  <si>
    <t xml:space="preserve">NEW-0324</t>
  </si>
  <si>
    <t xml:space="preserve">CDP / DTS Post Booking - CR - Passenger name filter</t>
  </si>
  <si>
    <t xml:space="preserve">NEW-0343</t>
  </si>
  <si>
    <t xml:space="preserve">CDP / DTS Post Booking - CR  - INT024.1 Improve data quality handling and optimise customer  search</t>
  </si>
  <si>
    <t xml:space="preserve">NEW-0344</t>
  </si>
  <si>
    <t xml:space="preserve">CDP / DTS Post Booking - CR - INT024.1 Long term Improved data quality handling</t>
  </si>
  <si>
    <t xml:space="preserve">NEW-0345</t>
  </si>
  <si>
    <t xml:space="preserve">CR - Improved data quality handling optimise customer search page size across other integrations</t>
  </si>
  <si>
    <t xml:space="preserve">NEW-0346</t>
  </si>
  <si>
    <t xml:space="preserve">MED Insurance - Do not sell any insurance if CoR differ across pax</t>
  </si>
  <si>
    <t xml:space="preserve">NEW-0356</t>
  </si>
  <si>
    <t xml:space="preserve">CMS Configuration for Airports in B2CW Booking Funnel</t>
  </si>
  <si>
    <t xml:space="preserve">NEW-0358</t>
  </si>
  <si>
    <t xml:space="preserve">Paypal Reconciliation for prepaid</t>
  </si>
  <si>
    <t xml:space="preserve">NEW-0360</t>
  </si>
  <si>
    <t xml:space="preserve">US - adding of fields to Hold option orchestration in call to AJO  -cabincode, embarkation date, cruise area</t>
  </si>
  <si>
    <t xml:space="preserve">NEW-0361</t>
  </si>
  <si>
    <t xml:space="preserve">US - Known and Unknown management analysis for US (CDP/AJO)</t>
  </si>
  <si>
    <t xml:space="preserve">NEW-0362</t>
  </si>
  <si>
    <t xml:space="preserve">US - Outbound Leads - Light Login for Leads Moving Option Expiring</t>
  </si>
  <si>
    <t xml:space="preserve">NEW-0363</t>
  </si>
  <si>
    <t xml:space="preserve">B2CW Booking Funnel - TRF and Pricing Structure Assessment – ESP Market</t>
  </si>
  <si>
    <t xml:space="preserve">NEW-0364</t>
  </si>
  <si>
    <t xml:space="preserve">B2CW Accessibility &amp; Medical Webform Business Rules for booking</t>
  </si>
  <si>
    <t xml:space="preserve">NEW-0366</t>
  </si>
  <si>
    <t xml:space="preserve">MyMSC US | Extend JWT expiry</t>
  </si>
  <si>
    <t xml:space="preserve">NEW-0367</t>
  </si>
  <si>
    <t xml:space="preserve">Handling DSC_076 scenario in booking funnel</t>
  </si>
  <si>
    <t xml:space="preserve">NEW-0370</t>
  </si>
  <si>
    <t xml:space="preserve">B2CW Prospect Onsite Quotation</t>
  </si>
  <si>
    <t xml:space="preserve">NEW-0371</t>
  </si>
  <si>
    <t xml:space="preserve">Booking Funnel - AI Optimisation</t>
  </si>
  <si>
    <t xml:space="preserve">Backlog / Tech Enh</t>
  </si>
  <si>
    <t xml:space="preserve">NEW-0373</t>
  </si>
  <si>
    <t xml:space="preserve">Booking Funnel - OTEL</t>
  </si>
  <si>
    <t xml:space="preserve">NEW-0375</t>
  </si>
  <si>
    <t xml:space="preserve">Improve error handling in booking creation</t>
  </si>
  <si>
    <t xml:space="preserve">NEW-0376</t>
  </si>
  <si>
    <t xml:space="preserve">DTTP25-27161 Change payment and newsletter redirection URL logic</t>
  </si>
  <si>
    <t xml:space="preserve">NEW-0377</t>
  </si>
  <si>
    <t xml:space="preserve">New Security Remediation - DTTP Stack to CRM ASIS_EA</t>
  </si>
  <si>
    <t xml:space="preserve">CRMASIS</t>
  </si>
  <si>
    <t xml:space="preserve">NEW-0384</t>
  </si>
  <si>
    <t xml:space="preserve">PDF: age restrictions management</t>
  </si>
  <si>
    <t xml:space="preserve">Aug 2026</t>
  </si>
  <si>
    <t xml:space="preserve">NEW-0395</t>
  </si>
  <si>
    <t xml:space="preserve">MSC Voyagers Club subscription block for pending Status Match request for the same user</t>
  </si>
  <si>
    <t xml:space="preserve">NEW-0397</t>
  </si>
  <si>
    <t xml:space="preserve">MSC Voyagers Club children association</t>
  </si>
  <si>
    <t xml:space="preserve">NEW-0398</t>
  </si>
  <si>
    <t xml:space="preserve">Managing the possibility of multiple categories for the same EXC item</t>
  </si>
  <si>
    <t xml:space="preserve">NEW-0399</t>
  </si>
  <si>
    <t xml:space="preserve">Card Points History Reliability Enhancement - B2C</t>
  </si>
  <si>
    <t xml:space="preserve">NEW-0400</t>
  </si>
  <si>
    <t xml:space="preserve">Excursions' category not visible, neither in the catalogue nor in the modal</t>
  </si>
  <si>
    <t xml:space="preserve">NEW-0401</t>
  </si>
  <si>
    <t xml:space="preserve">Cross Device &gt; Plan my cruise: Cart &gt; Impossible to apply a coupon on a NON-Discounted item</t>
  </si>
  <si>
    <t xml:space="preserve">NEW-0402</t>
  </si>
  <si>
    <t xml:space="preserve">Wider management of label</t>
  </si>
  <si>
    <t xml:space="preserve">NEW-0403</t>
  </si>
  <si>
    <t xml:space="preserve">Cross Device &gt; Plan My Cruise &gt; OBS/ACT 'Add passenger' CTA shown even if only non-eligible pax</t>
  </si>
  <si>
    <t xml:space="preserve">NEW-0404</t>
  </si>
  <si>
    <t xml:space="preserve">Whatsapp Subscription (Phase 3)</t>
  </si>
  <si>
    <t xml:space="preserve">NEW-0405</t>
  </si>
  <si>
    <t xml:space="preserve">Puerto Rico on US site Status Match (INT010.3)</t>
  </si>
  <si>
    <t xml:space="preserve">https://smartship.atlassian.net/browse/MDTTPU-15251</t>
  </si>
  <si>
    <t xml:space="preserve">NEW-0407</t>
  </si>
  <si>
    <t xml:space="preserve">[EINT][INT187][INT139][INT145] - Remove phone number mapping from Datatrans transaction creation</t>
  </si>
  <si>
    <t xml:space="preserve">Tech Story</t>
  </si>
  <si>
    <t xml:space="preserve">M4M</t>
  </si>
  <si>
    <t xml:space="preserve">https://smartship.atlassian.net/browse/DTTP25-41728</t>
  </si>
  <si>
    <t xml:space="preserve">NEW-0413</t>
  </si>
  <si>
    <t xml:space="preserve">[EINT][INT139][INT140][INT187][INT188] - Fix PromoCodeData coupon/discount code field mapping</t>
  </si>
  <si>
    <t xml:space="preserve">https://smartship.atlassian.net/browse/DTTP25-41730</t>
  </si>
  <si>
    <t xml:space="preserve">NEW-0414</t>
  </si>
  <si>
    <t xml:space="preserve">[EINT][INT139][INT187][INT140][INT188] - Improve error handling: BKGREQ_098, BKGREQ_050, PPI_DRIPR_11</t>
  </si>
  <si>
    <t xml:space="preserve">https://smartship.atlassian.net/browse/DTTP25-41725</t>
  </si>
  <si>
    <t xml:space="preserve">NEW-0415</t>
  </si>
  <si>
    <t xml:space="preserve">PI11-07 [B2C] Hold Option (Placeholder - MuleSoft should not be involved)</t>
  </si>
  <si>
    <t xml:space="preserve">NEW-0084</t>
  </si>
  <si>
    <t xml:space="preserve">PI11-04 [B2C] Post Cruise Complaint Form Part 2 (Multiple Attachment) - DTTP25-38913</t>
  </si>
  <si>
    <t xml:space="preserve">https://smartship.atlassian.net/browse/DTTP25-41932</t>
  </si>
  <si>
    <t xml:space="preserve">NEW-0072</t>
  </si>
  <si>
    <t xml:space="preserve">PI11-05 [B2C] Accessibility Form - DTTP25-38914</t>
  </si>
  <si>
    <t xml:space="preserve">https://smartship.atlassian.net/browse/DTTP25-41933</t>
  </si>
  <si>
    <t xml:space="preserve">NEW-0073</t>
  </si>
  <si>
    <t xml:space="preserve">PI11-06 [B2C] Cabin Position - DTTP25-40042</t>
  </si>
  <si>
    <t xml:space="preserve">https://smartship.atlassian.net/browse/DTTP25-41934</t>
  </si>
  <si>
    <t xml:space="preserve">NEW-0074</t>
  </si>
  <si>
    <t xml:space="preserve">[Growth] [CR] [INT005.2][INT004.3][INT004.4][INT006][INT007] - Conditionally capture outbound/return dates for One-Way Air Packages</t>
  </si>
  <si>
    <t xml:space="preserve">https://smartship.atlassian.net/browse/DTTP25-40435</t>
  </si>
  <si>
    <t xml:space="preserve">NEW-0436</t>
  </si>
  <si>
    <t xml:space="preserve">Frictionless secure fields payments</t>
  </si>
  <si>
    <t xml:space="preserve">https://smartship.atlassian.net/browse/DTTP25-42079</t>
  </si>
  <si>
    <t xml:space="preserve">NEW-0437</t>
  </si>
  <si>
    <t xml:space="preserve">US: Changes to A070/A013 mapping - refund</t>
  </si>
  <si>
    <t xml:space="preserve">NEW-0438</t>
  </si>
  <si>
    <t xml:space="preserve">[EINT] [CR] Map timezone in case creation in scheduled callback - US Stream</t>
  </si>
  <si>
    <t xml:space="preserve">https://smartship.atlassian.net/browse/MDTTPU-16586</t>
  </si>
  <si>
    <t xml:space="preserve">NEW-0439</t>
  </si>
  <si>
    <t xml:space="preserve">Load Test + Performance Enhancements - Part 2 (Placeholder)</t>
  </si>
  <si>
    <t xml:space="preserve">NEW-0440</t>
  </si>
  <si>
    <t xml:space="preserve">E2E Ticket Support - FAT and Canary Tests - Sprint 11</t>
  </si>
  <si>
    <t xml:space="preserve">NEW-0441</t>
  </si>
  <si>
    <t xml:space="preserve">2nd of September Release Prep</t>
  </si>
  <si>
    <t xml:space="preserve">NEW-0442</t>
  </si>
  <si>
    <t xml:space="preserve">MyMSC Login after Purchase in Booking Funnel</t>
  </si>
  <si>
    <t xml:space="preserve">Critical</t>
  </si>
  <si>
    <t xml:space="preserve">https://smartship.atlassian.net/browse/DTTP25-42351</t>
  </si>
  <si>
    <t xml:space="preserve">NEW-0443</t>
  </si>
  <si>
    <t xml:space="preserve">M4M Configuration of AU+DE markets</t>
  </si>
  <si>
    <t xml:space="preserve">NEW-0444</t>
  </si>
  <si>
    <t xml:space="preserve">M4M New Fields on INT181</t>
  </si>
  <si>
    <t xml:space="preserve">NEW-0445</t>
  </si>
  <si>
    <t xml:space="preserve">M4M Gender in Marketing email in INT188</t>
  </si>
  <si>
    <t xml:space="preserve">NEW-0446</t>
  </si>
  <si>
    <t xml:space="preserve">M4M Datatrans information in INT188 response</t>
  </si>
  <si>
    <t xml:space="preserve">NEW-0447</t>
  </si>
  <si>
    <t xml:space="preserve">MYMSC | Club enrollment template checkpoint</t>
  </si>
  <si>
    <t xml:space="preserve">NEW-0448</t>
  </si>
  <si>
    <t xml:space="preserve">Restructure the orchestration of INT188</t>
  </si>
  <si>
    <t xml:space="preserve">https://smartship.atlassian.net/browse/DTTP25-42277</t>
  </si>
  <si>
    <t xml:space="preserve">NEW-0449</t>
  </si>
  <si>
    <t xml:space="preserve">[INT188] EAPI incorrectly calling CHUB</t>
  </si>
  <si>
    <t xml:space="preserve">NEW-0451</t>
  </si>
  <si>
    <t xml:space="preserve">MSC-US | Homeless Email Flexibility - Additional Requirement</t>
  </si>
  <si>
    <t xml:space="preserve">NEW-0452</t>
  </si>
  <si>
    <t xml:space="preserve">RAML Required</t>
  </si>
  <si>
    <t xml:space="preserve">RAML Delivery Date</t>
  </si>
  <si>
    <t xml:space="preserve">Assignee</t>
  </si>
  <si>
    <t xml:space="preserve">Design Status</t>
  </si>
  <si>
    <t xml:space="preserve">Design estimate</t>
  </si>
  <si>
    <t xml:space="preserve">Handover</t>
  </si>
  <si>
    <t xml:space="preserve">Pending Solution</t>
  </si>
  <si>
    <t xml:space="preserve">No Design Required</t>
  </si>
  <si>
    <t xml:space="preserve">Ready for Development</t>
  </si>
  <si>
    <t xml:space="preserve">Yes</t>
  </si>
  <si>
    <t xml:space="preserve">Luke</t>
  </si>
  <si>
    <t xml:space="preserve">Pending Design</t>
  </si>
  <si>
    <t xml:space="preserve">merges required post prod release</t>
  </si>
  <si>
    <t xml:space="preserve">No</t>
  </si>
  <si>
    <t xml:space="preserve">Design in Progress</t>
  </si>
  <si>
    <t xml:space="preserve">130/142 ready for dev, 139/140/137 in review</t>
  </si>
  <si>
    <t xml:space="preserve">Bipin</t>
  </si>
  <si>
    <t xml:space="preserve">HLD Completed</t>
  </si>
  <si>
    <t xml:space="preserve">LLD Completed</t>
  </si>
  <si>
    <t xml:space="preserve">Predecessor Stream</t>
  </si>
  <si>
    <t xml:space="preserve">Predecessor Task</t>
  </si>
  <si>
    <t xml:space="preserve">Predecessor Jira Link</t>
  </si>
  <si>
    <t xml:space="preserve">Successor Stream</t>
  </si>
  <si>
    <t xml:space="preserve">Successor Jira Link</t>
  </si>
  <si>
    <t xml:space="preserve">Dependency Status</t>
  </si>
  <si>
    <t xml:space="preserve">CHUB</t>
  </si>
  <si>
    <t xml:space="preserve">Update to CH042 on profiling consents</t>
  </si>
  <si>
    <t xml:space="preserve">Updates to S008</t>
  </si>
  <si>
    <t xml:space="preserve">F&amp;F</t>
  </si>
  <si>
    <t xml:space="preserve">https://smartship.atlassian.net/browse/DTTP25-352</t>
  </si>
  <si>
    <t xml:space="preserve">To confirm</t>
  </si>
  <si>
    <t xml:space="preserve">DTS</t>
  </si>
  <si>
    <t xml:space="preserve">Updates in GetBookings</t>
  </si>
  <si>
    <t xml:space="preserve">https://smartship.atlassian.net/browse/RES2-29207,  https://smartship.atlassian.net/browse/RES2-29208, https://smartship.atlassian.net/browse/RES2-29200, </t>
  </si>
  <si>
    <t xml:space="preserve">Done </t>
  </si>
  <si>
    <t xml:space="preserve">Updates to Booking Event (DTS)</t>
  </si>
  <si>
    <t xml:space="preserve">https://smartship.atlassian.net/browse/DTTP25-41759</t>
  </si>
  <si>
    <t xml:space="preserve">Sort Key</t>
  </si>
  <si>
    <t xml:space="preserve">Total HLE by Sprint</t>
  </si>
  <si>
    <t xml:space="preserve">To Plan</t>
  </si>
  <si>
    <t xml:space="preserve">Total HLE</t>
  </si>
  <si>
    <t xml:space="preserve">Sprint 10</t>
  </si>
  <si>
    <t xml:space="preserve">Sprint 1</t>
  </si>
  <si>
    <t xml:space="preserve">Sprint 2</t>
  </si>
  <si>
    <t xml:space="preserve">Sprint 3</t>
  </si>
  <si>
    <t xml:space="preserve">Sprint 4</t>
  </si>
  <si>
    <t xml:space="preserve">Sprint 5</t>
  </si>
  <si>
    <t xml:space="preserve">Sprint 6</t>
  </si>
  <si>
    <t xml:space="preserve">Sprint 7</t>
  </si>
  <si>
    <t xml:space="preserve">Sprint 8</t>
  </si>
  <si>
    <t xml:space="preserve">Sprint 9</t>
  </si>
  <si>
    <t xml:space="preserve">Sprint 11</t>
  </si>
  <si>
    <t xml:space="preserve">Sprint 12</t>
  </si>
  <si>
    <t xml:space="preserve">Sprint 13</t>
  </si>
  <si>
    <t xml:space="preserve">Sprint 14</t>
  </si>
  <si>
    <t xml:space="preserve">Sprint 15</t>
  </si>
  <si>
    <t xml:space="preserve">Sprint 16</t>
  </si>
  <si>
    <t xml:space="preserve">Roadmap — Total HLE by Stream and Sprint (all team, view only)</t>
  </si>
  <si>
    <t xml:space="preserve">Gantt Order (helper)</t>
  </si>
  <si>
    <t xml:space="preserve">Total</t>
  </si>
  <si>
    <t xml:space="preserve">Tech Enhancements</t>
  </si>
  <si>
    <t xml:space="preserve">PP</t>
  </si>
  <si>
    <t xml:space="preserve">HR</t>
  </si>
  <si>
    <t xml:space="preserve">PI9</t>
  </si>
  <si>
    <t xml:space="preserve">6-Month Look-ahead Gantt (Sprint 10 - Sprint 16, Aug 3 - Dec 24 2026) -- limited to sprints already defined on the Lists tab; extend the Sprint-&gt;Quarter mapping there to push this further into 2027.</t>
  </si>
  <si>
    <t xml:space="preserve">Task</t>
  </si>
  <si>
    <t xml:space="preserve">Breakdown by Release</t>
  </si>
  <si>
    <t xml:space="preserve">NEW-0090</t>
  </si>
  <si>
    <t xml:space="preserve">API Configurations for US market</t>
  </si>
  <si>
    <t xml:space="preserve">Release 18</t>
  </si>
  <si>
    <t xml:space="preserve">Item Count</t>
  </si>
  <si>
    <t xml:space="preserve">Production Date</t>
  </si>
  <si>
    <t xml:space="preserve">Cutoff Date</t>
  </si>
  <si>
    <t xml:space="preserve">Service Now CR ID</t>
  </si>
  <si>
    <t xml:space="preserve">NEW-0235</t>
  </si>
  <si>
    <t xml:space="preserve">Phase 1 Payment Auth CR</t>
  </si>
  <si>
    <t xml:space="preserve">Release 5B</t>
  </si>
  <si>
    <t xml:space="preserve">Release 5</t>
  </si>
  <si>
    <t xml:space="preserve">NEW-0237</t>
  </si>
  <si>
    <t xml:space="preserve">US configurations  - Chain 1 / Chain 2</t>
  </si>
  <si>
    <t xml:space="preserve">Release 19</t>
  </si>
  <si>
    <t xml:space="preserve">Release 5A</t>
  </si>
  <si>
    <t xml:space="preserve">NEW-0238</t>
  </si>
  <si>
    <t xml:space="preserve">CDP Sandbox Support for US</t>
  </si>
  <si>
    <t xml:space="preserve">NEW-0329</t>
  </si>
  <si>
    <t xml:space="preserve">LATAM Configurations - Chain1 / Chain 2 / Prod</t>
  </si>
  <si>
    <t xml:space="preserve">Release 5B (Hotfix)</t>
  </si>
  <si>
    <t xml:space="preserve">NEW-0336</t>
  </si>
  <si>
    <t xml:space="preserve">Consent Management</t>
  </si>
  <si>
    <t xml:space="preserve">Release 7</t>
  </si>
  <si>
    <t xml:space="preserve">Release 5C</t>
  </si>
  <si>
    <t xml:space="preserve">NEW-0372</t>
  </si>
  <si>
    <t xml:space="preserve">Booking Funnel - Market Segregation</t>
  </si>
  <si>
    <t xml:space="preserve">Release 6</t>
  </si>
  <si>
    <t xml:space="preserve">NEW-0379</t>
  </si>
  <si>
    <t xml:space="preserve">Attentive Marketo CR</t>
  </si>
  <si>
    <t xml:space="preserve">NEW-0381</t>
  </si>
  <si>
    <t xml:space="preserve">ALT Text - Enhancement</t>
  </si>
  <si>
    <t xml:space="preserve">Release 7A (Hotfix)</t>
  </si>
  <si>
    <t xml:space="preserve">NEW-0391</t>
  </si>
  <si>
    <t xml:space="preserve">Rosetta Stone</t>
  </si>
  <si>
    <t xml:space="preserve">Release 7B (Hotfix)</t>
  </si>
  <si>
    <t xml:space="preserve">NEW-0093</t>
  </si>
  <si>
    <t xml:space="preserve">[CR] [EAINT] INT069: Marketing SAPI / CRM EAPI updates to support routing to CDP based on market code</t>
  </si>
  <si>
    <t xml:space="preserve">Release 8</t>
  </si>
  <si>
    <t xml:space="preserve">NEW-0094</t>
  </si>
  <si>
    <t xml:space="preserve">[CR] [EAINT] INT077: Dual CDP (US and HQ) Loading with Retry Logic</t>
  </si>
  <si>
    <t xml:space="preserve">Release 9</t>
  </si>
  <si>
    <t xml:space="preserve">Completed</t>
  </si>
  <si>
    <t xml:space="preserve">NEW-0236</t>
  </si>
  <si>
    <t xml:space="preserve">GBP Enablement</t>
  </si>
  <si>
    <t xml:space="preserve">Release 10</t>
  </si>
  <si>
    <t xml:space="preserve">NEW-0241</t>
  </si>
  <si>
    <t xml:space="preserve">PVC - INT069 CR</t>
  </si>
  <si>
    <t xml:space="preserve">Release 10A</t>
  </si>
  <si>
    <t xml:space="preserve">NEW-0245</t>
  </si>
  <si>
    <t xml:space="preserve">Do not Call INT044, INT014, INT500</t>
  </si>
  <si>
    <t xml:space="preserve">Release 10B (Hotfix)</t>
  </si>
  <si>
    <t xml:space="preserve">NEW-0285</t>
  </si>
  <si>
    <t xml:space="preserve">Update Excursions node in INT140 request</t>
  </si>
  <si>
    <t xml:space="preserve">Release 12</t>
  </si>
  <si>
    <t xml:space="preserve">Release 10C (Hotfix)</t>
  </si>
  <si>
    <t xml:space="preserve">NEW-0330</t>
  </si>
  <si>
    <t xml:space="preserve">Emergent Markets (PL-TR-MT) APIs Configuration - CHAIN1/2, Prod</t>
  </si>
  <si>
    <t xml:space="preserve">Release 11</t>
  </si>
  <si>
    <t xml:space="preserve">CHG0068937</t>
  </si>
  <si>
    <t xml:space="preserve">NEW-0331</t>
  </si>
  <si>
    <t xml:space="preserve">Accessibility Form - "Transfer between checking and boarding gate" new field CR</t>
  </si>
  <si>
    <t xml:space="preserve">Release 11A</t>
  </si>
  <si>
    <t xml:space="preserve">NEW-0337</t>
  </si>
  <si>
    <t xml:space="preserve">INT024.1 - Changes to accommodate DTS Post Booking</t>
  </si>
  <si>
    <t xml:space="preserve">CHG0069184</t>
  </si>
  <si>
    <t xml:space="preserve">NEW-0374</t>
  </si>
  <si>
    <t xml:space="preserve">[Load Test] Prepare new environement for load testing activities</t>
  </si>
  <si>
    <t xml:space="preserve">Release 13</t>
  </si>
  <si>
    <t xml:space="preserve">CHG0069187</t>
  </si>
  <si>
    <t xml:space="preserve">NEW-0380</t>
  </si>
  <si>
    <t xml:space="preserve">MSC4Me Precruise - Prepaids flow indipendence</t>
  </si>
  <si>
    <t xml:space="preserve">Release 17</t>
  </si>
  <si>
    <t xml:space="preserve">Release 13A (Hotfix)</t>
  </si>
  <si>
    <t xml:space="preserve">NEW-0383</t>
  </si>
  <si>
    <t xml:space="preserve">DTTP - MA - B2B2C App Check-in On Demand (MSC Book)_EA</t>
  </si>
  <si>
    <t xml:space="preserve">Release 15</t>
  </si>
  <si>
    <t xml:space="preserve">Release 13B (Hotfix)</t>
  </si>
  <si>
    <t xml:space="preserve">NEW-0099</t>
  </si>
  <si>
    <t xml:space="preserve">Verbal DNC</t>
  </si>
  <si>
    <t xml:space="preserve">Release 13C (Hotfix)</t>
  </si>
  <si>
    <t xml:space="preserve">NEW-0133</t>
  </si>
  <si>
    <t xml:space="preserve">Error mapping INT 140 - Promo no longer available</t>
  </si>
  <si>
    <t xml:space="preserve">Release 14</t>
  </si>
  <si>
    <t xml:space="preserve">NEW-0239</t>
  </si>
  <si>
    <t xml:space="preserve">[EAINT] [CR] Missing market code PAPI</t>
  </si>
  <si>
    <t xml:space="preserve">Release 14A</t>
  </si>
  <si>
    <t xml:space="preserve">NEW-0282</t>
  </si>
  <si>
    <t xml:space="preserve">Light Login Flow for DEM Email</t>
  </si>
  <si>
    <t xml:space="preserve">CHG0070359</t>
  </si>
  <si>
    <t xml:space="preserve">NEW-0286</t>
  </si>
  <si>
    <t xml:space="preserve">Error Management - Promotion no longer available – Change to INT 140</t>
  </si>
  <si>
    <t xml:space="preserve">Release 15A</t>
  </si>
  <si>
    <t xml:space="preserve">NEW-0338</t>
  </si>
  <si>
    <t xml:space="preserve">CDP / DTS Post Booking
MuleSoft Scalability, Performance, Resilience Assessment</t>
  </si>
  <si>
    <t xml:space="preserve">Release 15B</t>
  </si>
  <si>
    <t xml:space="preserve">NEW-0350</t>
  </si>
  <si>
    <t xml:space="preserve">INT 004.4 - Update to support Klarna payment method</t>
  </si>
  <si>
    <t xml:space="preserve">Release 15C</t>
  </si>
  <si>
    <t xml:space="preserve">CHG0070881</t>
  </si>
  <si>
    <t xml:space="preserve">NEW-0351</t>
  </si>
  <si>
    <t xml:space="preserve">Klarna - Itinerary cache - shared access</t>
  </si>
  <si>
    <t xml:space="preserve">Release 16</t>
  </si>
  <si>
    <t xml:space="preserve">CHG0070954</t>
  </si>
  <si>
    <t xml:space="preserve">NEW-0123</t>
  </si>
  <si>
    <t xml:space="preserve">Data Lodging - INT 007</t>
  </si>
  <si>
    <t xml:space="preserve">Planned</t>
  </si>
  <si>
    <t xml:space="preserve">CHG0071104</t>
  </si>
  <si>
    <t xml:space="preserve">NEW-0249</t>
  </si>
  <si>
    <t xml:space="preserve">Pre Booking Customisation - INT017v1 - Ship Postion</t>
  </si>
  <si>
    <t xml:space="preserve">CHG0071296</t>
  </si>
  <si>
    <t xml:space="preserve">NEW-0250</t>
  </si>
  <si>
    <t xml:space="preserve">Pre Booking Customisation - INT 007/006 - Error management – Fully booked cabin</t>
  </si>
  <si>
    <t xml:space="preserve">(Unassigned)</t>
  </si>
  <si>
    <t xml:space="preserve">NEW-0251</t>
  </si>
  <si>
    <t xml:space="preserve">Pre Booking Customisation - Refresh availability  – Change to INT 002</t>
  </si>
  <si>
    <t xml:space="preserve">NEW-0252</t>
  </si>
  <si>
    <t xml:space="preserve">Pre Booking Customisation - OBC Pills</t>
  </si>
  <si>
    <t xml:space="preserve">NEW-0260</t>
  </si>
  <si>
    <t xml:space="preserve">B2CW Payment Review - Tokenisation (Booking Funnel)</t>
  </si>
  <si>
    <t xml:space="preserve">NEW-0261</t>
  </si>
  <si>
    <t xml:space="preserve">B2CW Payment Review - Tokenisation (myMSC)</t>
  </si>
  <si>
    <t xml:space="preserve">NEW-0262</t>
  </si>
  <si>
    <t xml:space="preserve">B2CW Payment Review - Data lodging - cruise booking - Booking funnel</t>
  </si>
  <si>
    <t xml:space="preserve">NEW-0306</t>
  </si>
  <si>
    <t xml:space="preserve">INT139 handling of coupons</t>
  </si>
  <si>
    <t xml:space="preserve">NEW-0308</t>
  </si>
  <si>
    <t xml:space="preserve">Voyager Club - INT152 - Add Total Points per cruise</t>
  </si>
  <si>
    <t xml:space="preserve">NEW-0309</t>
  </si>
  <si>
    <t xml:space="preserve">INT139 Add new field regarding coupon discount</t>
  </si>
  <si>
    <t xml:space="preserve">NEW-0339</t>
  </si>
  <si>
    <t xml:space="preserve">CDP / DTS Post Booking - CR - Beverage/ Bundle Campaigns</t>
  </si>
  <si>
    <t xml:space="preserve">NEW-0382</t>
  </si>
  <si>
    <t xml:space="preserve">DTTP - MA - Integration between AJO and OBR/Shorex Platform/Catalog [ANALYSIS]_EA</t>
  </si>
  <si>
    <t xml:space="preserve">NEW-0108</t>
  </si>
  <si>
    <t xml:space="preserve">Web user cancellation - INT 121</t>
  </si>
  <si>
    <t xml:space="preserve">NEW-0109</t>
  </si>
  <si>
    <t xml:space="preserve">Web user cancellation - INT118</t>
  </si>
  <si>
    <t xml:space="preserve">NEW-0135</t>
  </si>
  <si>
    <t xml:space="preserve">INT 135.1 - Shop Request CR</t>
  </si>
  <si>
    <t xml:space="preserve">NEW-0136</t>
  </si>
  <si>
    <t xml:space="preserve">INT 142 - Add thematic Booking id</t>
  </si>
  <si>
    <t xml:space="preserve">NEW-0137</t>
  </si>
  <si>
    <t xml:space="preserve">[INT 136.1 - Thematic Availability (Speciality Restaurant)</t>
  </si>
  <si>
    <t xml:space="preserve">NEW-0138</t>
  </si>
  <si>
    <t xml:space="preserve">INT 139/ INT 140 CR - Pricetobook / bookprepaid itesm</t>
  </si>
  <si>
    <t xml:space="preserve">NEW-0139</t>
  </si>
  <si>
    <t xml:space="preserve">INT 163 - Thematic Revise</t>
  </si>
  <si>
    <t xml:space="preserve">NEW-0142</t>
  </si>
  <si>
    <t xml:space="preserve">INT 139/ INT 140 CR - Item unavailablility</t>
  </si>
  <si>
    <t xml:space="preserve">NEW-0153</t>
  </si>
  <si>
    <t xml:space="preserve">Outbound leads - Unknown web option</t>
  </si>
  <si>
    <t xml:space="preserve">NEW-0187</t>
  </si>
  <si>
    <t xml:space="preserve">Update configurations for Turkey</t>
  </si>
  <si>
    <t xml:space="preserve">NEW-0188</t>
  </si>
  <si>
    <t xml:space="preserve">DTS Post Booking - Load Test Activities + New Volumes Support</t>
  </si>
  <si>
    <t xml:space="preserve">NEW-0190</t>
  </si>
  <si>
    <t xml:space="preserve">Outbound leads - Hold Option - INT004.4</t>
  </si>
  <si>
    <t xml:space="preserve">NEW-0192</t>
  </si>
  <si>
    <t xml:space="preserve">[MyArea] Re-captcha keys - Lower environment TEST</t>
  </si>
  <si>
    <t xml:space="preserve">NEW-0256</t>
  </si>
  <si>
    <t xml:space="preserve">Outbound leads - Hold Option - INT006</t>
  </si>
  <si>
    <t xml:space="preserve">NEW-0283</t>
  </si>
  <si>
    <t xml:space="preserve">[EINT] Campaign codes for UK/IE myMSC - New HQ Sandbox </t>
  </si>
  <si>
    <t xml:space="preserve">NEW-0287</t>
  </si>
  <si>
    <t xml:space="preserve">INT145/146 Revised payment options</t>
  </si>
  <si>
    <t xml:space="preserve">NEW-0289</t>
  </si>
  <si>
    <t xml:space="preserve">[EINT] [CR] INT 139/ 140 - Item unavailability</t>
  </si>
  <si>
    <t xml:space="preserve">NEW-0295</t>
  </si>
  <si>
    <t xml:space="preserve">Specialty Restaurants - INT135, INT139, INT140, INT142</t>
  </si>
  <si>
    <t xml:space="preserve">NEW-0296</t>
  </si>
  <si>
    <t xml:space="preserve">Specialty Restaurants - INT136, INT163</t>
  </si>
  <si>
    <t xml:space="preserve">NEW-0298</t>
  </si>
  <si>
    <t xml:space="preserve">NEW-0300</t>
  </si>
  <si>
    <t xml:space="preserve">INT137 - Refund: improve long processing time</t>
  </si>
  <si>
    <t xml:space="preserve">NEW-0386</t>
  </si>
  <si>
    <t xml:space="preserve">Support for the enabling of IP whitelist for Mulesoft Marketo</t>
  </si>
  <si>
    <t xml:space="preserve">NEW-0100</t>
  </si>
  <si>
    <t xml:space="preserve">Call me back / Already sent</t>
  </si>
  <si>
    <t xml:space="preserve">NEW-0103</t>
  </si>
  <si>
    <t xml:space="preserve">Outbound leads - Abandoned Cart - New Interface INT007.2</t>
  </si>
  <si>
    <t xml:space="preserve">NEW-0104</t>
  </si>
  <si>
    <t xml:space="preserve">Outbound leads - Abandoned Cart - Change to INT710</t>
  </si>
  <si>
    <t xml:space="preserve">NEW-0105</t>
  </si>
  <si>
    <t xml:space="preserve">Uknown Web Option</t>
  </si>
  <si>
    <t xml:space="preserve">NEW-0111</t>
  </si>
  <si>
    <t xml:space="preserve">INT 158 - Assign Opportunity ID to existing booking</t>
  </si>
  <si>
    <t xml:space="preserve">NEW-0127</t>
  </si>
  <si>
    <t xml:space="preserve">Flight classes</t>
  </si>
  <si>
    <t xml:space="preserve">NEW-0131</t>
  </si>
  <si>
    <t xml:space="preserve">Datatrans webhook INT165 inc. routing to AZF005</t>
  </si>
  <si>
    <t xml:space="preserve">NEW-0143</t>
  </si>
  <si>
    <t xml:space="preserve">INT 130 - Dining Slots CR</t>
  </si>
  <si>
    <t xml:space="preserve">NEW-0146</t>
  </si>
  <si>
    <t xml:space="preserve">INT 139/ INT 140 Applicability ALL INC</t>
  </si>
  <si>
    <t xml:space="preserve">NEW-0148</t>
  </si>
  <si>
    <t xml:space="preserve">Already Purchased - item no longer sold - INT 142</t>
  </si>
  <si>
    <t xml:space="preserve">NEW-0150</t>
  </si>
  <si>
    <t xml:space="preserve">INT 139/140 -all inc item missing from OBS List</t>
  </si>
  <si>
    <t xml:space="preserve">NEW-0240</t>
  </si>
  <si>
    <t xml:space="preserve">Setup of DTS credit card codes for US</t>
  </si>
  <si>
    <t xml:space="preserve">NEW-0243</t>
  </si>
  <si>
    <t xml:space="preserve">PVC - INT158 (New Interface)</t>
  </si>
  <si>
    <t xml:space="preserve">NEW-0246</t>
  </si>
  <si>
    <t xml:space="preserve">Attentive - INT175</t>
  </si>
  <si>
    <t xml:space="preserve">NEW-0253</t>
  </si>
  <si>
    <t xml:space="preserve">Outbound leads - Already Sent</t>
  </si>
  <si>
    <t xml:space="preserve">NEW-0257</t>
  </si>
  <si>
    <t xml:space="preserve">DTS-Salesforce Optimisations - INT 037</t>
  </si>
  <si>
    <t xml:space="preserve">NEW-0268</t>
  </si>
  <si>
    <t xml:space="preserve">Not To Sail</t>
  </si>
  <si>
    <t xml:space="preserve">NEW-0291</t>
  </si>
  <si>
    <t xml:space="preserve">INT159 - Lab item for myMSC</t>
  </si>
  <si>
    <t xml:space="preserve">NEW-0294</t>
  </si>
  <si>
    <t xml:space="preserve">INT142 fix for flights</t>
  </si>
  <si>
    <t xml:space="preserve">NEW-0303</t>
  </si>
  <si>
    <t xml:space="preserve">INT139 / INT140 - Applicability of items during all inclusive logic - CR related items</t>
  </si>
  <si>
    <t xml:space="preserve">NEW-0305</t>
  </si>
  <si>
    <t xml:space="preserve">INT130 / INT139 / INT140 - Applicability of Items - Switch to new cache jsononboardservice</t>
  </si>
  <si>
    <t xml:space="preserve">NEW-0307</t>
  </si>
  <si>
    <t xml:space="preserve">INT140 handling of coupons - error handling</t>
  </si>
  <si>
    <t xml:space="preserve">NEW-0319</t>
  </si>
  <si>
    <t xml:space="preserve">INT 163 - Add missing PrepaidShop field</t>
  </si>
  <si>
    <t xml:space="preserve">NEW-0352</t>
  </si>
  <si>
    <t xml:space="preserve">INT165 - Datatrans Webhook v1.0</t>
  </si>
  <si>
    <t xml:space="preserve">NEW-0357</t>
  </si>
  <si>
    <t xml:space="preserve">PDC - Customer Contacts - B2C Funnel Alignment</t>
  </si>
  <si>
    <t xml:space="preserve">NEW-0387</t>
  </si>
  <si>
    <t xml:space="preserve">DTTP - Lead Management - Web forms - Market-Based Date Format Localization</t>
  </si>
  <si>
    <t xml:space="preserve">NEW-0112</t>
  </si>
  <si>
    <t xml:space="preserve">Lead pax details in booking event</t>
  </si>
  <si>
    <t xml:space="preserve">NEW-0113</t>
  </si>
  <si>
    <t xml:space="preserve">INT 710 Timezone Lookup</t>
  </si>
  <si>
    <t xml:space="preserve">NEW-0120</t>
  </si>
  <si>
    <t xml:space="preserve">INT 101 - Add group id in webforms</t>
  </si>
  <si>
    <t xml:space="preserve">NEW-0121</t>
  </si>
  <si>
    <t xml:space="preserve">INT 024.1/ INT 025/ INT100 - Add group type field</t>
  </si>
  <si>
    <t xml:space="preserve">NEW-0122</t>
  </si>
  <si>
    <t xml:space="preserve">INT 037 - B2B Representative Event</t>
  </si>
  <si>
    <t xml:space="preserve">NEW-0151</t>
  </si>
  <si>
    <t xml:space="preserve">INT 139 / 140 - additional applicability logic</t>
  </si>
  <si>
    <t xml:space="preserve">NEW-0219</t>
  </si>
  <si>
    <t xml:space="preserve">INT710 - Outbound leads - Abandoned Cart - Genesys Contact ID Mapping and Multiple Case Handling</t>
  </si>
  <si>
    <t xml:space="preserve">NEW-0228</t>
  </si>
  <si>
    <t xml:space="preserve">INT114.1 / INT114.2 / INT113 Limit access to bookings from the same office as the website agency</t>
  </si>
  <si>
    <t xml:space="preserve">NEW-0233</t>
  </si>
  <si>
    <t xml:space="preserve">[CR] Booking Funnel Market Segregation - Include market-level data in logging</t>
  </si>
  <si>
    <t xml:space="preserve">Tech</t>
  </si>
  <si>
    <t xml:space="preserve">NEW-0234</t>
  </si>
  <si>
    <t xml:space="preserve">LOAD TEST in Perf Env - Part 2</t>
  </si>
  <si>
    <t xml:space="preserve">NEW-0242</t>
  </si>
  <si>
    <t xml:space="preserve">PVC - INT024.2 CR</t>
  </si>
  <si>
    <t xml:space="preserve">NEW-0247</t>
  </si>
  <si>
    <t xml:space="preserve">Attentive - INT172</t>
  </si>
  <si>
    <t xml:space="preserve">NEW-0248</t>
  </si>
  <si>
    <t xml:space="preserve">Attentive - INT174</t>
  </si>
  <si>
    <t xml:space="preserve">NEW-0269</t>
  </si>
  <si>
    <t xml:space="preserve">Pre-booking customisation - Free Balcony Upgrades</t>
  </si>
  <si>
    <t xml:space="preserve">NEW-0271</t>
  </si>
  <si>
    <t xml:space="preserve">INT 002 CR - Kids Sail Free</t>
  </si>
  <si>
    <t xml:space="preserve">NEW-0304</t>
  </si>
  <si>
    <t xml:space="preserve">INT139 / INT140 - Applicability of items during all inclusive logic - CR passenger type logic</t>
  </si>
  <si>
    <t xml:space="preserve">NEW-0310</t>
  </si>
  <si>
    <t xml:space="preserve">Super Agency Access - Short term workaround CR</t>
  </si>
  <si>
    <t xml:space="preserve">NEW-0312</t>
  </si>
  <si>
    <t xml:space="preserve">INT114 Modify rule on departure date</t>
  </si>
  <si>
    <t xml:space="preserve">NEW-0388</t>
  </si>
  <si>
    <t xml:space="preserve">DTTP - Sign Up Event Tracking in AEP/AJO/CDP/SALESFORCE_EAImpact</t>
  </si>
  <si>
    <t xml:space="preserve">NEW-0390</t>
  </si>
  <si>
    <t xml:space="preserve">CRM - Consent Management - Profiling info in the Customer Event table CDP/AJ0_EAImpact</t>
  </si>
  <si>
    <t xml:space="preserve">NEW-0012</t>
  </si>
  <si>
    <t xml:space="preserve">INT 103 - agency email,.  Representative code in INT 101/ 103 (webform US)</t>
  </si>
  <si>
    <t xml:space="preserve">NEW-0015</t>
  </si>
  <si>
    <t xml:space="preserve">Tokenisation - CR - INT 007/ INT 146</t>
  </si>
  <si>
    <t xml:space="preserve">NEW-0042</t>
  </si>
  <si>
    <t xml:space="preserve">Idempotency Key for Prepaids + Refund</t>
  </si>
  <si>
    <t xml:space="preserve">NEW-0043</t>
  </si>
  <si>
    <t xml:space="preserve">CR INT 113 - FormofPayment (PL)</t>
  </si>
  <si>
    <t xml:space="preserve">NEW-0044</t>
  </si>
  <si>
    <t xml:space="preserve">CR INT 113/ INT 142 - Group type field</t>
  </si>
  <si>
    <t xml:space="preserve">NEW-0263</t>
  </si>
  <si>
    <t xml:space="preserve">B2CW Payment Review - Data Lodging - INT140 &amp; INT146 - prepaid/cruise booking myAREA</t>
  </si>
  <si>
    <t xml:space="preserve">NEW-0264</t>
  </si>
  <si>
    <t xml:space="preserve">Web form for US</t>
  </si>
  <si>
    <t xml:space="preserve">NEW-0272</t>
  </si>
  <si>
    <t xml:space="preserve">B2CW Payment Review Tokenisation - CR to update AJO/CDP A013/A070</t>
  </si>
  <si>
    <t xml:space="preserve">NEW-0292</t>
  </si>
  <si>
    <t xml:space="preserve">INT139 / INT140 - CR - Klarna Prepaid + PDC Customer Contacts</t>
  </si>
  <si>
    <t xml:space="preserve">NEW-0293</t>
  </si>
  <si>
    <t xml:space="preserve">INT145 - CR - Klarna - MyMSC Checkout Payment Support</t>
  </si>
  <si>
    <t xml:space="preserve">NEW-0313</t>
  </si>
  <si>
    <t xml:space="preserve">Idempotency on booking payments</t>
  </si>
  <si>
    <t xml:space="preserve">NEW-0341</t>
  </si>
  <si>
    <t xml:space="preserve">DTS Post Booking Migration - Market US + CAN</t>
  </si>
  <si>
    <t xml:space="preserve">NEW-0342</t>
  </si>
  <si>
    <t xml:space="preserve">CDP / DTS Post Booking - CR - Pax details Change</t>
  </si>
  <si>
    <t xml:space="preserve">NEW-0047</t>
  </si>
  <si>
    <t xml:space="preserve">Load Test + Performance Enhancements</t>
  </si>
  <si>
    <t xml:space="preserve">NEW-0048</t>
  </si>
  <si>
    <t xml:space="preserve">API Prod Configurations</t>
  </si>
  <si>
    <t xml:space="preserve">NEW-0049</t>
  </si>
  <si>
    <t xml:space="preserve">Redo configs of US in Chain 1 branches for non-prod/ prod</t>
  </si>
  <si>
    <t xml:space="preserve">NEW-0050</t>
  </si>
  <si>
    <t xml:space="preserve">Redo market routing logic to cover calls to CDP for Chain 1</t>
  </si>
  <si>
    <t xml:space="preserve">NEW-0051</t>
  </si>
  <si>
    <t xml:space="preserve">US Migration to CHAIN1</t>
  </si>
  <si>
    <t xml:space="preserve">NEW-0053</t>
  </si>
  <si>
    <t xml:space="preserve">US Configuration CHAIN1/2</t>
  </si>
  <si>
    <t xml:space="preserve">NEW-0055</t>
  </si>
  <si>
    <t xml:space="preserve">Release Preparation (Release 15, M4M, US)</t>
  </si>
  <si>
    <t xml:space="preserve">NEW-0359</t>
  </si>
  <si>
    <t xml:space="preserve">Paypal Reconciliation for booking payments</t>
  </si>
  <si>
    <t xml:space="preserve">NEW-0392</t>
  </si>
  <si>
    <t xml:space="preserve">INT183 - Add price per night</t>
  </si>
  <si>
    <t xml:space="preserve">NEW-0063</t>
  </si>
  <si>
    <t xml:space="preserve">INT 005.2 - Support One-Way Air Packages in Flight Availability</t>
  </si>
  <si>
    <t xml:space="preserve">NEW-0032</t>
  </si>
  <si>
    <t xml:space="preserve">Cruise ID / Birthdate missing from A013 and A007</t>
  </si>
  <si>
    <t xml:space="preserve">NEW-0416</t>
  </si>
  <si>
    <t xml:space="preserve">Relax MyArea access rules in LL</t>
  </si>
  <si>
    <t xml:space="preserve">NEW-0417</t>
  </si>
  <si>
    <t xml:space="preserve">Configure APIs for India</t>
  </si>
  <si>
    <t xml:space="preserve">NEW-0418</t>
  </si>
  <si>
    <t xml:space="preserve">INT146 - CR - Klarna - MyMSC Post-Booking Payment Support</t>
  </si>
  <si>
    <t xml:space="preserve">NEW-0419</t>
  </si>
  <si>
    <t xml:space="preserve">INT004.4 - Enable Klarna Webhook URL (dtt-payment-sapi)</t>
  </si>
  <si>
    <t xml:space="preserve">NEW-0420</t>
  </si>
  <si>
    <t xml:space="preserve">INT 004.3/004.4/006/007 - Forward airType to DTS in Insurance, Price, Booking, and Hold Option Requests (One-Way Air Packages)</t>
  </si>
  <si>
    <t xml:space="preserve">NEW-0421</t>
  </si>
  <si>
    <t xml:space="preserve">INT 002.x - Expose airType in Category Search Responses (One-Way Air Packages)</t>
  </si>
  <si>
    <t xml:space="preserve">NEW-0422</t>
  </si>
  <si>
    <t xml:space="preserve">[Rollout] Configure APIs for India - CHAIN1&amp;2 Config</t>
  </si>
  <si>
    <t xml:space="preserve">NEW-0423</t>
  </si>
  <si>
    <t xml:space="preserve">INT 007 - Update to support Klarna payment method</t>
  </si>
  <si>
    <t xml:space="preserve">NEW-0424</t>
  </si>
  <si>
    <t xml:space="preserve">INT100 - BookingProfileOrchestration (New Interface, DTS Post Booking)</t>
  </si>
  <si>
    <t xml:space="preserve">NEW-0425</t>
  </si>
  <si>
    <t xml:space="preserve">INT025 - BookingEventOrchestration (New Interface, DTS Post Booking)</t>
  </si>
  <si>
    <t xml:space="preserve">NEW-0426</t>
  </si>
  <si>
    <t xml:space="preserve">INT182 - Add onboard price and exclusive discount flag</t>
  </si>
  <si>
    <t xml:space="preserve">NEW-0427</t>
  </si>
  <si>
    <t xml:space="preserve">INT181 - Add OBS category type</t>
  </si>
  <si>
    <t xml:space="preserve">NEW-0428</t>
  </si>
  <si>
    <t xml:space="preserve">INT181/INT183 - Add linked item code</t>
  </si>
  <si>
    <t xml:space="preserve">NEW-0406</t>
  </si>
  <si>
    <t xml:space="preserve">myMSC Add USA Market Configuration - Production </t>
  </si>
  <si>
    <t xml:space="preserve">ID</t>
  </si>
  <si>
    <t xml:space="preserve">Description</t>
  </si>
  <si>
    <t xml:space="preserve">Notes - Jul 31</t>
  </si>
  <si>
    <t xml:space="preserve">Notes - Aug 5</t>
  </si>
  <si>
    <t xml:space="preserve">Notes - Aug 13</t>
  </si>
  <si>
    <t xml:space="preserve">- Arch work and API Design DONE. Ready For Dev (HLE: 8 SP).
- Still pending: web form code and campaign codes from B2C and marketing teams. OP created by Renato Rubino
- Postponed to IT2/Sprint 10 as agreed with Renato Rubino on July 23</t>
  </si>
  <si>
    <t xml:space="preserve">- in progress.
- Assigned to sprint 10 (postponed from IT1 to IT2).
- Still pending event type, campaign code provided.</t>
  </si>
  <si>
    <t xml:space="preserve">- Released in Production on July 16 (CHG0070881)</t>
  </si>
  <si>
    <t xml:space="preserve">- HLD pending.
- Call July 23: DTS will add field to Booking Event</t>
  </si>
  <si>
    <t xml:space="preserve">DTS dependancy to be worked on in Sprint 10 alignment call 05.08. Assigned to sprint 11. LLD pending</t>
  </si>
  <si>
    <t xml:space="preserve">- Pending E2E Arch Solution - HLD
- Campaign codes from MA Needed
- To clarify integration with S&amp;S
- No updates.</t>
  </si>
  <si>
    <t xml:space="preserve">- Requirements still need to be double checked.
- Ongoing discussion in the thread.
- Call on July 23: DTS to be involved for POST Booking response changes</t>
  </si>
  <si>
    <t xml:space="preserve">- No DTS dependancy.
- Alignment call on Aug 4: LLD still pending.</t>
  </si>
  <si>
    <t xml:space="preserve">- LLD Pending
- DTS dependency will be worked in IT3</t>
  </si>
  <si>
    <t xml:space="preserve">- Filtering logic under discussion.
- Requested them to define filtering logic in IA. No dependency on DTS changes expected.</t>
  </si>
  <si>
    <t xml:space="preserve">- Filtering logic under discussion.
- Requested them to define filtering logic in IA.
- No dependency on DTS changes expected.</t>
  </si>
  <si>
    <t xml:space="preserve">- No clear requirement.
- Meeting has been organised next week on Aug 17.</t>
  </si>
  <si>
    <t xml:space="preserve">- Pending E2E Arch Solution - HLD
- Campaign codes from MA Needed
- To clarify integration with S&amp;S</t>
  </si>
  <si>
    <t xml:space="preserve">- No clear requirement.
- No updates.</t>
  </si>
  <si>
    <t xml:space="preserve">- Configuration work for MuleSoft
- To be assigned to AM Team</t>
  </si>
  <si>
    <t xml:space="preserve">- Filtering logic under discussion.
- Requested them to define filtering logic in IA.
- No dependency on DTS changes expected.
- No updates.</t>
  </si>
  <si>
    <t xml:space="preserve">- Pending E2E Solution, No Arch Solution available
- No call. no HLD, no LLD
- Constraint: HLD/LLD to be completed by the end of w/c 20 July in order to work on Arch to be ready for dev on IT2.
- To inform Pasquale Vitale / Silvio Marini</t>
  </si>
  <si>
    <t xml:space="preserve">- Pending E2E Solution, No Arch Solution available
- No call. no HLD, no LLD.
- This could not be worked on in IT2 due to constraint: HLD/ LLD needs to be completed by end of w/c 10th Aug in order to work on this to be ready for dev on IT3</t>
  </si>
  <si>
    <t xml:space="preserve">- Deployed in CHAIN1/TEST</t>
  </si>
  <si>
    <t xml:space="preserve">- HQ release will be prepared during Sprint 9 (US Release: Aug 4th)
- HLD pending. Renato Rubino to organise the meetings.
- Constraint: HLD/LLD to be completed by the end of w/c 20 July in order to work on Arch to be ready for dev on IT2.
- Call July 23: DTS will plan changes to Booking event. Will likely need to be moved to a later iteration</t>
  </si>
  <si>
    <t xml:space="preserve">- This could not be worked on in IT2 and requirements were blocked due to constraint, dependency on DTS work which will be done in Sprint 11.
- LLD Pending
- it can be potentially worked during Sprint 12.</t>
  </si>
  <si>
    <t xml:space="preserve">- No clear requirement.</t>
  </si>
  <si>
    <t xml:space="preserve">- No clear requirement.
- To understand if logic should be managed MuleSoft-side. Expected ADR from Jonathan Petrongari (currently on leave)
- Activity needs to be postponed since it can't be worked on IT3.</t>
  </si>
  <si>
    <t xml:space="preserve">- Pending E2E Solution, No Arch Solution available.
- Risk 1: HLE could be even higher (depending on Open Points)
- Risk 2: Environment unavaiability since CHAIN1 will be dedicated for US Hypercare starting 31st of August.
- Constraint: Solution has to be discussed by the end of IT1/Sprint 9 to plan activity in the IT3/Sprint 11.</t>
  </si>
  <si>
    <t xml:space="preserve">- Pending E2E Solution, No Arch Solution available.
- Risk 1: HLE could be even higher (depending on Open Points)
- Risk 2: Environment unavailability since CHAIN1 will be dedicated for US Hypercare starting 31st of August.
- Constraint: Solution has to be discussed by the end of IT1/Sprint 9 to plan activity in the IT3/Sprint 11.</t>
  </si>
  <si>
    <t xml:space="preserve">- Pending E2E Solution, No Arch Solution available
- No call. no HLD, no LLD. No updates.
- Activity needs to be postponed since it can't be worked on IT2.</t>
  </si>
  <si>
    <t xml:space="preserve">- No clear requirement.
- To understand if logic should be managed MuleSoft-side (Petrongari to confirm)
- We need confirmation by the end of IT1.</t>
  </si>
  <si>
    <t xml:space="preserve">- Released in Production July 16 (CHG0070881)</t>
  </si>
  <si>
    <t xml:space="preserve">- No clear requirement.
- To inform Pasquale Vitale / Silvio Marini</t>
  </si>
  <si>
    <t xml:space="preserve">- Pending E2E Solution, No Arch Solution available.
- Risk 1: HLE could be even higher (depending on Open Points)
- Risk 2: Environment unavailability since CHAIN1 will be dedicated for US Hypercare starting 31st of August.
- Activity needs to be postponed since it can't be worked on IT3.</t>
  </si>
  <si>
    <t xml:space="preserve">- Released on July 16 (CHG0070881)</t>
  </si>
  <si>
    <t xml:space="preserve">- No DTS dependency.
- LLD still pending.</t>
  </si>
  <si>
    <t xml:space="preserve">- Meeting has been conducted last week.
- LLD is still pending.
- Dependency with DTS</t>
  </si>
  <si>
    <t xml:space="preserve">- Changes not to be included in the first Aug 3 GO Live (confirmed by Salvatore Verzura)</t>
  </si>
  <si>
    <t xml:space="preserve">- Changes released in CHAIN1/TEST on Aug 3 as per the plan.
- Waiting for the Mobile Team Feedback.</t>
  </si>
  <si>
    <t xml:space="preserve">- Changes released in CHAIN1/TEST on Aug 3 as per the plan.
- Still waiting for the Mobile Team Feedback.</t>
  </si>
  <si>
    <t xml:space="preserve">https://smartship.atlassian.net/browse/MDTTPU-2694</t>
  </si>
  <si>
    <t xml:space="preserve">https://smartship.atlassian.net/browse/MDTTPU-1817</t>
  </si>
  <si>
    <t xml:space="preserve">https://smartship.atlassian.net/browse/MDTTPU-1818</t>
  </si>
  <si>
    <t xml:space="preserve">https://smartship.atlassian.net/browse/MDTTPU-3291</t>
  </si>
  <si>
    <t xml:space="preserve">https://smartship.atlassian.net/browse/MDTTPU-2801</t>
  </si>
  <si>
    <t xml:space="preserve">https://smartship.atlassian.net/browse/MDTTPU-2693</t>
  </si>
  <si>
    <t xml:space="preserve">https://smartship.atlassian.net/browse/MDTTPU-4426</t>
  </si>
  <si>
    <t xml:space="preserve">https://smartship.atlassian.net/browse/MDTTPU-2597</t>
  </si>
  <si>
    <t xml:space="preserve">https://smartship.atlassian.net/browse/DTTP25-34471</t>
  </si>
  <si>
    <t xml:space="preserve">https://smartship.atlassian.net/browse/DTTP25-32814</t>
  </si>
  <si>
    <t xml:space="preserve">https://smartship.atlassian.net/browse/DTTP25-33595</t>
  </si>
  <si>
    <t xml:space="preserve">https://smartship.atlassian.net/browse/DTTP25-34477</t>
  </si>
  <si>
    <t xml:space="preserve">https://smartship.atlassian.net/browse/CRM2-5703</t>
  </si>
  <si>
    <t xml:space="preserve">https://smartship.atlassian.net/browse/MDTTPU-1452</t>
  </si>
  <si>
    <t xml:space="preserve">https://smartship.atlassian.net/browse/DTTP25-31218</t>
  </si>
  <si>
    <t xml:space="preserve">https://smartship.atlassian.net/browse/MDTTPU-4055</t>
  </si>
  <si>
    <t xml:space="preserve">https://smartship.atlassian.net/browse/DTTP25-14580</t>
  </si>
  <si>
    <t xml:space="preserve">https://smartship.atlassian.net/browse/DTTP25-15335</t>
  </si>
  <si>
    <t xml:space="preserve">https://smartship.atlassian.net/browse/DTTP25-36961</t>
  </si>
  <si>
    <t xml:space="preserve">https://smartship.atlassian.net/browse/DTTP25-31069</t>
  </si>
  <si>
    <t xml:space="preserve">https://smartship.atlassian.net/browse/DTTP25-32844</t>
  </si>
  <si>
    <t xml:space="preserve">https://smartship.atlassian.net/browse/DTTP25-38109</t>
  </si>
  <si>
    <t xml:space="preserve">https://smartship.atlassian.net/browse/DTTP25-31070</t>
  </si>
  <si>
    <t xml:space="preserve">https://smartship.atlassian.net/browse/DTTP25-15383</t>
  </si>
  <si>
    <t xml:space="preserve">https://smartship.atlassian.net/browse/DTTP25-15384</t>
  </si>
  <si>
    <t xml:space="preserve">https://smartship.atlassian.net/browse/MDTTPU-1248</t>
  </si>
  <si>
    <t xml:space="preserve">https://smartship.atlassian.net/browse/MDTTPU-1255</t>
  </si>
  <si>
    <t xml:space="preserve">https://smartship.atlassian.net/browse/FFPP-348</t>
  </si>
  <si>
    <t xml:space="preserve">https://smartship.atlassian.net/browse/MDTTPU-1450</t>
  </si>
  <si>
    <t xml:space="preserve">https://smartship.atlassian.net/browse/DTTP25-29370</t>
  </si>
  <si>
    <t xml:space="preserve">https://smartship.atlassian.net/browse/DE-39</t>
  </si>
  <si>
    <t xml:space="preserve">https://smartship.atlassian.net/browse/DTTP25-31264</t>
  </si>
  <si>
    <t xml:space="preserve">https://smartship.atlassian.net/browse/DTTP25-32150</t>
  </si>
  <si>
    <t xml:space="preserve">https://smartship.atlassian.net/browse/EA-1124</t>
  </si>
  <si>
    <t xml:space="preserve">https://smartship.atlassian.net/browse/MDTTPU-1291</t>
  </si>
  <si>
    <t xml:space="preserve">https://smartship.atlassian.net/browse/FFPP-337</t>
  </si>
  <si>
    <t xml:space="preserve">https://smartship.atlassian.net/browse/MDTTPU-1285</t>
  </si>
  <si>
    <t xml:space="preserve">https://smartship.atlassian.net/browse/DTTP25-25776</t>
  </si>
  <si>
    <t xml:space="preserve">https://smartship.atlassian.net/browse/DTTP25-28557</t>
  </si>
  <si>
    <t xml:space="preserve">https://smartship.atlassian.net/browse/DTTP25-27361</t>
  </si>
  <si>
    <t xml:space="preserve">https://smartship.atlassian.net/browse/EA-1097</t>
  </si>
  <si>
    <t xml:space="preserve">https://smartship.atlassian.net/browse/EA-1154</t>
  </si>
  <si>
    <t xml:space="preserve">https://smartship.atlassian.net/browse/EA-1130</t>
  </si>
  <si>
    <t xml:space="preserve">https://smartship.atlassian.net/browse/MDTTPU-6137</t>
  </si>
  <si>
    <t xml:space="preserve">https://smartship.atlassian.net/browse/MDTTPU-10926</t>
  </si>
  <si>
    <t xml:space="preserve">https://smartship.atlassian.net/browse/DTTP25-38934</t>
  </si>
  <si>
    <t xml:space="preserve">https://smartship.atlassian.net/browse/DTTP25-38931</t>
  </si>
  <si>
    <t xml:space="preserve">https://smartship.atlassian.net/browse/MDTTPU-4728</t>
  </si>
  <si>
    <t xml:space="preserve">https://smartship.atlassian.net/browse/DTTP25-35604</t>
  </si>
  <si>
    <t xml:space="preserve">https://smartship.atlassian.net/browse/DTTP25-35603</t>
  </si>
  <si>
    <t xml:space="preserve">https://smartship.atlassian.net/browse/DTTP25-36938</t>
  </si>
  <si>
    <t xml:space="preserve">https://smartship.atlassian.net/browse/DTTP25-38409</t>
  </si>
  <si>
    <t xml:space="preserve">https://smartship.atlassian.net/browse/DTTP25-36972</t>
  </si>
  <si>
    <t xml:space="preserve">https://smartship.atlassian.net/browse/EA-1117</t>
  </si>
  <si>
    <t xml:space="preserve">https://smartship.atlassian.net/browse/DTTP25-36939</t>
  </si>
  <si>
    <t xml:space="preserve">https://smartship.atlassian.net/browse/DTTP25-40332</t>
  </si>
  <si>
    <t xml:space="preserve">https://smartship.atlassian.net/browse/DTTP25-38635</t>
  </si>
  <si>
    <t xml:space="preserve">https://smartship.atlassian.net/browse/DTTP25-37438</t>
  </si>
  <si>
    <t xml:space="preserve">https://smartship.atlassian.net/browse/MDTTPU-6141</t>
  </si>
  <si>
    <t xml:space="preserve">https://smartship.atlassian.net/browse/MDTTPU-8133</t>
  </si>
  <si>
    <t xml:space="preserve">https://smartship.atlassian.net/browse/MDTTPU-6140</t>
  </si>
  <si>
    <t xml:space="preserve">https://smartship.atlassian.net/browse/MDTTPU-2675</t>
  </si>
  <si>
    <t xml:space="preserve">https://smartship.atlassian.net/browse/DTTP25-35437</t>
  </si>
  <si>
    <t xml:space="preserve">https://smartship.atlassian.net/browse/MDTTPU-5929</t>
  </si>
  <si>
    <t xml:space="preserve">https://smartship.atlassian.net/browse/DTTP25-38013</t>
  </si>
  <si>
    <t xml:space="preserve">https://smartship.atlassian.net/browse/DTTP25-34120</t>
  </si>
  <si>
    <t xml:space="preserve">https://smartship.atlassian.net/browse/MDTTPU-4777</t>
  </si>
  <si>
    <t xml:space="preserve">https://smartship.atlassian.net/browse/MDTTPU-9536</t>
  </si>
  <si>
    <t xml:space="preserve">https://smartship.atlassian.net/browse/MDTTPU-7976</t>
  </si>
  <si>
    <t xml:space="preserve">https://smartship.atlassian.net/browse/DTTP25-37982</t>
  </si>
  <si>
    <t xml:space="preserve">https://smartship.atlassian.net/browse/DTTP25-35435</t>
  </si>
  <si>
    <t xml:space="preserve">https://smartship.atlassian.net/browse/EA-1307</t>
  </si>
  <si>
    <t xml:space="preserve">https://smartship.atlassian.net/browse/DTTP25-37439</t>
  </si>
  <si>
    <t xml:space="preserve">https://smartship.atlassian.net/browse/DTTP25-31684</t>
  </si>
  <si>
    <t xml:space="preserve">https://smartship.atlassian.net/browse/DTTP25-39645</t>
  </si>
  <si>
    <t xml:space="preserve">https://smartship.atlassian.net/browse/MDTTPU-4412</t>
  </si>
  <si>
    <t xml:space="preserve">https://smartship.atlassian.net/browse/MDTTPU-5928</t>
  </si>
  <si>
    <t xml:space="preserve">https://smartship.atlassian.net/browse/MDTTPU-1816</t>
  </si>
  <si>
    <t xml:space="preserve">https://smartship.atlassian.net/browse/DTTP25-35414</t>
  </si>
  <si>
    <t xml:space="preserve">https://smartship.atlassian.net/browse/DTTP25-36856</t>
  </si>
  <si>
    <t xml:space="preserve">https://smartship.atlassian.net/browse/DTTP25-35956</t>
  </si>
  <si>
    <t xml:space="preserve">https://smartship.atlassian.net/browse/DTTP25-37062</t>
  </si>
  <si>
    <t xml:space="preserve">https://smartship.atlassian.net/browse/MDTTPU-6139</t>
  </si>
  <si>
    <t xml:space="preserve">https://smartship.atlassian.net/browse/MDTTPU-1336</t>
  </si>
  <si>
    <t xml:space="preserve">https://smartship.atlassian.net/browse/MDTTPU-2573</t>
  </si>
  <si>
    <t xml:space="preserve">https://smartship.atlassian.net/browse/MDTTPU-6142</t>
  </si>
  <si>
    <t xml:space="preserve">https://smartship.atlassian.net/browse/DTTP25-35279</t>
  </si>
  <si>
    <t xml:space="preserve">https://smartship.atlassian.net/browse/DTTP25-36730</t>
  </si>
  <si>
    <t xml:space="preserve">https://smartship.atlassian.net/browse/DTTP25-34505</t>
  </si>
  <si>
    <t xml:space="preserve">https://smartship.atlassian.net/browse/DTTP25-36916</t>
  </si>
  <si>
    <t xml:space="preserve">https://smartship.atlassian.net/browse/DTTP25-34473</t>
  </si>
  <si>
    <t xml:space="preserve">https://smartship.atlassian.net/browse/DTTP25-35415</t>
  </si>
  <si>
    <t xml:space="preserve">https://smartship.atlassian.net/browse/EA-1280</t>
  </si>
  <si>
    <t xml:space="preserve">https://smartship.atlassian.net/browse/MDTTPU-2673</t>
  </si>
  <si>
    <t xml:space="preserve">https://smartship.atlassian.net/browse/MDTTPU-2674</t>
  </si>
  <si>
    <t xml:space="preserve">https://smartship.atlassian.net/browse/DTTP25-31539</t>
  </si>
  <si>
    <t xml:space="preserve">https://smartship.atlassian.net/browse/DTTP25-34294</t>
  </si>
  <si>
    <t xml:space="preserve">https://smartship.atlassian.net/browse/DTTP25-34293</t>
  </si>
  <si>
    <t xml:space="preserve">https://smartship.atlassian.net/browse/DTTP25-34295</t>
  </si>
  <si>
    <t xml:space="preserve">https://smartship.atlassian.net/browse/DTTP25-34475</t>
  </si>
  <si>
    <t xml:space="preserve">https://smartship.atlassian.net/browse/DTTP25-35278</t>
  </si>
  <si>
    <t xml:space="preserve">https://smartship.atlassian.net/browse/MDTTPU-5927</t>
  </si>
  <si>
    <t xml:space="preserve">https://smartship.atlassian.net/browse/DTTP25-35439</t>
  </si>
  <si>
    <t xml:space="preserve">https://smartship.atlassian.net/browse/DTTP25-35644</t>
  </si>
  <si>
    <t xml:space="preserve">https://smartship.atlassian.net/browse/MDTTPU-5925</t>
  </si>
  <si>
    <t xml:space="preserve">https://smartship.atlassian.net/browse/DTTP25-35257</t>
  </si>
  <si>
    <t xml:space="preserve">https://smartship.atlassian.net/browse/MDTTPU-5926</t>
  </si>
  <si>
    <t xml:space="preserve">https://smartship.atlassian.net/browse/DTTP25-34495</t>
  </si>
  <si>
    <t xml:space="preserve">https://smartship.atlassian.net/browse/DTTP25-14439</t>
  </si>
  <si>
    <t xml:space="preserve">https://smartship.atlassian.net/browse/DTTP25-29365</t>
  </si>
  <si>
    <t xml:space="preserve">https://smartship.atlassian.net/browse/DTTP25-14697</t>
  </si>
  <si>
    <t xml:space="preserve">https://smartship.atlassian.net/browse/EA-1125</t>
  </si>
  <si>
    <t xml:space="preserve">https://smartship.atlassian.net/browse/EA-1327</t>
  </si>
  <si>
    <t xml:space="preserve">https://smartship.atlassian.net/browse/DTTP25-40256</t>
  </si>
  <si>
    <t xml:space="preserve">https://smartship.atlassian.net/browse/DTTP25-19655</t>
  </si>
  <si>
    <t xml:space="preserve">https://smartship.atlassian.net/browse/EA-1772</t>
  </si>
  <si>
    <t xml:space="preserve">https://smartship.atlassian.net/browse/DTTP25-41462</t>
  </si>
  <si>
    <t xml:space="preserve">https://smartship.atlassian.net/browse/EA-1774</t>
  </si>
  <si>
    <t xml:space="preserve">https://smartship.atlassian.net/browse/EA-1775</t>
  </si>
  <si>
    <t xml:space="preserve">https://smartship.atlassian.net/browse/EA-1773</t>
  </si>
  <si>
    <t xml:space="preserve">https://smartship.atlassian.net/browse/MDTTPU-13969</t>
  </si>
  <si>
    <t xml:space="preserve">https://smartship.atlassian.net/browse/MDTTPU-1292</t>
  </si>
  <si>
    <t xml:space="preserve">https://smartship.atlassian.net/browse/MDTTPU-13739</t>
  </si>
  <si>
    <t xml:space="preserve">https://smartship.atlassian.net/browse/MDTTPU-13740</t>
  </si>
  <si>
    <t xml:space="preserve">https://smartship.atlassian.net/browse/MDTTPU-13970</t>
  </si>
  <si>
    <t xml:space="preserve">https://smartship.atlassian.net/browse/MDTTPU-13971</t>
  </si>
  <si>
    <t xml:space="preserve">NEW-0435</t>
  </si>
  <si>
    <t xml:space="preserve">new item</t>
  </si>
  <si>
    <t xml:space="preserve">neew item 2</t>
  </si>
  <si>
    <t xml:space="preserve">AUTOMATION WORKFLOWS - Option B: Full Automatic Sync</t>
  </si>
  <si>
    <t xml:space="preserve">HOW IT WORKS (Option B)</t>
  </si>
  <si>
    <t xml:space="preserve">You only manage the Backlog sheet. Everything else syncs automatically by row:</t>
  </si>
  <si>
    <t xml:space="preserve">1. Add an item to Backlog row N (e.g., row 94) with Name, Type, Stream, Status, etc.</t>
  </si>
  <si>
    <t xml:space="preserve">2. Column A auto-generates a Requirement ID (e.g., NEW-0430)</t>
  </si>
  <si>
    <t xml:space="preserve">3. Sprint Planning row N, RTM row N, API Design Planning row N AUTOMATICALLY pull that item's data via formulas</t>
  </si>
  <si>
    <t xml:space="preserve">4. Once a Sprint is assigned in Sprint Planning, the item appears in Release and Roadmap</t>
  </si>
  <si>
    <t xml:space="preserve">Example Workflow:</t>
  </si>
  <si>
    <t xml:space="preserve">User adds item "Build API endpoint" to Backlog row 94:</t>
  </si>
  <si>
    <t xml:space="preserve">  Name: Build API endpoint | Stream: US | Type: New | Status: NEW</t>
  </si>
  <si>
    <t xml:space="preserve">Result (automatic):</t>
  </si>
  <si>
    <t xml:space="preserve">  Backlog row 94: ID auto-fills as NEW-0430</t>
  </si>
  <si>
    <t xml:space="preserve">  Sprint Planning row 94: Shows NEW-0430, Build API endpoint, US, Status=NEW (all auto-pulled)</t>
  </si>
  <si>
    <t xml:space="preserve">  RTM row 94: Shows NEW-0430, Build API endpoint, US (auto-pulled)</t>
  </si>
  <si>
    <t xml:space="preserve">  API Design Planning row 94: Shows NEW-0430, Build API endpoint, US (auto-pulled)</t>
  </si>
  <si>
    <t xml:space="preserve">User then assigns Sprint 5 in Sprint Planning row 94:</t>
  </si>
  <si>
    <t xml:space="preserve">  Release tab: NEW-0430 appears (because Sprint is now assigned)</t>
  </si>
  <si>
    <t xml:space="preserve">  Roadmap: NEW-0430 shows HLE under Stream=US, Sprint=5</t>
  </si>
  <si>
    <t xml:space="preserve">IMPORTANT NOTES</t>
  </si>
  <si>
    <t xml:space="preserve">Manual data entry goes ONLY in the Backlog sheet</t>
  </si>
  <si>
    <t xml:space="preserve">DO NOT manually enter data in Sprint Planning, RTM, or API Design Planning (it will be overwritten by formulas)</t>
  </si>
  <si>
    <t xml:space="preserve">Exception: Columns that are manual-edit in those sheets (e.g., RAML Required in API Design Planning, Predecessor in RTM) can still be edited</t>
  </si>
  <si>
    <t xml:space="preserve">Archiving: When Status=DONE with a real Sprint, run the autoArchive automation to move it to the Quarter tab</t>
  </si>
  <si>
    <t xml:space="preserve">OFFICE SCRIPT: autoArchive.ts (latest — freezes Requirement IDs before archiving so they never renumber)</t>
  </si>
  <si>
    <t xml:space="preserve">/**
 * autoArchive.ts — Office Script for Excel Online / Power Automate
 *
 * For every Backlog row whose Status = "DONE" that isn't already in a
 * Quarter tab:
 *   1. Appends the row to the correct Quarter tab (Sprint 1–4 → Q1, etc.)
 *   2. Freezes formula-driven columns in the Release tab to literal values
 *   3. Deletes the row from Sprint Planning, RTM, API Design Planning
 *   4. Deletes the row from Backlog
 *
 * For every Backlog row whose Status = "NA" (no scope for MuleSoft) that
 * isn't already archived:
 *   1. Appends the row to the "No scope for MS" sheet
 *   2. Deletes any matching row from the Release tab (nothing to ship)
 *   3. Deletes the row from Sprint Planning, RTM, API Design Planning
 *   4. Deletes the row from Backlog
 * (Same removal treatment as DONE items — steps 3–4 are identical.)
 *
 * Run via: Automate tab → "Archive Done Items" button
 * Or trigger from Power Automate on a schedule / row-change event.
 *
 * Returns a summary string (visible in Power Automate run history).
 */
// Quarter tab column order — must match what was written by the bulk archive.
// A=ReqID  B=Name  C=Type  D=Stream  E=Owner  F=Status
// G=JiraLink  H=Priority  I=Sprint  J=Release  K=HLE
// (Jira Link is now a plain pasted URL, carried straight through from
// Backlog — there is no separate Jira Key column anywhere anymore.)
const Q_COLS = [
  "reqId", "name", "type", "stream", "owner", "status",
  "jiraLink", "priority", "sprint", "release", "hle",
] as const;
type QKey = typeof Q_COLS[number];
// Hardcoded quarter names (avoids Set/iterator spread which Office Scripts rejects)
const Q1 = "Q1 Backlog Report 2026";
const Q2 = "Q2 Backlog Report 2026";
const Q3 = "Q3 Backlog Report 2026";
const Q4 = "Q4 Backlog Report 2026";
// Fixed destination for Status="NA" items — same column order as the
// quarter tabs (Q_COLS), so the existing buildQRow/write logic works as-is.
const NA_SHEET = "No scope for MS";
const FREEZE_KEYS = ["name", "stream", "sprint</t>
  </si>
  <si>
    <t xml:space="preserve">", "status", "priority", "hle"] as const;
type FreezeKey = typeof FREEZE_KEYS[number];
interface ArchiveItem {
  reqId:        string;
  blRow:        number;   // index into blVals (1-based, 0 = header)
  quarterSheet: string | null;   // null = destined for the NA_SHEET, not a quarter
  name:         string;
  type:         string;
  stream:       string;
  owner:        string;
  status:       string;
  priority:     string | number | boolean;
  sprint:       string;
  hle:          string | number | boolean;
  jiraLink:     string;
  release:      string | number | boolean;
}
// ─── Main ────────────────────────────────────────────────────────────────────
function main(workbook: ExcelScript.Workbook): string {
  // Sprint number → Quarter sheet name
  const QUARTER: Record&lt;number, string&gt; = {};
  for (let i = 1;  i &lt;= 4;  i++) QUARTER[i] = Q1;
  for (let i = 5;  i &lt;= 8;  i++) QUARTER[i] = Q2;
  for (let i = 9;  i &lt;= 12; i++) QUARTER[i] = Q3;
  for (let i = 13; i &lt;= 16; i++) QUARTER[i] = Q4;
  // ════════════════════════════════════════════════════════════════════════════
  // PHASE 1 — READ ALL DATA UPFRONT
  // All Excel API reads happen here, before any processing loops.
  // ════════════════════════════════════════════════════════════════════════════
  // Quarter sheets — values + next available row
  const q1Ws   = workbook.getWorksheet(Q1);
  const q2Ws   = workbook.getWorksheet(Q2);
  const q3Ws   = workbook.getWorksheet(Q3);
  const q4Ws   = workbook.getWorksheet(Q4);
  const q1Used = q1Ws.getUsedRange();
  const q2Used = q2Ws.getUsedRange();
  const q3Used = q3Ws.getUsedRange();
  const q4Used = q4Ws.getUsedRange();
  const q1Vals = q1Used ? q1Used.getValues() : [] as (string | number | boolean)[][];
  const q2Vals = q2Used ? q2Used.getValues() : [] as (string | number | boolean)[][];
  const q3Vals = q3Used ? q3Used.getValues() : [] as (string | number | boolean)[][];
  const q4Vals = q4Used ? q4Used.getValues() : [] as (string | number | boolean)</t>
  </si>
  <si>
    <t xml:space="preserve">[][];
  // Next free row (0-based worksheet row index) for each quarter tab
  const q1Next = q1Used ? q1Used.getRowIndex() + q1Used.getRowCount() : 0;
  const q2Next = q2Used ? q2Used.getRowIndex() + q2Used.getRowCount() : 0;
  const q3Next = q3Used ? q3Used.getRowIndex() + q3Used.getRowCount() : 0;
  const q4Next = q4Used ? q4Used.getRowIndex() + q4Used.getRowCount() : 0;
  // "No scope for MS" sheet — same read pattern as the quarter tabs above
  const naWs   = workbook.getWorksheet(NA_SHEET);
  const naUsed = naWs.getUsedRange();
  const naVals = naUsed ? naUsed.getValues() : [] as (string | number | boolean)[][];
  const naNext = naUsed ? naUsed.getRowIndex() + naUsed.getRowCount() : 0;
  // Backlog
  const blWs   = workbook.getWorksheet("Backlog");
  const blUsed = blWs.getUsedRange();
  if (!blUsed) return "Backlog sheet appears empty.";
  const blVals  = blUsed.getValues();
  const blStart = blUsed.getRowIndex();
  const blTables = blWs.getTables();
  const blTable  = blTables.length &gt; 0 ? blTables[0] : null;
  const blHdrRow = blTable ? blTable.getHeaderRowRange().getRowIndex() : blStart;
  const blTblBodyRow = blHdrRow + 1;
  // Sprint Planning
  const spWs   = workbook.getWorksheet("Sprint Planning");
  const spUsed = spWs.getUsedRange();
  const spVals = spUsed ? spUsed.getValues() : [] as (string | number | boolean)[][];
  const spStart = spUsed ? spUsed.getRowIndex() : 0;
  const spTables = spWs.getTables();
  const spTable  = spTables.length &gt; 0 ? spTables[0] : null;
  const spHdrRow = spTable ? spTable.getHeaderRowRange().getRowIndex() : spStart;
  const spTblBodyRow = spHdrRow + 1;
  // RTM
  const rtmWs   = workbook.getWorksheet("RTM");
  const rtmUsed = rtmWs ? rtmWs.getUsedRange() : null;
  const rtmVals = rtmUsed ? rtmUsed.getValues() : [] as (string | number | boolean)[][];
  const rtmStart = rtmUsed ? rtmUsed.getRowIndex() : 0;
  const rtmTables = rtmWs ? rtmWs.getTables() : [];
  const rtmTable  = rtmTables.length &gt; 0 ? rtmTables[0] : null</t>
  </si>
  <si>
    <t xml:space="preserve">;
  const rtmHdrRow = rtmTable ? rtmTable.getHeaderRowRange().getRowIndex() : rtmStart;
  const rtmTblBodyRow = rtmHdrRow + 1;
  // API Design Planning
  const apiWs   = workbook.getWorksheet("API Design Planning");
  const apiUsed = apiWs ? apiWs.getUsedRange() : null;
  const apiVals = apiUsed ? apiUsed.getValues() : [] as (string | number | boolean)[][];
  const apiStart = apiUsed ? apiUsed.getRowIndex() : 0;
  const apiTables = apiWs ? apiWs.getTables() : [];
  const apiTable  = apiTables.length &gt; 0 ? apiTables[0] : null;
  const apiHdrRow = apiTable ? apiTable.getHeaderRowRange().getRowIndex() : apiStart;
  const apiTblBodyRow = apiHdrRow + 1;
  // Lists (holds the ID High-Water Mark used by Backlog's ID-generation formula)
  const listsWs = workbook.getWorksheet("Lists");
  const hwmCell = listsWs.getRange("N2");
  const currentHwm = Number(hwmCell.getValue()) || 0;
  // Release
  const relWs   = workbook.getWorksheet("Release");
  const relUsed = relWs.getUsedRange();
  const relVals = relUsed ? relUsed.getValues() : [] as (string | number | boolean)[][];
  const relStart = relUsed ? relUsed.getRowIndex() : 0;
  const relHdr  = relVals.length &gt; 0 ? relVals[0].map(v =&gt; asStr(v).toLowerCase()) : [];
  const relIdCol  = colWith(relHdr, ["req", "id"]) ?? 0;
  const relRelCol = colWith(relHdr, ["release"]);
  const freezeCols = FREEZE_KEYS.map(k =&gt; colWith(relHdr, [k]));
  const relTables = relWs.getTables();
  const relTable  = relTables.length &gt; 0 ? relTables[0] : null;
  const relHdrRow = relTable ? relTable.getHeaderRowRange().getRowIndex() : relStart;
  const relTblBodyRow = relHdrRow + 1;
  // ════════════════════════════════════════════════════════════════════════════
  // PHASE 2 — PROCESS IN MEMORY (pure JavaScript, no Excel API calls)
  // ════════════════════════════════════════════════════════════════════════════
  // Collect already-archived IDs from all four quarter tabs AND the NA sheet —
  // an item counts as "already archived" regardless of </t>
  </si>
  <si>
    <t xml:space="preserve">which destination it
  // landed in, so re-runs never duplicate it and the Backlog orphan-cleanup
  // below also catches leftover NA rows.
  const archived = new Set&lt;string&gt;();
  const allQVals = [q1Vals, q2Vals, q3Vals, q4Vals, naVals];
  for (const qv of allQVals) {
    for (let r = 1; r &lt; qv.length; r++) {
      const id = asStr(qv[r][0]);
      if (id) archived.add(id);
    }
  }
  // Build sprint lookup map from Sprint Planning
  const spHdr   = spVals.length &gt; 0 ? spVals[0].map(v =&gt; asStr(v).toLowerCase()) : [];
  const spIdCol = colWith(spHdr, ["req", "id"]) ?? 0;
  const spSpCol = colWith(spHdr, ["sprint"]);
  if (spSpCol === null) return 'ERROR: "Sprint" column not found in Sprint Planning.';
  const sprintMap = new Map&lt;string, string&gt;();
  for (let r = 1; r &lt; spVals.length; r++) {
    const id = asStr(spVals[r][spIdCol]);
    if (id) sprintMap.set(id, asStr(spVals[r][spSpCol]));
  }
  // Find DONE and NA rows in Backlog not yet archived
  // Backlog columns (0-based): 0=ReqID 1=Name 2=Type 3=Stream 4=Owner 5=Status
  //                            6=Priority 9=HLE 13=JiraLink (plain pasted URL)
  const items: ArchiveItem[] = [];
  const skipped: string[] = [];
  for (let r = 1; r &lt; blVals.length; r++) {
    const reqId  = asStr(blVals[r][0]);
    const status = asStr(blVals[r][5]).toUpperCase();
    if (!reqId || archived.has(reqId)) continue;
    if (status !== "DONE" &amp;&amp; status !== "NA") continue;
    const sprint = sprintMap.get(reqId) ?? asStr(blVals[r][8]);
    // DONE items route to whichever quarter their sprint maps to; NA items
    // always go to the single fixed NA_SHEET (quarterSheet = null marks this).
    let qName: string | null = null;
    if (status === "DONE") {
      const sprintNo = firstInt(sprint);
      qName = sprintNo !== null ? (QUARTER[sprintNo] ?? null) : null;
      if (!qName) {
        skipped.push(`${reqId} (sprint="${sprint}")`);
        continue;
      }
    }
    // status === "NA": qName stays null → destined for NA</t>
  </si>
  <si>
    <t xml:space="preserve">_SHEET
    items.push({
      reqId,
      blRow:        r,
      quarterSheet: qName,
      name:         asStr(blVals[r][1]),
      type:         asStr(blVals[r][2]),
      stream:       asStr(blVals[r][3]),
      owner:        asStr(blVals[r][4]),
      status:       asStr(blVals[r][5]),
      priority:     blVals[r][6] as string | number | boolean,
      sprint,
      hle:          blVals[r][9] as string | number | boolean,
      jiraLink:     asStr(blVals[r][13]),
      release:      "",
    });
  }
  if (!items.length &amp;&amp; !skipped.length) {
    console.log("Nothing to archive — no new Done or NA items found.");
    return "Nothing to archive.";
  }
  // Look up Release value for DONE items only — NA items have their Release
  // row deleted outright below, not frozen, so no lookup is needed for them.
  for (let r = 1; r &lt; relVals.length; r++) {
    const id = asStr(relVals[r][relIdCol]);
    const item = items.find(i =&gt; i.reqId === id &amp;&amp; i.quarterSheet !== null);
    if (!item || relRelCol === null) continue;
    item.release = relVals[r][relRelCol] as string | number | boolean;
  }
  // Build set of req IDs being archived (for row deletion lookups)
  const archivingIds = new Set&lt;string&gt;(items.map(i =&gt; i.reqId));
  // Every "NEW-XXXX" ID being archived is about to disappear from Backlog's own
  // ID column (P), which is what the ID-generation formula scans to find the
  // "next" ID. If we don't also bump the persistent high-water mark (Lists!N2)
  // to cover these now-archived IDs, a future new item could compute the exact
  // same ID that just got archived — a real duplicate. So: compute the highest
  // NEW-XXXX number among the items we're archiving this run, and raise the
  // high-water mark to at least that value.
  let maxArchivedNum = 0;
  for (const id of archivingIds) {
    const m = id.match(/^NEW-(\d+)$/);
    if (m) {
      const n = parseInt(m[1], 10);
      if (n &gt; maxArchivedNum) maxArchivedNum = n;
    }
  }
  const newHwm = Math.max(c</t>
  </si>
  <si>
    <t xml:space="preserve">urrentHwm, maxArchivedNum);
  // Group items by quarter sheet (for batch writes); NA items go to forNA
  const forQ1 = items.filter(i =&gt; i.quarterSheet === Q1);
  const forQ2 = items.filter(i =&gt; i.quarterSheet === Q2);
  const forQ3 = items.filter(i =&gt; i.quarterSheet === Q3);
  const forQ4 = items.filter(i =&gt; i.quarterSheet === Q4);
  const forNA = items.filter(i =&gt; i.quarterSheet === null);
  const naArchivingIds = new Set&lt;string&gt;(forNA.map(i =&gt; i.reqId));
  // Build Release row updates: clone existing row values, overwrite freeze
  // cols. DONE items only — an NA item's Release row (if any) is deleted
  // outright further down, not frozen.
  interface RelUpdate { wsRow: number; rowData: (string | number | boolean)[]; }
  const relUpdates: RelUpdate[] = [];
  for (let r = 1; r &lt; relVals.length; r++) {
    const id   = asStr(relVals[r][relIdCol]);
    const item = items.find(i =&gt; i.reqId === id &amp;&amp; i.quarterSheet !== null);
    if (!item) continue;
    const updRow = relVals[r].map(v =&gt; v) as (string | number | boolean)[];
    const vals: Record&lt;FreezeKey, string | number | boolean&gt; = {
      name: item.name, stream: item.stream, sprint: item.sprint,
      status: item.status, priority: item.priority, hle: item.hle,
    };
    FREEZE_KEYS.forEach((key, i) =&gt; {
      const col = freezeCols[i];
      if (col !== null) updRow[col] = vals[key];
    });
    relUpdates.push({ wsRow: relStart + r, rowData: updRow });
  }
  // NA items: delete their Release row outright (nothing to ship), rather
  // than freezing it. Reuses the same rowsToDelete/deleteTableRows machinery
  // used for Sprint Planning/RTM/API Design Planning below.
  const relDelRows = rowsToDelete(relVals, relStart, relIdCol, naArchivingIds);
  // Collect rows to delete per sheet (0-based worksheet row, sorted bottom-up)
  const spDelRows  = rowsToDelete(spVals,  spStart,  spIdCol,  archivingIds);
  const rtmDelRows = rowsToDelete(rtmVals, rtmStart, colWith(rtmVals.length &gt; 0 ? rtmVals[0].map(v =&gt; asS</t>
  </si>
  <si>
    <t xml:space="preserve">tr(v).toLowerCase()) : [], ["req", "id"]) ?? 0, archivingIds);
  const apiDelRows = rowsToDelete(apiVals, apiStart, colWith(apiVals.length &gt; 0 ? apiVals[0].map(v =&gt; asStr(v).toLowerCase()) : [], ["req", "id"]) ?? 0, archivingIds);
  const blDelRows  = rowsToDelete(blVals,  blStart,  0,        archivingIds);
  // CLEANUP: Also collect Backlog rows that are already archived but still present (orphaned)
  const blOrphanedRows = rowsToDelete(blVals, blStart, 0, archived);
  const blAllDelRows = [...new Set([...blDelRows, ...blOrphanedRows])].sort((a, b) =&gt; b - a);
  console.log(`Items to archive: ${archivingIds.size} | Rows to delete from Backlog: ${blDelRows.length} (new) + ${blOrphanedRows.length} (orphaned)`);
  // ════════════════════════════════════════════════════════════════════════════
  // PHASE 3 — WRITE ALL CHANGES
  // Batch writes where possible; row deletes loop bottom-up per sheet.
  // ════════════════════════════════════════════════════════════════════════════
  // 0. FREEZE every surviving Backlog row's Requirement ID to a literal value
  // BEFORE any rows are deleted. Column Q's ID-generation formula is only
  // "live" (not yet frozen) for rows that have never had anything else touch
  // them — and a live formula computes its ID from ITS POSITION (MAX of every
  // P value above it). Deleting any row above a still-live row shifts that
  // row up and changes what its formula computes, silently renumbering an ID
  // that was already shown to the user. Freezing every real (non-blank) row's
  // current ID to a literal here — every single archive run, not just once —
  // makes the ID permanent at the moment of freezing, so the deletions below
  // can never again change an ID that already exists. Blank template rows are
  // deliberately left untouched so they keep generating fresh IDs for new items.
  let frozenCount = 0;
  for (let r = 1; r &lt; blVals.length; r++) {
    const name = asStr(blVals[r][1]);
    const reqId = asStr(blVals[r][0]);
   </t>
  </si>
  <si>
    <t xml:space="preserve"> if (!name || !reqId) continue;
    blWs.getRange(`Q${blStart + r + 1}`).setValue(reqId);
    frozenCount++;
  }
  console.log(`Froze ${frozenCount} Backlog row ID(s) to literal values before archiving.`);
  // 1. Append to quarter tabs and the NA sheet (one setValues call each)
  if (forQ1.length) q1Ws.getRangeByIndexes(q1Next, 0, forQ1.length, Q_COLS.length).setValues(forQ1.map(i =&gt; buildQRow(i)));
  if (forQ2.length) q2Ws.getRangeByIndexes(q2Next, 0, forQ2.length, Q_COLS.length).setValues(forQ2.map(i =&gt; buildQRow(i)));
  if (forQ3.length) q3Ws.getRangeByIndexes(q3Next, 0, forQ3.length, Q_COLS.length).setValues(forQ3.map(i =&gt; buildQRow(i)));
  if (forQ4.length) q4Ws.getRangeByIndexes(q4Next, 0, forQ4.length, Q_COLS.length).setValues(forQ4.map(i =&gt; buildQRow(i)));
  if (forNA.length) naWs.getRangeByIndexes(naNext, 0, forNA.length, Q_COLS.length).setValues(forNA.map(i =&gt; buildQRow(i)));
  // 2. Freeze Release tab rows for DONE items (one setValues call per item)
  for (const u of relUpdates) {
    relWs.getRangeByIndexes(u.wsRow, 0, 1, u.rowData.length).setValues([u.rowData]);
  }
  // 3. Delete rows from supporting sheets, then Backlog (bottom-up per sheet).
  // Strategy: use deleteRowsAt for table rows with bounds checking, fall back to range.delete()
  // Helper to safely delete from a table (used for Sprint Planning, RTM, API Design Planning)
  function deleteTableRows(
    ws: ExcelScript.Worksheet,
    tbl: ExcelScript.Table | null,
    tblBodyRow: number,
    wsRows: number[],
    sheetName: string
  ) {
    if (!tbl || wsRows.length === 0) return;
    const debugLogs: string[] = [];
    for (const r of wsRows) {
      const bodyRelIdx = r - tblBodyRow;
      debugLogs.push(`deleteRowsAt(${bodyRelIdx}) from ${sheetName} row ${r + 1}`);
      if (bodyRelIdx &lt; 0) {
        debugLogs.push(`WARN: bodyRelIdx=${bodyRelIdx} negative, skipping`);
        continue;
      }
      try {
        tbl.deleteRowsAt(bodyRelIdx, 1);
      } catch (e) {
        debugLogs.</t>
  </si>
  <si>
    <t xml:space="preserve">push(`ERROR deleteRowsAt: ${e}`);
      }
    }
    if (debugLogs.length &gt; 0) console.log(debugLogs.join(" | "));
  }
  // Reapply an inline dropdown-list validation to a single cell.
  function reapplyListValidation(ws: ExcelScript.Worksheet, cellAddress: string, values: string) {
    const dv = ws.getRange(cellAddress).getDataValidation();
    dv.clear();
    dv.setRuleObject({
      list: {
        inCellDropDown: true,
        source: values
      }
    });
  }
  // Backlog: genuine table row deletion (same mechanism as Sprint Planning/RTM/
  // API Design Planning). A real deleteRowsAt contracts the table and shifts
  // every row below up by one — Excel adjusts row-relative references
  // automatically as part of that shift, so there is no need to separately
  // "clear and reseed" a row for reuse the way an earlier version of this
  // script did. That clear-based approach is kept only as a fallback in case
  // deleteRowsAt ever fails again (it did once before, when the table's ref
  // and column-count were out of sync — now fixed).
  function deleteBacklogRows(ws: ExcelScript.Worksheet, tbl: ExcelScript.Table | null, tblBodyRow: number, wsRows: number[]) {
    if (wsRows.length === 0) {
      console.log("deleteBacklogRows: no rows to delete.");
      return;
    }
    const debugLogs: string[] = [];
    for (const r of wsRows) {
      const row = r + 1;
      const bodyRelIdx = r - tblBodyRow;
      debugLogs.push(`deleteRowsAt(${bodyRelIdx}) from Backlog row ${row}`);
      let deleted = false;
      if (tbl &amp;&amp; bodyRelIdx &gt;= 0) {
        try {
          tbl.deleteRowsAt(bodyRelIdx, 1);
          deleted = true;
        } catch (e) {
          debugLogs.push(`deleteRowsAt failed on row ${row}: ${e} — falling back to clear`);
        }
      }
      if (!deleted) {
        // Fallback: clear contents only (preserves formatting/validation),
        // then re-seed Q and reapply dropdowns explicitly.
        try {
          ws.getRange(`B${row}:H${row}`).</t>
  </si>
  <si>
    <t xml:space="preserve">clear(ExcelScript.ClearApplyTo.Contents);
          ws.getRange(`J${row}:J${row}`).clear(ExcelScript.ClearApplyTo.Contents);
          ws.getRange(`L${row}:N${row}`).clear(ExcelScript.ClearApplyTo.Contents);
          const genFormula = `=IF(B${row}="","","NEW-"&amp;TEXT(MAX($P$2:$P${r},Lists!$N$2)+1,"0000"))`;
          try {
            ws.getRange(`Q${row}`).setFormula(genFormula);
          } catch (e2) {
            debugLogs.push(`Q${row} setFormula also failed: ${e2} — leaving Q as-is`);
          }
          reapplyListValidation(ws, `C${row}`, "Config,CR,New,TBC,Bug,Tech Task,Tech Story");
          reapplyListValidation(ws, `D${row}`, "US,MyMSC,Growth,MVP Rollout,Cross,PI11,PI12,Backlog,Tech Enhancements,PP,HR,PI9,PI10,M4M");
          reapplyListValidation(ws, `E${row}`, "ALL,DTS,MA,B2CW,S&amp;S,EPAM B2C,CHUB,CRMASIS,M4M");
          reapplyListValidation(ws, `F${row}`, "NEW,IN PROGRESS,DONE,ON HOLD,NA");
          reapplyListValidation(ws, `G${row}`, "Critical,High,Medium,Low");
          reapplyListValidation(ws, `M${row}`, "Yes,Created");
          debugLogs.push(`Fell back to clear on row ${row}`);
        } catch (e3) {
          debugLogs.push(`ERROR: fallback clear also failed on row ${row}: ${e3}`);
        }
      } else {
        debugLogs.push(`Deleted row ${row} via table row removal`);
      }
    }
    console.log(debugLogs.join(" | "));
  }
  deleteTableRows(spWs, spTable, spTblBodyRow, spDelRows, "Sprint Planning");
  deleteTableRows(rtmWs, rtmTable, rtmTblBodyRow, rtmDelRows, "RTM");
  deleteTableRows(apiWs, apiTable, apiTblBodyRow, apiDelRows, "API Design Planning");
  deleteTableRows(relWs, relTable, relTblBodyRow, relDelRows, "Release (NA items only)");
  deleteBacklogRows(blWs, blTable, blTblBodyRow, blAllDelRows);
  // 4. Bump the ID High-Water Mark if this run archived anything with a higher
  // NEW-XXXX number than what's currently recorded — prevents future new items
  // from reusing an ID that just got archived.
  if (newHwm &gt; curren</t>
  </si>
  <si>
    <t xml:space="preserve">tHwm) {
    hwmCell.setValue(newHwm);
    console.log(`ID High-Water Mark bumped: ${currentHwm} -&gt; ${newHwm}`);
  }
  // ── Summary ────────────────────────────────────────────────────────────────
  const doneCount = items.length - forNA.length;
  const dest = [
    forQ1.length ? `${forQ1.length}→Q1` : "",
    forQ2.length ? `${forQ2.length}→Q2` : "",
    forQ3.length ? `${forQ3.length}→Q3` : "",
    forQ4.length ? `${forQ4.length}→Q4` : "",
  ].filter(s =&gt; !!s).join(", ");
  const summary = [
    doneCount ? `Archived ${doneCount} item(s)${dest ? ` (${dest})` : ""}.` : "",
    forNA.length ? `Archived ${forNA.length} item(s) to "${NA_SHEET}".` : "",
    skipped.length ? `Skipped ${skipped.length}: ${skipped.join("; ")}.` : "",
  ].filter(s =&gt; !!s).join(" ");
  console.log(summary);
  return summary;
}
// ─── Helpers ─────────────────────────────────────────────────────────────────
/** Coerce any cell value to a trimmed string. */
function asStr(v: unknown): string {
  return String(v ?? "").trim();
}
/** Extract the first integer from a string like "Sprint 5" → 5. */
function firstInt(s: string): number | null {
  const m = s.match(/\d+/);
  return m ? parseInt(m[0], 10) : null;
}
/** First column index (0-based) whose lowercased header contains any keyword. */
function colWith(headers: string[], keywords: string[]): number | null {
  for (let i = 0; i &lt; headers.length; i++) {
    if (keywords.some(k =&gt; headers[i].includes(k))) return i;
  }
  return null;
}
/** Build a Quarter tab row array from an ArchiveItem. */
function buildQRow(item: ArchiveItem): (string | number | boolean)[] {
  return Q_COLS.map(key =&gt; {
    const v = item[key as QKey];
    return (v === null || v === undefined) ? "" : v as string | number | boolean;
  });
}
/**
 * Return 0-based worksheet row indices (sorted bottom-up) for all rows in
 * vals whose ID column matches archivingIds. Bottom-up order ensures that
 * deleting row N doesn't shift the index of row N-1 before it is proce</t>
  </si>
  <si>
    <t xml:space="preserve">ssed.
 */
function rowsToDelete(
  vals: (string | number | boolean)[][],
  wsStartRow: number,
  idCol: number,
  archivingIds: Set&lt;string&gt;
): number[] {
  const wsRows: number[] = [];
  for (let r = 1; r &lt; vals.length; r++) {
    if (archivingIds.has(asStr(vals[r][idCol]))) {
      wsRows.push(wsStartRow + r);
    }
  }
  return wsRows.sort((a, b) =&gt; b - a);
}
</t>
  </si>
  <si>
    <t xml:space="preserve">Sprint-&gt;Quarter (2026)</t>
  </si>
  <si>
    <t xml:space="preserve">Quarter Tab</t>
  </si>
  <si>
    <t xml:space="preserve">Date Range</t>
  </si>
  <si>
    <t xml:space="preserve">ID High-Water Mark</t>
  </si>
  <si>
    <t xml:space="preserve">Clare</t>
  </si>
  <si>
    <t xml:space="preserve">Q1 Backlog Report 2026</t>
  </si>
  <si>
    <t xml:space="preserve">Jan 19 - Feb 6</t>
  </si>
  <si>
    <t xml:space="preserve">Feb 9 - Feb 27</t>
  </si>
  <si>
    <t xml:space="preserve">Mar 2 - Mar 20</t>
  </si>
  <si>
    <t xml:space="preserve">Low</t>
  </si>
  <si>
    <t xml:space="preserve">Remo</t>
  </si>
  <si>
    <t xml:space="preserve">Mar 23 - Apr 10</t>
  </si>
  <si>
    <t xml:space="preserve">Q2 Backlog Report 2026</t>
  </si>
  <si>
    <t xml:space="preserve">Apr 13 - May 8</t>
  </si>
  <si>
    <t xml:space="preserve">EPAM B2C</t>
  </si>
  <si>
    <t xml:space="preserve">May 11 - May 29</t>
  </si>
  <si>
    <t xml:space="preserve">Jun 1 - Jun 19</t>
  </si>
  <si>
    <t xml:space="preserve">Jun 22 - Jul 10</t>
  </si>
  <si>
    <t xml:space="preserve">Q3 Backlog Report 2026</t>
  </si>
  <si>
    <t xml:space="preserve">Jul 13 - Jul 31</t>
  </si>
  <si>
    <t xml:space="preserve">Aug 3 - Aug 21</t>
  </si>
  <si>
    <t xml:space="preserve">Aug 24 - Sep 11</t>
  </si>
  <si>
    <t xml:space="preserve">Sep 14 - Oct 2</t>
  </si>
  <si>
    <t xml:space="preserve">Q4 Backlog Report 2026</t>
  </si>
  <si>
    <t xml:space="preserve">Oct 5 - Oct 23</t>
  </si>
  <si>
    <t xml:space="preserve">Oct 26 - Nov 13</t>
  </si>
  <si>
    <t xml:space="preserve">Nov 16 - Dec 4</t>
  </si>
  <si>
    <t xml:space="preserve">Dec 7 - Dec 24</t>
  </si>
  <si>
    <t xml:space="preserve">Release 20</t>
  </si>
  <si>
    <t xml:space="preserve">Release 21</t>
  </si>
</sst>
</file>

<file path=xl/styles.xml><?xml version="1.0" encoding="utf-8"?>
<styleSheet xmlns="http://schemas.openxmlformats.org/spreadsheetml/2006/main">
  <numFmts count="5">
    <numFmt numFmtId="164" formatCode="General"/>
    <numFmt numFmtId="165" formatCode="yyyy\-mm\-dd"/>
    <numFmt numFmtId="166" formatCode="mm/yy"/>
    <numFmt numFmtId="167" formatCode="dd/mm/yyyy"/>
    <numFmt numFmtId="168" formatCode="mm/dd/yyyy"/>
  </numFmts>
  <fonts count="29">
    <font>
      <sz val="11"/>
      <color theme="1"/>
      <name val="Calibri"/>
      <family val="2"/>
      <charset val="1"/>
    </font>
    <font>
      <sz val="10"/>
      <name val="Arial"/>
      <family val="0"/>
    </font>
    <font>
      <sz val="10"/>
      <name val="Arial"/>
      <family val="0"/>
    </font>
    <font>
      <sz val="10"/>
      <name val="Arial"/>
      <family val="0"/>
    </font>
    <font>
      <b val="true"/>
      <sz val="16"/>
      <color rgb="FF1F4E78"/>
      <name val="Arial"/>
      <family val="2"/>
      <charset val="1"/>
    </font>
    <font>
      <b val="true"/>
      <sz val="12"/>
      <color rgb="FF006100"/>
      <name val="Cambria"/>
      <family val="1"/>
      <charset val="1"/>
    </font>
    <font>
      <b val="true"/>
      <sz val="10"/>
      <color rgb="FF000000"/>
      <name val="Arial"/>
      <family val="2"/>
      <charset val="1"/>
    </font>
    <font>
      <b val="true"/>
      <sz val="12"/>
      <color rgb="FF1F4E78"/>
      <name val="Arial"/>
      <family val="2"/>
      <charset val="1"/>
    </font>
    <font>
      <sz val="10"/>
      <color rgb="FF000000"/>
      <name val="Arial"/>
      <family val="2"/>
      <charset val="1"/>
    </font>
    <font>
      <i val="true"/>
      <sz val="11"/>
      <color rgb="FFC00000"/>
      <name val="Cambria"/>
      <family val="1"/>
      <charset val="1"/>
    </font>
    <font>
      <sz val="10"/>
      <name val="Arial"/>
      <family val="2"/>
      <charset val="1"/>
    </font>
    <font>
      <i val="true"/>
      <sz val="11"/>
      <name val="Cambria"/>
      <family val="1"/>
      <charset val="1"/>
    </font>
    <font>
      <i val="true"/>
      <sz val="10"/>
      <name val="Arial"/>
      <family val="2"/>
      <charset val="1"/>
    </font>
    <font>
      <b val="true"/>
      <sz val="10"/>
      <color rgb="FFFFFFFF"/>
      <name val="Arial"/>
      <family val="2"/>
      <charset val="1"/>
    </font>
    <font>
      <sz val="10"/>
      <color rgb="FFFFFFFF"/>
      <name val="Arial"/>
      <family val="2"/>
      <charset val="1"/>
    </font>
    <font>
      <b val="true"/>
      <sz val="11"/>
      <color theme="1"/>
      <name val="Calibri"/>
      <family val="2"/>
      <charset val="1"/>
    </font>
    <font>
      <u val="single"/>
      <sz val="11"/>
      <color theme="10"/>
      <name val="Calibri"/>
      <family val="2"/>
      <charset val="1"/>
    </font>
    <font>
      <b val="true"/>
      <sz val="11"/>
      <color theme="0"/>
      <name val="Calibri"/>
      <family val="2"/>
      <charset val="1"/>
    </font>
    <font>
      <b val="true"/>
      <sz val="11"/>
      <color rgb="FFFFFFFF"/>
      <name val="Cambria"/>
      <family val="1"/>
      <charset val="1"/>
    </font>
    <font>
      <b val="true"/>
      <sz val="10"/>
      <name val="Arial"/>
      <family val="2"/>
      <charset val="1"/>
    </font>
    <font>
      <b val="true"/>
      <sz val="11"/>
      <color theme="0"/>
      <name val="Arial"/>
      <family val="2"/>
      <charset val="1"/>
    </font>
    <font>
      <sz val="11"/>
      <name val="Calibri"/>
      <family val="2"/>
      <charset val="1"/>
    </font>
    <font>
      <b val="true"/>
      <sz val="14"/>
      <color rgb="FFFFFFFF"/>
      <name val="Cambria"/>
      <family val="1"/>
      <charset val="1"/>
    </font>
    <font>
      <b val="true"/>
      <sz val="12"/>
      <name val="Cambria"/>
      <family val="1"/>
      <charset val="1"/>
    </font>
    <font>
      <b val="true"/>
      <sz val="11"/>
      <color rgb="FFC00000"/>
      <name val="Cambria"/>
      <family val="1"/>
      <charset val="1"/>
    </font>
    <font>
      <b val="true"/>
      <sz val="11"/>
      <color rgb="FF1F4E78"/>
      <name val="Cambria"/>
      <family val="1"/>
      <charset val="1"/>
    </font>
    <font>
      <b val="true"/>
      <sz val="11"/>
      <color rgb="FF006100"/>
      <name val="Cambria"/>
      <family val="1"/>
      <charset val="1"/>
    </font>
    <font>
      <b val="true"/>
      <sz val="11"/>
      <color rgb="FFFFFFFF"/>
      <name val="Cambria"/>
      <family val="0"/>
      <charset val="1"/>
    </font>
    <font>
      <sz val="9"/>
      <name val="Courier New"/>
      <family val="0"/>
      <charset val="1"/>
    </font>
  </fonts>
  <fills count="11">
    <fill>
      <patternFill patternType="none"/>
    </fill>
    <fill>
      <patternFill patternType="gray125"/>
    </fill>
    <fill>
      <patternFill patternType="solid">
        <fgColor rgb="FFBDD7EE"/>
        <bgColor rgb="FFD9D9D9"/>
      </patternFill>
    </fill>
    <fill>
      <patternFill patternType="solid">
        <fgColor rgb="FFFCE4D6"/>
        <bgColor rgb="FFF8D7DA"/>
      </patternFill>
    </fill>
    <fill>
      <patternFill patternType="solid">
        <fgColor rgb="FFF8D7DA"/>
        <bgColor rgb="FFFCE4D6"/>
      </patternFill>
    </fill>
    <fill>
      <patternFill patternType="solid">
        <fgColor rgb="FFD9D9D9"/>
        <bgColor rgb="FFBDD7EE"/>
      </patternFill>
    </fill>
    <fill>
      <patternFill patternType="solid">
        <fgColor rgb="FFF2F2F2"/>
        <bgColor rgb="FFFFFFFF"/>
      </patternFill>
    </fill>
    <fill>
      <patternFill patternType="solid">
        <fgColor rgb="FFC6E0B4"/>
        <bgColor rgb="FFD9D9D9"/>
      </patternFill>
    </fill>
    <fill>
      <patternFill patternType="solid">
        <fgColor rgb="FF1F4E78"/>
        <bgColor rgb="FF1F497D"/>
      </patternFill>
    </fill>
    <fill>
      <patternFill patternType="solid">
        <fgColor theme="3"/>
        <bgColor rgb="FF1F4E78"/>
      </patternFill>
    </fill>
    <fill>
      <patternFill patternType="solid">
        <fgColor rgb="FF595959"/>
        <bgColor rgb="FF1F4E78"/>
      </patternFill>
    </fill>
  </fills>
  <borders count="7">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right style="thin"/>
      <top style="thin"/>
      <bottom style="thin"/>
      <diagonal/>
    </border>
    <border diagonalUp="false" diagonalDown="false">
      <left style="thin">
        <color rgb="FFD9D9D9"/>
      </left>
      <right/>
      <top style="thin">
        <color rgb="FFD9D9D9"/>
      </top>
      <bottom style="thin">
        <color rgb="FFD9D9D9"/>
      </bottom>
      <diagonal/>
    </border>
    <border diagonalUp="false" diagonalDown="false">
      <left/>
      <right/>
      <top/>
      <bottom style="medium">
        <color rgb="FF1F4E78"/>
      </bottom>
      <diagonal/>
    </border>
    <border diagonalUp="false" diagonalDown="false">
      <left/>
      <right style="medium"/>
      <top/>
      <bottom/>
      <diagonal/>
    </border>
    <border diagonalUp="false" diagonalDown="false">
      <left style="medium"/>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8" borderId="0" xfId="0" applyFont="true" applyBorder="false" applyAlignment="true" applyProtection="false">
      <alignment horizontal="general" vertical="center" textRotation="0" wrapText="true" indent="0" shrinkToFit="false"/>
      <protection locked="true" hidden="false"/>
    </xf>
    <xf numFmtId="164" fontId="14" fillId="8"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fals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fals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false" hidden="false"/>
    </xf>
    <xf numFmtId="165" fontId="15" fillId="0" borderId="0" xfId="0" applyFont="true" applyBorder="false" applyAlignment="true" applyProtection="true">
      <alignment horizontal="general" vertical="bottom" textRotation="0" wrapText="false" indent="0" shrinkToFit="false"/>
      <protection locked="fals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bottom" textRotation="0" wrapText="false" indent="0" shrinkToFit="false"/>
      <protection locked="fals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15" fillId="0" borderId="1" xfId="0" applyFont="true" applyBorder="true" applyAlignment="true" applyProtection="true">
      <alignment horizontal="general" vertical="bottom" textRotation="0" wrapText="false" indent="0" shrinkToFit="false"/>
      <protection locked="false" hidden="false"/>
    </xf>
    <xf numFmtId="166" fontId="6" fillId="0" borderId="1" xfId="0" applyFont="true" applyBorder="true" applyAlignment="true" applyProtection="true">
      <alignment horizontal="general" vertical="bottom" textRotation="0" wrapText="false" indent="0" shrinkToFit="false"/>
      <protection locked="fals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false" hidden="false"/>
    </xf>
    <xf numFmtId="167" fontId="15"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3" fillId="8" borderId="0" xfId="0" applyFont="true" applyBorder="false" applyAlignment="true" applyProtection="false">
      <alignment horizontal="center" vertical="center" textRotation="0" wrapText="true" indent="0" shrinkToFit="false"/>
      <protection locked="true" hidden="false"/>
    </xf>
    <xf numFmtId="164" fontId="17" fillId="9"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8" fillId="8" borderId="2" xfId="0" applyFont="true" applyBorder="tru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0" fillId="9" borderId="4" xfId="0" applyFont="true" applyBorder="true" applyAlignment="true" applyProtection="false">
      <alignment horizontal="general" vertical="bottom" textRotation="0" wrapText="false" indent="0" shrinkToFit="false"/>
      <protection locked="true" hidden="false"/>
    </xf>
    <xf numFmtId="164" fontId="20" fillId="9" borderId="4"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8" borderId="2"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18" fillId="8"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22" fillId="8"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27" fillId="1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8" fillId="1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4E78"/>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F8D7DA"/>
          <bgColor rgb="FF000000"/>
        </patternFill>
      </fill>
    </dxf>
    <dxf>
      <fill>
        <patternFill patternType="solid">
          <fgColor rgb="FFFCE4D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bgColor rgb="FFBDD7EE"/>
        </patternFill>
      </fill>
    </dxf>
    <dxf>
      <fill>
        <patternFill>
          <bgColor rgb="FFFCE4D6"/>
        </patternFill>
      </fill>
    </dxf>
    <dxf>
      <fill>
        <patternFill>
          <bgColor rgb="FFF8D7DA"/>
        </patternFill>
      </fill>
    </dxf>
    <dxf>
      <fill>
        <patternFill>
          <bgColor rgb="FFD9D9D9"/>
        </patternFill>
      </fill>
    </dxf>
    <dxf>
      <fill>
        <patternFill>
          <bgColor rgb="FFF2F2F2"/>
        </patternFill>
      </fill>
    </dxf>
    <dxf>
      <fill>
        <patternFill>
          <bgColor rgb="FFC6E0B4"/>
        </patternFill>
      </fill>
    </dxf>
    <dxf>
      <fill>
        <patternFill patternType="solid">
          <fgColor rgb="FF1F497D"/>
          <bgColor rgb="FF000000"/>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D9D9D9"/>
      <rgbColor rgb="FF808080"/>
      <rgbColor rgb="FF9999FF"/>
      <rgbColor rgb="FF993366"/>
      <rgbColor rgb="FFF2F2F2"/>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CE4D6"/>
      <rgbColor rgb="FF99CCFF"/>
      <rgbColor rgb="FFFF99CC"/>
      <rgbColor rgb="FFCC99FF"/>
      <rgbColor rgb="FFF8D7DA"/>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APIDesignPlanning" displayName="APIDesignPlanning" ref="A1:N324" headerRowCount="1" totalsRowCount="0" totalsRowShown="0">
  <tableColumns count="14">
    <tableColumn id="1" name="Requirement ID"/>
    <tableColumn id="2" name="Requirement Name"/>
    <tableColumn id="3" name="Stream"/>
    <tableColumn id="4" name="Jira Link"/>
    <tableColumn id="5" name="Status"/>
    <tableColumn id="6" name="Sprint"/>
    <tableColumn id="7" name="RAML Required"/>
    <tableColumn id="8" name="RAML Delivery Date"/>
    <tableColumn id="9" name="Assignee"/>
    <tableColumn id="10" name="Priority"/>
    <tableColumn id="11" name="Design Status"/>
    <tableColumn id="12" name="Design estimate"/>
    <tableColumn id="13" name="Handover"/>
    <tableColumn id="14" name="Notes"/>
  </tableColumns>
</table>
</file>

<file path=xl/tables/table2.xml><?xml version="1.0" encoding="utf-8"?>
<table xmlns="http://schemas.openxmlformats.org/spreadsheetml/2006/main" id="2" name="Backlog" displayName="Backlog" ref="A1:Q324" headerRowCount="1" totalsRowCount="0" totalsRowShown="0">
  <autoFilter ref="A1:Q324"/>
  <tableColumns count="17">
    <tableColumn id="1" name="Requirement ID"/>
    <tableColumn id="2" name="Requirement Name"/>
    <tableColumn id="3" name="Type"/>
    <tableColumn id="4" name="Stream"/>
    <tableColumn id="5" name="Stream Owner"/>
    <tableColumn id="6" name="Status"/>
    <tableColumn id="7" name="Priority"/>
    <tableColumn id="8" name="Planned Delivery"/>
    <tableColumn id="9" name="Sprint"/>
    <tableColumn id="10" name="HLE"/>
    <tableColumn id="11" name="Release"/>
    <tableColumn id="12" name="Date Added"/>
    <tableColumn id="13" name="Create Jira Ticket?"/>
    <tableColumn id="14" name="Jira Link"/>
    <tableColumn id="15" name="Notes"/>
    <tableColumn id="16" name="ID Number"/>
    <tableColumn id="17" name="Frozen ID"/>
  </tableColumns>
</table>
</file>

<file path=xl/tables/table3.xml><?xml version="1.0" encoding="utf-8"?>
<table xmlns="http://schemas.openxmlformats.org/spreadsheetml/2006/main" id="3" name="PIGovernance" displayName="PIGovernance" ref="A1:K30" headerRowCount="1" totalsRowCount="0" totalsRowShown="0">
  <autoFilter ref="A1:K30">
    <filterColumn colId="1">
      <filters>
        <filter val="PI10"/>
        <filter val="PI11"/>
      </filters>
    </filterColumn>
  </autoFilter>
  <tableColumns count="11">
    <tableColumn id="1" name="ID"/>
    <tableColumn id="2" name="Stream"/>
    <tableColumn id="3" name="Stream Owner"/>
    <tableColumn id="4" name="Sprint"/>
    <tableColumn id="5" name="Jira Link"/>
    <tableColumn id="6" name="Description"/>
    <tableColumn id="7" name="Status"/>
    <tableColumn id="8" name="HLE"/>
    <tableColumn id="9" name="Notes - Jul 31"/>
    <tableColumn id="10" name="Notes - Aug 5"/>
    <tableColumn id="11" name="Notes - Aug 13"/>
  </tableColumns>
</table>
</file>

<file path=xl/tables/table4.xml><?xml version="1.0" encoding="utf-8"?>
<table xmlns="http://schemas.openxmlformats.org/spreadsheetml/2006/main" id="4" name="Release" displayName="Release" ref="A1:H188" headerRowCount="1" totalsRowCount="0" totalsRowShown="0">
  <autoFilter ref="A1:H188"/>
  <tableColumns count="8">
    <tableColumn id="1" name="Requirement ID"/>
    <tableColumn id="2" name="Requirement Name"/>
    <tableColumn id="3" name="Stream"/>
    <tableColumn id="4" name="Sprint"/>
    <tableColumn id="5" name="Status"/>
    <tableColumn id="6" name="Priority"/>
    <tableColumn id="7" name="Release"/>
    <tableColumn id="8" name="HLE"/>
  </tableColumns>
</table>
</file>

<file path=xl/tables/table5.xml><?xml version="1.0" encoding="utf-8"?>
<table xmlns="http://schemas.openxmlformats.org/spreadsheetml/2006/main" id="5" name="RTM" displayName="RTM" ref="A1:Q324" headerRowCount="1" totalsRowCount="0" totalsRowShown="0">
  <autoFilter ref="A1:Q324"/>
  <tableColumns count="17">
    <tableColumn id="1" name="Requirement ID"/>
    <tableColumn id="2" name="Requirement Name"/>
    <tableColumn id="3" name="Stream"/>
    <tableColumn id="4" name="Stream Owner"/>
    <tableColumn id="5" name="Jira Link"/>
    <tableColumn id="6" name="HLD Completed"/>
    <tableColumn id="7" name="LLD Completed"/>
    <tableColumn id="8" name="Sprint"/>
    <tableColumn id="9" name="Status"/>
    <tableColumn id="10" name="Priority"/>
    <tableColumn id="11" name="Predecessor Stream"/>
    <tableColumn id="12" name="Predecessor Task"/>
    <tableColumn id="13" name="Predecessor Jira Link"/>
    <tableColumn id="14" name="Successor Stream"/>
    <tableColumn id="15" name="Successor Jira Link"/>
    <tableColumn id="16" name="Dependency Status"/>
    <tableColumn id="17" name="Notes"/>
  </tableColumns>
</table>
</file>

<file path=xl/tables/table6.xml><?xml version="1.0" encoding="utf-8"?>
<table xmlns="http://schemas.openxmlformats.org/spreadsheetml/2006/main" id="6" name="SprintPlanning" displayName="SprintPlanning" ref="A1:H324" headerRowCount="1" totalsRowCount="0" totalsRowShown="0">
  <autoFilter ref="A1:H324"/>
  <tableColumns count="8">
    <tableColumn id="1" name="Requirement ID"/>
    <tableColumn id="2" name="Requirement Name"/>
    <tableColumn id="3" name="Stream"/>
    <tableColumn id="4" name="Priority"/>
    <tableColumn id="5" name="Status"/>
    <tableColumn id="6" name="Sprint"/>
    <tableColumn id="7" name="HLE"/>
    <tableColumn id="8" name="Sort Ke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hyperlink" Target="https://smartship.atlassian.net/browse/DTTP25-352" TargetMode="External"/><Relationship Id="rId2"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false" showRowColHeaders="true" showZeros="true" rightToLeft="false" tabSelected="false" showOutlineSymbols="true" defaultGridColor="true" view="normal" topLeftCell="A1" colorId="64" zoomScale="131" zoomScaleNormal="131" zoomScalePageLayoutView="100" workbookViewId="0">
      <selection pane="topLeft" activeCell="A7" activeCellId="0" sqref="A7"/>
    </sheetView>
  </sheetViews>
  <sheetFormatPr defaultColWidth="8.66796875" defaultRowHeight="15" customHeight="false" zeroHeight="false" outlineLevelRow="0" outlineLevelCol="0"/>
  <cols>
    <col collapsed="false" customWidth="true" hidden="false" outlineLevel="0" max="1" min="1" style="1" width="53.52"/>
    <col collapsed="false" customWidth="true" hidden="false" outlineLevel="0" max="2" min="2" style="1" width="100"/>
    <col collapsed="false" customWidth="true" hidden="false" outlineLevel="0" max="3" min="3" style="1" width="20"/>
    <col collapsed="false" customWidth="true" hidden="false" outlineLevel="0" max="5" min="4" style="1" width="45"/>
  </cols>
  <sheetData>
    <row r="1" customFormat="false" ht="21" hidden="false" customHeight="true" outlineLevel="0" collapsed="false">
      <c r="B1" s="2" t="s">
        <v>0</v>
      </c>
    </row>
    <row r="3" customFormat="false" ht="15" hidden="false" customHeight="true" outlineLevel="0" collapsed="false">
      <c r="A3" s="3" t="s">
        <v>1</v>
      </c>
      <c r="B3" s="4" t="s">
        <v>2</v>
      </c>
    </row>
    <row r="4" customFormat="false" ht="30" hidden="false" customHeight="true" outlineLevel="0" collapsed="false">
      <c r="A4" s="5" t="s">
        <v>3</v>
      </c>
    </row>
    <row r="5" customFormat="false" ht="16.5" hidden="false" customHeight="true" outlineLevel="0" collapsed="false">
      <c r="A5" s="5" t="s">
        <v>4</v>
      </c>
      <c r="B5" s="6" t="s">
        <v>5</v>
      </c>
    </row>
    <row r="6" customFormat="false" ht="55.5" hidden="false" customHeight="true" outlineLevel="0" collapsed="false">
      <c r="A6" s="5" t="s">
        <v>6</v>
      </c>
      <c r="B6" s="7" t="s">
        <v>7</v>
      </c>
    </row>
    <row r="7" customFormat="false" ht="370.5" hidden="false" customHeight="true" outlineLevel="0" collapsed="false">
      <c r="A7" s="5" t="s">
        <v>8</v>
      </c>
    </row>
    <row r="8" customFormat="false" ht="16.5" hidden="false" customHeight="true" outlineLevel="0" collapsed="false">
      <c r="B8" s="6" t="s">
        <v>9</v>
      </c>
    </row>
    <row r="9" customFormat="false" ht="30" hidden="false" customHeight="true" outlineLevel="0" collapsed="false">
      <c r="A9" s="8" t="s">
        <v>10</v>
      </c>
      <c r="B9" s="9" t="s">
        <v>11</v>
      </c>
    </row>
    <row r="10" customFormat="false" ht="15" hidden="false" customHeight="true" outlineLevel="0" collapsed="false">
      <c r="B10" s="10" t="s">
        <v>12</v>
      </c>
    </row>
    <row r="11" customFormat="false" ht="30" hidden="false" customHeight="true" outlineLevel="0" collapsed="false">
      <c r="A11" s="11" t="s">
        <v>13</v>
      </c>
      <c r="B11" s="12" t="s">
        <v>14</v>
      </c>
    </row>
    <row r="12" customFormat="false" ht="15" hidden="false" customHeight="true" outlineLevel="0" collapsed="false">
      <c r="B12" s="13" t="s">
        <v>15</v>
      </c>
    </row>
    <row r="13" customFormat="false" ht="16.5" hidden="false" customHeight="true" outlineLevel="0" collapsed="false">
      <c r="B13" s="14" t="s">
        <v>16</v>
      </c>
    </row>
    <row r="14" customFormat="false" ht="84" hidden="false" customHeight="true" outlineLevel="0" collapsed="false">
      <c r="B14" s="15" t="s">
        <v>17</v>
      </c>
    </row>
    <row r="15" customFormat="false" ht="15" hidden="false" customHeight="true" outlineLevel="0" collapsed="false">
      <c r="B15" s="16" t="s">
        <v>18</v>
      </c>
    </row>
    <row r="16" customFormat="false" ht="16.5" hidden="false" customHeight="true" outlineLevel="0" collapsed="false">
      <c r="B16" s="17" t="s">
        <v>19</v>
      </c>
    </row>
    <row r="17" customFormat="false" ht="15" hidden="false" customHeight="true" outlineLevel="0" collapsed="false">
      <c r="B17" s="18" t="s">
        <v>20</v>
      </c>
    </row>
    <row r="18" customFormat="false" ht="27.75" hidden="false" customHeight="true" outlineLevel="0" collapsed="false"/>
    <row r="19" customFormat="false" ht="23.25" hidden="false" customHeight="true" outlineLevel="0" collapsed="false">
      <c r="B19" s="6" t="s">
        <v>21</v>
      </c>
    </row>
    <row r="20" customFormat="false" ht="27.75" hidden="false" customHeight="true" outlineLevel="0" collapsed="false">
      <c r="B20" s="7" t="s">
        <v>22</v>
      </c>
    </row>
    <row r="21" customFormat="false" ht="15" hidden="false" customHeight="true" outlineLevel="0" collapsed="false"/>
    <row r="22" customFormat="false" ht="15" hidden="false" customHeight="true" outlineLevel="0" collapsed="false">
      <c r="B22" s="6" t="s">
        <v>23</v>
      </c>
    </row>
    <row r="23" customFormat="false" ht="27.75" hidden="false" customHeight="true" outlineLevel="0" collapsed="false">
      <c r="B23" s="19" t="s">
        <v>24</v>
      </c>
      <c r="C23" s="19" t="s">
        <v>25</v>
      </c>
      <c r="D23" s="19" t="s">
        <v>26</v>
      </c>
      <c r="E23" s="19" t="s">
        <v>27</v>
      </c>
    </row>
    <row r="24" customFormat="false" ht="23.25" hidden="false" customHeight="true" outlineLevel="0" collapsed="false">
      <c r="B24" s="20" t="s">
        <v>28</v>
      </c>
      <c r="C24" s="20" t="s">
        <v>29</v>
      </c>
      <c r="D24" s="20" t="s">
        <v>30</v>
      </c>
      <c r="E24" s="20" t="s">
        <v>31</v>
      </c>
    </row>
    <row r="25" customFormat="false" ht="16.5" hidden="false" customHeight="true" outlineLevel="0" collapsed="false">
      <c r="B25" s="20" t="s">
        <v>32</v>
      </c>
      <c r="C25" s="20" t="s">
        <v>33</v>
      </c>
      <c r="D25" s="20" t="s">
        <v>34</v>
      </c>
      <c r="E25" s="20" t="s">
        <v>35</v>
      </c>
    </row>
    <row r="26" customFormat="false" ht="27.75" hidden="false" customHeight="true" outlineLevel="0" collapsed="false">
      <c r="B26" s="20" t="s">
        <v>36</v>
      </c>
      <c r="C26" s="20" t="s">
        <v>37</v>
      </c>
      <c r="D26" s="20" t="s">
        <v>38</v>
      </c>
      <c r="E26" s="20" t="s">
        <v>39</v>
      </c>
    </row>
    <row r="27" customFormat="false" ht="15" hidden="false" customHeight="true" outlineLevel="0" collapsed="false">
      <c r="B27" s="20" t="s">
        <v>40</v>
      </c>
      <c r="C27" s="20" t="s">
        <v>41</v>
      </c>
      <c r="D27" s="20" t="s">
        <v>42</v>
      </c>
      <c r="E27" s="20" t="s">
        <v>43</v>
      </c>
    </row>
    <row r="28" customFormat="false" ht="15" hidden="false" customHeight="true" outlineLevel="0" collapsed="false">
      <c r="B28" s="20" t="s">
        <v>44</v>
      </c>
      <c r="C28" s="20" t="s">
        <v>45</v>
      </c>
      <c r="D28" s="20" t="s">
        <v>46</v>
      </c>
      <c r="E28" s="20" t="s">
        <v>47</v>
      </c>
    </row>
    <row r="29" customFormat="false" ht="15" hidden="false" customHeight="true" outlineLevel="0" collapsed="false">
      <c r="B29" s="20" t="s">
        <v>48</v>
      </c>
      <c r="C29" s="20" t="s">
        <v>49</v>
      </c>
      <c r="D29" s="20" t="s">
        <v>48</v>
      </c>
      <c r="E29" s="20" t="s">
        <v>50</v>
      </c>
    </row>
    <row r="30" customFormat="false" ht="27.75" hidden="false" customHeight="true" outlineLevel="0" collapsed="false"/>
    <row r="31" customFormat="false" ht="15" hidden="false" customHeight="true" outlineLevel="0" collapsed="false">
      <c r="B31" s="6" t="s">
        <v>51</v>
      </c>
    </row>
    <row r="32" customFormat="false" ht="23.25" hidden="false" customHeight="true" outlineLevel="0" collapsed="false">
      <c r="B32" s="7" t="s">
        <v>52</v>
      </c>
    </row>
    <row r="33" customFormat="false" ht="15" hidden="false" customHeight="true" outlineLevel="0" collapsed="false">
      <c r="B33" s="7" t="s">
        <v>53</v>
      </c>
    </row>
    <row r="34" customFormat="false" ht="15" hidden="false" customHeight="true" outlineLevel="0" collapsed="false">
      <c r="B34" s="7" t="s">
        <v>54</v>
      </c>
    </row>
    <row r="35" customFormat="false" ht="16.5" hidden="false" customHeight="true" outlineLevel="0" collapsed="false">
      <c r="B35" s="7" t="s">
        <v>55</v>
      </c>
    </row>
    <row r="36" customFormat="false" ht="42" hidden="false" customHeight="true" outlineLevel="0" collapsed="false">
      <c r="B36" s="7" t="s">
        <v>56</v>
      </c>
    </row>
    <row r="37" customFormat="false" ht="15" hidden="false" customHeight="true" outlineLevel="0" collapsed="false">
      <c r="B37" s="7" t="s">
        <v>57</v>
      </c>
    </row>
    <row r="38" customFormat="false" ht="16.5" hidden="false" customHeight="true" outlineLevel="0" collapsed="false"/>
    <row r="39" customFormat="false" ht="42" hidden="false" customHeight="true" outlineLevel="0" collapsed="false">
      <c r="B39" s="7" t="s">
        <v>58</v>
      </c>
    </row>
    <row r="41" customFormat="false" ht="15" hidden="false" customHeight="true" outlineLevel="0" collapsed="false">
      <c r="B41" s="6" t="s">
        <v>59</v>
      </c>
    </row>
    <row r="42" customFormat="false" ht="68.25" hidden="false" customHeight="true" outlineLevel="0" collapsed="false">
      <c r="B42" s="7" t="s">
        <v>60</v>
      </c>
    </row>
    <row r="44" customFormat="false" ht="15" hidden="false" customHeight="true" outlineLevel="0" collapsed="false">
      <c r="B44" s="6" t="s">
        <v>61</v>
      </c>
    </row>
    <row r="45" customFormat="false" ht="57" hidden="false" customHeight="true" outlineLevel="0" collapsed="false">
      <c r="B45" s="7" t="s">
        <v>62</v>
      </c>
    </row>
    <row r="47" customFormat="false" ht="15" hidden="false" customHeight="true" outlineLevel="0" collapsed="false">
      <c r="B47" s="6" t="s">
        <v>63</v>
      </c>
    </row>
    <row r="48" customFormat="false" ht="68.25" hidden="false" customHeight="true" outlineLevel="0" collapsed="false">
      <c r="B48" s="7" t="s">
        <v>64</v>
      </c>
    </row>
    <row r="49" customFormat="false" ht="15" hidden="false" customHeight="true" outlineLevel="0" collapsed="false">
      <c r="B49" s="1" t="s">
        <v>65</v>
      </c>
    </row>
    <row r="50" customFormat="false" ht="34.5" hidden="false" customHeight="true" outlineLevel="0" collapsed="false">
      <c r="B5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9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1" topLeftCell="A74" activePane="bottomLeft" state="frozen"/>
      <selection pane="topLeft" activeCell="B1" activeCellId="0" sqref="B1"/>
      <selection pane="bottomLeft" activeCell="B122" activeCellId="0" sqref="B122"/>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90.34"/>
    <col collapsed="false" customWidth="true" hidden="false" outlineLevel="0" max="4" min="3" style="1" width="12"/>
    <col collapsed="false" customWidth="true" hidden="false" outlineLevel="0" max="6" min="5" style="1" width="14"/>
    <col collapsed="false" customWidth="true" hidden="false" outlineLevel="0" max="7" min="7" style="1" width="12"/>
    <col collapsed="false" customWidth="true" hidden="false" outlineLevel="0" max="8" min="8" style="1" width="16"/>
    <col collapsed="false" customWidth="true" hidden="false" outlineLevel="0" max="9" min="9" style="1" width="14"/>
    <col collapsed="false" customWidth="true" hidden="false" outlineLevel="0" max="10" min="10" style="1" width="8"/>
    <col collapsed="false" customWidth="true" hidden="false" outlineLevel="0" max="11" min="11" style="1" width="14"/>
    <col collapsed="false" customWidth="true" hidden="false" outlineLevel="0" max="12" min="12" style="1" width="13"/>
    <col collapsed="false" customWidth="true" hidden="false" outlineLevel="0" max="13" min="13" style="1" width="15"/>
    <col collapsed="false" customWidth="true" hidden="false" outlineLevel="0" max="14" min="14" style="1" width="49.51"/>
    <col collapsed="false" customWidth="true" hidden="false" outlineLevel="0" max="15" min="15" style="1" width="30"/>
    <col collapsed="false" customWidth="true" hidden="true" outlineLevel="0" max="16" min="16" style="1" width="43.52"/>
    <col collapsed="false" customWidth="true" hidden="true" outlineLevel="0" max="17" min="17" style="1" width="13"/>
  </cols>
  <sheetData>
    <row r="1" customFormat="false" ht="30" hidden="false" customHeight="true" outlineLevel="0" collapsed="false">
      <c r="A1" s="21" t="s">
        <v>66</v>
      </c>
      <c r="B1" s="21" t="s">
        <v>67</v>
      </c>
      <c r="C1" s="21" t="s">
        <v>68</v>
      </c>
      <c r="D1" s="21" t="s">
        <v>69</v>
      </c>
      <c r="E1" s="21" t="s">
        <v>70</v>
      </c>
      <c r="F1" s="21" t="s">
        <v>71</v>
      </c>
      <c r="G1" s="21" t="s">
        <v>72</v>
      </c>
      <c r="H1" s="21" t="s">
        <v>73</v>
      </c>
      <c r="I1" s="22" t="s">
        <v>74</v>
      </c>
      <c r="J1" s="21" t="s">
        <v>75</v>
      </c>
      <c r="K1" s="22" t="s">
        <v>48</v>
      </c>
      <c r="L1" s="21" t="s">
        <v>76</v>
      </c>
      <c r="M1" s="21" t="s">
        <v>77</v>
      </c>
      <c r="N1" s="22" t="s">
        <v>78</v>
      </c>
      <c r="O1" s="22" t="s">
        <v>79</v>
      </c>
      <c r="P1" s="23" t="s">
        <v>80</v>
      </c>
      <c r="Q1" s="23" t="s">
        <v>81</v>
      </c>
    </row>
    <row r="2" customFormat="false" ht="15" hidden="false" customHeight="true" outlineLevel="0" collapsed="false">
      <c r="A2" s="24" t="str">
        <f aca="false">IF(AND(B2="",C2="",D2="",E2="",F2="",G2="",H2="",J2="",L2="",M2="",N2=""),"",Q2)</f>
        <v>NEW-0267</v>
      </c>
      <c r="B2" s="25" t="s">
        <v>82</v>
      </c>
      <c r="C2" s="25" t="s">
        <v>83</v>
      </c>
      <c r="D2" s="25" t="s">
        <v>84</v>
      </c>
      <c r="E2" s="25" t="s">
        <v>85</v>
      </c>
      <c r="F2" s="25" t="s">
        <v>86</v>
      </c>
      <c r="G2" s="25" t="s">
        <v>87</v>
      </c>
      <c r="H2" s="25"/>
      <c r="I2" s="26" t="str">
        <f aca="false">IF($A2="","",IFERROR(IF(ISBLANK(INDEX(SprintPlanning[Sprint],MATCH($A2,SprintPlanning[Requirement ID],0))),"To Plan",INDEX(SprintPlanning[Sprint],MATCH($A2,SprintPlanning[Requirement ID],0))),"To Plan"))</f>
        <v>To Plan</v>
      </c>
      <c r="J2" s="25"/>
      <c r="K2" s="26" t="str">
        <f aca="false">IFERROR(IF(ISBLANK(INDEX(Release[Release],MATCH($A2,Release[Requirement ID],0))),"",INDEX(Release[Release],MATCH($A2,Release[Requirement ID],0))),"")</f>
        <v/>
      </c>
      <c r="L2" s="27" t="n">
        <v>46232</v>
      </c>
      <c r="M2" s="25"/>
      <c r="N2" s="26"/>
      <c r="P2" s="1" t="n">
        <f aca="false">IFERROR(VALUE(MID($A2,5,4)),0)</f>
        <v>267</v>
      </c>
      <c r="Q2" s="1" t="s">
        <v>88</v>
      </c>
    </row>
    <row r="3" customFormat="false" ht="15" hidden="false" customHeight="true" outlineLevel="0" collapsed="false">
      <c r="A3" s="24" t="str">
        <f aca="false">IF(AND(B3="",C3="",D3="",E3="",F3="",G3="",H3="",J3="",L3="",M3="",N3=""),"",Q3)</f>
        <v>NEW-0057</v>
      </c>
      <c r="B3" s="25" t="s">
        <v>89</v>
      </c>
      <c r="C3" s="25" t="s">
        <v>90</v>
      </c>
      <c r="D3" s="25" t="s">
        <v>84</v>
      </c>
      <c r="E3" s="25" t="s">
        <v>91</v>
      </c>
      <c r="F3" s="25" t="s">
        <v>92</v>
      </c>
      <c r="G3" s="25" t="s">
        <v>93</v>
      </c>
      <c r="H3" s="25"/>
      <c r="I3" s="26" t="str">
        <f aca="false">IF($A3="","",IFERROR(IF(ISBLANK(INDEX(SprintPlanning[Sprint],MATCH($A3,SprintPlanning[Requirement ID],0))),"To Plan",INDEX(SprintPlanning[Sprint],MATCH($A3,SprintPlanning[Requirement ID],0))),"To Plan"))</f>
        <v>Sprint 10</v>
      </c>
      <c r="J3" s="25" t="n">
        <v>8</v>
      </c>
      <c r="K3" s="26" t="str">
        <f aca="false">IFERROR(IF(ISBLANK(INDEX(Release[Release],MATCH($A3,Release[Requirement ID],0))),"",INDEX(Release[Release],MATCH($A3,Release[Requirement ID],0))),"")</f>
        <v>Release 19</v>
      </c>
      <c r="L3" s="27" t="n">
        <v>46226</v>
      </c>
      <c r="M3" s="25" t="s">
        <v>94</v>
      </c>
      <c r="N3" s="26" t="s">
        <v>95</v>
      </c>
      <c r="P3" s="1" t="n">
        <f aca="false">IFERROR(VALUE(MID($A3,5,4)),0)</f>
        <v>57</v>
      </c>
      <c r="Q3" s="1" t="s">
        <v>96</v>
      </c>
    </row>
    <row r="4" customFormat="false" ht="15" hidden="false" customHeight="true" outlineLevel="0" collapsed="false">
      <c r="A4" s="24" t="str">
        <f aca="false">IF(AND(B4="",C4="",D4="",E4="",F4="",G4="",H4="",J4="",L4="",M4="",N4=""),"",Q4)</f>
        <v>NEW-0058</v>
      </c>
      <c r="B4" s="25" t="s">
        <v>97</v>
      </c>
      <c r="C4" s="28" t="s">
        <v>98</v>
      </c>
      <c r="D4" s="28" t="s">
        <v>84</v>
      </c>
      <c r="E4" s="28" t="s">
        <v>85</v>
      </c>
      <c r="F4" s="28" t="s">
        <v>92</v>
      </c>
      <c r="G4" s="28" t="s">
        <v>87</v>
      </c>
      <c r="H4" s="28"/>
      <c r="I4" s="26" t="str">
        <f aca="false">IF($A4="","",IFERROR(IF(ISBLANK(INDEX(SprintPlanning[Sprint],MATCH($A4,SprintPlanning[Requirement ID],0))),"To Plan",INDEX(SprintPlanning[Sprint],MATCH($A4,SprintPlanning[Requirement ID],0))),"To Plan"))</f>
        <v>Sprint 10</v>
      </c>
      <c r="J4" s="28" t="n">
        <v>5</v>
      </c>
      <c r="K4" s="29" t="str">
        <f aca="false">IFERROR(IF(ISBLANK(INDEX(Release[Release],MATCH($A4,Release[Requirement ID],0))),"",INDEX(Release[Release],MATCH($A4,Release[Requirement ID],0))),"")</f>
        <v>Release 19</v>
      </c>
      <c r="L4" s="27" t="n">
        <v>46226</v>
      </c>
      <c r="M4" s="28" t="s">
        <v>94</v>
      </c>
      <c r="N4" s="29" t="s">
        <v>99</v>
      </c>
      <c r="P4" s="1" t="n">
        <f aca="false">IFERROR(VALUE(MID($A4,5,4)),0)</f>
        <v>58</v>
      </c>
      <c r="Q4" s="1" t="s">
        <v>100</v>
      </c>
    </row>
    <row r="5" customFormat="false" ht="15" hidden="false" customHeight="true" outlineLevel="0" collapsed="false">
      <c r="A5" s="30" t="str">
        <f aca="false">IF(AND(B5="",C5="",D5="",E5="",F5="",G5="",H5="",J5="",L5="",M5="",N5=""),"",Q5)</f>
        <v>NEW-0060</v>
      </c>
      <c r="B5" s="28" t="s">
        <v>101</v>
      </c>
      <c r="C5" s="28" t="s">
        <v>90</v>
      </c>
      <c r="D5" s="28" t="s">
        <v>84</v>
      </c>
      <c r="E5" s="28" t="s">
        <v>91</v>
      </c>
      <c r="F5" s="28" t="s">
        <v>92</v>
      </c>
      <c r="G5" s="28" t="s">
        <v>93</v>
      </c>
      <c r="H5" s="28"/>
      <c r="I5" s="29" t="str">
        <f aca="false">IF($A5="","",IFERROR(IF(ISBLANK(INDEX(SprintPlanning[Sprint],MATCH($A5,SprintPlanning[Requirement ID],0))),"To Plan",INDEX(SprintPlanning[Sprint],MATCH($A5,SprintPlanning[Requirement ID],0))),"To Plan"))</f>
        <v>Sprint 10</v>
      </c>
      <c r="J5" s="28" t="n">
        <v>8</v>
      </c>
      <c r="K5" s="29" t="str">
        <f aca="false">IFERROR(IF(ISBLANK(INDEX(Release[Release],MATCH($A5,Release[Requirement ID],0))),"",INDEX(Release[Release],MATCH($A5,Release[Requirement ID],0))),"")</f>
        <v>Release 19</v>
      </c>
      <c r="L5" s="31" t="n">
        <v>46226</v>
      </c>
      <c r="M5" s="28" t="s">
        <v>94</v>
      </c>
      <c r="N5" s="29" t="s">
        <v>102</v>
      </c>
      <c r="P5" s="1" t="n">
        <f aca="false">IFERROR(VALUE(MID($A5,5,4)),0)</f>
        <v>60</v>
      </c>
      <c r="Q5" s="1" t="s">
        <v>103</v>
      </c>
    </row>
    <row r="6" customFormat="false" ht="15" hidden="false" customHeight="true" outlineLevel="0" collapsed="false">
      <c r="A6" s="30" t="str">
        <f aca="false">IF(AND(B6="",C6="",D6="",E6="",F6="",G6="",H6="",J6="",L6="",M6="",N6=""),"",Q6)</f>
        <v>NEW-0061</v>
      </c>
      <c r="B6" s="28" t="s">
        <v>104</v>
      </c>
      <c r="C6" s="28" t="s">
        <v>105</v>
      </c>
      <c r="D6" s="28" t="s">
        <v>84</v>
      </c>
      <c r="E6" s="28" t="s">
        <v>106</v>
      </c>
      <c r="F6" s="28" t="s">
        <v>92</v>
      </c>
      <c r="G6" s="28" t="s">
        <v>93</v>
      </c>
      <c r="H6" s="28"/>
      <c r="I6" s="29" t="str">
        <f aca="false">IF($A6="","",IFERROR(IF(ISBLANK(INDEX(SprintPlanning[Sprint],MATCH($A6,SprintPlanning[Requirement ID],0))),"To Plan",INDEX(SprintPlanning[Sprint],MATCH($A6,SprintPlanning[Requirement ID],0))),"To Plan"))</f>
        <v>Sprint 10</v>
      </c>
      <c r="J6" s="28" t="n">
        <v>21</v>
      </c>
      <c r="K6" s="29" t="str">
        <f aca="false">IFERROR(IF(ISBLANK(INDEX(Release[Release],MATCH($A6,Release[Requirement ID],0))),"",INDEX(Release[Release],MATCH($A6,Release[Requirement ID],0))),"")</f>
        <v>Release 19</v>
      </c>
      <c r="L6" s="31" t="n">
        <v>46226</v>
      </c>
      <c r="M6" s="28" t="s">
        <v>94</v>
      </c>
      <c r="N6" s="29" t="s">
        <v>107</v>
      </c>
      <c r="P6" s="1" t="n">
        <f aca="false">IFERROR(VALUE(MID($A6,5,4)),0)</f>
        <v>61</v>
      </c>
      <c r="Q6" s="1" t="s">
        <v>108</v>
      </c>
    </row>
    <row r="7" customFormat="false" ht="15" hidden="false" customHeight="true" outlineLevel="0" collapsed="false">
      <c r="A7" s="30" t="str">
        <f aca="false">IF(AND(B7="",C7="",D7="",E7="",F7="",G7="",H7="",J7="",L7="",M7="",N7=""),"",Q7)</f>
        <v>NEW-0071</v>
      </c>
      <c r="B7" s="28" t="s">
        <v>109</v>
      </c>
      <c r="C7" s="28" t="s">
        <v>105</v>
      </c>
      <c r="D7" s="28" t="s">
        <v>84</v>
      </c>
      <c r="E7" s="28" t="s">
        <v>106</v>
      </c>
      <c r="F7" s="28" t="s">
        <v>92</v>
      </c>
      <c r="G7" s="28" t="s">
        <v>93</v>
      </c>
      <c r="H7" s="28"/>
      <c r="I7" s="29" t="str">
        <f aca="false">IF($A7="","",IFERROR(IF(ISBLANK(INDEX(SprintPlanning[Sprint],MATCH($A7,SprintPlanning[Requirement ID],0))),"To Plan",INDEX(SprintPlanning[Sprint],MATCH($A7,SprintPlanning[Requirement ID],0))),"To Plan"))</f>
        <v>Sprint 10</v>
      </c>
      <c r="J7" s="28" t="n">
        <v>13</v>
      </c>
      <c r="K7" s="29" t="str">
        <f aca="false">IFERROR(IF(ISBLANK(INDEX(Release[Release],MATCH($A7,Release[Requirement ID],0))),"",INDEX(Release[Release],MATCH($A7,Release[Requirement ID],0))),"")</f>
        <v>Release 19</v>
      </c>
      <c r="L7" s="31" t="n">
        <v>46226</v>
      </c>
      <c r="M7" s="28" t="s">
        <v>94</v>
      </c>
      <c r="N7" s="29" t="s">
        <v>110</v>
      </c>
      <c r="P7" s="1" t="n">
        <f aca="false">IFERROR(VALUE(MID($A7,5,4)),0)</f>
        <v>71</v>
      </c>
      <c r="Q7" s="1" t="s">
        <v>111</v>
      </c>
    </row>
    <row r="8" customFormat="false" ht="15" hidden="false" customHeight="true" outlineLevel="0" collapsed="false">
      <c r="A8" s="30" t="str">
        <f aca="false">IF(AND(B8="",C8="",D8="",E8="",F8="",G8="",H8="",J8="",L8="",M8="",N8=""),"",Q8)</f>
        <v>NEW-0275</v>
      </c>
      <c r="B8" s="28" t="s">
        <v>112</v>
      </c>
      <c r="C8" s="28" t="s">
        <v>105</v>
      </c>
      <c r="D8" s="28" t="s">
        <v>84</v>
      </c>
      <c r="E8" s="28" t="s">
        <v>85</v>
      </c>
      <c r="F8" s="28" t="s">
        <v>92</v>
      </c>
      <c r="G8" s="28" t="s">
        <v>87</v>
      </c>
      <c r="H8" s="28"/>
      <c r="I8" s="29" t="str">
        <f aca="false">IF($A8="","",IFERROR(IF(ISBLANK(INDEX(SprintPlanning[Sprint],MATCH($A8,SprintPlanning[Requirement ID],0))),"To Plan",INDEX(SprintPlanning[Sprint],MATCH($A8,SprintPlanning[Requirement ID],0))),"To Plan"))</f>
        <v>Sprint 10</v>
      </c>
      <c r="J8" s="28" t="n">
        <v>5</v>
      </c>
      <c r="K8" s="29" t="str">
        <f aca="false">IFERROR(IF(ISBLANK(INDEX(Release[Release],MATCH($A8,Release[Requirement ID],0))),"",INDEX(Release[Release],MATCH($A8,Release[Requirement ID],0))),"")</f>
        <v>Release 19</v>
      </c>
      <c r="L8" s="31" t="n">
        <v>46232</v>
      </c>
      <c r="M8" s="28" t="s">
        <v>94</v>
      </c>
      <c r="N8" s="29" t="s">
        <v>113</v>
      </c>
      <c r="P8" s="1" t="n">
        <f aca="false">IFERROR(VALUE(MID($A8,5,4)),0)</f>
        <v>275</v>
      </c>
      <c r="Q8" s="1" t="s">
        <v>114</v>
      </c>
    </row>
    <row r="9" customFormat="false" ht="15" hidden="false" customHeight="true" outlineLevel="0" collapsed="false">
      <c r="A9" s="30" t="str">
        <f aca="false">IF(AND(B9="",C9="",D9="",E9="",F9="",G9="",H9="",J9="",L9="",M9="",N9=""),"",Q9)</f>
        <v>NEW-0368</v>
      </c>
      <c r="B9" s="28" t="s">
        <v>115</v>
      </c>
      <c r="C9" s="28" t="s">
        <v>98</v>
      </c>
      <c r="D9" s="28" t="s">
        <v>116</v>
      </c>
      <c r="E9" s="28" t="s">
        <v>85</v>
      </c>
      <c r="F9" s="28" t="s">
        <v>92</v>
      </c>
      <c r="G9" s="28" t="s">
        <v>93</v>
      </c>
      <c r="H9" s="28"/>
      <c r="I9" s="29" t="str">
        <f aca="false">IF($A9="","",IFERROR(IF(ISBLANK(INDEX(SprintPlanning[Sprint],MATCH($A9,SprintPlanning[Requirement ID],0))),"To Plan",INDEX(SprintPlanning[Sprint],MATCH($A9,SprintPlanning[Requirement ID],0))),"To Plan"))</f>
        <v>Sprint 10</v>
      </c>
      <c r="J9" s="28" t="n">
        <v>8</v>
      </c>
      <c r="K9" s="29" t="str">
        <f aca="false">IFERROR(IF(ISBLANK(INDEX(Release[Release],MATCH($A9,Release[Requirement ID],0))),"",INDEX(Release[Release],MATCH($A9,Release[Requirement ID],0))),"")</f>
        <v>Release 19</v>
      </c>
      <c r="L9" s="31" t="n">
        <v>46232</v>
      </c>
      <c r="M9" s="28" t="s">
        <v>94</v>
      </c>
      <c r="N9" s="29" t="s">
        <v>117</v>
      </c>
      <c r="P9" s="1" t="n">
        <f aca="false">IFERROR(VALUE(MID($A9,5,4)),0)</f>
        <v>368</v>
      </c>
      <c r="Q9" s="1" t="s">
        <v>118</v>
      </c>
    </row>
    <row r="10" customFormat="false" ht="15" hidden="false" customHeight="true" outlineLevel="0" collapsed="false">
      <c r="A10" s="30" t="str">
        <f aca="false">IF(AND(B10="",C10="",D10="",E10="",F10="",G10="",H10="",J10="",L10="",M10="",N10=""),"",Q10)</f>
        <v>NEW-0389</v>
      </c>
      <c r="B10" s="28" t="s">
        <v>119</v>
      </c>
      <c r="C10" s="28" t="s">
        <v>98</v>
      </c>
      <c r="D10" s="28" t="s">
        <v>120</v>
      </c>
      <c r="E10" s="28" t="s">
        <v>91</v>
      </c>
      <c r="F10" s="28" t="s">
        <v>92</v>
      </c>
      <c r="G10" s="28" t="s">
        <v>87</v>
      </c>
      <c r="H10" s="28"/>
      <c r="I10" s="29" t="str">
        <f aca="false">IF($A10="","",IFERROR(IF(ISBLANK(INDEX(SprintPlanning[Sprint],MATCH($A10,SprintPlanning[Requirement ID],0))),"To Plan",INDEX(SprintPlanning[Sprint],MATCH($A10,SprintPlanning[Requirement ID],0))),"To Plan"))</f>
        <v>Sprint 10</v>
      </c>
      <c r="J10" s="28" t="n">
        <v>8</v>
      </c>
      <c r="K10" s="29" t="str">
        <f aca="false">IFERROR(IF(ISBLANK(INDEX(Release[Release],MATCH($A10,Release[Requirement ID],0))),"",INDEX(Release[Release],MATCH($A10,Release[Requirement ID],0))),"")</f>
        <v/>
      </c>
      <c r="L10" s="31" t="n">
        <v>46232</v>
      </c>
      <c r="M10" s="28" t="s">
        <v>94</v>
      </c>
      <c r="N10" s="29" t="s">
        <v>121</v>
      </c>
      <c r="P10" s="1" t="n">
        <f aca="false">IFERROR(VALUE(MID($A10,5,4)),0)</f>
        <v>389</v>
      </c>
      <c r="Q10" s="1" t="s">
        <v>122</v>
      </c>
    </row>
    <row r="11" customFormat="false" ht="15" hidden="false" customHeight="true" outlineLevel="0" collapsed="false">
      <c r="A11" s="32" t="str">
        <f aca="false">IF(AND(B11="",C11="",D11="",E11="",F11="",G11="",H11="",J11="",L11="",M11="",N11=""),"",Q11)</f>
        <v>NEW-0408</v>
      </c>
      <c r="B11" s="33" t="s">
        <v>123</v>
      </c>
      <c r="C11" s="33" t="s">
        <v>98</v>
      </c>
      <c r="D11" s="33" t="s">
        <v>116</v>
      </c>
      <c r="E11" s="33" t="s">
        <v>91</v>
      </c>
      <c r="F11" s="33" t="s">
        <v>124</v>
      </c>
      <c r="G11" s="33" t="s">
        <v>93</v>
      </c>
      <c r="H11" s="33" t="s">
        <v>125</v>
      </c>
      <c r="I11" s="26" t="str">
        <f aca="false">IF($A11="","",IFERROR(IF(ISBLANK(INDEX(SprintPlanning[Sprint],MATCH($A11,SprintPlanning[Requirement ID],0))),"To Plan",INDEX(SprintPlanning[Sprint],MATCH($A11,SprintPlanning[Requirement ID],0))),"To Plan"))</f>
        <v>Sprint 10</v>
      </c>
      <c r="J11" s="33" t="n">
        <v>5</v>
      </c>
      <c r="K11" s="26" t="str">
        <f aca="false">IFERROR(IF(ISBLANK(INDEX(Release[Release],MATCH($A11,Release[Requirement ID],0))),"",INDEX(Release[Release],MATCH($A11,Release[Requirement ID],0))),"")</f>
        <v/>
      </c>
      <c r="L11" s="34" t="n">
        <v>46237</v>
      </c>
      <c r="M11" s="33" t="s">
        <v>94</v>
      </c>
      <c r="N11" s="26" t="s">
        <v>126</v>
      </c>
      <c r="P11" s="1" t="n">
        <f aca="false">IFERROR(VALUE(MID($A11,5,4)),0)</f>
        <v>408</v>
      </c>
      <c r="Q11" s="1" t="s">
        <v>127</v>
      </c>
    </row>
    <row r="12" customFormat="false" ht="15" hidden="false" customHeight="true" outlineLevel="0" collapsed="false">
      <c r="A12" s="32" t="str">
        <f aca="false">IF(AND(B12="",C12="",D12="",E12="",F12="",G12="",H12="",J12="",L12="",M12="",N12=""),"",Q12)</f>
        <v>NEW-0411</v>
      </c>
      <c r="B12" s="33" t="s">
        <v>128</v>
      </c>
      <c r="C12" s="33" t="s">
        <v>105</v>
      </c>
      <c r="D12" s="33" t="s">
        <v>84</v>
      </c>
      <c r="E12" s="33" t="s">
        <v>106</v>
      </c>
      <c r="F12" s="33" t="s">
        <v>92</v>
      </c>
      <c r="G12" s="33" t="s">
        <v>93</v>
      </c>
      <c r="H12" s="33"/>
      <c r="I12" s="26" t="str">
        <f aca="false">IF($A12="","",IFERROR(IF(ISBLANK(INDEX(SprintPlanning[Sprint],MATCH($A12,SprintPlanning[Requirement ID],0))),"To Plan",INDEX(SprintPlanning[Sprint],MATCH($A12,SprintPlanning[Requirement ID],0))),"To Plan"))</f>
        <v>Sprint 10</v>
      </c>
      <c r="J12" s="33" t="n">
        <v>21</v>
      </c>
      <c r="K12" s="26" t="str">
        <f aca="false">IFERROR(IF(ISBLANK(INDEX(Release[Release],MATCH($A12,Release[Requirement ID],0))),"",INDEX(Release[Release],MATCH($A12,Release[Requirement ID],0))),"")</f>
        <v/>
      </c>
      <c r="L12" s="34" t="n">
        <v>46237</v>
      </c>
      <c r="M12" s="33" t="s">
        <v>94</v>
      </c>
      <c r="N12" s="26" t="s">
        <v>126</v>
      </c>
      <c r="P12" s="1" t="n">
        <f aca="false">IFERROR(VALUE(MID($A12,5,4)),0)</f>
        <v>411</v>
      </c>
      <c r="Q12" s="1" t="s">
        <v>129</v>
      </c>
    </row>
    <row r="13" customFormat="false" ht="15" hidden="false" customHeight="true" outlineLevel="0" collapsed="false">
      <c r="A13" s="32" t="str">
        <f aca="false">IF(AND(B13="",C13="",D13="",E13="",F13="",G13="",H13="",J13="",L13="",M13="",N13=""),"",Q13)</f>
        <v>NEW-0412</v>
      </c>
      <c r="B13" s="33" t="s">
        <v>130</v>
      </c>
      <c r="C13" s="33" t="s">
        <v>105</v>
      </c>
      <c r="D13" s="33" t="s">
        <v>131</v>
      </c>
      <c r="E13" s="33" t="s">
        <v>106</v>
      </c>
      <c r="F13" s="33" t="s">
        <v>92</v>
      </c>
      <c r="G13" s="33" t="s">
        <v>93</v>
      </c>
      <c r="H13" s="33"/>
      <c r="I13" s="26" t="str">
        <f aca="false">IF($A13="","",IFERROR(IF(ISBLANK(INDEX(SprintPlanning[Sprint],MATCH($A13,SprintPlanning[Requirement ID],0))),"To Plan",INDEX(SprintPlanning[Sprint],MATCH($A13,SprintPlanning[Requirement ID],0))),"To Plan"))</f>
        <v>Sprint 10</v>
      </c>
      <c r="J13" s="33" t="n">
        <v>13</v>
      </c>
      <c r="K13" s="26" t="str">
        <f aca="false">IFERROR(IF(ISBLANK(INDEX(Release[Release],MATCH($A13,Release[Requirement ID],0))),"",INDEX(Release[Release],MATCH($A13,Release[Requirement ID],0))),"")</f>
        <v/>
      </c>
      <c r="L13" s="34" t="n">
        <v>46237</v>
      </c>
      <c r="M13" s="33" t="s">
        <v>94</v>
      </c>
      <c r="N13" s="26" t="s">
        <v>132</v>
      </c>
      <c r="P13" s="1" t="n">
        <f aca="false">IFERROR(VALUE(MID($A13,5,4)),0)</f>
        <v>412</v>
      </c>
      <c r="Q13" s="1" t="s">
        <v>133</v>
      </c>
    </row>
    <row r="14" customFormat="false" ht="15" hidden="false" customHeight="true" outlineLevel="0" collapsed="false">
      <c r="A14" s="24" t="str">
        <f aca="false">IF(AND(B14="",C14="",D14="",E14="",F14="",G14="",H14="",J14="",L14="",M14="",N14=""),"",Q14)</f>
        <v>NEW-0064</v>
      </c>
      <c r="B14" s="25" t="s">
        <v>134</v>
      </c>
      <c r="C14" s="25" t="s">
        <v>90</v>
      </c>
      <c r="D14" s="25" t="s">
        <v>135</v>
      </c>
      <c r="E14" s="25" t="s">
        <v>91</v>
      </c>
      <c r="F14" s="25" t="s">
        <v>124</v>
      </c>
      <c r="G14" s="25" t="s">
        <v>87</v>
      </c>
      <c r="H14" s="25"/>
      <c r="I14" s="26" t="str">
        <f aca="false">IF($A14="","",IFERROR(IF(ISBLANK(INDEX(SprintPlanning[Sprint],MATCH($A14,SprintPlanning[Requirement ID],0))),"To Plan",INDEX(SprintPlanning[Sprint],MATCH($A14,SprintPlanning[Requirement ID],0))),"To Plan"))</f>
        <v>Sprint 11</v>
      </c>
      <c r="J14" s="25" t="n">
        <v>8</v>
      </c>
      <c r="K14" s="26" t="str">
        <f aca="false">IFERROR(IF(ISBLANK(INDEX(Release[Release],MATCH($A14,Release[Requirement ID],0))),"",INDEX(Release[Release],MATCH($A14,Release[Requirement ID],0))),"")</f>
        <v/>
      </c>
      <c r="L14" s="27" t="n">
        <v>46226</v>
      </c>
      <c r="M14" s="25" t="s">
        <v>94</v>
      </c>
      <c r="N14" s="26" t="s">
        <v>136</v>
      </c>
      <c r="P14" s="1" t="n">
        <f aca="false">IFERROR(VALUE(MID($A14,5,4)),0)</f>
        <v>64</v>
      </c>
      <c r="Q14" s="1" t="s">
        <v>137</v>
      </c>
    </row>
    <row r="15" customFormat="false" ht="15" hidden="false" customHeight="true" outlineLevel="0" collapsed="false">
      <c r="A15" s="24" t="str">
        <f aca="false">IF(AND(B15="",C15="",D15="",E15="",F15="",G15="",H15="",J15="",L15="",M15="",N15=""),"",Q15)</f>
        <v>NEW-0065</v>
      </c>
      <c r="B15" s="25" t="s">
        <v>138</v>
      </c>
      <c r="C15" s="25" t="s">
        <v>90</v>
      </c>
      <c r="D15" s="25" t="s">
        <v>135</v>
      </c>
      <c r="E15" s="25" t="s">
        <v>91</v>
      </c>
      <c r="F15" s="25" t="s">
        <v>139</v>
      </c>
      <c r="G15" s="25" t="s">
        <v>87</v>
      </c>
      <c r="H15" s="25"/>
      <c r="I15" s="26" t="str">
        <f aca="false">IF($A15="","",IFERROR(IF(ISBLANK(INDEX(SprintPlanning[Sprint],MATCH($A15,SprintPlanning[Requirement ID],0))),"To Plan",INDEX(SprintPlanning[Sprint],MATCH($A15,SprintPlanning[Requirement ID],0))),"To Plan"))</f>
        <v>To Plan</v>
      </c>
      <c r="J15" s="25" t="n">
        <v>8</v>
      </c>
      <c r="K15" s="26" t="str">
        <f aca="false">IFERROR(IF(ISBLANK(INDEX(Release[Release],MATCH($A15,Release[Requirement ID],0))),"",INDEX(Release[Release],MATCH($A15,Release[Requirement ID],0))),"")</f>
        <v/>
      </c>
      <c r="L15" s="27" t="n">
        <v>46226</v>
      </c>
      <c r="M15" s="25" t="s">
        <v>94</v>
      </c>
      <c r="N15" s="26" t="s">
        <v>136</v>
      </c>
      <c r="P15" s="1" t="n">
        <f aca="false">IFERROR(VALUE(MID($A15,5,4)),0)</f>
        <v>65</v>
      </c>
      <c r="Q15" s="1" t="s">
        <v>140</v>
      </c>
    </row>
    <row r="16" customFormat="false" ht="15" hidden="false" customHeight="true" outlineLevel="0" collapsed="false">
      <c r="A16" s="24" t="str">
        <f aca="false">IF(AND(B16="",C16="",D16="",E16="",F16="",G16="",H16="",J16="",L16="",M16="",N16=""),"",Q16)</f>
        <v>NEW-0075</v>
      </c>
      <c r="B16" s="25" t="s">
        <v>141</v>
      </c>
      <c r="C16" s="25" t="s">
        <v>98</v>
      </c>
      <c r="D16" s="25" t="s">
        <v>142</v>
      </c>
      <c r="E16" s="25" t="s">
        <v>85</v>
      </c>
      <c r="F16" s="25" t="s">
        <v>124</v>
      </c>
      <c r="G16" s="25" t="s">
        <v>87</v>
      </c>
      <c r="H16" s="25"/>
      <c r="I16" s="26" t="str">
        <f aca="false">IF($A16="","",IFERROR(IF(ISBLANK(INDEX(SprintPlanning[Sprint],MATCH($A16,SprintPlanning[Requirement ID],0))),"To Plan",INDEX(SprintPlanning[Sprint],MATCH($A16,SprintPlanning[Requirement ID],0))),"To Plan"))</f>
        <v>Sprint 12</v>
      </c>
      <c r="J16" s="25" t="n">
        <v>13</v>
      </c>
      <c r="K16" s="26" t="str">
        <f aca="false">IFERROR(IF(ISBLANK(INDEX(Release[Release],MATCH($A16,Release[Requirement ID],0))),"",INDEX(Release[Release],MATCH($A16,Release[Requirement ID],0))),"")</f>
        <v/>
      </c>
      <c r="L16" s="27" t="n">
        <v>46226</v>
      </c>
      <c r="M16" s="25" t="s">
        <v>94</v>
      </c>
      <c r="N16" s="26" t="s">
        <v>143</v>
      </c>
      <c r="P16" s="1" t="n">
        <f aca="false">IFERROR(VALUE(MID($A16,5,4)),0)</f>
        <v>75</v>
      </c>
      <c r="Q16" s="1" t="s">
        <v>144</v>
      </c>
    </row>
    <row r="17" customFormat="false" ht="15" hidden="false" customHeight="true" outlineLevel="0" collapsed="false">
      <c r="A17" s="24" t="str">
        <f aca="false">IF(AND(B17="",C17="",D17="",E17="",F17="",G17="",H17="",J17="",L17="",M17="",N17=""),"",Q17)</f>
        <v>NEW-0076</v>
      </c>
      <c r="B17" s="25" t="s">
        <v>145</v>
      </c>
      <c r="C17" s="25" t="s">
        <v>98</v>
      </c>
      <c r="D17" s="25" t="s">
        <v>142</v>
      </c>
      <c r="E17" s="25" t="s">
        <v>85</v>
      </c>
      <c r="F17" s="25" t="s">
        <v>124</v>
      </c>
      <c r="G17" s="25" t="s">
        <v>87</v>
      </c>
      <c r="H17" s="25"/>
      <c r="I17" s="26" t="str">
        <f aca="false">IF($A17="","",IFERROR(IF(ISBLANK(INDEX(SprintPlanning[Sprint],MATCH($A17,SprintPlanning[Requirement ID],0))),"To Plan",INDEX(SprintPlanning[Sprint],MATCH($A17,SprintPlanning[Requirement ID],0))),"To Plan"))</f>
        <v>Sprint 12</v>
      </c>
      <c r="J17" s="25" t="n">
        <v>13</v>
      </c>
      <c r="K17" s="26" t="str">
        <f aca="false">IFERROR(IF(ISBLANK(INDEX(Release[Release],MATCH($A17,Release[Requirement ID],0))),"",INDEX(Release[Release],MATCH($A17,Release[Requirement ID],0))),"")</f>
        <v/>
      </c>
      <c r="L17" s="27" t="n">
        <v>46226</v>
      </c>
      <c r="M17" s="25" t="s">
        <v>94</v>
      </c>
      <c r="N17" s="26" t="s">
        <v>146</v>
      </c>
      <c r="P17" s="1" t="n">
        <f aca="false">IFERROR(VALUE(MID($A17,5,4)),0)</f>
        <v>76</v>
      </c>
      <c r="Q17" s="1" t="s">
        <v>147</v>
      </c>
    </row>
    <row r="18" customFormat="false" ht="15" hidden="false" customHeight="true" outlineLevel="0" collapsed="false">
      <c r="A18" s="24" t="str">
        <f aca="false">IF(AND(B18="",C18="",D18="",E18="",F18="",G18="",H18="",J18="",L18="",M18="",N18=""),"",Q18)</f>
        <v>NEW-0077</v>
      </c>
      <c r="B18" s="25" t="s">
        <v>148</v>
      </c>
      <c r="C18" s="25" t="s">
        <v>90</v>
      </c>
      <c r="D18" s="25" t="s">
        <v>135</v>
      </c>
      <c r="E18" s="25" t="s">
        <v>91</v>
      </c>
      <c r="F18" s="25" t="s">
        <v>124</v>
      </c>
      <c r="G18" s="25" t="s">
        <v>87</v>
      </c>
      <c r="H18" s="25"/>
      <c r="I18" s="26" t="str">
        <f aca="false">IF($A18="","",IFERROR(IF(ISBLANK(INDEX(SprintPlanning[Sprint],MATCH($A18,SprintPlanning[Requirement ID],0))),"To Plan",INDEX(SprintPlanning[Sprint],MATCH($A18,SprintPlanning[Requirement ID],0))),"To Plan"))</f>
        <v>To Plan</v>
      </c>
      <c r="J18" s="25" t="n">
        <v>8</v>
      </c>
      <c r="K18" s="26" t="str">
        <f aca="false">IFERROR(IF(ISBLANK(INDEX(Release[Release],MATCH($A18,Release[Requirement ID],0))),"",INDEX(Release[Release],MATCH($A18,Release[Requirement ID],0))),"")</f>
        <v/>
      </c>
      <c r="L18" s="27" t="n">
        <v>46226</v>
      </c>
      <c r="M18" s="25" t="s">
        <v>94</v>
      </c>
      <c r="N18" s="26" t="s">
        <v>149</v>
      </c>
      <c r="P18" s="1" t="n">
        <f aca="false">IFERROR(VALUE(MID($A18,5,4)),0)</f>
        <v>77</v>
      </c>
      <c r="Q18" s="1" t="s">
        <v>150</v>
      </c>
    </row>
    <row r="19" customFormat="false" ht="15" hidden="false" customHeight="true" outlineLevel="0" collapsed="false">
      <c r="A19" s="24" t="str">
        <f aca="false">IF(AND(B19="",C19="",D19="",E19="",F19="",G19="",H19="",J19="",L19="",M19="",N19=""),"",Q19)</f>
        <v>NEW-0078</v>
      </c>
      <c r="B19" s="25" t="s">
        <v>151</v>
      </c>
      <c r="C19" s="25" t="s">
        <v>90</v>
      </c>
      <c r="D19" s="25" t="s">
        <v>135</v>
      </c>
      <c r="E19" s="25" t="s">
        <v>91</v>
      </c>
      <c r="F19" s="25" t="s">
        <v>124</v>
      </c>
      <c r="G19" s="25" t="s">
        <v>87</v>
      </c>
      <c r="H19" s="25"/>
      <c r="I19" s="26" t="str">
        <f aca="false">IF($A19="","",IFERROR(IF(ISBLANK(INDEX(SprintPlanning[Sprint],MATCH($A19,SprintPlanning[Requirement ID],0))),"To Plan",INDEX(SprintPlanning[Sprint],MATCH($A19,SprintPlanning[Requirement ID],0))),"To Plan"))</f>
        <v>To Plan</v>
      </c>
      <c r="J19" s="25" t="n">
        <v>8</v>
      </c>
      <c r="K19" s="26" t="str">
        <f aca="false">IFERROR(IF(ISBLANK(INDEX(Release[Release],MATCH($A19,Release[Requirement ID],0))),"",INDEX(Release[Release],MATCH($A19,Release[Requirement ID],0))),"")</f>
        <v/>
      </c>
      <c r="L19" s="27" t="n">
        <v>46226</v>
      </c>
      <c r="M19" s="25" t="s">
        <v>94</v>
      </c>
      <c r="N19" s="26" t="s">
        <v>149</v>
      </c>
      <c r="P19" s="1" t="n">
        <f aca="false">IFERROR(VALUE(MID($A19,5,4)),0)</f>
        <v>78</v>
      </c>
      <c r="Q19" s="1" t="s">
        <v>152</v>
      </c>
    </row>
    <row r="20" customFormat="false" ht="15" hidden="false" customHeight="true" outlineLevel="0" collapsed="false">
      <c r="A20" s="35" t="str">
        <f aca="false">IF(AND(B20="",C20="",D20="",E20="",F20="",G20="",H20="",J20="",L20="",M20="",N20=""),"",Q20)</f>
        <v>NEW-0409</v>
      </c>
      <c r="B20" s="36" t="s">
        <v>153</v>
      </c>
      <c r="C20" s="36" t="s">
        <v>98</v>
      </c>
      <c r="D20" s="36" t="s">
        <v>116</v>
      </c>
      <c r="E20" s="36" t="s">
        <v>91</v>
      </c>
      <c r="F20" s="36" t="s">
        <v>124</v>
      </c>
      <c r="G20" s="36" t="s">
        <v>93</v>
      </c>
      <c r="H20" s="36" t="s">
        <v>125</v>
      </c>
      <c r="I20" s="37" t="str">
        <f aca="false">IF($A20="","",IFERROR(IF(ISBLANK(INDEX(SprintPlanning[Sprint],MATCH($A20,SprintPlanning[Requirement ID],0))),"To Plan",INDEX(SprintPlanning[Sprint],MATCH($A20,SprintPlanning[Requirement ID],0))),"To Plan"))</f>
        <v>Sprint 11</v>
      </c>
      <c r="J20" s="36" t="n">
        <v>13</v>
      </c>
      <c r="K20" s="37" t="str">
        <f aca="false">IFERROR(IF(ISBLANK(INDEX(Release[Release],MATCH($A20,Release[Requirement ID],0))),"",INDEX(Release[Release],MATCH($A20,Release[Requirement ID],0))),"")</f>
        <v/>
      </c>
      <c r="L20" s="38" t="n">
        <v>46237</v>
      </c>
      <c r="M20" s="36" t="s">
        <v>94</v>
      </c>
      <c r="N20" s="37" t="s">
        <v>154</v>
      </c>
      <c r="P20" s="1" t="n">
        <f aca="false">IFERROR(VALUE(MID($A20,5,4)),0)</f>
        <v>409</v>
      </c>
      <c r="Q20" s="1" t="s">
        <v>155</v>
      </c>
    </row>
    <row r="21" customFormat="false" ht="15" hidden="false" customHeight="true" outlineLevel="0" collapsed="false">
      <c r="A21" s="35" t="str">
        <f aca="false">IF(AND(B21="",C21="",D21="",E21="",F21="",G21="",H21="",J21="",L21="",M21="",N21=""),"",Q21)</f>
        <v>NEW-0410</v>
      </c>
      <c r="B21" s="36" t="s">
        <v>156</v>
      </c>
      <c r="C21" s="36" t="s">
        <v>98</v>
      </c>
      <c r="D21" s="36" t="s">
        <v>116</v>
      </c>
      <c r="E21" s="36" t="s">
        <v>91</v>
      </c>
      <c r="F21" s="36" t="s">
        <v>86</v>
      </c>
      <c r="G21" s="36" t="s">
        <v>93</v>
      </c>
      <c r="H21" s="36" t="s">
        <v>125</v>
      </c>
      <c r="I21" s="37" t="str">
        <f aca="false">IF($A21="","",IFERROR(IF(ISBLANK(INDEX(SprintPlanning[Sprint],MATCH($A21,SprintPlanning[Requirement ID],0))),"To Plan",INDEX(SprintPlanning[Sprint],MATCH($A21,SprintPlanning[Requirement ID],0))),"To Plan"))</f>
        <v>Sprint 12</v>
      </c>
      <c r="J21" s="36" t="n">
        <v>8</v>
      </c>
      <c r="K21" s="37" t="str">
        <f aca="false">IFERROR(IF(ISBLANK(INDEX(Release[Release],MATCH($A21,Release[Requirement ID],0))),"",INDEX(Release[Release],MATCH($A21,Release[Requirement ID],0))),"")</f>
        <v/>
      </c>
      <c r="L21" s="38" t="n">
        <v>46237</v>
      </c>
      <c r="M21" s="36" t="s">
        <v>94</v>
      </c>
      <c r="N21" s="37" t="s">
        <v>157</v>
      </c>
      <c r="P21" s="1" t="n">
        <f aca="false">IFERROR(VALUE(MID($A21,5,4)),0)</f>
        <v>410</v>
      </c>
      <c r="Q21" s="1" t="s">
        <v>158</v>
      </c>
    </row>
    <row r="22" customFormat="false" ht="15" hidden="false" customHeight="true" outlineLevel="0" collapsed="false">
      <c r="A22" s="24" t="str">
        <f aca="false">IF(AND(B22="",C22="",D22="",E22="",F22="",G22="",H22="",J22="",L22="",M22="",N22=""),"",Q22)</f>
        <v>NEW-0001</v>
      </c>
      <c r="B22" s="25" t="s">
        <v>159</v>
      </c>
      <c r="C22" s="25" t="s">
        <v>160</v>
      </c>
      <c r="D22" s="25" t="s">
        <v>28</v>
      </c>
      <c r="E22" s="25" t="s">
        <v>85</v>
      </c>
      <c r="F22" s="25" t="s">
        <v>124</v>
      </c>
      <c r="G22" s="25" t="s">
        <v>87</v>
      </c>
      <c r="H22" s="25" t="s">
        <v>125</v>
      </c>
      <c r="I22" s="26" t="str">
        <f aca="false">IF($A22="","",IFERROR(IF(ISBLANK(INDEX(SprintPlanning[Sprint],MATCH($A22,SprintPlanning[Requirement ID],0))),"To Plan",INDEX(SprintPlanning[Sprint],MATCH($A22,SprintPlanning[Requirement ID],0))),"To Plan"))</f>
        <v>Sprint 12</v>
      </c>
      <c r="J22" s="25" t="n">
        <v>13</v>
      </c>
      <c r="K22" s="26" t="str">
        <f aca="false">IFERROR(IF(ISBLANK(INDEX(Release[Release],MATCH($A22,Release[Requirement ID],0))),"",INDEX(Release[Release],MATCH($A22,Release[Requirement ID],0))),"")</f>
        <v/>
      </c>
      <c r="L22" s="27" t="n">
        <v>46226</v>
      </c>
      <c r="M22" s="25" t="s">
        <v>94</v>
      </c>
      <c r="N22" s="26" t="s">
        <v>161</v>
      </c>
      <c r="P22" s="1" t="n">
        <f aca="false">IFERROR(VALUE(MID($A22,5,4)),0)</f>
        <v>1</v>
      </c>
      <c r="Q22" s="1" t="s">
        <v>162</v>
      </c>
    </row>
    <row r="23" customFormat="false" ht="15" hidden="false" customHeight="true" outlineLevel="0" collapsed="false">
      <c r="A23" s="24" t="str">
        <f aca="false">IF(AND(B23="",C23="",D23="",E23="",F23="",G23="",H23="",J23="",L23="",M23="",N23=""),"",Q23)</f>
        <v>NEW-0003</v>
      </c>
      <c r="B23" s="25" t="s">
        <v>163</v>
      </c>
      <c r="C23" s="25" t="s">
        <v>160</v>
      </c>
      <c r="D23" s="25" t="s">
        <v>28</v>
      </c>
      <c r="E23" s="25" t="s">
        <v>164</v>
      </c>
      <c r="F23" s="25" t="s">
        <v>124</v>
      </c>
      <c r="G23" s="25" t="s">
        <v>87</v>
      </c>
      <c r="H23" s="25"/>
      <c r="I23" s="26" t="str">
        <f aca="false">IF($A23="","",IFERROR(IF(ISBLANK(INDEX(SprintPlanning[Sprint],MATCH($A23,SprintPlanning[Requirement ID],0))),"To Plan",INDEX(SprintPlanning[Sprint],MATCH($A23,SprintPlanning[Requirement ID],0))),"To Plan"))</f>
        <v>Sprint 12</v>
      </c>
      <c r="J23" s="25" t="n">
        <v>13</v>
      </c>
      <c r="K23" s="26" t="str">
        <f aca="false">IFERROR(IF(ISBLANK(INDEX(Release[Release],MATCH($A23,Release[Requirement ID],0))),"",INDEX(Release[Release],MATCH($A23,Release[Requirement ID],0))),"")</f>
        <v/>
      </c>
      <c r="L23" s="27" t="n">
        <v>46226</v>
      </c>
      <c r="M23" s="25" t="s">
        <v>94</v>
      </c>
      <c r="N23" s="26" t="s">
        <v>165</v>
      </c>
      <c r="P23" s="1" t="n">
        <f aca="false">IFERROR(VALUE(MID($A23,5,4)),0)</f>
        <v>3</v>
      </c>
      <c r="Q23" s="1" t="s">
        <v>166</v>
      </c>
    </row>
    <row r="24" customFormat="false" ht="15" hidden="false" customHeight="true" outlineLevel="0" collapsed="false">
      <c r="A24" s="24" t="str">
        <f aca="false">IF(AND(B24="",C24="",D24="",E24="",F24="",G24="",H24="",J24="",L24="",M24="",N24=""),"",Q24)</f>
        <v>NEW-0029</v>
      </c>
      <c r="B24" s="25" t="s">
        <v>167</v>
      </c>
      <c r="C24" s="25" t="s">
        <v>98</v>
      </c>
      <c r="D24" s="25" t="s">
        <v>168</v>
      </c>
      <c r="E24" s="25" t="s">
        <v>91</v>
      </c>
      <c r="F24" s="25" t="s">
        <v>124</v>
      </c>
      <c r="G24" s="25" t="s">
        <v>87</v>
      </c>
      <c r="H24" s="39" t="n">
        <v>46235</v>
      </c>
      <c r="I24" s="26" t="str">
        <f aca="false">IF($A24="","",IFERROR(IF(ISBLANK(INDEX(SprintPlanning[Sprint],MATCH($A24,SprintPlanning[Requirement ID],0))),"To Plan",INDEX(SprintPlanning[Sprint],MATCH($A24,SprintPlanning[Requirement ID],0))),"To Plan"))</f>
        <v>Sprint 11</v>
      </c>
      <c r="J24" s="25" t="n">
        <v>23</v>
      </c>
      <c r="K24" s="26" t="str">
        <f aca="false">IFERROR(IF(ISBLANK(INDEX(Release[Release],MATCH($A24,Release[Requirement ID],0))),"",INDEX(Release[Release],MATCH($A24,Release[Requirement ID],0))),"")</f>
        <v/>
      </c>
      <c r="L24" s="27" t="n">
        <v>46226</v>
      </c>
      <c r="M24" s="25" t="s">
        <v>94</v>
      </c>
      <c r="N24" s="26" t="s">
        <v>169</v>
      </c>
      <c r="P24" s="1" t="n">
        <f aca="false">IFERROR(VALUE(MID($A24,5,4)),0)</f>
        <v>29</v>
      </c>
      <c r="Q24" s="1" t="s">
        <v>170</v>
      </c>
    </row>
    <row r="25" customFormat="false" ht="15" hidden="false" customHeight="true" outlineLevel="0" collapsed="false">
      <c r="A25" s="24" t="str">
        <f aca="false">IF(AND(B25="",C25="",D25="",E25="",F25="",G25="",H25="",J25="",L25="",M25="",N25=""),"",Q25)</f>
        <v>NEW-0030</v>
      </c>
      <c r="B25" s="25" t="s">
        <v>171</v>
      </c>
      <c r="C25" s="25" t="s">
        <v>98</v>
      </c>
      <c r="D25" s="25" t="s">
        <v>168</v>
      </c>
      <c r="E25" s="25" t="s">
        <v>91</v>
      </c>
      <c r="F25" s="25" t="s">
        <v>124</v>
      </c>
      <c r="G25" s="25" t="s">
        <v>87</v>
      </c>
      <c r="H25" s="25"/>
      <c r="I25" s="26" t="str">
        <f aca="false">IF($A25="","",IFERROR(IF(ISBLANK(INDEX(SprintPlanning[Sprint],MATCH($A25,SprintPlanning[Requirement ID],0))),"To Plan",INDEX(SprintPlanning[Sprint],MATCH($A25,SprintPlanning[Requirement ID],0))),"To Plan"))</f>
        <v>Sprint 12</v>
      </c>
      <c r="J25" s="25" t="n">
        <v>8</v>
      </c>
      <c r="K25" s="26" t="str">
        <f aca="false">IFERROR(IF(ISBLANK(INDEX(Release[Release],MATCH($A25,Release[Requirement ID],0))),"",INDEX(Release[Release],MATCH($A25,Release[Requirement ID],0))),"")</f>
        <v/>
      </c>
      <c r="L25" s="27" t="n">
        <v>46226</v>
      </c>
      <c r="M25" s="25" t="s">
        <v>94</v>
      </c>
      <c r="N25" s="26" t="s">
        <v>172</v>
      </c>
      <c r="P25" s="1" t="n">
        <f aca="false">IFERROR(VALUE(MID($A25,5,4)),0)</f>
        <v>30</v>
      </c>
      <c r="Q25" s="1" t="s">
        <v>173</v>
      </c>
    </row>
    <row r="26" customFormat="false" ht="15" hidden="false" customHeight="true" outlineLevel="0" collapsed="false">
      <c r="A26" s="24" t="str">
        <f aca="false">IF(AND(B26="",C26="",D26="",E26="",F26="",G26="",H26="",J26="",L26="",M26="",N26=""),"",Q26)</f>
        <v>NEW-0080</v>
      </c>
      <c r="B26" s="25" t="s">
        <v>174</v>
      </c>
      <c r="C26" s="25" t="s">
        <v>105</v>
      </c>
      <c r="D26" s="25" t="s">
        <v>84</v>
      </c>
      <c r="E26" s="25" t="s">
        <v>106</v>
      </c>
      <c r="F26" s="25" t="s">
        <v>124</v>
      </c>
      <c r="G26" s="25" t="s">
        <v>93</v>
      </c>
      <c r="H26" s="25"/>
      <c r="I26" s="26" t="str">
        <f aca="false">IF($A26="","",IFERROR(IF(ISBLANK(INDEX(SprintPlanning[Sprint],MATCH($A26,SprintPlanning[Requirement ID],0))),"To Plan",INDEX(SprintPlanning[Sprint],MATCH($A26,SprintPlanning[Requirement ID],0))),"To Plan"))</f>
        <v>Sprint 12</v>
      </c>
      <c r="J26" s="25"/>
      <c r="K26" s="26" t="str">
        <f aca="false">IFERROR(IF(ISBLANK(INDEX(Release[Release],MATCH($A26,Release[Requirement ID],0))),"",INDEX(Release[Release],MATCH($A26,Release[Requirement ID],0))),"")</f>
        <v/>
      </c>
      <c r="L26" s="27" t="n">
        <v>46226</v>
      </c>
      <c r="M26" s="25"/>
      <c r="N26" s="26"/>
      <c r="P26" s="1" t="n">
        <f aca="false">IFERROR(VALUE(MID($A26,5,4)),0)</f>
        <v>80</v>
      </c>
      <c r="Q26" s="1" t="s">
        <v>175</v>
      </c>
    </row>
    <row r="27" customFormat="false" ht="15" hidden="false" customHeight="true" outlineLevel="0" collapsed="false">
      <c r="A27" s="24" t="str">
        <f aca="false">IF(AND(B27="",C27="",D27="",E27="",F27="",G27="",H27="",J27="",L27="",M27="",N27=""),"",Q27)</f>
        <v>NEW-0085</v>
      </c>
      <c r="B27" s="25" t="s">
        <v>176</v>
      </c>
      <c r="C27" s="25" t="s">
        <v>98</v>
      </c>
      <c r="D27" s="25" t="s">
        <v>142</v>
      </c>
      <c r="E27" s="25" t="s">
        <v>85</v>
      </c>
      <c r="F27" s="25" t="s">
        <v>124</v>
      </c>
      <c r="G27" s="25" t="s">
        <v>87</v>
      </c>
      <c r="H27" s="25"/>
      <c r="I27" s="26" t="str">
        <f aca="false">IF($A27="","",IFERROR(IF(ISBLANK(INDEX(SprintPlanning[Sprint],MATCH($A27,SprintPlanning[Requirement ID],0))),"To Plan",INDEX(SprintPlanning[Sprint],MATCH($A27,SprintPlanning[Requirement ID],0))),"To Plan"))</f>
        <v>Sprint 12</v>
      </c>
      <c r="J27" s="25" t="n">
        <v>5</v>
      </c>
      <c r="K27" s="26" t="str">
        <f aca="false">IFERROR(IF(ISBLANK(INDEX(Release[Release],MATCH($A27,Release[Requirement ID],0))),"",INDEX(Release[Release],MATCH($A27,Release[Requirement ID],0))),"")</f>
        <v/>
      </c>
      <c r="L27" s="27" t="n">
        <v>46226</v>
      </c>
      <c r="M27" s="25" t="s">
        <v>94</v>
      </c>
      <c r="N27" s="26" t="s">
        <v>177</v>
      </c>
      <c r="P27" s="1" t="n">
        <f aca="false">IFERROR(VALUE(MID($A27,5,4)),0)</f>
        <v>85</v>
      </c>
      <c r="Q27" s="1" t="s">
        <v>178</v>
      </c>
    </row>
    <row r="28" customFormat="false" ht="15" hidden="false" customHeight="true" outlineLevel="0" collapsed="false">
      <c r="A28" s="24" t="str">
        <f aca="false">IF(AND(B28="",C28="",D28="",E28="",F28="",G28="",H28="",J28="",L28="",M28="",N28=""),"",Q28)</f>
        <v>NEW-0086</v>
      </c>
      <c r="B28" s="25" t="s">
        <v>179</v>
      </c>
      <c r="C28" s="25" t="s">
        <v>98</v>
      </c>
      <c r="D28" s="25" t="s">
        <v>142</v>
      </c>
      <c r="E28" s="25" t="s">
        <v>85</v>
      </c>
      <c r="F28" s="25" t="s">
        <v>124</v>
      </c>
      <c r="G28" s="25" t="s">
        <v>87</v>
      </c>
      <c r="H28" s="25"/>
      <c r="I28" s="26" t="str">
        <f aca="false">IF($A28="","",IFERROR(IF(ISBLANK(INDEX(SprintPlanning[Sprint],MATCH($A28,SprintPlanning[Requirement ID],0))),"To Plan",INDEX(SprintPlanning[Sprint],MATCH($A28,SprintPlanning[Requirement ID],0))),"To Plan"))</f>
        <v>Sprint 12</v>
      </c>
      <c r="J28" s="25" t="n">
        <v>8</v>
      </c>
      <c r="K28" s="26" t="str">
        <f aca="false">IFERROR(IF(ISBLANK(INDEX(Release[Release],MATCH($A28,Release[Requirement ID],0))),"",INDEX(Release[Release],MATCH($A28,Release[Requirement ID],0))),"")</f>
        <v/>
      </c>
      <c r="L28" s="27" t="n">
        <v>46226</v>
      </c>
      <c r="M28" s="25" t="s">
        <v>94</v>
      </c>
      <c r="N28" s="26" t="s">
        <v>180</v>
      </c>
      <c r="P28" s="1" t="n">
        <f aca="false">IFERROR(VALUE(MID($A28,5,4)),0)</f>
        <v>86</v>
      </c>
      <c r="Q28" s="1" t="s">
        <v>181</v>
      </c>
    </row>
    <row r="29" customFormat="false" ht="15" hidden="false" customHeight="true" outlineLevel="0" collapsed="false">
      <c r="A29" s="24" t="str">
        <f aca="false">IF(AND(B29="",C29="",D29="",E29="",F29="",G29="",H29="",J29="",L29="",M29="",N29=""),"",Q29)</f>
        <v>NEW-0087</v>
      </c>
      <c r="B29" s="25" t="s">
        <v>182</v>
      </c>
      <c r="C29" s="25" t="s">
        <v>98</v>
      </c>
      <c r="D29" s="25" t="s">
        <v>142</v>
      </c>
      <c r="E29" s="25" t="s">
        <v>85</v>
      </c>
      <c r="F29" s="25" t="s">
        <v>124</v>
      </c>
      <c r="G29" s="25" t="s">
        <v>87</v>
      </c>
      <c r="H29" s="25"/>
      <c r="I29" s="26" t="str">
        <f aca="false">IF($A29="","",IFERROR(IF(ISBLANK(INDEX(SprintPlanning[Sprint],MATCH($A29,SprintPlanning[Requirement ID],0))),"To Plan",INDEX(SprintPlanning[Sprint],MATCH($A29,SprintPlanning[Requirement ID],0))),"To Plan"))</f>
        <v>Sprint 12</v>
      </c>
      <c r="J29" s="25" t="n">
        <v>5</v>
      </c>
      <c r="K29" s="26" t="str">
        <f aca="false">IFERROR(IF(ISBLANK(INDEX(Release[Release],MATCH($A29,Release[Requirement ID],0))),"",INDEX(Release[Release],MATCH($A29,Release[Requirement ID],0))),"")</f>
        <v/>
      </c>
      <c r="L29" s="27" t="n">
        <v>46226</v>
      </c>
      <c r="M29" s="25" t="s">
        <v>94</v>
      </c>
      <c r="N29" s="26" t="s">
        <v>183</v>
      </c>
      <c r="P29" s="1" t="n">
        <f aca="false">IFERROR(VALUE(MID($A29,5,4)),0)</f>
        <v>87</v>
      </c>
      <c r="Q29" s="1" t="s">
        <v>184</v>
      </c>
    </row>
    <row r="30" customFormat="false" ht="15" hidden="false" customHeight="true" outlineLevel="0" collapsed="false">
      <c r="A30" s="24" t="str">
        <f aca="false">IF(AND(B30="",C30="",D30="",E30="",F30="",G30="",H30="",J30="",L30="",M30="",N30=""),"",Q30)</f>
        <v>NEW-0316</v>
      </c>
      <c r="B30" s="25" t="s">
        <v>185</v>
      </c>
      <c r="C30" s="25" t="s">
        <v>98</v>
      </c>
      <c r="D30" s="25" t="s">
        <v>168</v>
      </c>
      <c r="E30" s="25" t="s">
        <v>91</v>
      </c>
      <c r="F30" s="25" t="s">
        <v>124</v>
      </c>
      <c r="G30" s="25" t="s">
        <v>87</v>
      </c>
      <c r="H30" s="25"/>
      <c r="I30" s="26" t="str">
        <f aca="false">IF($A30="","",IFERROR(IF(ISBLANK(INDEX(SprintPlanning[Sprint],MATCH($A30,SprintPlanning[Requirement ID],0))),"To Plan",INDEX(SprintPlanning[Sprint],MATCH($A30,SprintPlanning[Requirement ID],0))),"To Plan"))</f>
        <v>Sprint 12</v>
      </c>
      <c r="J30" s="25" t="n">
        <v>8</v>
      </c>
      <c r="K30" s="26" t="str">
        <f aca="false">IFERROR(IF(ISBLANK(INDEX(Release[Release],MATCH($A30,Release[Requirement ID],0))),"",INDEX(Release[Release],MATCH($A30,Release[Requirement ID],0))),"")</f>
        <v/>
      </c>
      <c r="L30" s="27" t="n">
        <v>46232</v>
      </c>
      <c r="M30" s="25" t="s">
        <v>94</v>
      </c>
      <c r="N30" s="26" t="s">
        <v>186</v>
      </c>
      <c r="P30" s="1" t="n">
        <f aca="false">IFERROR(VALUE(MID($A30,5,4)),0)</f>
        <v>316</v>
      </c>
      <c r="Q30" s="1" t="s">
        <v>187</v>
      </c>
    </row>
    <row r="31" customFormat="false" ht="15" hidden="false" customHeight="true" outlineLevel="0" collapsed="false">
      <c r="A31" s="24" t="str">
        <f aca="false">IF(AND(B31="",C31="",D31="",E31="",F31="",G31="",H31="",J31="",L31="",M31="",N31=""),"",Q31)</f>
        <v>NEW-0066</v>
      </c>
      <c r="B31" s="25" t="s">
        <v>188</v>
      </c>
      <c r="C31" s="25" t="s">
        <v>98</v>
      </c>
      <c r="D31" s="25" t="s">
        <v>142</v>
      </c>
      <c r="E31" s="25" t="s">
        <v>91</v>
      </c>
      <c r="F31" s="25" t="s">
        <v>124</v>
      </c>
      <c r="G31" s="25" t="s">
        <v>87</v>
      </c>
      <c r="H31" s="25"/>
      <c r="I31" s="26" t="str">
        <f aca="false">IF($A31="","",IFERROR(IF(ISBLANK(INDEX(SprintPlanning[Sprint],MATCH($A31,SprintPlanning[Requirement ID],0))),"To Plan",INDEX(SprintPlanning[Sprint],MATCH($A31,SprintPlanning[Requirement ID],0))),"To Plan"))</f>
        <v>Sprint 12</v>
      </c>
      <c r="J31" s="25" t="n">
        <v>5</v>
      </c>
      <c r="K31" s="26" t="str">
        <f aca="false">IFERROR(IF(ISBLANK(INDEX(Release[Release],MATCH($A31,Release[Requirement ID],0))),"",INDEX(Release[Release],MATCH($A31,Release[Requirement ID],0))),"")</f>
        <v/>
      </c>
      <c r="L31" s="27" t="n">
        <v>46226</v>
      </c>
      <c r="M31" s="25" t="s">
        <v>94</v>
      </c>
      <c r="N31" s="26" t="s">
        <v>189</v>
      </c>
      <c r="P31" s="1" t="n">
        <f aca="false">IFERROR(VALUE(MID($A31,5,4)),0)</f>
        <v>66</v>
      </c>
      <c r="Q31" s="1" t="s">
        <v>190</v>
      </c>
    </row>
    <row r="32" customFormat="false" ht="15" hidden="false" customHeight="true" outlineLevel="0" collapsed="false">
      <c r="A32" s="24" t="str">
        <f aca="false">IF(AND(B32="",C32="",D32="",E32="",F32="",G32="",H32="",J32="",L32="",M32="",N32=""),"",Q32)</f>
        <v>NEW-0067</v>
      </c>
      <c r="B32" s="25" t="s">
        <v>191</v>
      </c>
      <c r="C32" s="25" t="s">
        <v>98</v>
      </c>
      <c r="D32" s="25" t="s">
        <v>142</v>
      </c>
      <c r="E32" s="25" t="s">
        <v>85</v>
      </c>
      <c r="F32" s="25" t="s">
        <v>124</v>
      </c>
      <c r="G32" s="25" t="s">
        <v>87</v>
      </c>
      <c r="H32" s="25"/>
      <c r="I32" s="26" t="str">
        <f aca="false">IF($A32="","",IFERROR(IF(ISBLANK(INDEX(SprintPlanning[Sprint],MATCH($A32,SprintPlanning[Requirement ID],0))),"To Plan",INDEX(SprintPlanning[Sprint],MATCH($A32,SprintPlanning[Requirement ID],0))),"To Plan"))</f>
        <v>Sprint 12</v>
      </c>
      <c r="J32" s="25" t="n">
        <v>8</v>
      </c>
      <c r="K32" s="26" t="str">
        <f aca="false">IFERROR(IF(ISBLANK(INDEX(Release[Release],MATCH($A32,Release[Requirement ID],0))),"",INDEX(Release[Release],MATCH($A32,Release[Requirement ID],0))),"")</f>
        <v/>
      </c>
      <c r="L32" s="27" t="n">
        <v>46226</v>
      </c>
      <c r="M32" s="25" t="s">
        <v>94</v>
      </c>
      <c r="N32" s="26" t="s">
        <v>192</v>
      </c>
      <c r="P32" s="1" t="n">
        <f aca="false">IFERROR(VALUE(MID($A32,5,4)),0)</f>
        <v>67</v>
      </c>
      <c r="Q32" s="1" t="s">
        <v>193</v>
      </c>
    </row>
    <row r="33" customFormat="false" ht="15" hidden="false" customHeight="true" outlineLevel="0" collapsed="false">
      <c r="A33" s="24" t="str">
        <f aca="false">IF(AND(B33="",C33="",D33="",E33="",F33="",G33="",H33="",J33="",L33="",M33="",N33=""),"",Q33)</f>
        <v>NEW-0002</v>
      </c>
      <c r="B33" s="25" t="s">
        <v>194</v>
      </c>
      <c r="C33" s="25" t="s">
        <v>98</v>
      </c>
      <c r="D33" s="25" t="s">
        <v>28</v>
      </c>
      <c r="E33" s="25" t="s">
        <v>85</v>
      </c>
      <c r="F33" s="25" t="s">
        <v>86</v>
      </c>
      <c r="G33" s="25" t="s">
        <v>87</v>
      </c>
      <c r="H33" s="25" t="s">
        <v>195</v>
      </c>
      <c r="I33" s="26" t="str">
        <f aca="false">IF($A33="","",IFERROR(IF(ISBLANK(INDEX(SprintPlanning[Sprint],MATCH($A33,SprintPlanning[Requirement ID],0))),"To Plan",INDEX(SprintPlanning[Sprint],MATCH($A33,SprintPlanning[Requirement ID],0))),"To Plan"))</f>
        <v>To Plan</v>
      </c>
      <c r="J33" s="25"/>
      <c r="K33" s="26" t="str">
        <f aca="false">IFERROR(IF(ISBLANK(INDEX(Release[Release],MATCH($A33,Release[Requirement ID],0))),"",INDEX(Release[Release],MATCH($A33,Release[Requirement ID],0))),"")</f>
        <v/>
      </c>
      <c r="L33" s="27" t="n">
        <v>46226</v>
      </c>
      <c r="M33" s="25"/>
      <c r="N33" s="26"/>
      <c r="P33" s="1" t="n">
        <f aca="false">IFERROR(VALUE(MID($A33,5,4)),0)</f>
        <v>2</v>
      </c>
      <c r="Q33" s="1" t="s">
        <v>196</v>
      </c>
    </row>
    <row r="34" customFormat="false" ht="15" hidden="false" customHeight="true" outlineLevel="0" collapsed="false">
      <c r="A34" s="24" t="str">
        <f aca="false">IF(AND(B34="",C34="",D34="",E34="",F34="",G34="",H34="",J34="",L34="",M34="",N34=""),"",Q34)</f>
        <v>NEW-0005</v>
      </c>
      <c r="B34" s="25" t="s">
        <v>197</v>
      </c>
      <c r="C34" s="25" t="s">
        <v>98</v>
      </c>
      <c r="D34" s="25" t="s">
        <v>116</v>
      </c>
      <c r="E34" s="25" t="s">
        <v>91</v>
      </c>
      <c r="F34" s="25" t="s">
        <v>124</v>
      </c>
      <c r="G34" s="25" t="s">
        <v>87</v>
      </c>
      <c r="H34" s="39" t="s">
        <v>195</v>
      </c>
      <c r="I34" s="26" t="str">
        <f aca="false">IF($A34="","",IFERROR(IF(ISBLANK(INDEX(SprintPlanning[Sprint],MATCH($A34,SprintPlanning[Requirement ID],0))),"To Plan",INDEX(SprintPlanning[Sprint],MATCH($A34,SprintPlanning[Requirement ID],0))),"To Plan"))</f>
        <v>To Plan</v>
      </c>
      <c r="J34" s="25" t="n">
        <v>21</v>
      </c>
      <c r="K34" s="26" t="str">
        <f aca="false">IFERROR(IF(ISBLANK(INDEX(Release[Release],MATCH($A34,Release[Requirement ID],0))),"",INDEX(Release[Release],MATCH($A34,Release[Requirement ID],0))),"")</f>
        <v/>
      </c>
      <c r="L34" s="27" t="n">
        <v>46226</v>
      </c>
      <c r="M34" s="25"/>
      <c r="N34" s="26"/>
      <c r="P34" s="1" t="n">
        <f aca="false">IFERROR(VALUE(MID($A34,5,4)),0)</f>
        <v>5</v>
      </c>
      <c r="Q34" s="1" t="s">
        <v>198</v>
      </c>
    </row>
    <row r="35" customFormat="false" ht="15" hidden="false" customHeight="true" outlineLevel="0" collapsed="false">
      <c r="A35" s="24" t="str">
        <f aca="false">IF(AND(B35="",C35="",D35="",E35="",F35="",G35="",H35="",J35="",L35="",M35="",N35=""),"",Q35)</f>
        <v>NEW-0006</v>
      </c>
      <c r="B35" s="25" t="s">
        <v>199</v>
      </c>
      <c r="C35" s="25" t="s">
        <v>160</v>
      </c>
      <c r="D35" s="25" t="s">
        <v>116</v>
      </c>
      <c r="E35" s="25" t="s">
        <v>91</v>
      </c>
      <c r="F35" s="25" t="s">
        <v>124</v>
      </c>
      <c r="G35" s="25" t="s">
        <v>87</v>
      </c>
      <c r="H35" s="25" t="s">
        <v>200</v>
      </c>
      <c r="I35" s="26" t="str">
        <f aca="false">IF($A35="","",IFERROR(IF(ISBLANK(INDEX(SprintPlanning[Sprint],MATCH($A35,SprintPlanning[Requirement ID],0))),"To Plan",INDEX(SprintPlanning[Sprint],MATCH($A35,SprintPlanning[Requirement ID],0))),"To Plan"))</f>
        <v>To Plan</v>
      </c>
      <c r="J35" s="25" t="n">
        <v>3</v>
      </c>
      <c r="K35" s="26" t="str">
        <f aca="false">IFERROR(IF(ISBLANK(INDEX(Release[Release],MATCH($A35,Release[Requirement ID],0))),"",INDEX(Release[Release],MATCH($A35,Release[Requirement ID],0))),"")</f>
        <v/>
      </c>
      <c r="L35" s="27" t="n">
        <v>46226</v>
      </c>
      <c r="M35" s="25"/>
      <c r="N35" s="26"/>
      <c r="P35" s="1" t="n">
        <f aca="false">IFERROR(VALUE(MID($A35,5,4)),0)</f>
        <v>6</v>
      </c>
      <c r="Q35" s="1" t="s">
        <v>201</v>
      </c>
    </row>
    <row r="36" customFormat="false" ht="15" hidden="false" customHeight="true" outlineLevel="0" collapsed="false">
      <c r="A36" s="24" t="str">
        <f aca="false">IF(AND(B36="",C36="",D36="",E36="",F36="",G36="",H36="",J36="",L36="",M36="",N36=""),"",Q36)</f>
        <v>NEW-0007</v>
      </c>
      <c r="B36" s="25" t="s">
        <v>202</v>
      </c>
      <c r="C36" s="25" t="s">
        <v>98</v>
      </c>
      <c r="D36" s="25" t="s">
        <v>116</v>
      </c>
      <c r="E36" s="25" t="s">
        <v>91</v>
      </c>
      <c r="F36" s="25" t="s">
        <v>124</v>
      </c>
      <c r="G36" s="25" t="s">
        <v>87</v>
      </c>
      <c r="H36" s="25" t="s">
        <v>200</v>
      </c>
      <c r="I36" s="26" t="str">
        <f aca="false">IF($A36="","",IFERROR(IF(ISBLANK(INDEX(SprintPlanning[Sprint],MATCH($A36,SprintPlanning[Requirement ID],0))),"To Plan",INDEX(SprintPlanning[Sprint],MATCH($A36,SprintPlanning[Requirement ID],0))),"To Plan"))</f>
        <v>To Plan</v>
      </c>
      <c r="J36" s="25" t="n">
        <v>3</v>
      </c>
      <c r="K36" s="26" t="str">
        <f aca="false">IFERROR(IF(ISBLANK(INDEX(Release[Release],MATCH($A36,Release[Requirement ID],0))),"",INDEX(Release[Release],MATCH($A36,Release[Requirement ID],0))),"")</f>
        <v/>
      </c>
      <c r="L36" s="27" t="n">
        <v>46226</v>
      </c>
      <c r="M36" s="25"/>
      <c r="N36" s="26"/>
      <c r="P36" s="1" t="n">
        <f aca="false">IFERROR(VALUE(MID($A36,5,4)),0)</f>
        <v>7</v>
      </c>
      <c r="Q36" s="1" t="s">
        <v>203</v>
      </c>
    </row>
    <row r="37" customFormat="false" ht="15" hidden="false" customHeight="true" outlineLevel="0" collapsed="false">
      <c r="A37" s="24" t="str">
        <f aca="false">IF(AND(B37="",C37="",D37="",E37="",F37="",G37="",H37="",J37="",L37="",M37="",N37=""),"",Q37)</f>
        <v>NEW-0011</v>
      </c>
      <c r="B37" s="25" t="s">
        <v>204</v>
      </c>
      <c r="C37" s="25" t="s">
        <v>98</v>
      </c>
      <c r="D37" s="25" t="s">
        <v>116</v>
      </c>
      <c r="E37" s="25" t="s">
        <v>164</v>
      </c>
      <c r="F37" s="25" t="s">
        <v>124</v>
      </c>
      <c r="G37" s="25" t="s">
        <v>87</v>
      </c>
      <c r="H37" s="25" t="s">
        <v>195</v>
      </c>
      <c r="I37" s="26" t="str">
        <f aca="false">IF($A37="","",IFERROR(IF(ISBLANK(INDEX(SprintPlanning[Sprint],MATCH($A37,SprintPlanning[Requirement ID],0))),"To Plan",INDEX(SprintPlanning[Sprint],MATCH($A37,SprintPlanning[Requirement ID],0))),"To Plan"))</f>
        <v>To Plan</v>
      </c>
      <c r="J37" s="25" t="n">
        <v>8</v>
      </c>
      <c r="K37" s="26" t="str">
        <f aca="false">IFERROR(IF(ISBLANK(INDEX(Release[Release],MATCH($A37,Release[Requirement ID],0))),"",INDEX(Release[Release],MATCH($A37,Release[Requirement ID],0))),"")</f>
        <v/>
      </c>
      <c r="L37" s="27" t="n">
        <v>46226</v>
      </c>
      <c r="M37" s="25" t="s">
        <v>94</v>
      </c>
      <c r="N37" s="26" t="s">
        <v>205</v>
      </c>
      <c r="P37" s="1" t="n">
        <f aca="false">IFERROR(VALUE(MID($A37,5,4)),0)</f>
        <v>11</v>
      </c>
      <c r="Q37" s="1" t="s">
        <v>206</v>
      </c>
    </row>
    <row r="38" customFormat="false" ht="15" hidden="false" customHeight="true" outlineLevel="0" collapsed="false">
      <c r="A38" s="24" t="str">
        <f aca="false">IF(AND(B38="",C38="",D38="",E38="",F38="",G38="",H38="",J38="",L38="",M38="",N38=""),"",Q38)</f>
        <v>NEW-0016</v>
      </c>
      <c r="B38" s="25" t="s">
        <v>207</v>
      </c>
      <c r="C38" s="25" t="s">
        <v>90</v>
      </c>
      <c r="D38" s="25" t="s">
        <v>84</v>
      </c>
      <c r="E38" s="25" t="s">
        <v>91</v>
      </c>
      <c r="F38" s="25" t="s">
        <v>124</v>
      </c>
      <c r="G38" s="25" t="s">
        <v>87</v>
      </c>
      <c r="H38" s="25" t="s">
        <v>125</v>
      </c>
      <c r="I38" s="26" t="str">
        <f aca="false">IF($A38="","",IFERROR(IF(ISBLANK(INDEX(SprintPlanning[Sprint],MATCH($A38,SprintPlanning[Requirement ID],0))),"To Plan",INDEX(SprintPlanning[Sprint],MATCH($A38,SprintPlanning[Requirement ID],0))),"To Plan"))</f>
        <v>To Plan</v>
      </c>
      <c r="J38" s="25" t="n">
        <v>8</v>
      </c>
      <c r="K38" s="26" t="str">
        <f aca="false">IFERROR(IF(ISBLANK(INDEX(Release[Release],MATCH($A38,Release[Requirement ID],0))),"",INDEX(Release[Release],MATCH($A38,Release[Requirement ID],0))),"")</f>
        <v/>
      </c>
      <c r="L38" s="27" t="n">
        <v>46226</v>
      </c>
      <c r="M38" s="25" t="s">
        <v>94</v>
      </c>
      <c r="N38" s="26" t="s">
        <v>208</v>
      </c>
      <c r="P38" s="1" t="n">
        <f aca="false">IFERROR(VALUE(MID($A38,5,4)),0)</f>
        <v>16</v>
      </c>
      <c r="Q38" s="1" t="s">
        <v>209</v>
      </c>
    </row>
    <row r="39" customFormat="false" ht="15" hidden="false" customHeight="true" outlineLevel="0" collapsed="false">
      <c r="A39" s="24" t="str">
        <f aca="false">IF(AND(B39="",C39="",D39="",E39="",F39="",G39="",H39="",J39="",L39="",M39="",N39=""),"",Q39)</f>
        <v>NEW-0017</v>
      </c>
      <c r="B39" s="25" t="s">
        <v>210</v>
      </c>
      <c r="C39" s="25" t="s">
        <v>160</v>
      </c>
      <c r="D39" s="25" t="s">
        <v>135</v>
      </c>
      <c r="E39" s="25" t="s">
        <v>91</v>
      </c>
      <c r="F39" s="25" t="s">
        <v>124</v>
      </c>
      <c r="G39" s="25" t="s">
        <v>87</v>
      </c>
      <c r="H39" s="25" t="s">
        <v>200</v>
      </c>
      <c r="I39" s="26" t="str">
        <f aca="false">IF($A39="","",IFERROR(IF(ISBLANK(INDEX(SprintPlanning[Sprint],MATCH($A39,SprintPlanning[Requirement ID],0))),"To Plan",INDEX(SprintPlanning[Sprint],MATCH($A39,SprintPlanning[Requirement ID],0))),"To Plan"))</f>
        <v>To Plan</v>
      </c>
      <c r="J39" s="25" t="n">
        <v>40</v>
      </c>
      <c r="K39" s="26" t="str">
        <f aca="false">IFERROR(IF(ISBLANK(INDEX(Release[Release],MATCH($A39,Release[Requirement ID],0))),"",INDEX(Release[Release],MATCH($A39,Release[Requirement ID],0))),"")</f>
        <v/>
      </c>
      <c r="L39" s="27" t="n">
        <v>46226</v>
      </c>
      <c r="M39" s="25"/>
      <c r="N39" s="26"/>
      <c r="P39" s="1" t="n">
        <f aca="false">IFERROR(VALUE(MID($A39,5,4)),0)</f>
        <v>17</v>
      </c>
      <c r="Q39" s="1" t="s">
        <v>211</v>
      </c>
    </row>
    <row r="40" customFormat="false" ht="15" hidden="false" customHeight="true" outlineLevel="0" collapsed="false">
      <c r="A40" s="24" t="str">
        <f aca="false">IF(AND(B40="",C40="",D40="",E40="",F40="",G40="",H40="",J40="",L40="",M40="",N40=""),"",Q40)</f>
        <v>NEW-0018</v>
      </c>
      <c r="B40" s="25" t="s">
        <v>212</v>
      </c>
      <c r="C40" s="25" t="s">
        <v>160</v>
      </c>
      <c r="D40" s="25" t="s">
        <v>135</v>
      </c>
      <c r="E40" s="25" t="s">
        <v>91</v>
      </c>
      <c r="F40" s="25" t="s">
        <v>124</v>
      </c>
      <c r="G40" s="25" t="s">
        <v>87</v>
      </c>
      <c r="H40" s="25" t="s">
        <v>200</v>
      </c>
      <c r="I40" s="26" t="str">
        <f aca="false">IF($A40="","",IFERROR(IF(ISBLANK(INDEX(SprintPlanning[Sprint],MATCH($A40,SprintPlanning[Requirement ID],0))),"To Plan",INDEX(SprintPlanning[Sprint],MATCH($A40,SprintPlanning[Requirement ID],0))),"To Plan"))</f>
        <v>To Plan</v>
      </c>
      <c r="J40" s="25" t="n">
        <v>40</v>
      </c>
      <c r="K40" s="26" t="str">
        <f aca="false">IFERROR(IF(ISBLANK(INDEX(Release[Release],MATCH($A40,Release[Requirement ID],0))),"",INDEX(Release[Release],MATCH($A40,Release[Requirement ID],0))),"")</f>
        <v/>
      </c>
      <c r="L40" s="27" t="n">
        <v>46226</v>
      </c>
      <c r="M40" s="25"/>
      <c r="N40" s="26"/>
      <c r="P40" s="1" t="n">
        <f aca="false">IFERROR(VALUE(MID($A40,5,4)),0)</f>
        <v>18</v>
      </c>
      <c r="Q40" s="1" t="s">
        <v>213</v>
      </c>
    </row>
    <row r="41" customFormat="false" ht="15" hidden="false" customHeight="true" outlineLevel="0" collapsed="false">
      <c r="A41" s="24" t="str">
        <f aca="false">IF(AND(B41="",C41="",D41="",E41="",F41="",G41="",H41="",J41="",L41="",M41="",N41=""),"",Q41)</f>
        <v>NEW-0020</v>
      </c>
      <c r="B41" s="25" t="s">
        <v>214</v>
      </c>
      <c r="C41" s="25" t="s">
        <v>160</v>
      </c>
      <c r="D41" s="25" t="s">
        <v>168</v>
      </c>
      <c r="E41" s="25" t="s">
        <v>91</v>
      </c>
      <c r="F41" s="25" t="s">
        <v>124</v>
      </c>
      <c r="G41" s="25" t="s">
        <v>87</v>
      </c>
      <c r="H41" s="25"/>
      <c r="I41" s="26" t="str">
        <f aca="false">IF($A41="","",IFERROR(IF(ISBLANK(INDEX(SprintPlanning[Sprint],MATCH($A41,SprintPlanning[Requirement ID],0))),"To Plan",INDEX(SprintPlanning[Sprint],MATCH($A41,SprintPlanning[Requirement ID],0))),"To Plan"))</f>
        <v>To Plan</v>
      </c>
      <c r="J41" s="25" t="n">
        <v>20</v>
      </c>
      <c r="K41" s="26" t="str">
        <f aca="false">IFERROR(IF(ISBLANK(INDEX(Release[Release],MATCH($A41,Release[Requirement ID],0))),"",INDEX(Release[Release],MATCH($A41,Release[Requirement ID],0))),"")</f>
        <v/>
      </c>
      <c r="L41" s="27" t="n">
        <v>46226</v>
      </c>
      <c r="M41" s="25"/>
      <c r="N41" s="26"/>
      <c r="P41" s="1" t="n">
        <f aca="false">IFERROR(VALUE(MID($A41,5,4)),0)</f>
        <v>20</v>
      </c>
      <c r="Q41" s="1" t="s">
        <v>215</v>
      </c>
    </row>
    <row r="42" customFormat="false" ht="15" hidden="false" customHeight="true" outlineLevel="0" collapsed="false">
      <c r="A42" s="24" t="str">
        <f aca="false">IF(AND(B42="",C42="",D42="",E42="",F42="",G42="",H42="",J42="",L42="",M42="",N42=""),"",Q42)</f>
        <v>NEW-0022</v>
      </c>
      <c r="B42" s="25" t="s">
        <v>216</v>
      </c>
      <c r="C42" s="25" t="s">
        <v>160</v>
      </c>
      <c r="D42" s="25" t="s">
        <v>168</v>
      </c>
      <c r="E42" s="25" t="s">
        <v>91</v>
      </c>
      <c r="F42" s="25" t="s">
        <v>124</v>
      </c>
      <c r="G42" s="25" t="s">
        <v>87</v>
      </c>
      <c r="H42" s="25"/>
      <c r="I42" s="26" t="str">
        <f aca="false">IF($A42="","",IFERROR(IF(ISBLANK(INDEX(SprintPlanning[Sprint],MATCH($A42,SprintPlanning[Requirement ID],0))),"To Plan",INDEX(SprintPlanning[Sprint],MATCH($A42,SprintPlanning[Requirement ID],0))),"To Plan"))</f>
        <v>To Plan</v>
      </c>
      <c r="J42" s="25" t="n">
        <v>8</v>
      </c>
      <c r="K42" s="26" t="str">
        <f aca="false">IFERROR(IF(ISBLANK(INDEX(Release[Release],MATCH($A42,Release[Requirement ID],0))),"",INDEX(Release[Release],MATCH($A42,Release[Requirement ID],0))),"")</f>
        <v/>
      </c>
      <c r="L42" s="27" t="n">
        <v>46226</v>
      </c>
      <c r="M42" s="25"/>
      <c r="N42" s="26"/>
      <c r="P42" s="1" t="n">
        <f aca="false">IFERROR(VALUE(MID($A42,5,4)),0)</f>
        <v>22</v>
      </c>
      <c r="Q42" s="1" t="s">
        <v>217</v>
      </c>
    </row>
    <row r="43" customFormat="false" ht="15" hidden="false" customHeight="true" outlineLevel="0" collapsed="false">
      <c r="A43" s="24" t="str">
        <f aca="false">IF(AND(B43="",C43="",D43="",E43="",F43="",G43="",H43="",J43="",L43="",M43="",N43=""),"",Q43)</f>
        <v>NEW-0033</v>
      </c>
      <c r="B43" s="25" t="s">
        <v>218</v>
      </c>
      <c r="C43" s="25" t="s">
        <v>90</v>
      </c>
      <c r="D43" s="25" t="s">
        <v>168</v>
      </c>
      <c r="E43" s="25" t="s">
        <v>91</v>
      </c>
      <c r="F43" s="25" t="s">
        <v>124</v>
      </c>
      <c r="G43" s="25" t="s">
        <v>87</v>
      </c>
      <c r="H43" s="25"/>
      <c r="I43" s="26" t="str">
        <f aca="false">IF($A43="","",IFERROR(IF(ISBLANK(INDEX(SprintPlanning[Sprint],MATCH($A43,SprintPlanning[Requirement ID],0))),"To Plan",INDEX(SprintPlanning[Sprint],MATCH($A43,SprintPlanning[Requirement ID],0))),"To Plan"))</f>
        <v>To Plan</v>
      </c>
      <c r="J43" s="25" t="n">
        <v>3</v>
      </c>
      <c r="K43" s="26" t="str">
        <f aca="false">IFERROR(IF(ISBLANK(INDEX(Release[Release],MATCH($A43,Release[Requirement ID],0))),"",INDEX(Release[Release],MATCH($A43,Release[Requirement ID],0))),"")</f>
        <v/>
      </c>
      <c r="L43" s="27" t="n">
        <v>46226</v>
      </c>
      <c r="M43" s="25" t="s">
        <v>94</v>
      </c>
      <c r="N43" s="26" t="s">
        <v>219</v>
      </c>
      <c r="P43" s="1" t="n">
        <f aca="false">IFERROR(VALUE(MID($A43,5,4)),0)</f>
        <v>33</v>
      </c>
      <c r="Q43" s="1" t="s">
        <v>220</v>
      </c>
    </row>
    <row r="44" customFormat="false" ht="15" hidden="false" customHeight="true" outlineLevel="0" collapsed="false">
      <c r="A44" s="24" t="str">
        <f aca="false">IF(AND(B44="",C44="",D44="",E44="",F44="",G44="",H44="",J44="",L44="",M44="",N44=""),"",Q44)</f>
        <v>NEW-0068</v>
      </c>
      <c r="B44" s="25" t="s">
        <v>221</v>
      </c>
      <c r="C44" s="25" t="s">
        <v>98</v>
      </c>
      <c r="D44" s="25" t="s">
        <v>168</v>
      </c>
      <c r="E44" s="25" t="s">
        <v>91</v>
      </c>
      <c r="F44" s="25" t="s">
        <v>124</v>
      </c>
      <c r="G44" s="25" t="s">
        <v>87</v>
      </c>
      <c r="H44" s="25"/>
      <c r="I44" s="26" t="str">
        <f aca="false">IF($A44="","",IFERROR(IF(ISBLANK(INDEX(SprintPlanning[Sprint],MATCH($A44,SprintPlanning[Requirement ID],0))),"To Plan",INDEX(SprintPlanning[Sprint],MATCH($A44,SprintPlanning[Requirement ID],0))),"To Plan"))</f>
        <v>To Plan</v>
      </c>
      <c r="J44" s="25" t="n">
        <v>8</v>
      </c>
      <c r="K44" s="26" t="str">
        <f aca="false">IFERROR(IF(ISBLANK(INDEX(Release[Release],MATCH($A44,Release[Requirement ID],0))),"",INDEX(Release[Release],MATCH($A44,Release[Requirement ID],0))),"")</f>
        <v/>
      </c>
      <c r="L44" s="27" t="n">
        <v>46226</v>
      </c>
      <c r="M44" s="25"/>
      <c r="N44" s="26"/>
      <c r="P44" s="1" t="n">
        <f aca="false">IFERROR(VALUE(MID($A44,5,4)),0)</f>
        <v>68</v>
      </c>
      <c r="Q44" s="1" t="s">
        <v>222</v>
      </c>
    </row>
    <row r="45" customFormat="false" ht="15" hidden="false" customHeight="true" outlineLevel="0" collapsed="false">
      <c r="A45" s="24" t="str">
        <f aca="false">IF(AND(B45="",C45="",D45="",E45="",F45="",G45="",H45="",J45="",L45="",M45="",N45=""),"",Q45)</f>
        <v>NEW-0265</v>
      </c>
      <c r="B45" s="25" t="s">
        <v>223</v>
      </c>
      <c r="C45" s="25" t="s">
        <v>83</v>
      </c>
      <c r="D45" s="25" t="s">
        <v>84</v>
      </c>
      <c r="E45" s="25" t="s">
        <v>85</v>
      </c>
      <c r="F45" s="25" t="s">
        <v>224</v>
      </c>
      <c r="G45" s="25" t="s">
        <v>87</v>
      </c>
      <c r="H45" s="25"/>
      <c r="I45" s="26" t="str">
        <f aca="false">IF($A45="","",IFERROR(IF(ISBLANK(INDEX(SprintPlanning[Sprint],MATCH($A45,SprintPlanning[Requirement ID],0))),"To Plan",INDEX(SprintPlanning[Sprint],MATCH($A45,SprintPlanning[Requirement ID],0))),"To Plan"))</f>
        <v>To Plan</v>
      </c>
      <c r="J45" s="25"/>
      <c r="K45" s="26" t="str">
        <f aca="false">IFERROR(IF(ISBLANK(INDEX(Release[Release],MATCH($A45,Release[Requirement ID],0))),"",INDEX(Release[Release],MATCH($A45,Release[Requirement ID],0))),"")</f>
        <v/>
      </c>
      <c r="L45" s="27" t="n">
        <v>46232</v>
      </c>
      <c r="M45" s="25"/>
      <c r="N45" s="26"/>
      <c r="P45" s="1" t="n">
        <f aca="false">IFERROR(VALUE(MID($A45,5,4)),0)</f>
        <v>265</v>
      </c>
      <c r="Q45" s="1" t="s">
        <v>225</v>
      </c>
    </row>
    <row r="46" customFormat="false" ht="15" hidden="false" customHeight="true" outlineLevel="0" collapsed="false">
      <c r="A46" s="24" t="str">
        <f aca="false">IF(AND(B46="",C46="",D46="",E46="",F46="",G46="",H46="",J46="",L46="",M46="",N46=""),"",Q46)</f>
        <v>NEW-0266</v>
      </c>
      <c r="B46" s="25" t="s">
        <v>226</v>
      </c>
      <c r="C46" s="25" t="s">
        <v>83</v>
      </c>
      <c r="D46" s="25" t="s">
        <v>84</v>
      </c>
      <c r="E46" s="25" t="s">
        <v>85</v>
      </c>
      <c r="F46" s="25" t="s">
        <v>224</v>
      </c>
      <c r="G46" s="25" t="s">
        <v>87</v>
      </c>
      <c r="H46" s="25"/>
      <c r="I46" s="26" t="str">
        <f aca="false">IF($A46="","",IFERROR(IF(ISBLANK(INDEX(SprintPlanning[Sprint],MATCH($A46,SprintPlanning[Requirement ID],0))),"To Plan",INDEX(SprintPlanning[Sprint],MATCH($A46,SprintPlanning[Requirement ID],0))),"To Plan"))</f>
        <v>To Plan</v>
      </c>
      <c r="J46" s="25"/>
      <c r="K46" s="26" t="str">
        <f aca="false">IFERROR(IF(ISBLANK(INDEX(Release[Release],MATCH($A46,Release[Requirement ID],0))),"",INDEX(Release[Release],MATCH($A46,Release[Requirement ID],0))),"")</f>
        <v/>
      </c>
      <c r="L46" s="27" t="n">
        <v>46232</v>
      </c>
      <c r="M46" s="25"/>
      <c r="N46" s="26"/>
      <c r="P46" s="1" t="n">
        <f aca="false">IFERROR(VALUE(MID($A46,5,4)),0)</f>
        <v>266</v>
      </c>
      <c r="Q46" s="1" t="s">
        <v>227</v>
      </c>
    </row>
    <row r="47" customFormat="false" ht="15" hidden="false" customHeight="true" outlineLevel="0" collapsed="false">
      <c r="A47" s="24" t="str">
        <f aca="false">IF(AND(B47="",C47="",D47="",E47="",F47="",G47="",H47="",J47="",L47="",M47="",N47=""),"",Q47)</f>
        <v>NEW-0270</v>
      </c>
      <c r="B47" s="25" t="s">
        <v>228</v>
      </c>
      <c r="C47" s="25" t="s">
        <v>98</v>
      </c>
      <c r="D47" s="25" t="s">
        <v>84</v>
      </c>
      <c r="E47" s="25" t="s">
        <v>91</v>
      </c>
      <c r="F47" s="25" t="s">
        <v>124</v>
      </c>
      <c r="G47" s="25" t="s">
        <v>87</v>
      </c>
      <c r="H47" s="25"/>
      <c r="I47" s="26" t="str">
        <f aca="false">IF($A47="","",IFERROR(IF(ISBLANK(INDEX(SprintPlanning[Sprint],MATCH($A47,SprintPlanning[Requirement ID],0))),"To Plan",INDEX(SprintPlanning[Sprint],MATCH($A47,SprintPlanning[Requirement ID],0))),"To Plan"))</f>
        <v>To Plan</v>
      </c>
      <c r="J47" s="25" t="n">
        <v>5</v>
      </c>
      <c r="K47" s="26" t="str">
        <f aca="false">IFERROR(IF(ISBLANK(INDEX(Release[Release],MATCH($A47,Release[Requirement ID],0))),"",INDEX(Release[Release],MATCH($A47,Release[Requirement ID],0))),"")</f>
        <v/>
      </c>
      <c r="L47" s="27" t="n">
        <v>46232</v>
      </c>
      <c r="M47" s="25"/>
      <c r="N47" s="26"/>
      <c r="P47" s="1" t="n">
        <f aca="false">IFERROR(VALUE(MID($A47,5,4)),0)</f>
        <v>270</v>
      </c>
      <c r="Q47" s="1" t="s">
        <v>229</v>
      </c>
    </row>
    <row r="48" customFormat="false" ht="15" hidden="false" customHeight="true" outlineLevel="0" collapsed="false">
      <c r="A48" s="24" t="str">
        <f aca="false">IF(AND(B48="",C48="",D48="",E48="",F48="",G48="",H48="",J48="",L48="",M48="",N48=""),"",Q48)</f>
        <v>NEW-0274</v>
      </c>
      <c r="B48" s="25" t="s">
        <v>230</v>
      </c>
      <c r="C48" s="25" t="s">
        <v>98</v>
      </c>
      <c r="D48" s="25" t="s">
        <v>116</v>
      </c>
      <c r="E48" s="25" t="s">
        <v>164</v>
      </c>
      <c r="F48" s="25" t="s">
        <v>124</v>
      </c>
      <c r="G48" s="25" t="s">
        <v>87</v>
      </c>
      <c r="H48" s="25"/>
      <c r="I48" s="26" t="str">
        <f aca="false">IF($A48="","",IFERROR(IF(ISBLANK(INDEX(SprintPlanning[Sprint],MATCH($A48,SprintPlanning[Requirement ID],0))),"To Plan",INDEX(SprintPlanning[Sprint],MATCH($A48,SprintPlanning[Requirement ID],0))),"To Plan"))</f>
        <v>To Plan</v>
      </c>
      <c r="J48" s="25" t="n">
        <v>3</v>
      </c>
      <c r="K48" s="26" t="str">
        <f aca="false">IFERROR(IF(ISBLANK(INDEX(Release[Release],MATCH($A48,Release[Requirement ID],0))),"",INDEX(Release[Release],MATCH($A48,Release[Requirement ID],0))),"")</f>
        <v/>
      </c>
      <c r="L48" s="27" t="n">
        <v>46232</v>
      </c>
      <c r="M48" s="25"/>
      <c r="N48" s="26"/>
      <c r="P48" s="1" t="n">
        <f aca="false">IFERROR(VALUE(MID($A48,5,4)),0)</f>
        <v>274</v>
      </c>
      <c r="Q48" s="1" t="s">
        <v>231</v>
      </c>
    </row>
    <row r="49" customFormat="false" ht="15" hidden="false" customHeight="true" outlineLevel="0" collapsed="false">
      <c r="A49" s="24" t="str">
        <f aca="false">IF(AND(B49="",C49="",D49="",E49="",F49="",G49="",H49="",J49="",L49="",M49="",N49=""),"",Q49)</f>
        <v>NEW-0284</v>
      </c>
      <c r="B49" s="25" t="s">
        <v>232</v>
      </c>
      <c r="C49" s="25" t="s">
        <v>98</v>
      </c>
      <c r="D49" s="25" t="s">
        <v>168</v>
      </c>
      <c r="E49" s="25" t="s">
        <v>91</v>
      </c>
      <c r="F49" s="25" t="s">
        <v>124</v>
      </c>
      <c r="G49" s="25" t="s">
        <v>87</v>
      </c>
      <c r="H49" s="25"/>
      <c r="I49" s="26" t="str">
        <f aca="false">IF($A49="","",IFERROR(IF(ISBLANK(INDEX(SprintPlanning[Sprint],MATCH($A49,SprintPlanning[Requirement ID],0))),"To Plan",INDEX(SprintPlanning[Sprint],MATCH($A49,SprintPlanning[Requirement ID],0))),"To Plan"))</f>
        <v>To Plan</v>
      </c>
      <c r="J49" s="25"/>
      <c r="K49" s="26" t="str">
        <f aca="false">IFERROR(IF(ISBLANK(INDEX(Release[Release],MATCH($A49,Release[Requirement ID],0))),"",INDEX(Release[Release],MATCH($A49,Release[Requirement ID],0))),"")</f>
        <v/>
      </c>
      <c r="L49" s="27" t="n">
        <v>46232</v>
      </c>
      <c r="M49" s="25"/>
      <c r="N49" s="26"/>
      <c r="P49" s="1" t="n">
        <f aca="false">IFERROR(VALUE(MID($A49,5,4)),0)</f>
        <v>284</v>
      </c>
      <c r="Q49" s="1" t="s">
        <v>233</v>
      </c>
    </row>
    <row r="50" customFormat="false" ht="15" hidden="false" customHeight="true" outlineLevel="0" collapsed="false">
      <c r="A50" s="24" t="str">
        <f aca="false">IF(AND(B50="",C50="",D50="",E50="",F50="",G50="",H50="",J50="",L50="",M50="",N50=""),"",Q50)</f>
        <v>NEW-0288</v>
      </c>
      <c r="B50" s="25" t="s">
        <v>234</v>
      </c>
      <c r="C50" s="25" t="s">
        <v>105</v>
      </c>
      <c r="D50" s="25" t="s">
        <v>168</v>
      </c>
      <c r="E50" s="25" t="s">
        <v>106</v>
      </c>
      <c r="F50" s="25" t="s">
        <v>124</v>
      </c>
      <c r="G50" s="25" t="s">
        <v>87</v>
      </c>
      <c r="H50" s="25"/>
      <c r="I50" s="26" t="str">
        <f aca="false">IF($A50="","",IFERROR(IF(ISBLANK(INDEX(SprintPlanning[Sprint],MATCH($A50,SprintPlanning[Requirement ID],0))),"To Plan",INDEX(SprintPlanning[Sprint],MATCH($A50,SprintPlanning[Requirement ID],0))),"To Plan"))</f>
        <v>To Plan</v>
      </c>
      <c r="J50" s="25" t="n">
        <v>8</v>
      </c>
      <c r="K50" s="26" t="str">
        <f aca="false">IFERROR(IF(ISBLANK(INDEX(Release[Release],MATCH($A50,Release[Requirement ID],0))),"",INDEX(Release[Release],MATCH($A50,Release[Requirement ID],0))),"")</f>
        <v/>
      </c>
      <c r="L50" s="27" t="n">
        <v>46232</v>
      </c>
      <c r="M50" s="25"/>
      <c r="N50" s="26"/>
      <c r="P50" s="1" t="n">
        <f aca="false">IFERROR(VALUE(MID($A50,5,4)),0)</f>
        <v>288</v>
      </c>
      <c r="Q50" s="1" t="s">
        <v>235</v>
      </c>
    </row>
    <row r="51" customFormat="false" ht="15" hidden="false" customHeight="true" outlineLevel="0" collapsed="false">
      <c r="A51" s="24" t="str">
        <f aca="false">IF(AND(B51="",C51="",D51="",E51="",F51="",G51="",H51="",J51="",L51="",M51="",N51=""),"",Q51)</f>
        <v>NEW-0290</v>
      </c>
      <c r="B51" s="25" t="s">
        <v>236</v>
      </c>
      <c r="C51" s="25" t="s">
        <v>237</v>
      </c>
      <c r="D51" s="25" t="s">
        <v>168</v>
      </c>
      <c r="E51" s="25" t="s">
        <v>91</v>
      </c>
      <c r="F51" s="25" t="s">
        <v>124</v>
      </c>
      <c r="G51" s="25" t="s">
        <v>87</v>
      </c>
      <c r="H51" s="25"/>
      <c r="I51" s="26" t="str">
        <f aca="false">IF($A51="","",IFERROR(IF(ISBLANK(INDEX(SprintPlanning[Sprint],MATCH($A51,SprintPlanning[Requirement ID],0))),"To Plan",INDEX(SprintPlanning[Sprint],MATCH($A51,SprintPlanning[Requirement ID],0))),"To Plan"))</f>
        <v>Sprint 11</v>
      </c>
      <c r="J51" s="25" t="n">
        <v>5</v>
      </c>
      <c r="K51" s="26" t="str">
        <f aca="false">IFERROR(IF(ISBLANK(INDEX(Release[Release],MATCH($A51,Release[Requirement ID],0))),"",INDEX(Release[Release],MATCH($A51,Release[Requirement ID],0))),"")</f>
        <v/>
      </c>
      <c r="L51" s="27" t="n">
        <v>46232</v>
      </c>
      <c r="M51" s="25" t="s">
        <v>94</v>
      </c>
      <c r="N51" s="40" t="s">
        <v>238</v>
      </c>
      <c r="P51" s="1" t="n">
        <f aca="false">IFERROR(VALUE(MID($A51,5,4)),0)</f>
        <v>290</v>
      </c>
      <c r="Q51" s="1" t="s">
        <v>239</v>
      </c>
    </row>
    <row r="52" customFormat="false" ht="15" hidden="false" customHeight="true" outlineLevel="0" collapsed="false">
      <c r="A52" s="24" t="str">
        <f aca="false">IF(AND(B52="",C52="",D52="",E52="",F52="",G52="",H52="",J52="",L52="",M52="",N52=""),"",Q52)</f>
        <v>NEW-0299</v>
      </c>
      <c r="B52" s="25" t="s">
        <v>240</v>
      </c>
      <c r="C52" s="25" t="s">
        <v>98</v>
      </c>
      <c r="D52" s="25" t="s">
        <v>168</v>
      </c>
      <c r="E52" s="25" t="s">
        <v>91</v>
      </c>
      <c r="F52" s="25" t="s">
        <v>124</v>
      </c>
      <c r="G52" s="25" t="s">
        <v>87</v>
      </c>
      <c r="H52" s="25"/>
      <c r="I52" s="26" t="str">
        <f aca="false">IF($A52="","",IFERROR(IF(ISBLANK(INDEX(SprintPlanning[Sprint],MATCH($A52,SprintPlanning[Requirement ID],0))),"To Plan",INDEX(SprintPlanning[Sprint],MATCH($A52,SprintPlanning[Requirement ID],0))),"To Plan"))</f>
        <v>To Plan</v>
      </c>
      <c r="J52" s="25" t="n">
        <v>33</v>
      </c>
      <c r="K52" s="26" t="str">
        <f aca="false">IFERROR(IF(ISBLANK(INDEX(Release[Release],MATCH($A52,Release[Requirement ID],0))),"",INDEX(Release[Release],MATCH($A52,Release[Requirement ID],0))),"")</f>
        <v/>
      </c>
      <c r="L52" s="27" t="n">
        <v>46232</v>
      </c>
      <c r="M52" s="25"/>
      <c r="N52" s="26"/>
      <c r="P52" s="1" t="n">
        <f aca="false">IFERROR(VALUE(MID($A52,5,4)),0)</f>
        <v>299</v>
      </c>
      <c r="Q52" s="1" t="s">
        <v>241</v>
      </c>
    </row>
    <row r="53" customFormat="false" ht="15" hidden="false" customHeight="true" outlineLevel="0" collapsed="false">
      <c r="A53" s="24" t="str">
        <f aca="false">IF(AND(B53="",C53="",D53="",E53="",F53="",G53="",H53="",J53="",L53="",M53="",N53=""),"",Q53)</f>
        <v>NEW-0315</v>
      </c>
      <c r="B53" s="25" t="s">
        <v>242</v>
      </c>
      <c r="C53" s="25" t="s">
        <v>98</v>
      </c>
      <c r="D53" s="25" t="s">
        <v>168</v>
      </c>
      <c r="E53" s="25" t="s">
        <v>91</v>
      </c>
      <c r="F53" s="25" t="s">
        <v>124</v>
      </c>
      <c r="G53" s="25" t="s">
        <v>87</v>
      </c>
      <c r="H53" s="25"/>
      <c r="I53" s="26" t="str">
        <f aca="false">IF($A53="","",IFERROR(IF(ISBLANK(INDEX(SprintPlanning[Sprint],MATCH($A53,SprintPlanning[Requirement ID],0))),"To Plan",INDEX(SprintPlanning[Sprint],MATCH($A53,SprintPlanning[Requirement ID],0))),"To Plan"))</f>
        <v>To Plan</v>
      </c>
      <c r="J53" s="25" t="n">
        <v>8</v>
      </c>
      <c r="K53" s="26" t="str">
        <f aca="false">IFERROR(IF(ISBLANK(INDEX(Release[Release],MATCH($A53,Release[Requirement ID],0))),"",INDEX(Release[Release],MATCH($A53,Release[Requirement ID],0))),"")</f>
        <v/>
      </c>
      <c r="L53" s="27" t="n">
        <v>46232</v>
      </c>
      <c r="M53" s="25"/>
      <c r="N53" s="26"/>
      <c r="P53" s="1" t="n">
        <f aca="false">IFERROR(VALUE(MID($A53,5,4)),0)</f>
        <v>315</v>
      </c>
      <c r="Q53" s="1" t="s">
        <v>243</v>
      </c>
    </row>
    <row r="54" customFormat="false" ht="15" hidden="false" customHeight="true" outlineLevel="0" collapsed="false">
      <c r="A54" s="24" t="str">
        <f aca="false">IF(AND(B54="",C54="",D54="",E54="",F54="",G54="",H54="",J54="",L54="",M54="",N54=""),"",Q54)</f>
        <v>NEW-0322</v>
      </c>
      <c r="B54" s="25" t="s">
        <v>244</v>
      </c>
      <c r="C54" s="25" t="s">
        <v>98</v>
      </c>
      <c r="D54" s="25" t="s">
        <v>168</v>
      </c>
      <c r="E54" s="25" t="s">
        <v>91</v>
      </c>
      <c r="F54" s="25" t="s">
        <v>124</v>
      </c>
      <c r="G54" s="25" t="s">
        <v>87</v>
      </c>
      <c r="H54" s="25"/>
      <c r="I54" s="26" t="str">
        <f aca="false">IF($A54="","",IFERROR(IF(ISBLANK(INDEX(SprintPlanning[Sprint],MATCH($A54,SprintPlanning[Requirement ID],0))),"To Plan",INDEX(SprintPlanning[Sprint],MATCH($A54,SprintPlanning[Requirement ID],0))),"To Plan"))</f>
        <v>To Plan</v>
      </c>
      <c r="J54" s="25" t="n">
        <v>13</v>
      </c>
      <c r="K54" s="26" t="str">
        <f aca="false">IFERROR(IF(ISBLANK(INDEX(Release[Release],MATCH($A54,Release[Requirement ID],0))),"",INDEX(Release[Release],MATCH($A54,Release[Requirement ID],0))),"")</f>
        <v/>
      </c>
      <c r="L54" s="27" t="n">
        <v>46232</v>
      </c>
      <c r="M54" s="25"/>
      <c r="N54" s="26"/>
      <c r="P54" s="1" t="n">
        <f aca="false">IFERROR(VALUE(MID($A54,5,4)),0)</f>
        <v>322</v>
      </c>
      <c r="Q54" s="1" t="s">
        <v>245</v>
      </c>
    </row>
    <row r="55" customFormat="false" ht="15" hidden="false" customHeight="true" outlineLevel="0" collapsed="false">
      <c r="A55" s="24" t="str">
        <f aca="false">IF(AND(B55="",C55="",D55="",E55="",F55="",G55="",H55="",J55="",L55="",M55="",N55=""),"",Q55)</f>
        <v>NEW-0324</v>
      </c>
      <c r="B55" s="25" t="s">
        <v>246</v>
      </c>
      <c r="C55" s="25" t="s">
        <v>98</v>
      </c>
      <c r="D55" s="25" t="s">
        <v>168</v>
      </c>
      <c r="E55" s="25" t="s">
        <v>91</v>
      </c>
      <c r="F55" s="25" t="s">
        <v>124</v>
      </c>
      <c r="G55" s="25" t="s">
        <v>87</v>
      </c>
      <c r="H55" s="25"/>
      <c r="I55" s="26" t="str">
        <f aca="false">IF($A55="","",IFERROR(IF(ISBLANK(INDEX(SprintPlanning[Sprint],MATCH($A55,SprintPlanning[Requirement ID],0))),"To Plan",INDEX(SprintPlanning[Sprint],MATCH($A55,SprintPlanning[Requirement ID],0))),"To Plan"))</f>
        <v>To Plan</v>
      </c>
      <c r="J55" s="25"/>
      <c r="K55" s="26" t="str">
        <f aca="false">IFERROR(IF(ISBLANK(INDEX(Release[Release],MATCH($A55,Release[Requirement ID],0))),"",INDEX(Release[Release],MATCH($A55,Release[Requirement ID],0))),"")</f>
        <v/>
      </c>
      <c r="L55" s="27" t="n">
        <v>46232</v>
      </c>
      <c r="M55" s="25"/>
      <c r="N55" s="26"/>
      <c r="P55" s="1" t="n">
        <f aca="false">IFERROR(VALUE(MID($A55,5,4)),0)</f>
        <v>324</v>
      </c>
      <c r="Q55" s="1" t="s">
        <v>247</v>
      </c>
    </row>
    <row r="56" customFormat="false" ht="15" hidden="false" customHeight="true" outlineLevel="0" collapsed="false">
      <c r="A56" s="24" t="str">
        <f aca="false">IF(AND(B56="",C56="",D56="",E56="",F56="",G56="",H56="",J56="",L56="",M56="",N56=""),"",Q56)</f>
        <v>NEW-0343</v>
      </c>
      <c r="B56" s="25" t="s">
        <v>248</v>
      </c>
      <c r="C56" s="25" t="s">
        <v>98</v>
      </c>
      <c r="D56" s="25" t="s">
        <v>28</v>
      </c>
      <c r="E56" s="25" t="s">
        <v>85</v>
      </c>
      <c r="F56" s="25" t="s">
        <v>86</v>
      </c>
      <c r="G56" s="25" t="s">
        <v>87</v>
      </c>
      <c r="H56" s="25"/>
      <c r="I56" s="26" t="str">
        <f aca="false">IF($A56="","",IFERROR(IF(ISBLANK(INDEX(SprintPlanning[Sprint],MATCH($A56,SprintPlanning[Requirement ID],0))),"To Plan",INDEX(SprintPlanning[Sprint],MATCH($A56,SprintPlanning[Requirement ID],0))),"To Plan"))</f>
        <v>To Plan</v>
      </c>
      <c r="J56" s="25"/>
      <c r="K56" s="26" t="str">
        <f aca="false">IFERROR(IF(ISBLANK(INDEX(Release[Release],MATCH($A56,Release[Requirement ID],0))),"",INDEX(Release[Release],MATCH($A56,Release[Requirement ID],0))),"")</f>
        <v/>
      </c>
      <c r="L56" s="27" t="n">
        <v>46232</v>
      </c>
      <c r="M56" s="25"/>
      <c r="N56" s="26"/>
      <c r="P56" s="1" t="n">
        <f aca="false">IFERROR(VALUE(MID($A56,5,4)),0)</f>
        <v>343</v>
      </c>
      <c r="Q56" s="1" t="s">
        <v>249</v>
      </c>
    </row>
    <row r="57" customFormat="false" ht="15" hidden="false" customHeight="true" outlineLevel="0" collapsed="false">
      <c r="A57" s="24" t="str">
        <f aca="false">IF(AND(B57="",C57="",D57="",E57="",F57="",G57="",H57="",J57="",L57="",M57="",N57=""),"",Q57)</f>
        <v>NEW-0344</v>
      </c>
      <c r="B57" s="25" t="s">
        <v>250</v>
      </c>
      <c r="C57" s="25" t="s">
        <v>98</v>
      </c>
      <c r="D57" s="25" t="s">
        <v>28</v>
      </c>
      <c r="E57" s="25" t="s">
        <v>85</v>
      </c>
      <c r="F57" s="25" t="s">
        <v>124</v>
      </c>
      <c r="G57" s="25" t="s">
        <v>87</v>
      </c>
      <c r="H57" s="25"/>
      <c r="I57" s="26" t="str">
        <f aca="false">IF($A57="","",IFERROR(IF(ISBLANK(INDEX(SprintPlanning[Sprint],MATCH($A57,SprintPlanning[Requirement ID],0))),"To Plan",INDEX(SprintPlanning[Sprint],MATCH($A57,SprintPlanning[Requirement ID],0))),"To Plan"))</f>
        <v>To Plan</v>
      </c>
      <c r="J57" s="25"/>
      <c r="K57" s="26" t="str">
        <f aca="false">IFERROR(IF(ISBLANK(INDEX(Release[Release],MATCH($A57,Release[Requirement ID],0))),"",INDEX(Release[Release],MATCH($A57,Release[Requirement ID],0))),"")</f>
        <v/>
      </c>
      <c r="L57" s="27" t="n">
        <v>46232</v>
      </c>
      <c r="M57" s="25"/>
      <c r="N57" s="26"/>
      <c r="P57" s="1" t="n">
        <f aca="false">IFERROR(VALUE(MID($A57,5,4)),0)</f>
        <v>344</v>
      </c>
      <c r="Q57" s="1" t="s">
        <v>251</v>
      </c>
    </row>
    <row r="58" customFormat="false" ht="15" hidden="false" customHeight="true" outlineLevel="0" collapsed="false">
      <c r="A58" s="24" t="str">
        <f aca="false">IF(AND(B58="",C58="",D58="",E58="",F58="",G58="",H58="",J58="",L58="",M58="",N58=""),"",Q58)</f>
        <v>NEW-0345</v>
      </c>
      <c r="B58" s="25" t="s">
        <v>252</v>
      </c>
      <c r="C58" s="25" t="s">
        <v>98</v>
      </c>
      <c r="D58" s="25" t="s">
        <v>28</v>
      </c>
      <c r="E58" s="25" t="s">
        <v>85</v>
      </c>
      <c r="F58" s="25" t="s">
        <v>124</v>
      </c>
      <c r="G58" s="25" t="s">
        <v>87</v>
      </c>
      <c r="H58" s="25"/>
      <c r="I58" s="26" t="str">
        <f aca="false">IF($A58="","",IFERROR(IF(ISBLANK(INDEX(SprintPlanning[Sprint],MATCH($A58,SprintPlanning[Requirement ID],0))),"To Plan",INDEX(SprintPlanning[Sprint],MATCH($A58,SprintPlanning[Requirement ID],0))),"To Plan"))</f>
        <v>To Plan</v>
      </c>
      <c r="J58" s="25"/>
      <c r="K58" s="26" t="str">
        <f aca="false">IFERROR(IF(ISBLANK(INDEX(Release[Release],MATCH($A58,Release[Requirement ID],0))),"",INDEX(Release[Release],MATCH($A58,Release[Requirement ID],0))),"")</f>
        <v/>
      </c>
      <c r="L58" s="27" t="n">
        <v>46232</v>
      </c>
      <c r="M58" s="25"/>
      <c r="N58" s="26"/>
      <c r="P58" s="1" t="n">
        <f aca="false">IFERROR(VALUE(MID($A58,5,4)),0)</f>
        <v>345</v>
      </c>
      <c r="Q58" s="1" t="s">
        <v>253</v>
      </c>
    </row>
    <row r="59" customFormat="false" ht="15" hidden="false" customHeight="true" outlineLevel="0" collapsed="false">
      <c r="A59" s="24" t="str">
        <f aca="false">IF(AND(B59="",C59="",D59="",E59="",F59="",G59="",H59="",J59="",L59="",M59="",N59=""),"",Q59)</f>
        <v>NEW-0346</v>
      </c>
      <c r="B59" s="25" t="s">
        <v>254</v>
      </c>
      <c r="C59" s="25" t="s">
        <v>98</v>
      </c>
      <c r="D59" s="25" t="s">
        <v>28</v>
      </c>
      <c r="E59" s="25" t="s">
        <v>85</v>
      </c>
      <c r="F59" s="25" t="s">
        <v>124</v>
      </c>
      <c r="G59" s="25" t="s">
        <v>87</v>
      </c>
      <c r="H59" s="25"/>
      <c r="I59" s="26" t="str">
        <f aca="false">IF($A59="","",IFERROR(IF(ISBLANK(INDEX(SprintPlanning[Sprint],MATCH($A59,SprintPlanning[Requirement ID],0))),"To Plan",INDEX(SprintPlanning[Sprint],MATCH($A59,SprintPlanning[Requirement ID],0))),"To Plan"))</f>
        <v>To Plan</v>
      </c>
      <c r="J59" s="25"/>
      <c r="K59" s="26" t="str">
        <f aca="false">IFERROR(IF(ISBLANK(INDEX(Release[Release],MATCH($A59,Release[Requirement ID],0))),"",INDEX(Release[Release],MATCH($A59,Release[Requirement ID],0))),"")</f>
        <v/>
      </c>
      <c r="L59" s="27" t="n">
        <v>46232</v>
      </c>
      <c r="M59" s="25"/>
      <c r="N59" s="26"/>
      <c r="P59" s="1" t="n">
        <f aca="false">IFERROR(VALUE(MID($A59,5,4)),0)</f>
        <v>346</v>
      </c>
      <c r="Q59" s="1" t="s">
        <v>255</v>
      </c>
    </row>
    <row r="60" customFormat="false" ht="15" hidden="false" customHeight="true" outlineLevel="0" collapsed="false">
      <c r="A60" s="24" t="str">
        <f aca="false">IF(AND(B60="",C60="",D60="",E60="",F60="",G60="",H60="",J60="",L60="",M60="",N60=""),"",Q60)</f>
        <v>NEW-0356</v>
      </c>
      <c r="B60" s="25" t="s">
        <v>256</v>
      </c>
      <c r="C60" s="25" t="s">
        <v>98</v>
      </c>
      <c r="D60" s="25" t="s">
        <v>116</v>
      </c>
      <c r="E60" s="25" t="s">
        <v>91</v>
      </c>
      <c r="F60" s="25" t="s">
        <v>86</v>
      </c>
      <c r="G60" s="25" t="s">
        <v>87</v>
      </c>
      <c r="H60" s="25"/>
      <c r="I60" s="26" t="str">
        <f aca="false">IF($A60="","",IFERROR(IF(ISBLANK(INDEX(SprintPlanning[Sprint],MATCH($A60,SprintPlanning[Requirement ID],0))),"To Plan",INDEX(SprintPlanning[Sprint],MATCH($A60,SprintPlanning[Requirement ID],0))),"To Plan"))</f>
        <v>To Plan</v>
      </c>
      <c r="J60" s="25" t="n">
        <v>8</v>
      </c>
      <c r="K60" s="26" t="str">
        <f aca="false">IFERROR(IF(ISBLANK(INDEX(Release[Release],MATCH($A60,Release[Requirement ID],0))),"",INDEX(Release[Release],MATCH($A60,Release[Requirement ID],0))),"")</f>
        <v/>
      </c>
      <c r="L60" s="27" t="n">
        <v>46232</v>
      </c>
      <c r="M60" s="25"/>
      <c r="N60" s="26"/>
      <c r="P60" s="1" t="n">
        <f aca="false">IFERROR(VALUE(MID($A60,5,4)),0)</f>
        <v>356</v>
      </c>
      <c r="Q60" s="1" t="s">
        <v>257</v>
      </c>
    </row>
    <row r="61" customFormat="false" ht="15" hidden="false" customHeight="true" outlineLevel="0" collapsed="false">
      <c r="A61" s="24" t="str">
        <f aca="false">IF(AND(B61="",C61="",D61="",E61="",F61="",G61="",H61="",J61="",L61="",M61="",N61=""),"",Q61)</f>
        <v>NEW-0358</v>
      </c>
      <c r="B61" s="25" t="s">
        <v>258</v>
      </c>
      <c r="C61" s="25" t="s">
        <v>98</v>
      </c>
      <c r="D61" s="25" t="s">
        <v>116</v>
      </c>
      <c r="E61" s="25" t="s">
        <v>91</v>
      </c>
      <c r="F61" s="25" t="s">
        <v>86</v>
      </c>
      <c r="G61" s="25" t="s">
        <v>87</v>
      </c>
      <c r="H61" s="25"/>
      <c r="I61" s="26" t="str">
        <f aca="false">IF($A61="","",IFERROR(IF(ISBLANK(INDEX(SprintPlanning[Sprint],MATCH($A61,SprintPlanning[Requirement ID],0))),"To Plan",INDEX(SprintPlanning[Sprint],MATCH($A61,SprintPlanning[Requirement ID],0))),"To Plan"))</f>
        <v>To Plan</v>
      </c>
      <c r="J61" s="25"/>
      <c r="K61" s="26" t="str">
        <f aca="false">IFERROR(IF(ISBLANK(INDEX(Release[Release],MATCH($A61,Release[Requirement ID],0))),"",INDEX(Release[Release],MATCH($A61,Release[Requirement ID],0))),"")</f>
        <v/>
      </c>
      <c r="L61" s="27" t="n">
        <v>46232</v>
      </c>
      <c r="M61" s="25"/>
      <c r="N61" s="26"/>
      <c r="P61" s="1" t="n">
        <f aca="false">IFERROR(VALUE(MID($A61,5,4)),0)</f>
        <v>358</v>
      </c>
      <c r="Q61" s="1" t="s">
        <v>259</v>
      </c>
    </row>
    <row r="62" customFormat="false" ht="15" hidden="false" customHeight="true" outlineLevel="0" collapsed="false">
      <c r="A62" s="24" t="str">
        <f aca="false">IF(AND(B62="",C62="",D62="",E62="",F62="",G62="",H62="",J62="",L62="",M62="",N62=""),"",Q62)</f>
        <v>NEW-0360</v>
      </c>
      <c r="B62" s="25" t="s">
        <v>260</v>
      </c>
      <c r="C62" s="25" t="s">
        <v>98</v>
      </c>
      <c r="D62" s="25" t="s">
        <v>116</v>
      </c>
      <c r="E62" s="25" t="s">
        <v>91</v>
      </c>
      <c r="F62" s="25" t="s">
        <v>124</v>
      </c>
      <c r="G62" s="25" t="s">
        <v>87</v>
      </c>
      <c r="H62" s="25" t="s">
        <v>195</v>
      </c>
      <c r="I62" s="26" t="str">
        <f aca="false">IF($A62="","",IFERROR(IF(ISBLANK(INDEX(SprintPlanning[Sprint],MATCH($A62,SprintPlanning[Requirement ID],0))),"To Plan",INDEX(SprintPlanning[Sprint],MATCH($A62,SprintPlanning[Requirement ID],0))),"To Plan"))</f>
        <v>To Plan</v>
      </c>
      <c r="J62" s="25" t="n">
        <v>5</v>
      </c>
      <c r="K62" s="26" t="str">
        <f aca="false">IFERROR(IF(ISBLANK(INDEX(Release[Release],MATCH($A62,Release[Requirement ID],0))),"",INDEX(Release[Release],MATCH($A62,Release[Requirement ID],0))),"")</f>
        <v/>
      </c>
      <c r="L62" s="27" t="n">
        <v>46232</v>
      </c>
      <c r="M62" s="25"/>
      <c r="N62" s="26"/>
      <c r="P62" s="1" t="n">
        <f aca="false">IFERROR(VALUE(MID($A62,5,4)),0)</f>
        <v>360</v>
      </c>
      <c r="Q62" s="1" t="s">
        <v>261</v>
      </c>
    </row>
    <row r="63" customFormat="false" ht="15" hidden="false" customHeight="true" outlineLevel="0" collapsed="false">
      <c r="A63" s="24" t="str">
        <f aca="false">IF(AND(B63="",C63="",D63="",E63="",F63="",G63="",H63="",J63="",L63="",M63="",N63=""),"",Q63)</f>
        <v>NEW-0361</v>
      </c>
      <c r="B63" s="41" t="s">
        <v>262</v>
      </c>
      <c r="C63" s="25" t="s">
        <v>98</v>
      </c>
      <c r="D63" s="25" t="s">
        <v>116</v>
      </c>
      <c r="E63" s="25" t="s">
        <v>85</v>
      </c>
      <c r="F63" s="25" t="s">
        <v>124</v>
      </c>
      <c r="G63" s="25" t="s">
        <v>87</v>
      </c>
      <c r="H63" s="25" t="s">
        <v>195</v>
      </c>
      <c r="I63" s="26" t="str">
        <f aca="false">IF($A63="","",IFERROR(IF(ISBLANK(INDEX(SprintPlanning[Sprint],MATCH($A63,SprintPlanning[Requirement ID],0))),"To Plan",INDEX(SprintPlanning[Sprint],MATCH($A63,SprintPlanning[Requirement ID],0))),"To Plan"))</f>
        <v>To Plan</v>
      </c>
      <c r="J63" s="25"/>
      <c r="K63" s="26" t="str">
        <f aca="false">IFERROR(IF(ISBLANK(INDEX(Release[Release],MATCH($A63,Release[Requirement ID],0))),"",INDEX(Release[Release],MATCH($A63,Release[Requirement ID],0))),"")</f>
        <v/>
      </c>
      <c r="L63" s="27" t="n">
        <v>46232</v>
      </c>
      <c r="M63" s="25"/>
      <c r="N63" s="26"/>
      <c r="P63" s="1" t="n">
        <f aca="false">IFERROR(VALUE(MID($A63,5,4)),0)</f>
        <v>361</v>
      </c>
      <c r="Q63" s="1" t="s">
        <v>263</v>
      </c>
    </row>
    <row r="64" customFormat="false" ht="15" hidden="false" customHeight="true" outlineLevel="0" collapsed="false">
      <c r="A64" s="24" t="str">
        <f aca="false">IF(AND(B64="",C64="",D64="",E64="",F64="",G64="",H64="",J64="",L64="",M64="",N64=""),"",Q64)</f>
        <v>NEW-0362</v>
      </c>
      <c r="B64" s="25" t="s">
        <v>264</v>
      </c>
      <c r="C64" s="25" t="s">
        <v>98</v>
      </c>
      <c r="D64" s="25" t="s">
        <v>116</v>
      </c>
      <c r="E64" s="25" t="s">
        <v>85</v>
      </c>
      <c r="F64" s="25" t="s">
        <v>124</v>
      </c>
      <c r="G64" s="25" t="s">
        <v>87</v>
      </c>
      <c r="H64" s="25" t="s">
        <v>195</v>
      </c>
      <c r="I64" s="26" t="str">
        <f aca="false">IF($A64="","",IFERROR(IF(ISBLANK(INDEX(SprintPlanning[Sprint],MATCH($A64,SprintPlanning[Requirement ID],0))),"To Plan",INDEX(SprintPlanning[Sprint],MATCH($A64,SprintPlanning[Requirement ID],0))),"To Plan"))</f>
        <v>To Plan</v>
      </c>
      <c r="J64" s="25"/>
      <c r="K64" s="26" t="str">
        <f aca="false">IFERROR(IF(ISBLANK(INDEX(Release[Release],MATCH($A64,Release[Requirement ID],0))),"",INDEX(Release[Release],MATCH($A64,Release[Requirement ID],0))),"")</f>
        <v/>
      </c>
      <c r="L64" s="27" t="n">
        <v>46232</v>
      </c>
      <c r="M64" s="25"/>
      <c r="N64" s="26"/>
      <c r="P64" s="1" t="n">
        <f aca="false">IFERROR(VALUE(MID($A64,5,4)),0)</f>
        <v>362</v>
      </c>
      <c r="Q64" s="1" t="s">
        <v>265</v>
      </c>
    </row>
    <row r="65" customFormat="false" ht="15" hidden="false" customHeight="true" outlineLevel="0" collapsed="false">
      <c r="A65" s="24" t="str">
        <f aca="false">IF(AND(B65="",C65="",D65="",E65="",F65="",G65="",H65="",J65="",L65="",M65="",N65=""),"",Q65)</f>
        <v>NEW-0363</v>
      </c>
      <c r="B65" s="25" t="s">
        <v>266</v>
      </c>
      <c r="C65" s="25" t="s">
        <v>98</v>
      </c>
      <c r="D65" s="25" t="s">
        <v>116</v>
      </c>
      <c r="E65" s="25" t="s">
        <v>91</v>
      </c>
      <c r="F65" s="25" t="s">
        <v>124</v>
      </c>
      <c r="G65" s="25" t="s">
        <v>87</v>
      </c>
      <c r="H65" s="25" t="s">
        <v>195</v>
      </c>
      <c r="I65" s="26" t="str">
        <f aca="false">IF($A65="","",IFERROR(IF(ISBLANK(INDEX(SprintPlanning[Sprint],MATCH($A65,SprintPlanning[Requirement ID],0))),"To Plan",INDEX(SprintPlanning[Sprint],MATCH($A65,SprintPlanning[Requirement ID],0))),"To Plan"))</f>
        <v>To Plan</v>
      </c>
      <c r="J65" s="25"/>
      <c r="K65" s="26" t="str">
        <f aca="false">IFERROR(IF(ISBLANK(INDEX(Release[Release],MATCH($A65,Release[Requirement ID],0))),"",INDEX(Release[Release],MATCH($A65,Release[Requirement ID],0))),"")</f>
        <v/>
      </c>
      <c r="L65" s="27" t="n">
        <v>46232</v>
      </c>
      <c r="M65" s="25"/>
      <c r="N65" s="26"/>
      <c r="P65" s="1" t="n">
        <f aca="false">IFERROR(VALUE(MID($A65,5,4)),0)</f>
        <v>363</v>
      </c>
      <c r="Q65" s="1" t="s">
        <v>267</v>
      </c>
    </row>
    <row r="66" customFormat="false" ht="15" hidden="false" customHeight="true" outlineLevel="0" collapsed="false">
      <c r="A66" s="24" t="str">
        <f aca="false">IF(AND(B66="",C66="",D66="",E66="",F66="",G66="",H66="",J66="",L66="",M66="",N66=""),"",Q66)</f>
        <v>NEW-0364</v>
      </c>
      <c r="B66" s="25" t="s">
        <v>268</v>
      </c>
      <c r="C66" s="25" t="s">
        <v>98</v>
      </c>
      <c r="D66" s="25" t="s">
        <v>116</v>
      </c>
      <c r="E66" s="25" t="s">
        <v>91</v>
      </c>
      <c r="F66" s="25" t="s">
        <v>124</v>
      </c>
      <c r="G66" s="25" t="s">
        <v>87</v>
      </c>
      <c r="H66" s="25" t="s">
        <v>195</v>
      </c>
      <c r="I66" s="26" t="str">
        <f aca="false">IF($A66="","",IFERROR(IF(ISBLANK(INDEX(SprintPlanning[Sprint],MATCH($A66,SprintPlanning[Requirement ID],0))),"To Plan",INDEX(SprintPlanning[Sprint],MATCH($A66,SprintPlanning[Requirement ID],0))),"To Plan"))</f>
        <v>To Plan</v>
      </c>
      <c r="J66" s="25"/>
      <c r="K66" s="26" t="str">
        <f aca="false">IFERROR(IF(ISBLANK(INDEX(Release[Release],MATCH($A66,Release[Requirement ID],0))),"",INDEX(Release[Release],MATCH($A66,Release[Requirement ID],0))),"")</f>
        <v/>
      </c>
      <c r="L66" s="27" t="n">
        <v>46232</v>
      </c>
      <c r="M66" s="25"/>
      <c r="N66" s="26"/>
      <c r="P66" s="1" t="n">
        <f aca="false">IFERROR(VALUE(MID($A66,5,4)),0)</f>
        <v>364</v>
      </c>
      <c r="Q66" s="1" t="s">
        <v>269</v>
      </c>
    </row>
    <row r="67" customFormat="false" ht="15" hidden="false" customHeight="true" outlineLevel="0" collapsed="false">
      <c r="A67" s="24" t="str">
        <f aca="false">IF(AND(B67="",C67="",D67="",E67="",F67="",G67="",H67="",J67="",L67="",M67="",N67=""),"",Q67)</f>
        <v>NEW-0366</v>
      </c>
      <c r="B67" s="25" t="s">
        <v>270</v>
      </c>
      <c r="C67" s="25" t="s">
        <v>98</v>
      </c>
      <c r="D67" s="25" t="s">
        <v>116</v>
      </c>
      <c r="E67" s="25" t="s">
        <v>91</v>
      </c>
      <c r="F67" s="25" t="s">
        <v>124</v>
      </c>
      <c r="G67" s="25" t="s">
        <v>87</v>
      </c>
      <c r="H67" s="25" t="s">
        <v>195</v>
      </c>
      <c r="I67" s="26" t="str">
        <f aca="false">IF($A67="","",IFERROR(IF(ISBLANK(INDEX(SprintPlanning[Sprint],MATCH($A67,SprintPlanning[Requirement ID],0))),"To Plan",INDEX(SprintPlanning[Sprint],MATCH($A67,SprintPlanning[Requirement ID],0))),"To Plan"))</f>
        <v>To Plan</v>
      </c>
      <c r="J67" s="25"/>
      <c r="K67" s="26" t="str">
        <f aca="false">IFERROR(IF(ISBLANK(INDEX(Release[Release],MATCH($A67,Release[Requirement ID],0))),"",INDEX(Release[Release],MATCH($A67,Release[Requirement ID],0))),"")</f>
        <v/>
      </c>
      <c r="L67" s="27" t="n">
        <v>46232</v>
      </c>
      <c r="M67" s="25"/>
      <c r="N67" s="26"/>
      <c r="P67" s="1" t="n">
        <f aca="false">IFERROR(VALUE(MID($A67,5,4)),0)</f>
        <v>366</v>
      </c>
      <c r="Q67" s="1" t="s">
        <v>271</v>
      </c>
    </row>
    <row r="68" customFormat="false" ht="15" hidden="false" customHeight="true" outlineLevel="0" collapsed="false">
      <c r="A68" s="24" t="str">
        <f aca="false">IF(AND(B68="",C68="",D68="",E68="",F68="",G68="",H68="",J68="",L68="",M68="",N68=""),"",Q68)</f>
        <v>NEW-0367</v>
      </c>
      <c r="B68" s="25" t="s">
        <v>272</v>
      </c>
      <c r="C68" s="25" t="s">
        <v>98</v>
      </c>
      <c r="D68" s="25" t="s">
        <v>116</v>
      </c>
      <c r="E68" s="25" t="s">
        <v>91</v>
      </c>
      <c r="F68" s="25" t="s">
        <v>124</v>
      </c>
      <c r="G68" s="25" t="s">
        <v>87</v>
      </c>
      <c r="H68" s="25" t="s">
        <v>195</v>
      </c>
      <c r="I68" s="26" t="str">
        <f aca="false">IF($A68="","",IFERROR(IF(ISBLANK(INDEX(SprintPlanning[Sprint],MATCH($A68,SprintPlanning[Requirement ID],0))),"To Plan",INDEX(SprintPlanning[Sprint],MATCH($A68,SprintPlanning[Requirement ID],0))),"To Plan"))</f>
        <v>To Plan</v>
      </c>
      <c r="J68" s="25" t="n">
        <v>5</v>
      </c>
      <c r="K68" s="26" t="str">
        <f aca="false">IFERROR(IF(ISBLANK(INDEX(Release[Release],MATCH($A68,Release[Requirement ID],0))),"",INDEX(Release[Release],MATCH($A68,Release[Requirement ID],0))),"")</f>
        <v/>
      </c>
      <c r="L68" s="27" t="n">
        <v>46232</v>
      </c>
      <c r="M68" s="25"/>
      <c r="N68" s="26"/>
      <c r="P68" s="1" t="n">
        <f aca="false">IFERROR(VALUE(MID($A68,5,4)),0)</f>
        <v>367</v>
      </c>
      <c r="Q68" s="1" t="s">
        <v>273</v>
      </c>
    </row>
    <row r="69" customFormat="false" ht="15" hidden="false" customHeight="true" outlineLevel="0" collapsed="false">
      <c r="A69" s="24" t="str">
        <f aca="false">IF(AND(B69="",C69="",D69="",E69="",F69="",G69="",H69="",J69="",L69="",M69="",N69=""),"",Q69)</f>
        <v>NEW-0370</v>
      </c>
      <c r="B69" s="25" t="s">
        <v>274</v>
      </c>
      <c r="C69" s="25" t="s">
        <v>98</v>
      </c>
      <c r="D69" s="25" t="s">
        <v>116</v>
      </c>
      <c r="E69" s="25" t="s">
        <v>91</v>
      </c>
      <c r="F69" s="25"/>
      <c r="G69" s="25" t="s">
        <v>87</v>
      </c>
      <c r="H69" s="25"/>
      <c r="I69" s="26" t="str">
        <f aca="false">IF($A69="","",IFERROR(IF(ISBLANK(INDEX(SprintPlanning[Sprint],MATCH($A69,SprintPlanning[Requirement ID],0))),"To Plan",INDEX(SprintPlanning[Sprint],MATCH($A69,SprintPlanning[Requirement ID],0))),"To Plan"))</f>
        <v>To Plan</v>
      </c>
      <c r="J69" s="25"/>
      <c r="K69" s="26" t="str">
        <f aca="false">IFERROR(IF(ISBLANK(INDEX(Release[Release],MATCH($A69,Release[Requirement ID],0))),"",INDEX(Release[Release],MATCH($A69,Release[Requirement ID],0))),"")</f>
        <v/>
      </c>
      <c r="L69" s="27" t="n">
        <v>46232</v>
      </c>
      <c r="M69" s="25"/>
      <c r="N69" s="26"/>
      <c r="P69" s="1" t="n">
        <f aca="false">IFERROR(VALUE(MID($A69,5,4)),0)</f>
        <v>370</v>
      </c>
      <c r="Q69" s="1" t="s">
        <v>275</v>
      </c>
    </row>
    <row r="70" customFormat="false" ht="15" hidden="false" customHeight="true" outlineLevel="0" collapsed="false">
      <c r="A70" s="24" t="str">
        <f aca="false">IF(AND(B70="",C70="",D70="",E70="",F70="",G70="",H70="",J70="",L70="",M70="",N70=""),"",Q70)</f>
        <v>NEW-0371</v>
      </c>
      <c r="B70" s="25" t="s">
        <v>276</v>
      </c>
      <c r="C70" s="25" t="s">
        <v>83</v>
      </c>
      <c r="D70" s="25" t="s">
        <v>116</v>
      </c>
      <c r="E70" s="25" t="s">
        <v>91</v>
      </c>
      <c r="F70" s="25" t="s">
        <v>124</v>
      </c>
      <c r="G70" s="25" t="s">
        <v>87</v>
      </c>
      <c r="H70" s="25"/>
      <c r="I70" s="26" t="str">
        <f aca="false">IF($A70="","",IFERROR(IF(ISBLANK(INDEX(SprintPlanning[Sprint],MATCH($A70,SprintPlanning[Requirement ID],0))),"To Plan",INDEX(SprintPlanning[Sprint],MATCH($A70,SprintPlanning[Requirement ID],0))),"To Plan"))</f>
        <v>To Plan</v>
      </c>
      <c r="J70" s="25" t="n">
        <v>5</v>
      </c>
      <c r="K70" s="26" t="str">
        <f aca="false">IFERROR(IF(ISBLANK(INDEX(Release[Release],MATCH($A70,Release[Requirement ID],0))),"",INDEX(Release[Release],MATCH($A70,Release[Requirement ID],0))),"")</f>
        <v/>
      </c>
      <c r="L70" s="27" t="n">
        <v>46232</v>
      </c>
      <c r="M70" s="25"/>
      <c r="N70" s="26"/>
      <c r="P70" s="1" t="n">
        <f aca="false">IFERROR(VALUE(MID($A70,5,4)),0)</f>
        <v>371</v>
      </c>
      <c r="Q70" s="1" t="s">
        <v>277</v>
      </c>
    </row>
    <row r="71" customFormat="false" ht="15" hidden="false" customHeight="true" outlineLevel="0" collapsed="false">
      <c r="A71" s="24" t="str">
        <f aca="false">IF(AND(B71="",C71="",D71="",E71="",F71="",G71="",H71="",J71="",L71="",M71="",N71=""),"",Q71)</f>
        <v>NEW-0373</v>
      </c>
      <c r="B71" s="25" t="s">
        <v>278</v>
      </c>
      <c r="C71" s="25" t="s">
        <v>105</v>
      </c>
      <c r="D71" s="25" t="s">
        <v>279</v>
      </c>
      <c r="E71" s="25" t="s">
        <v>106</v>
      </c>
      <c r="F71" s="25" t="s">
        <v>124</v>
      </c>
      <c r="G71" s="25" t="s">
        <v>87</v>
      </c>
      <c r="H71" s="25"/>
      <c r="I71" s="26" t="str">
        <f aca="false">IF($A71="","",IFERROR(IF(ISBLANK(INDEX(SprintPlanning[Sprint],MATCH($A71,SprintPlanning[Requirement ID],0))),"To Plan",INDEX(SprintPlanning[Sprint],MATCH($A71,SprintPlanning[Requirement ID],0))),"To Plan"))</f>
        <v>To Plan</v>
      </c>
      <c r="J71" s="25"/>
      <c r="K71" s="26" t="str">
        <f aca="false">IFERROR(IF(ISBLANK(INDEX(Release[Release],MATCH($A71,Release[Requirement ID],0))),"",INDEX(Release[Release],MATCH($A71,Release[Requirement ID],0))),"")</f>
        <v/>
      </c>
      <c r="L71" s="27" t="n">
        <v>46232</v>
      </c>
      <c r="M71" s="25"/>
      <c r="N71" s="26"/>
      <c r="P71" s="1" t="n">
        <f aca="false">IFERROR(VALUE(MID($A71,5,4)),0)</f>
        <v>373</v>
      </c>
      <c r="Q71" s="1" t="s">
        <v>280</v>
      </c>
    </row>
    <row r="72" customFormat="false" ht="15" hidden="false" customHeight="true" outlineLevel="0" collapsed="false">
      <c r="A72" s="24" t="str">
        <f aca="false">IF(AND(B72="",C72="",D72="",E72="",F72="",G72="",H72="",J72="",L72="",M72="",N72=""),"",Q72)</f>
        <v>NEW-0375</v>
      </c>
      <c r="B72" s="25" t="s">
        <v>281</v>
      </c>
      <c r="C72" s="25" t="s">
        <v>105</v>
      </c>
      <c r="D72" s="25" t="s">
        <v>279</v>
      </c>
      <c r="E72" s="25" t="s">
        <v>106</v>
      </c>
      <c r="F72" s="25" t="s">
        <v>92</v>
      </c>
      <c r="G72" s="25" t="s">
        <v>87</v>
      </c>
      <c r="H72" s="25"/>
      <c r="I72" s="26" t="str">
        <f aca="false">IF($A72="","",IFERROR(IF(ISBLANK(INDEX(SprintPlanning[Sprint],MATCH($A72,SprintPlanning[Requirement ID],0))),"To Plan",INDEX(SprintPlanning[Sprint],MATCH($A72,SprintPlanning[Requirement ID],0))),"To Plan"))</f>
        <v>To Plan</v>
      </c>
      <c r="J72" s="25"/>
      <c r="K72" s="26" t="str">
        <f aca="false">IFERROR(IF(ISBLANK(INDEX(Release[Release],MATCH($A72,Release[Requirement ID],0))),"",INDEX(Release[Release],MATCH($A72,Release[Requirement ID],0))),"")</f>
        <v/>
      </c>
      <c r="L72" s="27" t="n">
        <v>46232</v>
      </c>
      <c r="M72" s="25"/>
      <c r="N72" s="26"/>
      <c r="P72" s="1" t="n">
        <f aca="false">IFERROR(VALUE(MID($A72,5,4)),0)</f>
        <v>375</v>
      </c>
      <c r="Q72" s="1" t="s">
        <v>282</v>
      </c>
    </row>
    <row r="73" customFormat="false" ht="15" hidden="false" customHeight="true" outlineLevel="0" collapsed="false">
      <c r="A73" s="24" t="str">
        <f aca="false">IF(AND(B73="",C73="",D73="",E73="",F73="",G73="",H73="",J73="",L73="",M73="",N73=""),"",Q73)</f>
        <v>NEW-0376</v>
      </c>
      <c r="B73" s="25" t="s">
        <v>283</v>
      </c>
      <c r="C73" s="25" t="s">
        <v>105</v>
      </c>
      <c r="D73" s="25" t="s">
        <v>279</v>
      </c>
      <c r="E73" s="25" t="s">
        <v>106</v>
      </c>
      <c r="F73" s="25" t="s">
        <v>124</v>
      </c>
      <c r="G73" s="25" t="s">
        <v>87</v>
      </c>
      <c r="H73" s="25"/>
      <c r="I73" s="26" t="str">
        <f aca="false">IF($A73="","",IFERROR(IF(ISBLANK(INDEX(SprintPlanning[Sprint],MATCH($A73,SprintPlanning[Requirement ID],0))),"To Plan",INDEX(SprintPlanning[Sprint],MATCH($A73,SprintPlanning[Requirement ID],0))),"To Plan"))</f>
        <v>To Plan</v>
      </c>
      <c r="J73" s="25"/>
      <c r="K73" s="26" t="str">
        <f aca="false">IFERROR(IF(ISBLANK(INDEX(Release[Release],MATCH($A73,Release[Requirement ID],0))),"",INDEX(Release[Release],MATCH($A73,Release[Requirement ID],0))),"")</f>
        <v/>
      </c>
      <c r="L73" s="27" t="n">
        <v>46232</v>
      </c>
      <c r="M73" s="25"/>
      <c r="N73" s="26"/>
      <c r="P73" s="1" t="n">
        <f aca="false">IFERROR(VALUE(MID($A73,5,4)),0)</f>
        <v>376</v>
      </c>
      <c r="Q73" s="1" t="s">
        <v>284</v>
      </c>
    </row>
    <row r="74" customFormat="false" ht="15" hidden="false" customHeight="true" outlineLevel="0" collapsed="false">
      <c r="A74" s="24" t="str">
        <f aca="false">IF(AND(B74="",C74="",D74="",E74="",F74="",G74="",H74="",J74="",L74="",M74="",N74=""),"",Q74)</f>
        <v>NEW-0377</v>
      </c>
      <c r="B74" s="25" t="s">
        <v>285</v>
      </c>
      <c r="C74" s="25" t="s">
        <v>105</v>
      </c>
      <c r="D74" s="25" t="s">
        <v>279</v>
      </c>
      <c r="E74" s="25" t="s">
        <v>106</v>
      </c>
      <c r="F74" s="25" t="s">
        <v>124</v>
      </c>
      <c r="G74" s="25" t="s">
        <v>87</v>
      </c>
      <c r="H74" s="25"/>
      <c r="I74" s="26" t="str">
        <f aca="false">IF($A74="","",IFERROR(IF(ISBLANK(INDEX(SprintPlanning[Sprint],MATCH($A74,SprintPlanning[Requirement ID],0))),"To Plan",INDEX(SprintPlanning[Sprint],MATCH($A74,SprintPlanning[Requirement ID],0))),"To Plan"))</f>
        <v>To Plan</v>
      </c>
      <c r="J74" s="25"/>
      <c r="K74" s="26" t="str">
        <f aca="false">IFERROR(IF(ISBLANK(INDEX(Release[Release],MATCH($A74,Release[Requirement ID],0))),"",INDEX(Release[Release],MATCH($A74,Release[Requirement ID],0))),"")</f>
        <v/>
      </c>
      <c r="L74" s="27" t="n">
        <v>46232</v>
      </c>
      <c r="M74" s="25"/>
      <c r="N74" s="26"/>
      <c r="P74" s="1" t="n">
        <f aca="false">IFERROR(VALUE(MID($A74,5,4)),0)</f>
        <v>377</v>
      </c>
      <c r="Q74" s="1" t="s">
        <v>286</v>
      </c>
    </row>
    <row r="75" customFormat="false" ht="15" hidden="false" customHeight="true" outlineLevel="0" collapsed="false">
      <c r="A75" s="24" t="str">
        <f aca="false">IF(AND(B75="",C75="",D75="",E75="",F75="",G75="",H75="",J75="",L75="",M75="",N75=""),"",Q75)</f>
        <v>NEW-0384</v>
      </c>
      <c r="B75" s="25" t="s">
        <v>287</v>
      </c>
      <c r="C75" s="25" t="s">
        <v>98</v>
      </c>
      <c r="D75" s="25" t="s">
        <v>120</v>
      </c>
      <c r="E75" s="25" t="s">
        <v>288</v>
      </c>
      <c r="F75" s="25" t="s">
        <v>224</v>
      </c>
      <c r="G75" s="25" t="s">
        <v>87</v>
      </c>
      <c r="H75" s="25"/>
      <c r="I75" s="26" t="str">
        <f aca="false">IF($A75="","",IFERROR(IF(ISBLANK(INDEX(SprintPlanning[Sprint],MATCH($A75,SprintPlanning[Requirement ID],0))),"To Plan",INDEX(SprintPlanning[Sprint],MATCH($A75,SprintPlanning[Requirement ID],0))),"To Plan"))</f>
        <v>To Plan</v>
      </c>
      <c r="J75" s="25"/>
      <c r="K75" s="26" t="str">
        <f aca="false">IFERROR(IF(ISBLANK(INDEX(Release[Release],MATCH($A75,Release[Requirement ID],0))),"",INDEX(Release[Release],MATCH($A75,Release[Requirement ID],0))),"")</f>
        <v/>
      </c>
      <c r="L75" s="27" t="n">
        <v>46232</v>
      </c>
      <c r="M75" s="25"/>
      <c r="N75" s="26"/>
      <c r="P75" s="1" t="n">
        <f aca="false">IFERROR(VALUE(MID($A75,5,4)),0)</f>
        <v>384</v>
      </c>
      <c r="Q75" s="1" t="s">
        <v>289</v>
      </c>
    </row>
    <row r="76" customFormat="false" ht="15" hidden="false" customHeight="true" outlineLevel="0" collapsed="false">
      <c r="A76" s="24" t="str">
        <f aca="false">IF(AND(B76="",C76="",D76="",E76="",F76="",G76="",H76="",J76="",L76="",M76="",N76=""),"",Q76)</f>
        <v>NEW-0395</v>
      </c>
      <c r="B76" s="25" t="s">
        <v>290</v>
      </c>
      <c r="C76" s="25" t="s">
        <v>98</v>
      </c>
      <c r="D76" s="25" t="s">
        <v>168</v>
      </c>
      <c r="E76" s="25" t="s">
        <v>91</v>
      </c>
      <c r="F76" s="25" t="s">
        <v>124</v>
      </c>
      <c r="G76" s="25" t="s">
        <v>87</v>
      </c>
      <c r="H76" s="25" t="s">
        <v>291</v>
      </c>
      <c r="I76" s="26" t="str">
        <f aca="false">IF($A76="","",IFERROR(IF(ISBLANK(INDEX(SprintPlanning[Sprint],MATCH($A76,SprintPlanning[Requirement ID],0))),"To Plan",INDEX(SprintPlanning[Sprint],MATCH($A76,SprintPlanning[Requirement ID],0))),"To Plan"))</f>
        <v>To Plan</v>
      </c>
      <c r="J76" s="25" t="n">
        <v>5</v>
      </c>
      <c r="K76" s="26" t="str">
        <f aca="false">IFERROR(IF(ISBLANK(INDEX(Release[Release],MATCH($A76,Release[Requirement ID],0))),"",INDEX(Release[Release],MATCH($A76,Release[Requirement ID],0))),"")</f>
        <v/>
      </c>
      <c r="L76" s="27" t="n">
        <v>46232</v>
      </c>
      <c r="M76" s="25"/>
      <c r="N76" s="26"/>
      <c r="P76" s="1" t="n">
        <f aca="false">IFERROR(VALUE(MID($A76,5,4)),0)</f>
        <v>395</v>
      </c>
      <c r="Q76" s="1" t="s">
        <v>292</v>
      </c>
    </row>
    <row r="77" customFormat="false" ht="15" hidden="false" customHeight="true" outlineLevel="0" collapsed="false">
      <c r="A77" s="24" t="str">
        <f aca="false">IF(AND(B77="",C77="",D77="",E77="",F77="",G77="",H77="",J77="",L77="",M77="",N77=""),"",Q77)</f>
        <v>NEW-0397</v>
      </c>
      <c r="B77" s="25" t="s">
        <v>293</v>
      </c>
      <c r="C77" s="25" t="s">
        <v>98</v>
      </c>
      <c r="D77" s="25" t="s">
        <v>168</v>
      </c>
      <c r="E77" s="25" t="s">
        <v>91</v>
      </c>
      <c r="F77" s="25" t="s">
        <v>124</v>
      </c>
      <c r="G77" s="25" t="s">
        <v>87</v>
      </c>
      <c r="H77" s="25" t="s">
        <v>200</v>
      </c>
      <c r="I77" s="26" t="str">
        <f aca="false">IF($A77="","",IFERROR(IF(ISBLANK(INDEX(SprintPlanning[Sprint],MATCH($A77,SprintPlanning[Requirement ID],0))),"To Plan",INDEX(SprintPlanning[Sprint],MATCH($A77,SprintPlanning[Requirement ID],0))),"To Plan"))</f>
        <v>To Plan</v>
      </c>
      <c r="J77" s="25" t="n">
        <v>8</v>
      </c>
      <c r="K77" s="26" t="str">
        <f aca="false">IFERROR(IF(ISBLANK(INDEX(Release[Release],MATCH($A77,Release[Requirement ID],0))),"",INDEX(Release[Release],MATCH($A77,Release[Requirement ID],0))),"")</f>
        <v/>
      </c>
      <c r="L77" s="27" t="n">
        <v>46232</v>
      </c>
      <c r="M77" s="25"/>
      <c r="N77" s="26"/>
      <c r="P77" s="1" t="n">
        <f aca="false">IFERROR(VALUE(MID($A77,5,4)),0)</f>
        <v>397</v>
      </c>
      <c r="Q77" s="1" t="s">
        <v>294</v>
      </c>
    </row>
    <row r="78" customFormat="false" ht="15" hidden="false" customHeight="true" outlineLevel="0" collapsed="false">
      <c r="A78" s="24" t="str">
        <f aca="false">IF(AND(B78="",C78="",D78="",E78="",F78="",G78="",H78="",J78="",L78="",M78="",N78=""),"",Q78)</f>
        <v>NEW-0398</v>
      </c>
      <c r="B78" s="25" t="s">
        <v>295</v>
      </c>
      <c r="C78" s="25" t="s">
        <v>98</v>
      </c>
      <c r="D78" s="25" t="s">
        <v>168</v>
      </c>
      <c r="E78" s="25" t="s">
        <v>91</v>
      </c>
      <c r="F78" s="25" t="s">
        <v>124</v>
      </c>
      <c r="G78" s="25" t="s">
        <v>87</v>
      </c>
      <c r="H78" s="25" t="s">
        <v>200</v>
      </c>
      <c r="I78" s="26" t="str">
        <f aca="false">IF($A78="","",IFERROR(IF(ISBLANK(INDEX(SprintPlanning[Sprint],MATCH($A78,SprintPlanning[Requirement ID],0))),"To Plan",INDEX(SprintPlanning[Sprint],MATCH($A78,SprintPlanning[Requirement ID],0))),"To Plan"))</f>
        <v>To Plan</v>
      </c>
      <c r="J78" s="25" t="n">
        <v>13</v>
      </c>
      <c r="K78" s="26" t="str">
        <f aca="false">IFERROR(IF(ISBLANK(INDEX(Release[Release],MATCH($A78,Release[Requirement ID],0))),"",INDEX(Release[Release],MATCH($A78,Release[Requirement ID],0))),"")</f>
        <v/>
      </c>
      <c r="L78" s="27" t="n">
        <v>46232</v>
      </c>
      <c r="M78" s="25"/>
      <c r="N78" s="26"/>
      <c r="P78" s="1" t="n">
        <f aca="false">IFERROR(VALUE(MID($A78,5,4)),0)</f>
        <v>398</v>
      </c>
      <c r="Q78" s="1" t="s">
        <v>296</v>
      </c>
    </row>
    <row r="79" customFormat="false" ht="15" hidden="false" customHeight="true" outlineLevel="0" collapsed="false">
      <c r="A79" s="24" t="str">
        <f aca="false">IF(AND(B79="",C79="",D79="",E79="",F79="",G79="",H79="",J79="",L79="",M79="",N79=""),"",Q79)</f>
        <v>NEW-0399</v>
      </c>
      <c r="B79" s="25" t="s">
        <v>297</v>
      </c>
      <c r="C79" s="25" t="s">
        <v>98</v>
      </c>
      <c r="D79" s="25" t="s">
        <v>168</v>
      </c>
      <c r="E79" s="25" t="s">
        <v>91</v>
      </c>
      <c r="F79" s="25" t="s">
        <v>124</v>
      </c>
      <c r="G79" s="25" t="s">
        <v>87</v>
      </c>
      <c r="H79" s="25" t="s">
        <v>200</v>
      </c>
      <c r="I79" s="26" t="str">
        <f aca="false">IF($A79="","",IFERROR(IF(ISBLANK(INDEX(SprintPlanning[Sprint],MATCH($A79,SprintPlanning[Requirement ID],0))),"To Plan",INDEX(SprintPlanning[Sprint],MATCH($A79,SprintPlanning[Requirement ID],0))),"To Plan"))</f>
        <v>To Plan</v>
      </c>
      <c r="J79" s="25" t="n">
        <v>8</v>
      </c>
      <c r="K79" s="26" t="str">
        <f aca="false">IFERROR(IF(ISBLANK(INDEX(Release[Release],MATCH($A79,Release[Requirement ID],0))),"",INDEX(Release[Release],MATCH($A79,Release[Requirement ID],0))),"")</f>
        <v/>
      </c>
      <c r="L79" s="27" t="n">
        <v>46232</v>
      </c>
      <c r="M79" s="25"/>
      <c r="N79" s="26"/>
      <c r="P79" s="1" t="n">
        <f aca="false">IFERROR(VALUE(MID($A79,5,4)),0)</f>
        <v>399</v>
      </c>
      <c r="Q79" s="1" t="s">
        <v>298</v>
      </c>
    </row>
    <row r="80" customFormat="false" ht="15" hidden="false" customHeight="true" outlineLevel="0" collapsed="false">
      <c r="A80" s="24" t="str">
        <f aca="false">IF(AND(B80="",C80="",D80="",E80="",F80="",G80="",H80="",J80="",L80="",M80="",N80=""),"",Q80)</f>
        <v>NEW-0400</v>
      </c>
      <c r="B80" s="25" t="s">
        <v>299</v>
      </c>
      <c r="C80" s="25" t="s">
        <v>98</v>
      </c>
      <c r="D80" s="25" t="s">
        <v>168</v>
      </c>
      <c r="E80" s="25" t="s">
        <v>91</v>
      </c>
      <c r="F80" s="25" t="s">
        <v>124</v>
      </c>
      <c r="G80" s="25" t="s">
        <v>87</v>
      </c>
      <c r="H80" s="25" t="s">
        <v>200</v>
      </c>
      <c r="I80" s="26" t="str">
        <f aca="false">IF($A80="","",IFERROR(IF(ISBLANK(INDEX(SprintPlanning[Sprint],MATCH($A80,SprintPlanning[Requirement ID],0))),"To Plan",INDEX(SprintPlanning[Sprint],MATCH($A80,SprintPlanning[Requirement ID],0))),"To Plan"))</f>
        <v>To Plan</v>
      </c>
      <c r="J80" s="25" t="n">
        <v>8</v>
      </c>
      <c r="K80" s="26" t="str">
        <f aca="false">IFERROR(IF(ISBLANK(INDEX(Release[Release],MATCH($A80,Release[Requirement ID],0))),"",INDEX(Release[Release],MATCH($A80,Release[Requirement ID],0))),"")</f>
        <v/>
      </c>
      <c r="L80" s="27" t="n">
        <v>46232</v>
      </c>
      <c r="M80" s="25"/>
      <c r="N80" s="26"/>
      <c r="P80" s="1" t="n">
        <f aca="false">IFERROR(VALUE(MID($A80,5,4)),0)</f>
        <v>400</v>
      </c>
      <c r="Q80" s="1" t="s">
        <v>300</v>
      </c>
    </row>
    <row r="81" customFormat="false" ht="15" hidden="false" customHeight="true" outlineLevel="0" collapsed="false">
      <c r="A81" s="24" t="str">
        <f aca="false">IF(AND(B81="",C81="",D81="",E81="",F81="",G81="",H81="",J81="",L81="",M81="",N81=""),"",Q81)</f>
        <v>NEW-0401</v>
      </c>
      <c r="B81" s="25" t="s">
        <v>301</v>
      </c>
      <c r="C81" s="25" t="s">
        <v>98</v>
      </c>
      <c r="D81" s="25" t="s">
        <v>168</v>
      </c>
      <c r="E81" s="25" t="s">
        <v>91</v>
      </c>
      <c r="F81" s="25" t="s">
        <v>124</v>
      </c>
      <c r="G81" s="25" t="s">
        <v>87</v>
      </c>
      <c r="H81" s="25" t="s">
        <v>200</v>
      </c>
      <c r="I81" s="26" t="str">
        <f aca="false">IF($A81="","",IFERROR(IF(ISBLANK(INDEX(SprintPlanning[Sprint],MATCH($A81,SprintPlanning[Requirement ID],0))),"To Plan",INDEX(SprintPlanning[Sprint],MATCH($A81,SprintPlanning[Requirement ID],0))),"To Plan"))</f>
        <v>To Plan</v>
      </c>
      <c r="J81" s="25" t="n">
        <v>8</v>
      </c>
      <c r="K81" s="26" t="str">
        <f aca="false">IFERROR(IF(ISBLANK(INDEX(Release[Release],MATCH($A81,Release[Requirement ID],0))),"",INDEX(Release[Release],MATCH($A81,Release[Requirement ID],0))),"")</f>
        <v/>
      </c>
      <c r="L81" s="27" t="n">
        <v>46232</v>
      </c>
      <c r="M81" s="25"/>
      <c r="N81" s="26"/>
      <c r="P81" s="1" t="n">
        <f aca="false">IFERROR(VALUE(MID($A81,5,4)),0)</f>
        <v>401</v>
      </c>
      <c r="Q81" s="1" t="s">
        <v>302</v>
      </c>
    </row>
    <row r="82" customFormat="false" ht="15" hidden="false" customHeight="true" outlineLevel="0" collapsed="false">
      <c r="A82" s="24" t="str">
        <f aca="false">IF(AND(B82="",C82="",D82="",E82="",F82="",G82="",H82="",J82="",L82="",M82="",N82=""),"",Q82)</f>
        <v>NEW-0402</v>
      </c>
      <c r="B82" s="25" t="s">
        <v>303</v>
      </c>
      <c r="C82" s="25" t="s">
        <v>98</v>
      </c>
      <c r="D82" s="25" t="s">
        <v>168</v>
      </c>
      <c r="E82" s="25" t="s">
        <v>91</v>
      </c>
      <c r="F82" s="25" t="s">
        <v>124</v>
      </c>
      <c r="G82" s="25" t="s">
        <v>87</v>
      </c>
      <c r="H82" s="25" t="s">
        <v>200</v>
      </c>
      <c r="I82" s="26" t="str">
        <f aca="false">IF($A82="","",IFERROR(IF(ISBLANK(INDEX(SprintPlanning[Sprint],MATCH($A82,SprintPlanning[Requirement ID],0))),"To Plan",INDEX(SprintPlanning[Sprint],MATCH($A82,SprintPlanning[Requirement ID],0))),"To Plan"))</f>
        <v>To Plan</v>
      </c>
      <c r="J82" s="25" t="n">
        <v>8</v>
      </c>
      <c r="K82" s="26" t="str">
        <f aca="false">IFERROR(IF(ISBLANK(INDEX(Release[Release],MATCH($A82,Release[Requirement ID],0))),"",INDEX(Release[Release],MATCH($A82,Release[Requirement ID],0))),"")</f>
        <v/>
      </c>
      <c r="L82" s="27" t="n">
        <v>46232</v>
      </c>
      <c r="M82" s="25"/>
      <c r="N82" s="26"/>
      <c r="P82" s="1" t="n">
        <f aca="false">IFERROR(VALUE(MID($A82,5,4)),0)</f>
        <v>402</v>
      </c>
      <c r="Q82" s="1" t="s">
        <v>304</v>
      </c>
    </row>
    <row r="83" customFormat="false" ht="15" hidden="false" customHeight="true" outlineLevel="0" collapsed="false">
      <c r="A83" s="24" t="str">
        <f aca="false">IF(AND(B83="",C83="",D83="",E83="",F83="",G83="",H83="",J83="",L83="",M83="",N83=""),"",Q83)</f>
        <v>NEW-0403</v>
      </c>
      <c r="B83" s="25" t="s">
        <v>305</v>
      </c>
      <c r="C83" s="25" t="s">
        <v>83</v>
      </c>
      <c r="D83" s="25" t="s">
        <v>168</v>
      </c>
      <c r="E83" s="25" t="s">
        <v>91</v>
      </c>
      <c r="F83" s="25" t="s">
        <v>124</v>
      </c>
      <c r="G83" s="25" t="s">
        <v>87</v>
      </c>
      <c r="H83" s="25" t="s">
        <v>200</v>
      </c>
      <c r="I83" s="26" t="str">
        <f aca="false">IF($A83="","",IFERROR(IF(ISBLANK(INDEX(SprintPlanning[Sprint],MATCH($A83,SprintPlanning[Requirement ID],0))),"To Plan",INDEX(SprintPlanning[Sprint],MATCH($A83,SprintPlanning[Requirement ID],0))),"To Plan"))</f>
        <v>To Plan</v>
      </c>
      <c r="J83" s="25"/>
      <c r="K83" s="26" t="str">
        <f aca="false">IFERROR(IF(ISBLANK(INDEX(Release[Release],MATCH($A83,Release[Requirement ID],0))),"",INDEX(Release[Release],MATCH($A83,Release[Requirement ID],0))),"")</f>
        <v/>
      </c>
      <c r="L83" s="27" t="n">
        <v>46232</v>
      </c>
      <c r="M83" s="25"/>
      <c r="N83" s="26"/>
      <c r="P83" s="1" t="n">
        <f aca="false">IFERROR(VALUE(MID($A83,5,4)),0)</f>
        <v>403</v>
      </c>
      <c r="Q83" s="1" t="s">
        <v>306</v>
      </c>
    </row>
    <row r="84" customFormat="false" ht="15" hidden="false" customHeight="true" outlineLevel="0" collapsed="false">
      <c r="A84" s="24" t="str">
        <f aca="false">IF(AND(B84="",C84="",D84="",E84="",F84="",G84="",H84="",J84="",L84="",M84="",N84=""),"",Q84)</f>
        <v>NEW-0404</v>
      </c>
      <c r="B84" s="25" t="s">
        <v>307</v>
      </c>
      <c r="C84" s="25" t="s">
        <v>83</v>
      </c>
      <c r="D84" s="25" t="s">
        <v>168</v>
      </c>
      <c r="E84" s="25" t="s">
        <v>91</v>
      </c>
      <c r="F84" s="25" t="s">
        <v>124</v>
      </c>
      <c r="G84" s="25" t="s">
        <v>87</v>
      </c>
      <c r="H84" s="25" t="s">
        <v>200</v>
      </c>
      <c r="I84" s="26" t="str">
        <f aca="false">IF($A84="","",IFERROR(IF(ISBLANK(INDEX(SprintPlanning[Sprint],MATCH($A84,SprintPlanning[Requirement ID],0))),"To Plan",INDEX(SprintPlanning[Sprint],MATCH($A84,SprintPlanning[Requirement ID],0))),"To Plan"))</f>
        <v>To Plan</v>
      </c>
      <c r="J84" s="25"/>
      <c r="K84" s="26" t="str">
        <f aca="false">IFERROR(IF(ISBLANK(INDEX(Release[Release],MATCH($A84,Release[Requirement ID],0))),"",INDEX(Release[Release],MATCH($A84,Release[Requirement ID],0))),"")</f>
        <v/>
      </c>
      <c r="L84" s="27" t="n">
        <v>46232</v>
      </c>
      <c r="M84" s="25"/>
      <c r="N84" s="26"/>
      <c r="P84" s="1" t="n">
        <f aca="false">IFERROR(VALUE(MID($A84,5,4)),0)</f>
        <v>404</v>
      </c>
      <c r="Q84" s="1" t="s">
        <v>308</v>
      </c>
    </row>
    <row r="85" customFormat="false" ht="15" hidden="false" customHeight="true" outlineLevel="0" collapsed="false">
      <c r="A85" s="24" t="str">
        <f aca="false">IF(AND(B85="",C85="",D85="",E85="",F85="",G85="",H85="",J85="",L85="",M85="",N85=""),"",Q85)</f>
        <v>NEW-0405</v>
      </c>
      <c r="B85" s="25" t="s">
        <v>309</v>
      </c>
      <c r="C85" s="25" t="s">
        <v>98</v>
      </c>
      <c r="D85" s="25" t="s">
        <v>28</v>
      </c>
      <c r="E85" s="25" t="s">
        <v>85</v>
      </c>
      <c r="F85" s="25" t="s">
        <v>124</v>
      </c>
      <c r="G85" s="25" t="s">
        <v>87</v>
      </c>
      <c r="H85" s="25" t="s">
        <v>195</v>
      </c>
      <c r="I85" s="26" t="str">
        <f aca="false">IF($A85="","",IFERROR(IF(ISBLANK(INDEX(SprintPlanning[Sprint],MATCH($A85,SprintPlanning[Requirement ID],0))),"To Plan",INDEX(SprintPlanning[Sprint],MATCH($A85,SprintPlanning[Requirement ID],0))),"To Plan"))</f>
        <v>To Plan</v>
      </c>
      <c r="J85" s="25" t="n">
        <v>16</v>
      </c>
      <c r="K85" s="26" t="str">
        <f aca="false">IFERROR(IF(ISBLANK(INDEX(Release[Release],MATCH($A85,Release[Requirement ID],0))),"",INDEX(Release[Release],MATCH($A85,Release[Requirement ID],0))),"")</f>
        <v/>
      </c>
      <c r="L85" s="27" t="n">
        <v>46233</v>
      </c>
      <c r="M85" s="25"/>
      <c r="N85" s="26"/>
      <c r="P85" s="1" t="n">
        <f aca="false">IFERROR(VALUE(MID($A85,5,4)),0)</f>
        <v>405</v>
      </c>
      <c r="Q85" s="1" t="s">
        <v>310</v>
      </c>
    </row>
    <row r="86" customFormat="false" ht="15" hidden="false" customHeight="true" outlineLevel="0" collapsed="false">
      <c r="A86" s="35" t="str">
        <f aca="false">IF(AND(B86="",C86="",D86="",E86="",F86="",G86="",H86="",J86="",L86="",M86="",N86=""),"",Q86)</f>
        <v>NEW-0407</v>
      </c>
      <c r="B86" s="36" t="s">
        <v>311</v>
      </c>
      <c r="C86" s="36" t="s">
        <v>98</v>
      </c>
      <c r="D86" s="36" t="s">
        <v>84</v>
      </c>
      <c r="E86" s="36" t="s">
        <v>91</v>
      </c>
      <c r="F86" s="36" t="s">
        <v>124</v>
      </c>
      <c r="G86" s="36" t="s">
        <v>93</v>
      </c>
      <c r="H86" s="36" t="s">
        <v>125</v>
      </c>
      <c r="I86" s="37" t="str">
        <f aca="false">IF($A86="","",IFERROR(IF(ISBLANK(INDEX(SprintPlanning[Sprint],MATCH($A86,SprintPlanning[Requirement ID],0))),"To Plan",INDEX(SprintPlanning[Sprint],MATCH($A86,SprintPlanning[Requirement ID],0))),"To Plan"))</f>
        <v>To Plan</v>
      </c>
      <c r="J86" s="36" t="n">
        <v>5</v>
      </c>
      <c r="K86" s="37" t="str">
        <f aca="false">IFERROR(IF(ISBLANK(INDEX(Release[Release],MATCH($A86,Release[Requirement ID],0))),"",INDEX(Release[Release],MATCH($A86,Release[Requirement ID],0))),"")</f>
        <v/>
      </c>
      <c r="L86" s="38" t="n">
        <v>46237</v>
      </c>
      <c r="M86" s="36" t="s">
        <v>94</v>
      </c>
      <c r="N86" s="37" t="s">
        <v>312</v>
      </c>
      <c r="P86" s="1" t="n">
        <f aca="false">IFERROR(VALUE(MID($A86,5,4)),0)</f>
        <v>407</v>
      </c>
      <c r="Q86" s="1" t="s">
        <v>313</v>
      </c>
    </row>
    <row r="87" customFormat="false" ht="15" hidden="false" customHeight="true" outlineLevel="0" collapsed="false">
      <c r="A87" s="35" t="str">
        <f aca="false">IF(AND(B87="",C87="",D87="",E87="",F87="",G87="",H87="",J87="",L87="",M87="",N87=""),"",Q87)</f>
        <v>NEW-0413</v>
      </c>
      <c r="B87" s="36" t="s">
        <v>314</v>
      </c>
      <c r="C87" s="36" t="s">
        <v>315</v>
      </c>
      <c r="D87" s="36" t="s">
        <v>120</v>
      </c>
      <c r="E87" s="36" t="s">
        <v>316</v>
      </c>
      <c r="F87" s="36" t="s">
        <v>124</v>
      </c>
      <c r="G87" s="36" t="s">
        <v>87</v>
      </c>
      <c r="H87" s="36"/>
      <c r="I87" s="37" t="str">
        <f aca="false">IF($A87="","",IFERROR(IF(ISBLANK(INDEX(SprintPlanning[Sprint],MATCH($A87,SprintPlanning[Requirement ID],0))),"To Plan",INDEX(SprintPlanning[Sprint],MATCH($A87,SprintPlanning[Requirement ID],0))),"To Plan"))</f>
        <v>To Plan</v>
      </c>
      <c r="J87" s="36"/>
      <c r="K87" s="37" t="str">
        <f aca="false">IFERROR(IF(ISBLANK(INDEX(Release[Release],MATCH($A87,Release[Requirement ID],0))),"",INDEX(Release[Release],MATCH($A87,Release[Requirement ID],0))),"")</f>
        <v/>
      </c>
      <c r="L87" s="38" t="n">
        <v>46237</v>
      </c>
      <c r="M87" s="36" t="s">
        <v>94</v>
      </c>
      <c r="N87" s="37" t="s">
        <v>317</v>
      </c>
      <c r="P87" s="1" t="n">
        <f aca="false">IFERROR(VALUE(MID($A87,5,4)),0)</f>
        <v>413</v>
      </c>
      <c r="Q87" s="1" t="s">
        <v>318</v>
      </c>
    </row>
    <row r="88" customFormat="false" ht="15" hidden="false" customHeight="true" outlineLevel="0" collapsed="false">
      <c r="A88" s="35" t="str">
        <f aca="false">IF(AND(B88="",C88="",D88="",E88="",F88="",G88="",H88="",J88="",L88="",M88="",N88=""),"",Q88)</f>
        <v>NEW-0414</v>
      </c>
      <c r="B88" s="36" t="s">
        <v>319</v>
      </c>
      <c r="C88" s="36" t="s">
        <v>315</v>
      </c>
      <c r="D88" s="36" t="s">
        <v>120</v>
      </c>
      <c r="E88" s="36" t="s">
        <v>316</v>
      </c>
      <c r="F88" s="36" t="s">
        <v>124</v>
      </c>
      <c r="G88" s="36" t="s">
        <v>87</v>
      </c>
      <c r="H88" s="36"/>
      <c r="I88" s="37" t="str">
        <f aca="false">IF($A88="","",IFERROR(IF(ISBLANK(INDEX(SprintPlanning[Sprint],MATCH($A88,SprintPlanning[Requirement ID],0))),"To Plan",INDEX(SprintPlanning[Sprint],MATCH($A88,SprintPlanning[Requirement ID],0))),"To Plan"))</f>
        <v>To Plan</v>
      </c>
      <c r="J88" s="36"/>
      <c r="K88" s="37" t="str">
        <f aca="false">IFERROR(IF(ISBLANK(INDEX(Release[Release],MATCH($A88,Release[Requirement ID],0))),"",INDEX(Release[Release],MATCH($A88,Release[Requirement ID],0))),"")</f>
        <v/>
      </c>
      <c r="L88" s="38" t="n">
        <v>46237</v>
      </c>
      <c r="M88" s="36" t="s">
        <v>94</v>
      </c>
      <c r="N88" s="37" t="s">
        <v>320</v>
      </c>
      <c r="P88" s="1" t="n">
        <f aca="false">IFERROR(VALUE(MID($A88,5,4)),0)</f>
        <v>414</v>
      </c>
      <c r="Q88" s="1" t="s">
        <v>321</v>
      </c>
    </row>
    <row r="89" customFormat="false" ht="15" hidden="false" customHeight="true" outlineLevel="0" collapsed="false">
      <c r="A89" s="35" t="str">
        <f aca="false">IF(AND(B89="",C89="",D89="",E89="",F89="",G89="",H89="",J89="",L89="",M89="",N89=""),"",Q89)</f>
        <v>NEW-0415</v>
      </c>
      <c r="B89" s="36" t="s">
        <v>322</v>
      </c>
      <c r="C89" s="36" t="s">
        <v>315</v>
      </c>
      <c r="D89" s="36" t="s">
        <v>120</v>
      </c>
      <c r="E89" s="36" t="s">
        <v>316</v>
      </c>
      <c r="F89" s="36" t="s">
        <v>124</v>
      </c>
      <c r="G89" s="36" t="s">
        <v>87</v>
      </c>
      <c r="H89" s="36"/>
      <c r="I89" s="37" t="str">
        <f aca="false">IF($A89="","",IFERROR(IF(ISBLANK(INDEX(SprintPlanning[Sprint],MATCH($A89,SprintPlanning[Requirement ID],0))),"To Plan",INDEX(SprintPlanning[Sprint],MATCH($A89,SprintPlanning[Requirement ID],0))),"To Plan"))</f>
        <v>To Plan</v>
      </c>
      <c r="J89" s="36"/>
      <c r="K89" s="37" t="str">
        <f aca="false">IFERROR(IF(ISBLANK(INDEX(Release[Release],MATCH($A89,Release[Requirement ID],0))),"",INDEX(Release[Release],MATCH($A89,Release[Requirement ID],0))),"")</f>
        <v/>
      </c>
      <c r="L89" s="38" t="n">
        <v>46237</v>
      </c>
      <c r="M89" s="36" t="s">
        <v>94</v>
      </c>
      <c r="N89" s="37" t="s">
        <v>323</v>
      </c>
      <c r="P89" s="1" t="n">
        <f aca="false">IFERROR(VALUE(MID($A89,5,4)),0)</f>
        <v>415</v>
      </c>
      <c r="Q89" s="1" t="s">
        <v>324</v>
      </c>
    </row>
    <row r="90" customFormat="false" ht="15" hidden="false" customHeight="true" outlineLevel="0" collapsed="false">
      <c r="A90" s="24" t="str">
        <f aca="false">IF(AND(B90="",C90="",D90="",E90="",F90="",G90="",H90="",J90="",L90="",M90="",N90=""),"",Q90)</f>
        <v>NEW-0084</v>
      </c>
      <c r="B90" s="25" t="s">
        <v>325</v>
      </c>
      <c r="C90" s="25" t="s">
        <v>83</v>
      </c>
      <c r="D90" s="25" t="s">
        <v>142</v>
      </c>
      <c r="E90" s="25" t="s">
        <v>91</v>
      </c>
      <c r="F90" s="25" t="s">
        <v>124</v>
      </c>
      <c r="G90" s="25" t="s">
        <v>87</v>
      </c>
      <c r="H90" s="25"/>
      <c r="I90" s="26" t="str">
        <f aca="false">IF($A90="","",IFERROR(IF(ISBLANK(INDEX(SprintPlanning[Sprint],MATCH($A90,SprintPlanning[Requirement ID],0))),"To Plan",INDEX(SprintPlanning[Sprint],MATCH($A90,SprintPlanning[Requirement ID],0))),"To Plan"))</f>
        <v>To Plan</v>
      </c>
      <c r="J90" s="25"/>
      <c r="K90" s="26" t="str">
        <f aca="false">IFERROR(IF(ISBLANK(INDEX(Release[Release],MATCH($A90,Release[Requirement ID],0))),"",INDEX(Release[Release],MATCH($A90,Release[Requirement ID],0))),"")</f>
        <v/>
      </c>
      <c r="L90" s="27" t="n">
        <v>46226</v>
      </c>
      <c r="M90" s="25"/>
      <c r="N90" s="26"/>
      <c r="P90" s="1" t="n">
        <f aca="false">IFERROR(VALUE(MID($A90,5,4)),0)</f>
        <v>84</v>
      </c>
      <c r="Q90" s="1" t="s">
        <v>326</v>
      </c>
    </row>
    <row r="91" customFormat="false" ht="15" hidden="false" customHeight="true" outlineLevel="0" collapsed="false">
      <c r="A91" s="24" t="str">
        <f aca="false">IF(AND(B91="",C91="",D91="",E91="",F91="",G91="",H91="",J91="",L91="",M91="",N91=""),"",Q91)</f>
        <v>NEW-0072</v>
      </c>
      <c r="B91" s="25" t="s">
        <v>327</v>
      </c>
      <c r="C91" s="25" t="s">
        <v>98</v>
      </c>
      <c r="D91" s="25" t="s">
        <v>142</v>
      </c>
      <c r="E91" s="25" t="s">
        <v>91</v>
      </c>
      <c r="F91" s="25" t="s">
        <v>124</v>
      </c>
      <c r="G91" s="25" t="s">
        <v>87</v>
      </c>
      <c r="H91" s="25"/>
      <c r="I91" s="26" t="str">
        <f aca="false">IF($A91="","",IFERROR(IF(ISBLANK(INDEX(SprintPlanning[Sprint],MATCH($A91,SprintPlanning[Requirement ID],0))),"To Plan",INDEX(SprintPlanning[Sprint],MATCH($A91,SprintPlanning[Requirement ID],0))),"To Plan"))</f>
        <v>To Plan</v>
      </c>
      <c r="J91" s="25" t="n">
        <v>21</v>
      </c>
      <c r="K91" s="26" t="str">
        <f aca="false">IFERROR(IF(ISBLANK(INDEX(Release[Release],MATCH($A91,Release[Requirement ID],0))),"",INDEX(Release[Release],MATCH($A91,Release[Requirement ID],0))),"")</f>
        <v/>
      </c>
      <c r="L91" s="27" t="n">
        <v>46226</v>
      </c>
      <c r="M91" s="25" t="s">
        <v>94</v>
      </c>
      <c r="N91" s="26" t="s">
        <v>328</v>
      </c>
      <c r="P91" s="1" t="n">
        <f aca="false">IFERROR(VALUE(MID($A91,5,4)),0)</f>
        <v>72</v>
      </c>
      <c r="Q91" s="1" t="s">
        <v>329</v>
      </c>
    </row>
    <row r="92" customFormat="false" ht="15" hidden="false" customHeight="true" outlineLevel="0" collapsed="false">
      <c r="A92" s="24" t="str">
        <f aca="false">IF(AND(B92="",C92="",D92="",E92="",F92="",G92="",H92="",J92="",L92="",M92="",N92=""),"",Q92)</f>
        <v>NEW-0073</v>
      </c>
      <c r="B92" s="25" t="s">
        <v>330</v>
      </c>
      <c r="C92" s="25" t="s">
        <v>98</v>
      </c>
      <c r="D92" s="25" t="s">
        <v>142</v>
      </c>
      <c r="E92" s="25" t="s">
        <v>91</v>
      </c>
      <c r="F92" s="25" t="s">
        <v>124</v>
      </c>
      <c r="G92" s="25" t="s">
        <v>87</v>
      </c>
      <c r="H92" s="25"/>
      <c r="I92" s="26" t="str">
        <f aca="false">IF($A92="","",IFERROR(IF(ISBLANK(INDEX(SprintPlanning[Sprint],MATCH($A92,SprintPlanning[Requirement ID],0))),"To Plan",INDEX(SprintPlanning[Sprint],MATCH($A92,SprintPlanning[Requirement ID],0))),"To Plan"))</f>
        <v>To Plan</v>
      </c>
      <c r="J92" s="25"/>
      <c r="K92" s="26" t="str">
        <f aca="false">IFERROR(IF(ISBLANK(INDEX(Release[Release],MATCH($A92,Release[Requirement ID],0))),"",INDEX(Release[Release],MATCH($A92,Release[Requirement ID],0))),"")</f>
        <v/>
      </c>
      <c r="L92" s="27" t="n">
        <v>46226</v>
      </c>
      <c r="M92" s="25" t="s">
        <v>94</v>
      </c>
      <c r="N92" s="26" t="s">
        <v>331</v>
      </c>
      <c r="P92" s="1" t="n">
        <f aca="false">IFERROR(VALUE(MID($A92,5,4)),0)</f>
        <v>73</v>
      </c>
      <c r="Q92" s="1" t="s">
        <v>332</v>
      </c>
    </row>
    <row r="93" customFormat="false" ht="15" hidden="false" customHeight="true" outlineLevel="0" collapsed="false">
      <c r="A93" s="24" t="str">
        <f aca="false">IF(AND(B93="",C93="",D93="",E93="",F93="",G93="",H93="",J93="",L93="",M93="",N93=""),"",Q93)</f>
        <v>NEW-0074</v>
      </c>
      <c r="B93" s="25" t="s">
        <v>333</v>
      </c>
      <c r="C93" s="25" t="s">
        <v>98</v>
      </c>
      <c r="D93" s="25" t="s">
        <v>142</v>
      </c>
      <c r="E93" s="25" t="s">
        <v>91</v>
      </c>
      <c r="F93" s="25" t="s">
        <v>124</v>
      </c>
      <c r="G93" s="25" t="s">
        <v>87</v>
      </c>
      <c r="H93" s="25"/>
      <c r="I93" s="26" t="str">
        <f aca="false">IF($A93="","",IFERROR(IF(ISBLANK(INDEX(SprintPlanning[Sprint],MATCH($A93,SprintPlanning[Requirement ID],0))),"To Plan",INDEX(SprintPlanning[Sprint],MATCH($A93,SprintPlanning[Requirement ID],0))),"To Plan"))</f>
        <v>To Plan</v>
      </c>
      <c r="J93" s="25" t="n">
        <v>5</v>
      </c>
      <c r="K93" s="26" t="str">
        <f aca="false">IFERROR(IF(ISBLANK(INDEX(Release[Release],MATCH($A93,Release[Requirement ID],0))),"",INDEX(Release[Release],MATCH($A93,Release[Requirement ID],0))),"")</f>
        <v/>
      </c>
      <c r="L93" s="27" t="n">
        <v>46226</v>
      </c>
      <c r="M93" s="25" t="s">
        <v>94</v>
      </c>
      <c r="N93" s="26" t="s">
        <v>334</v>
      </c>
      <c r="P93" s="1" t="n">
        <f aca="false">IFERROR(VALUE(MID($A93,5,4)),0)</f>
        <v>74</v>
      </c>
      <c r="Q93" s="1" t="s">
        <v>335</v>
      </c>
    </row>
    <row r="94" customFormat="false" ht="15" hidden="false" customHeight="true" outlineLevel="0" collapsed="false">
      <c r="A94" s="32" t="str">
        <f aca="false">IF(AND(B94="",C94="",D94="",E94="",F94="",G94="",H94="",J94="",L94="",M94="",N94=""),"",Q94)</f>
        <v>NEW-0436</v>
      </c>
      <c r="B94" s="33" t="s">
        <v>336</v>
      </c>
      <c r="C94" s="33" t="s">
        <v>98</v>
      </c>
      <c r="D94" s="33" t="s">
        <v>116</v>
      </c>
      <c r="E94" s="33" t="s">
        <v>91</v>
      </c>
      <c r="F94" s="33" t="s">
        <v>124</v>
      </c>
      <c r="G94" s="33" t="s">
        <v>87</v>
      </c>
      <c r="H94" s="33"/>
      <c r="I94" s="1" t="str">
        <f aca="false">IF($A94="","",IFERROR(IF(ISBLANK(INDEX(SprintPlanning[Sprint],MATCH($A94,SprintPlanning[Requirement ID],0))),"To Plan",INDEX(SprintPlanning[Sprint],MATCH($A94,SprintPlanning[Requirement ID],0))),"To Plan"))</f>
        <v>Sprint 11</v>
      </c>
      <c r="J94" s="33" t="n">
        <v>8</v>
      </c>
      <c r="K94" s="1" t="str">
        <f aca="false">IFERROR(IF(ISBLANK(INDEX(Release[Release],MATCH($A94,Release[Requirement ID],0))),"",INDEX(Release[Release],MATCH($A94,Release[Requirement ID],0))),"")</f>
        <v/>
      </c>
      <c r="L94" s="34" t="n">
        <v>46247</v>
      </c>
      <c r="M94" s="33"/>
      <c r="N94" s="1" t="s">
        <v>337</v>
      </c>
      <c r="P94" s="1" t="n">
        <f aca="false">IFERROR(VALUE(MID($A94,5,4)),0)</f>
        <v>436</v>
      </c>
      <c r="Q94" s="1" t="s">
        <v>338</v>
      </c>
    </row>
    <row r="95" customFormat="false" ht="15" hidden="false" customHeight="true" outlineLevel="0" collapsed="false">
      <c r="A95" s="32" t="str">
        <f aca="false">IF(AND(B95="",C95="",D95="",E95="",F95="",G95="",H95="",J95="",L95="",M95="",N95=""),"",Q95)</f>
        <v>NEW-0437</v>
      </c>
      <c r="B95" s="33" t="s">
        <v>339</v>
      </c>
      <c r="C95" s="33" t="s">
        <v>98</v>
      </c>
      <c r="D95" s="33" t="s">
        <v>116</v>
      </c>
      <c r="E95" s="33" t="s">
        <v>91</v>
      </c>
      <c r="F95" s="33" t="s">
        <v>124</v>
      </c>
      <c r="G95" s="33" t="s">
        <v>93</v>
      </c>
      <c r="H95" s="33"/>
      <c r="I95" s="1" t="str">
        <f aca="false">IF($A95="","",IFERROR(IF(ISBLANK(INDEX(SprintPlanning[Sprint],MATCH($A95,SprintPlanning[Requirement ID],0))),"To Plan",INDEX(SprintPlanning[Sprint],MATCH($A95,SprintPlanning[Requirement ID],0))),"To Plan"))</f>
        <v>Sprint 11</v>
      </c>
      <c r="J95" s="33" t="n">
        <v>3</v>
      </c>
      <c r="K95" s="1" t="str">
        <f aca="false">IFERROR(IF(ISBLANK(INDEX(Release[Release],MATCH($A95,Release[Requirement ID],0))),"",INDEX(Release[Release],MATCH($A95,Release[Requirement ID],0))),"")</f>
        <v/>
      </c>
      <c r="L95" s="34" t="n">
        <v>46247</v>
      </c>
      <c r="M95" s="33" t="s">
        <v>94</v>
      </c>
      <c r="N95" s="1" t="s">
        <v>340</v>
      </c>
      <c r="P95" s="1" t="n">
        <f aca="false">IFERROR(VALUE(MID($A95,5,4)),0)</f>
        <v>437</v>
      </c>
      <c r="Q95" s="1" t="s">
        <v>341</v>
      </c>
    </row>
    <row r="96" customFormat="false" ht="15" hidden="false" customHeight="true" outlineLevel="0" collapsed="false">
      <c r="A96" s="32" t="str">
        <f aca="false">IF(AND(B96="",C96="",D96="",E96="",F96="",G96="",H96="",J96="",L96="",M96="",N96=""),"",Q96)</f>
        <v>NEW-0438</v>
      </c>
      <c r="B96" s="33" t="s">
        <v>342</v>
      </c>
      <c r="C96" s="33" t="s">
        <v>98</v>
      </c>
      <c r="D96" s="33" t="s">
        <v>116</v>
      </c>
      <c r="E96" s="33" t="s">
        <v>85</v>
      </c>
      <c r="F96" s="33" t="s">
        <v>124</v>
      </c>
      <c r="G96" s="33" t="s">
        <v>87</v>
      </c>
      <c r="H96" s="33"/>
      <c r="I96" s="1" t="str">
        <f aca="false">IF($A96="","",IFERROR(IF(ISBLANK(INDEX(SprintPlanning[Sprint],MATCH($A96,SprintPlanning[Requirement ID],0))),"To Plan",INDEX(SprintPlanning[Sprint],MATCH($A96,SprintPlanning[Requirement ID],0))),"To Plan"))</f>
        <v>To Plan</v>
      </c>
      <c r="J96" s="33"/>
      <c r="K96" s="1" t="str">
        <f aca="false">IFERROR(IF(ISBLANK(INDEX(Release[Release],MATCH($A96,Release[Requirement ID],0))),"",INDEX(Release[Release],MATCH($A96,Release[Requirement ID],0))),"")</f>
        <v/>
      </c>
      <c r="L96" s="34" t="n">
        <v>46247</v>
      </c>
      <c r="M96" s="33"/>
      <c r="P96" s="1" t="n">
        <f aca="false">IFERROR(VALUE(MID($A96,5,4)),0)</f>
        <v>438</v>
      </c>
      <c r="Q96" s="1" t="s">
        <v>343</v>
      </c>
    </row>
    <row r="97" customFormat="false" ht="15" hidden="false" customHeight="true" outlineLevel="0" collapsed="false">
      <c r="A97" s="32" t="str">
        <f aca="false">IF(AND(B97="",C97="",D97="",E97="",F97="",G97="",H97="",J97="",L97="",M97="",N97=""),"",Q97)</f>
        <v>NEW-0439</v>
      </c>
      <c r="B97" s="33" t="s">
        <v>344</v>
      </c>
      <c r="C97" s="33" t="s">
        <v>98</v>
      </c>
      <c r="D97" s="33" t="s">
        <v>84</v>
      </c>
      <c r="E97" s="33" t="s">
        <v>164</v>
      </c>
      <c r="F97" s="33" t="s">
        <v>124</v>
      </c>
      <c r="G97" s="33" t="s">
        <v>87</v>
      </c>
      <c r="H97" s="33"/>
      <c r="I97" s="1" t="str">
        <f aca="false">IF($A97="","",IFERROR(IF(ISBLANK(INDEX(SprintPlanning[Sprint],MATCH($A97,SprintPlanning[Requirement ID],0))),"To Plan",INDEX(SprintPlanning[Sprint],MATCH($A97,SprintPlanning[Requirement ID],0))),"To Plan"))</f>
        <v>Sprint 11</v>
      </c>
      <c r="J97" s="33" t="n">
        <v>3</v>
      </c>
      <c r="K97" s="1" t="str">
        <f aca="false">IFERROR(IF(ISBLANK(INDEX(Release[Release],MATCH($A97,Release[Requirement ID],0))),"",INDEX(Release[Release],MATCH($A97,Release[Requirement ID],0))),"")</f>
        <v/>
      </c>
      <c r="L97" s="34" t="n">
        <v>46247</v>
      </c>
      <c r="M97" s="33"/>
      <c r="N97" s="1" t="s">
        <v>345</v>
      </c>
      <c r="P97" s="1" t="n">
        <f aca="false">IFERROR(VALUE(MID($A97,5,4)),0)</f>
        <v>439</v>
      </c>
      <c r="Q97" s="1" t="s">
        <v>346</v>
      </c>
    </row>
    <row r="98" customFormat="false" ht="15" hidden="false" customHeight="true" outlineLevel="0" collapsed="false">
      <c r="A98" s="32" t="str">
        <f aca="false">IF(AND(B98="",C98="",D98="",E98="",F98="",G98="",H98="",J98="",L98="",M98="",N98=""),"",Q98)</f>
        <v>NEW-0440</v>
      </c>
      <c r="B98" s="28" t="s">
        <v>347</v>
      </c>
      <c r="C98" s="28" t="s">
        <v>105</v>
      </c>
      <c r="D98" s="28" t="s">
        <v>84</v>
      </c>
      <c r="E98" s="28" t="s">
        <v>106</v>
      </c>
      <c r="F98" s="28" t="s">
        <v>124</v>
      </c>
      <c r="G98" s="28" t="s">
        <v>93</v>
      </c>
      <c r="H98" s="28"/>
      <c r="I98" s="1" t="str">
        <f aca="false">IF($A98="","",IFERROR(IF(ISBLANK(INDEX(SprintPlanning[Sprint],MATCH($A98,SprintPlanning[Requirement ID],0))),"To Plan",INDEX(SprintPlanning[Sprint],MATCH($A98,SprintPlanning[Requirement ID],0))),"To Plan"))</f>
        <v>Sprint 11</v>
      </c>
      <c r="J98" s="28" t="n">
        <v>13</v>
      </c>
      <c r="K98" s="1" t="str">
        <f aca="false">IFERROR(IF(ISBLANK(INDEX(Release[Release],MATCH($A98,Release[Requirement ID],0))),"",INDEX(Release[Release],MATCH($A98,Release[Requirement ID],0))),"")</f>
        <v/>
      </c>
      <c r="L98" s="34" t="n">
        <v>46251</v>
      </c>
      <c r="M98" s="33"/>
      <c r="P98" s="1" t="n">
        <f aca="false">IFERROR(VALUE(MID($A98,5,4)),0)</f>
        <v>440</v>
      </c>
      <c r="Q98" s="1" t="s">
        <v>348</v>
      </c>
    </row>
    <row r="99" customFormat="false" ht="15" hidden="false" customHeight="true" outlineLevel="0" collapsed="false">
      <c r="A99" s="32" t="str">
        <f aca="false">IF(AND(B99="",C99="",D99="",E99="",F99="",G99="",H99="",J99="",L99="",M99="",N99=""),"",Q99)</f>
        <v>NEW-0441</v>
      </c>
      <c r="B99" s="33" t="s">
        <v>349</v>
      </c>
      <c r="C99" s="33" t="s">
        <v>105</v>
      </c>
      <c r="D99" s="33" t="s">
        <v>131</v>
      </c>
      <c r="E99" s="33" t="s">
        <v>106</v>
      </c>
      <c r="F99" s="33" t="s">
        <v>124</v>
      </c>
      <c r="G99" s="33" t="s">
        <v>87</v>
      </c>
      <c r="H99" s="33"/>
      <c r="I99" s="1" t="str">
        <f aca="false">IF($A99="","",IFERROR(IF(ISBLANK(INDEX(SprintPlanning[Sprint],MATCH($A99,SprintPlanning[Requirement ID],0))),"To Plan",INDEX(SprintPlanning[Sprint],MATCH($A99,SprintPlanning[Requirement ID],0))),"To Plan"))</f>
        <v>Sprint 11</v>
      </c>
      <c r="J99" s="33" t="n">
        <v>13</v>
      </c>
      <c r="K99" s="1" t="str">
        <f aca="false">IFERROR(IF(ISBLANK(INDEX(Release[Release],MATCH($A99,Release[Requirement ID],0))),"",INDEX(Release[Release],MATCH($A99,Release[Requirement ID],0))),"")</f>
        <v/>
      </c>
      <c r="L99" s="42" t="n">
        <v>46251</v>
      </c>
      <c r="M99" s="33"/>
      <c r="P99" s="1" t="n">
        <f aca="false">IFERROR(VALUE(MID($A99,5,4)),0)</f>
        <v>441</v>
      </c>
      <c r="Q99" s="1" t="s">
        <v>350</v>
      </c>
    </row>
    <row r="100" customFormat="false" ht="15" hidden="false" customHeight="true" outlineLevel="0" collapsed="false">
      <c r="A100" s="32" t="str">
        <f aca="false">IF(AND(B100="",C100="",D100="",E100="",F100="",G100="",H100="",J100="",L100="",M100="",N100=""),"",Q100)</f>
        <v>NEW-0442</v>
      </c>
      <c r="B100" s="33" t="s">
        <v>351</v>
      </c>
      <c r="C100" s="33" t="s">
        <v>105</v>
      </c>
      <c r="D100" s="33" t="s">
        <v>84</v>
      </c>
      <c r="E100" s="33" t="s">
        <v>106</v>
      </c>
      <c r="F100" s="33" t="s">
        <v>124</v>
      </c>
      <c r="G100" s="33" t="s">
        <v>93</v>
      </c>
      <c r="H100" s="33"/>
      <c r="I100" s="1" t="str">
        <f aca="false">IF($A100="","",IFERROR(IF(ISBLANK(INDEX(SprintPlanning[Sprint],MATCH($A100,SprintPlanning[Requirement ID],0))),"To Plan",INDEX(SprintPlanning[Sprint],MATCH($A100,SprintPlanning[Requirement ID],0))),"To Plan"))</f>
        <v>Sprint 11</v>
      </c>
      <c r="J100" s="33" t="n">
        <v>13</v>
      </c>
      <c r="K100" s="1" t="str">
        <f aca="false">IFERROR(IF(ISBLANK(INDEX(Release[Release],MATCH($A100,Release[Requirement ID],0))),"",INDEX(Release[Release],MATCH($A100,Release[Requirement ID],0))),"")</f>
        <v/>
      </c>
      <c r="L100" s="42" t="n">
        <v>46251</v>
      </c>
      <c r="M100" s="33"/>
      <c r="P100" s="1" t="n">
        <f aca="false">IFERROR(VALUE(MID($A100,5,4)),0)</f>
        <v>442</v>
      </c>
      <c r="Q100" s="1" t="s">
        <v>352</v>
      </c>
    </row>
    <row r="101" customFormat="false" ht="15" hidden="false" customHeight="true" outlineLevel="0" collapsed="false">
      <c r="A101" s="32" t="str">
        <f aca="false">IF(AND(B101="",C101="",D101="",E101="",F101="",G101="",H101="",J101="",L101="",M101="",N101=""),"",Q101)</f>
        <v>NEW-0443</v>
      </c>
      <c r="B101" s="33" t="s">
        <v>353</v>
      </c>
      <c r="C101" s="33" t="s">
        <v>98</v>
      </c>
      <c r="D101" s="33" t="s">
        <v>168</v>
      </c>
      <c r="E101" s="33" t="s">
        <v>91</v>
      </c>
      <c r="F101" s="33" t="s">
        <v>124</v>
      </c>
      <c r="G101" s="33" t="s">
        <v>354</v>
      </c>
      <c r="H101" s="33"/>
      <c r="I101" s="1" t="str">
        <f aca="false">IF($A101="","",IFERROR(IF(ISBLANK(INDEX(SprintPlanning[Sprint],MATCH($A101,SprintPlanning[Requirement ID],0))),"To Plan",INDEX(SprintPlanning[Sprint],MATCH($A101,SprintPlanning[Requirement ID],0))),"To Plan"))</f>
        <v>To Plan</v>
      </c>
      <c r="J101" s="33" t="n">
        <v>3</v>
      </c>
      <c r="K101" s="1" t="str">
        <f aca="false">IFERROR(IF(ISBLANK(INDEX(Release[Release],MATCH($A101,Release[Requirement ID],0))),"",INDEX(Release[Release],MATCH($A101,Release[Requirement ID],0))),"")</f>
        <v/>
      </c>
      <c r="L101" s="42" t="n">
        <v>46252</v>
      </c>
      <c r="M101" s="33"/>
      <c r="N101" s="1" t="s">
        <v>355</v>
      </c>
      <c r="P101" s="1" t="n">
        <f aca="false">IFERROR(VALUE(MID($A101,5,4)),0)</f>
        <v>443</v>
      </c>
      <c r="Q101" s="1" t="s">
        <v>356</v>
      </c>
    </row>
    <row r="102" customFormat="false" ht="15" hidden="false" customHeight="true" outlineLevel="0" collapsed="false">
      <c r="A102" s="32" t="str">
        <f aca="false">IF(AND(B102="",C102="",D102="",E102="",F102="",G102="",H102="",J102="",L102="",M102="",N102=""),"",Q102)</f>
        <v>NEW-0444</v>
      </c>
      <c r="B102" s="33" t="s">
        <v>357</v>
      </c>
      <c r="C102" s="33" t="s">
        <v>98</v>
      </c>
      <c r="D102" s="33" t="s">
        <v>316</v>
      </c>
      <c r="E102" s="33" t="s">
        <v>316</v>
      </c>
      <c r="F102" s="33" t="s">
        <v>124</v>
      </c>
      <c r="G102" s="33" t="s">
        <v>93</v>
      </c>
      <c r="H102" s="33"/>
      <c r="I102" s="1" t="str">
        <f aca="false">IF($A102="","",IFERROR(IF(ISBLANK(INDEX(SprintPlanning[Sprint],MATCH($A102,SprintPlanning[Requirement ID],0))),"To Plan",INDEX(SprintPlanning[Sprint],MATCH($A102,SprintPlanning[Requirement ID],0))),"To Plan"))</f>
        <v>To Plan</v>
      </c>
      <c r="J102" s="33"/>
      <c r="K102" s="1" t="str">
        <f aca="false">IFERROR(IF(ISBLANK(INDEX(Release[Release],MATCH($A102,Release[Requirement ID],0))),"",INDEX(Release[Release],MATCH($A102,Release[Requirement ID],0))),"")</f>
        <v/>
      </c>
      <c r="L102" s="42" t="n">
        <v>46254</v>
      </c>
      <c r="M102" s="33"/>
      <c r="P102" s="1" t="n">
        <f aca="false">IFERROR(VALUE(MID($A102,5,4)),0)</f>
        <v>444</v>
      </c>
      <c r="Q102" s="1" t="s">
        <v>358</v>
      </c>
    </row>
    <row r="103" customFormat="false" ht="15" hidden="false" customHeight="true" outlineLevel="0" collapsed="false">
      <c r="A103" s="32" t="str">
        <f aca="false">IF(AND(B103="",C103="",D103="",E103="",F103="",G103="",H103="",J103="",L103="",M103="",N103=""),"",Q103)</f>
        <v>NEW-0445</v>
      </c>
      <c r="B103" s="33" t="s">
        <v>359</v>
      </c>
      <c r="C103" s="33" t="s">
        <v>98</v>
      </c>
      <c r="D103" s="33" t="s">
        <v>316</v>
      </c>
      <c r="E103" s="33" t="s">
        <v>316</v>
      </c>
      <c r="F103" s="33" t="s">
        <v>124</v>
      </c>
      <c r="G103" s="33" t="s">
        <v>87</v>
      </c>
      <c r="H103" s="33"/>
      <c r="I103" s="1" t="str">
        <f aca="false">IF($A103="","",IFERROR(IF(ISBLANK(INDEX(SprintPlanning[Sprint],MATCH($A103,SprintPlanning[Requirement ID],0))),"To Plan",INDEX(SprintPlanning[Sprint],MATCH($A103,SprintPlanning[Requirement ID],0))),"To Plan"))</f>
        <v>To Plan</v>
      </c>
      <c r="J103" s="33"/>
      <c r="K103" s="1" t="str">
        <f aca="false">IFERROR(IF(ISBLANK(INDEX(Release[Release],MATCH($A103,Release[Requirement ID],0))),"",INDEX(Release[Release],MATCH($A103,Release[Requirement ID],0))),"")</f>
        <v/>
      </c>
      <c r="L103" s="42" t="n">
        <v>46254</v>
      </c>
      <c r="M103" s="33"/>
      <c r="P103" s="1" t="n">
        <f aca="false">IFERROR(VALUE(MID($A103,5,4)),0)</f>
        <v>445</v>
      </c>
      <c r="Q103" s="1" t="s">
        <v>360</v>
      </c>
    </row>
    <row r="104" customFormat="false" ht="15" hidden="false" customHeight="true" outlineLevel="0" collapsed="false">
      <c r="A104" s="32" t="str">
        <f aca="false">IF(AND(B104="",C104="",D104="",E104="",F104="",G104="",H104="",J104="",L104="",M104="",N104=""),"",Q104)</f>
        <v>NEW-0446</v>
      </c>
      <c r="B104" s="33" t="s">
        <v>361</v>
      </c>
      <c r="C104" s="33" t="s">
        <v>98</v>
      </c>
      <c r="D104" s="33" t="s">
        <v>316</v>
      </c>
      <c r="E104" s="33" t="s">
        <v>316</v>
      </c>
      <c r="F104" s="33" t="s">
        <v>124</v>
      </c>
      <c r="G104" s="33" t="s">
        <v>87</v>
      </c>
      <c r="H104" s="33"/>
      <c r="I104" s="1" t="str">
        <f aca="false">IF($A104="","",IFERROR(IF(ISBLANK(INDEX(SprintPlanning[Sprint],MATCH($A104,SprintPlanning[Requirement ID],0))),"To Plan",INDEX(SprintPlanning[Sprint],MATCH($A104,SprintPlanning[Requirement ID],0))),"To Plan"))</f>
        <v>To Plan</v>
      </c>
      <c r="J104" s="33"/>
      <c r="K104" s="1" t="str">
        <f aca="false">IFERROR(IF(ISBLANK(INDEX(Release[Release],MATCH($A104,Release[Requirement ID],0))),"",INDEX(Release[Release],MATCH($A104,Release[Requirement ID],0))),"")</f>
        <v/>
      </c>
      <c r="L104" s="42" t="n">
        <v>46254</v>
      </c>
      <c r="M104" s="33"/>
      <c r="P104" s="1" t="n">
        <f aca="false">IFERROR(VALUE(MID($A104,5,4)),0)</f>
        <v>446</v>
      </c>
      <c r="Q104" s="1" t="s">
        <v>362</v>
      </c>
    </row>
    <row r="105" customFormat="false" ht="15" hidden="false" customHeight="true" outlineLevel="0" collapsed="false">
      <c r="A105" s="32" t="str">
        <f aca="false">IF(AND(B105="",C105="",D105="",E105="",F105="",G105="",H105="",J105="",L105="",M105="",N105=""),"",Q105)</f>
        <v>NEW-0447</v>
      </c>
      <c r="B105" s="33" t="s">
        <v>363</v>
      </c>
      <c r="C105" s="33" t="s">
        <v>98</v>
      </c>
      <c r="D105" s="33" t="s">
        <v>316</v>
      </c>
      <c r="E105" s="33" t="s">
        <v>316</v>
      </c>
      <c r="F105" s="33" t="s">
        <v>124</v>
      </c>
      <c r="G105" s="33" t="s">
        <v>87</v>
      </c>
      <c r="H105" s="33"/>
      <c r="I105" s="1" t="str">
        <f aca="false">IF($A105="","",IFERROR(IF(ISBLANK(INDEX(SprintPlanning[Sprint],MATCH($A105,SprintPlanning[Requirement ID],0))),"To Plan",INDEX(SprintPlanning[Sprint],MATCH($A105,SprintPlanning[Requirement ID],0))),"To Plan"))</f>
        <v>To Plan</v>
      </c>
      <c r="J105" s="33"/>
      <c r="K105" s="1" t="str">
        <f aca="false">IFERROR(IF(ISBLANK(INDEX(Release[Release],MATCH($A105,Release[Requirement ID],0))),"",INDEX(Release[Release],MATCH($A105,Release[Requirement ID],0))),"")</f>
        <v/>
      </c>
      <c r="L105" s="42" t="n">
        <v>46254</v>
      </c>
      <c r="M105" s="33"/>
      <c r="P105" s="1" t="n">
        <f aca="false">IFERROR(VALUE(MID($A105,5,4)),0)</f>
        <v>447</v>
      </c>
      <c r="Q105" s="1" t="s">
        <v>364</v>
      </c>
    </row>
    <row r="106" customFormat="false" ht="15" hidden="false" customHeight="true" outlineLevel="0" collapsed="false">
      <c r="A106" s="32" t="str">
        <f aca="false">IF(AND(B106="",C106="",D106="",E106="",F106="",G106="",H106="",J106="",L106="",M106="",N106=""),"",Q106)</f>
        <v>NEW-0448</v>
      </c>
      <c r="B106" s="33" t="s">
        <v>365</v>
      </c>
      <c r="C106" s="33" t="s">
        <v>98</v>
      </c>
      <c r="D106" s="33" t="s">
        <v>168</v>
      </c>
      <c r="E106" s="33" t="s">
        <v>91</v>
      </c>
      <c r="F106" s="33" t="s">
        <v>124</v>
      </c>
      <c r="G106" s="33" t="s">
        <v>93</v>
      </c>
      <c r="H106" s="33"/>
      <c r="I106" s="1" t="str">
        <f aca="false">IF($A106="","",IFERROR(IF(ISBLANK(INDEX(SprintPlanning[Sprint],MATCH($A106,SprintPlanning[Requirement ID],0))),"To Plan",INDEX(SprintPlanning[Sprint],MATCH($A106,SprintPlanning[Requirement ID],0))),"To Plan"))</f>
        <v>To Plan</v>
      </c>
      <c r="J106" s="33" t="n">
        <v>13</v>
      </c>
      <c r="K106" s="1" t="str">
        <f aca="false">IFERROR(IF(ISBLANK(INDEX(Release[Release],MATCH($A106,Release[Requirement ID],0))),"",INDEX(Release[Release],MATCH($A106,Release[Requirement ID],0))),"")</f>
        <v/>
      </c>
      <c r="L106" s="42" t="n">
        <v>46254</v>
      </c>
      <c r="M106" s="33"/>
      <c r="P106" s="1" t="n">
        <f aca="false">IFERROR(VALUE(MID($A106,5,4)),0)</f>
        <v>448</v>
      </c>
      <c r="Q106" s="1" t="s">
        <v>366</v>
      </c>
    </row>
    <row r="107" customFormat="false" ht="15" hidden="false" customHeight="true" outlineLevel="0" collapsed="false">
      <c r="A107" s="32" t="str">
        <f aca="false">IF(AND(B107="",C107="",D107="",E107="",F107="",G107="",H107="",J107="",L107="",M107="",N107=""),"",Q107)</f>
        <v>NEW-0449</v>
      </c>
      <c r="B107" s="32" t="s">
        <v>367</v>
      </c>
      <c r="C107" s="33" t="s">
        <v>237</v>
      </c>
      <c r="D107" s="33" t="s">
        <v>316</v>
      </c>
      <c r="E107" s="33" t="s">
        <v>316</v>
      </c>
      <c r="F107" s="33" t="s">
        <v>124</v>
      </c>
      <c r="G107" s="33" t="s">
        <v>93</v>
      </c>
      <c r="H107" s="33"/>
      <c r="I107" s="1" t="str">
        <f aca="false">IF($A107="","",IFERROR(IF(ISBLANK(INDEX(SprintPlanning[Sprint],MATCH($A107,SprintPlanning[Requirement ID],0))),"To Plan",INDEX(SprintPlanning[Sprint],MATCH($A107,SprintPlanning[Requirement ID],0))),"To Plan"))</f>
        <v>Sprint 12</v>
      </c>
      <c r="J107" s="33" t="n">
        <v>3</v>
      </c>
      <c r="K107" s="1" t="str">
        <f aca="false">IFERROR(IF(ISBLANK(INDEX(Release[Release],MATCH($A107,Release[Requirement ID],0))),"",INDEX(Release[Release],MATCH($A107,Release[Requirement ID],0))),"")</f>
        <v/>
      </c>
      <c r="L107" s="42" t="n">
        <v>46254</v>
      </c>
      <c r="M107" s="33" t="s">
        <v>94</v>
      </c>
      <c r="N107" s="1" t="s">
        <v>368</v>
      </c>
      <c r="P107" s="1" t="n">
        <f aca="false">IFERROR(VALUE(MID($A107,5,4)),0)</f>
        <v>449</v>
      </c>
      <c r="Q107" s="1" t="s">
        <v>369</v>
      </c>
    </row>
    <row r="108" customFormat="false" ht="15" hidden="false" customHeight="true" outlineLevel="0" collapsed="false">
      <c r="A108" s="32" t="str">
        <f aca="false">IF(AND(B108="",C108="",D108="",E108="",F108="",G108="",H108="",J108="",L108="",M108="",N108=""),"",Q108)</f>
        <v>NEW-0451</v>
      </c>
      <c r="B108" s="33" t="s">
        <v>370</v>
      </c>
      <c r="C108" s="33" t="s">
        <v>98</v>
      </c>
      <c r="D108" s="33" t="s">
        <v>316</v>
      </c>
      <c r="E108" s="33" t="s">
        <v>316</v>
      </c>
      <c r="F108" s="33" t="s">
        <v>124</v>
      </c>
      <c r="G108" s="33" t="s">
        <v>93</v>
      </c>
      <c r="H108" s="33"/>
      <c r="I108" s="1" t="str">
        <f aca="false">IF($A109="","",IFERROR(IF(ISBLANK(INDEX(SprintPlanning[Sprint],MATCH($A109,SprintPlanning[Requirement ID],0))),"To Plan",INDEX(SprintPlanning[Sprint],MATCH($A109,SprintPlanning[Requirement ID],0))),"To Plan"))</f>
        <v>To Plan</v>
      </c>
      <c r="J108" s="33" t="n">
        <v>3</v>
      </c>
      <c r="K108" s="1" t="str">
        <f aca="false">IFERROR(IF(ISBLANK(INDEX(Release[Release],MATCH($A109,Release[Requirement ID],0))),"",INDEX(Release[Release],MATCH($A109,Release[Requirement ID],0))),"")</f>
        <v/>
      </c>
      <c r="L108" s="42" t="n">
        <v>46254</v>
      </c>
      <c r="M108" s="33" t="s">
        <v>94</v>
      </c>
      <c r="P108" s="1" t="n">
        <f aca="false">IFERROR(VALUE(MID($A108,5,4)),0)</f>
        <v>451</v>
      </c>
      <c r="Q108" s="1" t="s">
        <v>371</v>
      </c>
    </row>
    <row r="109" customFormat="false" ht="15" hidden="false" customHeight="true" outlineLevel="0" collapsed="false">
      <c r="A109" s="32" t="str">
        <f aca="false">IF(AND(B109="",C109="",D109="",E109="",F109="",G109="",H109="",J109="",L109="",M109="",N109=""),"",Q109)</f>
        <v>NEW-0452</v>
      </c>
      <c r="B109" s="33" t="s">
        <v>372</v>
      </c>
      <c r="C109" s="33" t="s">
        <v>98</v>
      </c>
      <c r="D109" s="33" t="s">
        <v>84</v>
      </c>
      <c r="E109" s="33" t="s">
        <v>85</v>
      </c>
      <c r="F109" s="33" t="s">
        <v>139</v>
      </c>
      <c r="G109" s="33" t="s">
        <v>87</v>
      </c>
      <c r="H109" s="33"/>
      <c r="I109" s="1" t="str">
        <f aca="false">IF($A110="","",IFERROR(IF(ISBLANK(INDEX(SprintPlanning[Sprint],MATCH($A110,SprintPlanning[Requirement ID],0))),"To Plan",INDEX(SprintPlanning[Sprint],MATCH($A110,SprintPlanning[Requirement ID],0))),"To Plan"))</f>
        <v/>
      </c>
      <c r="J109" s="33"/>
      <c r="K109" s="1" t="str">
        <f aca="false">IFERROR(IF(ISBLANK(INDEX(Release[Release],MATCH($A110,Release[Requirement ID],0))),"",INDEX(Release[Release],MATCH($A110,Release[Requirement ID],0))),"")</f>
        <v/>
      </c>
      <c r="L109" s="42" t="n">
        <v>46255</v>
      </c>
      <c r="M109" s="33"/>
      <c r="P109" s="1" t="n">
        <f aca="false">IFERROR(VALUE(MID($A109,5,4)),0)</f>
        <v>452</v>
      </c>
      <c r="Q109" s="1" t="s">
        <v>373</v>
      </c>
    </row>
    <row r="110" customFormat="false" ht="15" hidden="false" customHeight="true" outlineLevel="0" collapsed="false">
      <c r="A110" s="32" t="str">
        <f aca="false">IF(AND(B110="",C110="",D110="",E110="",F110="",G110="",H110="",J110="",L110="",M110="",N110=""),"",Q110)</f>
        <v/>
      </c>
      <c r="B110" s="33"/>
      <c r="C110" s="33"/>
      <c r="D110" s="33"/>
      <c r="E110" s="33"/>
      <c r="F110" s="33"/>
      <c r="G110" s="33"/>
      <c r="H110" s="33"/>
      <c r="I110" s="1" t="str">
        <f aca="false">IF($A111="","",IFERROR(IF(ISBLANK(INDEX(SprintPlanning[Sprint],MATCH($A111,SprintPlanning[Requirement ID],0))),"To Plan",INDEX(SprintPlanning[Sprint],MATCH($A111,SprintPlanning[Requirement ID],0))),"To Plan"))</f>
        <v/>
      </c>
      <c r="J110" s="33"/>
      <c r="K110" s="1" t="str">
        <f aca="false">IFERROR(IF(ISBLANK(INDEX(Release[Release],MATCH($A111,Release[Requirement ID],0))),"",INDEX(Release[Release],MATCH($A111,Release[Requirement ID],0))),"")</f>
        <v/>
      </c>
      <c r="L110" s="33"/>
      <c r="M110" s="33"/>
      <c r="P110" s="1" t="n">
        <f aca="false">IFERROR(VALUE(MID($A110,5,4)),0)</f>
        <v>0</v>
      </c>
      <c r="Q110" s="1" t="str">
        <f aca="false">IF(B110="","","NEW-"&amp;TEXT(MAX($P$2:$P109,Lists!$N$2)+1,"0000"))</f>
        <v/>
      </c>
    </row>
    <row r="111" customFormat="false" ht="15" hidden="false" customHeight="true" outlineLevel="0" collapsed="false">
      <c r="A111" s="32" t="str">
        <f aca="false">IF(AND(B111="",C111="",D111="",E111="",F111="",G111="",H111="",J111="",L111="",M111="",N111=""),"",Q111)</f>
        <v/>
      </c>
      <c r="B111" s="33"/>
      <c r="C111" s="33"/>
      <c r="D111" s="33"/>
      <c r="E111" s="33"/>
      <c r="F111" s="33"/>
      <c r="G111" s="33"/>
      <c r="H111" s="33"/>
      <c r="I111" s="1" t="str">
        <f aca="false">IF($A112="","",IFERROR(IF(ISBLANK(INDEX(SprintPlanning[Sprint],MATCH($A112,SprintPlanning[Requirement ID],0))),"To Plan",INDEX(SprintPlanning[Sprint],MATCH($A112,SprintPlanning[Requirement ID],0))),"To Plan"))</f>
        <v/>
      </c>
      <c r="J111" s="33"/>
      <c r="K111" s="1" t="str">
        <f aca="false">IFERROR(IF(ISBLANK(INDEX(Release[Release],MATCH($A112,Release[Requirement ID],0))),"",INDEX(Release[Release],MATCH($A112,Release[Requirement ID],0))),"")</f>
        <v/>
      </c>
      <c r="L111" s="33"/>
      <c r="M111" s="33"/>
      <c r="P111" s="1" t="n">
        <f aca="false">IFERROR(VALUE(MID($A111,5,4)),0)</f>
        <v>0</v>
      </c>
      <c r="Q111" s="1" t="str">
        <f aca="false">IF(B111="","","NEW-"&amp;TEXT(MAX($P$2:$P110,Lists!$N$2)+1,"0000"))</f>
        <v/>
      </c>
    </row>
    <row r="112" customFormat="false" ht="15" hidden="false" customHeight="true" outlineLevel="0" collapsed="false">
      <c r="A112" s="32" t="str">
        <f aca="false">IF(AND(B112="",C112="",D112="",E112="",F112="",G112="",H112="",J112="",L112="",M112="",N112=""),"",Q112)</f>
        <v/>
      </c>
      <c r="B112" s="33"/>
      <c r="C112" s="33"/>
      <c r="D112" s="33"/>
      <c r="E112" s="33"/>
      <c r="F112" s="33"/>
      <c r="G112" s="33"/>
      <c r="H112" s="33"/>
      <c r="I112" s="1" t="str">
        <f aca="false">IF($A113="","",IFERROR(IF(ISBLANK(INDEX(SprintPlanning[Sprint],MATCH($A113,SprintPlanning[Requirement ID],0))),"To Plan",INDEX(SprintPlanning[Sprint],MATCH($A113,SprintPlanning[Requirement ID],0))),"To Plan"))</f>
        <v/>
      </c>
      <c r="J112" s="33"/>
      <c r="K112" s="1" t="str">
        <f aca="false">IFERROR(IF(ISBLANK(INDEX(Release[Release],MATCH($A113,Release[Requirement ID],0))),"",INDEX(Release[Release],MATCH($A113,Release[Requirement ID],0))),"")</f>
        <v/>
      </c>
      <c r="L112" s="33"/>
      <c r="M112" s="33"/>
      <c r="P112" s="1" t="n">
        <f aca="false">IFERROR(VALUE(MID($A112,5,4)),0)</f>
        <v>0</v>
      </c>
      <c r="Q112" s="1" t="str">
        <f aca="false">IF(B112="","","NEW-"&amp;TEXT(MAX($P$2:$P111,Lists!$N$2)+1,"0000"))</f>
        <v/>
      </c>
    </row>
    <row r="113" customFormat="false" ht="15" hidden="false" customHeight="true" outlineLevel="0" collapsed="false">
      <c r="A113" s="32" t="str">
        <f aca="false">IF(AND(B113="",C113="",D113="",E113="",F113="",G113="",H113="",J113="",L113="",M113="",N113=""),"",Q113)</f>
        <v/>
      </c>
      <c r="B113" s="33"/>
      <c r="C113" s="33"/>
      <c r="D113" s="33"/>
      <c r="E113" s="33"/>
      <c r="F113" s="33"/>
      <c r="G113" s="33"/>
      <c r="H113" s="33"/>
      <c r="I113" s="1" t="str">
        <f aca="false">IF($A114="","",IFERROR(IF(ISBLANK(INDEX(SprintPlanning[Sprint],MATCH($A114,SprintPlanning[Requirement ID],0))),"To Plan",INDEX(SprintPlanning[Sprint],MATCH($A114,SprintPlanning[Requirement ID],0))),"To Plan"))</f>
        <v/>
      </c>
      <c r="J113" s="33"/>
      <c r="K113" s="1" t="str">
        <f aca="false">IFERROR(IF(ISBLANK(INDEX(Release[Release],MATCH($A114,Release[Requirement ID],0))),"",INDEX(Release[Release],MATCH($A114,Release[Requirement ID],0))),"")</f>
        <v/>
      </c>
      <c r="L113" s="33"/>
      <c r="M113" s="33"/>
      <c r="P113" s="1" t="n">
        <f aca="false">IFERROR(VALUE(MID($A113,5,4)),0)</f>
        <v>0</v>
      </c>
      <c r="Q113" s="1" t="str">
        <f aca="false">IF(B113="","","NEW-"&amp;TEXT(MAX($P$2:$P112,Lists!$N$2)+1,"0000"))</f>
        <v/>
      </c>
    </row>
    <row r="114" customFormat="false" ht="15" hidden="false" customHeight="true" outlineLevel="0" collapsed="false">
      <c r="A114" s="32" t="str">
        <f aca="false">IF(AND(B114="",C114="",D114="",E114="",F114="",G114="",H114="",J114="",L114="",M114="",N114=""),"",Q114)</f>
        <v/>
      </c>
      <c r="B114" s="33"/>
      <c r="C114" s="33"/>
      <c r="D114" s="33"/>
      <c r="E114" s="33"/>
      <c r="F114" s="33"/>
      <c r="G114" s="33"/>
      <c r="H114" s="33"/>
      <c r="I114" s="1" t="str">
        <f aca="false">IF($A115="","",IFERROR(IF(ISBLANK(INDEX(SprintPlanning[Sprint],MATCH($A115,SprintPlanning[Requirement ID],0))),"To Plan",INDEX(SprintPlanning[Sprint],MATCH($A115,SprintPlanning[Requirement ID],0))),"To Plan"))</f>
        <v/>
      </c>
      <c r="J114" s="33"/>
      <c r="K114" s="1" t="str">
        <f aca="false">IFERROR(IF(ISBLANK(INDEX(Release[Release],MATCH($A115,Release[Requirement ID],0))),"",INDEX(Release[Release],MATCH($A115,Release[Requirement ID],0))),"")</f>
        <v/>
      </c>
      <c r="L114" s="33"/>
      <c r="M114" s="33"/>
      <c r="P114" s="1" t="n">
        <f aca="false">IFERROR(VALUE(MID($A114,5,4)),0)</f>
        <v>0</v>
      </c>
      <c r="Q114" s="1" t="str">
        <f aca="false">IF(B114="","","NEW-"&amp;TEXT(MAX($P$2:$P113,Lists!$N$2)+1,"0000"))</f>
        <v/>
      </c>
    </row>
    <row r="115" customFormat="false" ht="15" hidden="false" customHeight="true" outlineLevel="0" collapsed="false">
      <c r="A115" s="32" t="str">
        <f aca="false">IF(AND(B115="",C115="",D115="",E115="",F115="",G115="",H115="",J115="",L115="",M115="",N115=""),"",Q115)</f>
        <v/>
      </c>
      <c r="B115" s="33"/>
      <c r="C115" s="33"/>
      <c r="D115" s="33"/>
      <c r="E115" s="33"/>
      <c r="F115" s="33"/>
      <c r="G115" s="33"/>
      <c r="H115" s="33"/>
      <c r="I115" s="1" t="str">
        <f aca="false">IF($A116="","",IFERROR(IF(ISBLANK(INDEX(SprintPlanning[Sprint],MATCH($A116,SprintPlanning[Requirement ID],0))),"To Plan",INDEX(SprintPlanning[Sprint],MATCH($A116,SprintPlanning[Requirement ID],0))),"To Plan"))</f>
        <v/>
      </c>
      <c r="J115" s="33"/>
      <c r="K115" s="1" t="str">
        <f aca="false">IFERROR(IF(ISBLANK(INDEX(Release[Release],MATCH($A116,Release[Requirement ID],0))),"",INDEX(Release[Release],MATCH($A116,Release[Requirement ID],0))),"")</f>
        <v/>
      </c>
      <c r="L115" s="33"/>
      <c r="M115" s="33"/>
      <c r="P115" s="1" t="n">
        <f aca="false">IFERROR(VALUE(MID($A115,5,4)),0)</f>
        <v>0</v>
      </c>
      <c r="Q115" s="1" t="str">
        <f aca="false">IF(B115="","","NEW-"&amp;TEXT(MAX($P$2:$P114,Lists!$N$2)+1,"0000"))</f>
        <v/>
      </c>
    </row>
    <row r="116" customFormat="false" ht="15" hidden="false" customHeight="true" outlineLevel="0" collapsed="false">
      <c r="A116" s="32" t="str">
        <f aca="false">IF(AND(B116="",C116="",D116="",E116="",F116="",G116="",H116="",J116="",L116="",M116="",N116=""),"",Q116)</f>
        <v/>
      </c>
      <c r="B116" s="33"/>
      <c r="C116" s="33"/>
      <c r="D116" s="33"/>
      <c r="E116" s="33"/>
      <c r="F116" s="33"/>
      <c r="G116" s="33"/>
      <c r="H116" s="33"/>
      <c r="I116" s="1" t="str">
        <f aca="false">IF($A117="","",IFERROR(IF(ISBLANK(INDEX(SprintPlanning[Sprint],MATCH($A117,SprintPlanning[Requirement ID],0))),"To Plan",INDEX(SprintPlanning[Sprint],MATCH($A117,SprintPlanning[Requirement ID],0))),"To Plan"))</f>
        <v/>
      </c>
      <c r="J116" s="33"/>
      <c r="K116" s="1" t="str">
        <f aca="false">IFERROR(IF(ISBLANK(INDEX(Release[Release],MATCH($A117,Release[Requirement ID],0))),"",INDEX(Release[Release],MATCH($A117,Release[Requirement ID],0))),"")</f>
        <v/>
      </c>
      <c r="L116" s="33"/>
      <c r="M116" s="33"/>
      <c r="P116" s="1" t="n">
        <f aca="false">IFERROR(VALUE(MID($A116,5,4)),0)</f>
        <v>0</v>
      </c>
      <c r="Q116" s="1" t="str">
        <f aca="false">IF(B116="","","NEW-"&amp;TEXT(MAX($P$2:$P115,Lists!$N$2)+1,"0000"))</f>
        <v/>
      </c>
    </row>
    <row r="117" customFormat="false" ht="15" hidden="false" customHeight="true" outlineLevel="0" collapsed="false">
      <c r="A117" s="32" t="str">
        <f aca="false">IF(AND(B117="",C117="",D117="",E117="",F117="",G117="",H117="",J117="",L117="",M117="",N117=""),"",Q117)</f>
        <v/>
      </c>
      <c r="B117" s="33"/>
      <c r="C117" s="33"/>
      <c r="D117" s="33"/>
      <c r="E117" s="33"/>
      <c r="F117" s="33"/>
      <c r="G117" s="33"/>
      <c r="H117" s="33"/>
      <c r="I117" s="1" t="str">
        <f aca="false">IF($A118="","",IFERROR(IF(ISBLANK(INDEX(SprintPlanning[Sprint],MATCH($A118,SprintPlanning[Requirement ID],0))),"To Plan",INDEX(SprintPlanning[Sprint],MATCH($A118,SprintPlanning[Requirement ID],0))),"To Plan"))</f>
        <v/>
      </c>
      <c r="J117" s="33"/>
      <c r="K117" s="1" t="str">
        <f aca="false">IFERROR(IF(ISBLANK(INDEX(Release[Release],MATCH($A118,Release[Requirement ID],0))),"",INDEX(Release[Release],MATCH($A118,Release[Requirement ID],0))),"")</f>
        <v/>
      </c>
      <c r="L117" s="33"/>
      <c r="M117" s="33"/>
      <c r="P117" s="1" t="n">
        <f aca="false">IFERROR(VALUE(MID($A117,5,4)),0)</f>
        <v>0</v>
      </c>
      <c r="Q117" s="1" t="str">
        <f aca="false">IF(B117="","","NEW-"&amp;TEXT(MAX($P$2:$P116,Lists!$N$2)+1,"0000"))</f>
        <v/>
      </c>
    </row>
    <row r="118" customFormat="false" ht="15" hidden="false" customHeight="true" outlineLevel="0" collapsed="false">
      <c r="A118" s="32" t="str">
        <f aca="false">IF(AND(B118="",C118="",D118="",E118="",F118="",G118="",H118="",J118="",L118="",M118="",N118=""),"",Q118)</f>
        <v/>
      </c>
      <c r="B118" s="33"/>
      <c r="C118" s="33"/>
      <c r="D118" s="33"/>
      <c r="E118" s="33"/>
      <c r="F118" s="33"/>
      <c r="G118" s="33"/>
      <c r="H118" s="33"/>
      <c r="I118" s="1" t="str">
        <f aca="false">IF($A119="","",IFERROR(IF(ISBLANK(INDEX(SprintPlanning[Sprint],MATCH($A119,SprintPlanning[Requirement ID],0))),"To Plan",INDEX(SprintPlanning[Sprint],MATCH($A119,SprintPlanning[Requirement ID],0))),"To Plan"))</f>
        <v/>
      </c>
      <c r="J118" s="33"/>
      <c r="K118" s="1" t="str">
        <f aca="false">IFERROR(IF(ISBLANK(INDEX(Release[Release],MATCH($A119,Release[Requirement ID],0))),"",INDEX(Release[Release],MATCH($A119,Release[Requirement ID],0))),"")</f>
        <v/>
      </c>
      <c r="L118" s="33"/>
      <c r="M118" s="33"/>
      <c r="P118" s="1" t="n">
        <f aca="false">IFERROR(VALUE(MID($A118,5,4)),0)</f>
        <v>0</v>
      </c>
      <c r="Q118" s="1" t="str">
        <f aca="false">IF(B118="","","NEW-"&amp;TEXT(MAX($P$2:$P117,Lists!$N$2)+1,"0000"))</f>
        <v/>
      </c>
    </row>
    <row r="119" customFormat="false" ht="15" hidden="false" customHeight="true" outlineLevel="0" collapsed="false">
      <c r="A119" s="32" t="str">
        <f aca="false">IF(AND(B119="",C119="",D119="",E119="",F119="",G119="",H119="",J119="",L119="",M119="",N119=""),"",Q119)</f>
        <v/>
      </c>
      <c r="B119" s="33"/>
      <c r="C119" s="33"/>
      <c r="D119" s="33"/>
      <c r="E119" s="33"/>
      <c r="F119" s="33"/>
      <c r="G119" s="33"/>
      <c r="H119" s="33"/>
      <c r="I119" s="1" t="str">
        <f aca="false">IF($A120="","",IFERROR(IF(ISBLANK(INDEX(SprintPlanning[Sprint],MATCH($A120,SprintPlanning[Requirement ID],0))),"To Plan",INDEX(SprintPlanning[Sprint],MATCH($A120,SprintPlanning[Requirement ID],0))),"To Plan"))</f>
        <v/>
      </c>
      <c r="J119" s="33"/>
      <c r="K119" s="1" t="str">
        <f aca="false">IFERROR(IF(ISBLANK(INDEX(Release[Release],MATCH($A120,Release[Requirement ID],0))),"",INDEX(Release[Release],MATCH($A120,Release[Requirement ID],0))),"")</f>
        <v/>
      </c>
      <c r="L119" s="33"/>
      <c r="M119" s="33"/>
      <c r="P119" s="1" t="n">
        <f aca="false">IFERROR(VALUE(MID($A119,5,4)),0)</f>
        <v>0</v>
      </c>
      <c r="Q119" s="1" t="str">
        <f aca="false">IF(B119="","","NEW-"&amp;TEXT(MAX($P$2:$P118,Lists!$N$2)+1,"0000"))</f>
        <v/>
      </c>
    </row>
    <row r="120" customFormat="false" ht="15" hidden="false" customHeight="true" outlineLevel="0" collapsed="false">
      <c r="A120" s="32" t="str">
        <f aca="false">IF(AND(B120="",C120="",D120="",E120="",F120="",G120="",H120="",J120="",L120="",M120="",N120=""),"",Q120)</f>
        <v/>
      </c>
      <c r="B120" s="33"/>
      <c r="C120" s="33"/>
      <c r="D120" s="33"/>
      <c r="E120" s="33"/>
      <c r="F120" s="33"/>
      <c r="G120" s="33"/>
      <c r="H120" s="33"/>
      <c r="I120" s="1" t="str">
        <f aca="false">IF($A121="","",IFERROR(IF(ISBLANK(INDEX(SprintPlanning[Sprint],MATCH($A121,SprintPlanning[Requirement ID],0))),"To Plan",INDEX(SprintPlanning[Sprint],MATCH($A121,SprintPlanning[Requirement ID],0))),"To Plan"))</f>
        <v/>
      </c>
      <c r="J120" s="33"/>
      <c r="K120" s="1" t="str">
        <f aca="false">IFERROR(IF(ISBLANK(INDEX(Release[Release],MATCH($A121,Release[Requirement ID],0))),"",INDEX(Release[Release],MATCH($A121,Release[Requirement ID],0))),"")</f>
        <v/>
      </c>
      <c r="L120" s="33"/>
      <c r="M120" s="33"/>
      <c r="P120" s="1" t="n">
        <f aca="false">IFERROR(VALUE(MID($A120,5,4)),0)</f>
        <v>0</v>
      </c>
      <c r="Q120" s="1" t="str">
        <f aca="false">IF(B120="","","NEW-"&amp;TEXT(MAX($P$2:$P119,Lists!$N$2)+1,"0000"))</f>
        <v/>
      </c>
    </row>
    <row r="121" customFormat="false" ht="15" hidden="false" customHeight="true" outlineLevel="0" collapsed="false">
      <c r="A121" s="32" t="str">
        <f aca="false">IF(AND(B121="",C121="",D121="",E121="",F121="",G121="",H121="",J121="",L121="",M121="",N121=""),"",Q121)</f>
        <v/>
      </c>
      <c r="B121" s="33"/>
      <c r="C121" s="33"/>
      <c r="D121" s="33"/>
      <c r="E121" s="33"/>
      <c r="F121" s="33"/>
      <c r="G121" s="33"/>
      <c r="H121" s="33"/>
      <c r="I121" s="1" t="str">
        <f aca="false">IF($A122="","",IFERROR(IF(ISBLANK(INDEX(SprintPlanning[Sprint],MATCH($A122,SprintPlanning[Requirement ID],0))),"To Plan",INDEX(SprintPlanning[Sprint],MATCH($A122,SprintPlanning[Requirement ID],0))),"To Plan"))</f>
        <v/>
      </c>
      <c r="J121" s="33"/>
      <c r="K121" s="1" t="str">
        <f aca="false">IFERROR(IF(ISBLANK(INDEX(Release[Release],MATCH($A122,Release[Requirement ID],0))),"",INDEX(Release[Release],MATCH($A122,Release[Requirement ID],0))),"")</f>
        <v/>
      </c>
      <c r="L121" s="33"/>
      <c r="M121" s="33"/>
      <c r="P121" s="1" t="n">
        <f aca="false">IFERROR(VALUE(MID($A121,5,4)),0)</f>
        <v>0</v>
      </c>
      <c r="Q121" s="1" t="str">
        <f aca="false">IF(B121="","","NEW-"&amp;TEXT(MAX($P$2:$P120,Lists!$N$2)+1,"0000"))</f>
        <v/>
      </c>
    </row>
    <row r="122" customFormat="false" ht="15" hidden="false" customHeight="true" outlineLevel="0" collapsed="false">
      <c r="A122" s="32" t="str">
        <f aca="false">IF(AND(B122="",C122="",D122="",E122="",F122="",G122="",H122="",J122="",L122="",M122="",N122=""),"",Q122)</f>
        <v/>
      </c>
      <c r="B122" s="33"/>
      <c r="C122" s="33"/>
      <c r="D122" s="33"/>
      <c r="E122" s="33"/>
      <c r="F122" s="33"/>
      <c r="G122" s="33"/>
      <c r="H122" s="33"/>
      <c r="I122" s="1" t="str">
        <f aca="false">IF($A123="","",IFERROR(IF(ISBLANK(INDEX(SprintPlanning[Sprint],MATCH($A123,SprintPlanning[Requirement ID],0))),"To Plan",INDEX(SprintPlanning[Sprint],MATCH($A123,SprintPlanning[Requirement ID],0))),"To Plan"))</f>
        <v/>
      </c>
      <c r="J122" s="33"/>
      <c r="K122" s="1" t="str">
        <f aca="false">IFERROR(IF(ISBLANK(INDEX(Release[Release],MATCH($A123,Release[Requirement ID],0))),"",INDEX(Release[Release],MATCH($A123,Release[Requirement ID],0))),"")</f>
        <v/>
      </c>
      <c r="L122" s="33"/>
      <c r="M122" s="33"/>
      <c r="P122" s="1" t="n">
        <f aca="false">IFERROR(VALUE(MID($A122,5,4)),0)</f>
        <v>0</v>
      </c>
      <c r="Q122" s="1" t="str">
        <f aca="false">IF(B122="","","NEW-"&amp;TEXT(MAX($P$2:$P121,Lists!$N$2)+1,"0000"))</f>
        <v/>
      </c>
    </row>
    <row r="123" customFormat="false" ht="15" hidden="false" customHeight="true" outlineLevel="0" collapsed="false">
      <c r="A123" s="32" t="str">
        <f aca="false">IF(AND(B123="",C123="",D123="",E123="",F123="",G123="",H123="",J123="",L123="",M123="",N123=""),"",Q123)</f>
        <v/>
      </c>
      <c r="B123" s="33"/>
      <c r="C123" s="33"/>
      <c r="D123" s="33"/>
      <c r="E123" s="33"/>
      <c r="F123" s="33"/>
      <c r="G123" s="33"/>
      <c r="H123" s="33"/>
      <c r="I123" s="1" t="str">
        <f aca="false">IF($A124="","",IFERROR(IF(ISBLANK(INDEX(SprintPlanning[Sprint],MATCH($A124,SprintPlanning[Requirement ID],0))),"To Plan",INDEX(SprintPlanning[Sprint],MATCH($A124,SprintPlanning[Requirement ID],0))),"To Plan"))</f>
        <v/>
      </c>
      <c r="J123" s="33"/>
      <c r="K123" s="1" t="str">
        <f aca="false">IFERROR(IF(ISBLANK(INDEX(Release[Release],MATCH($A124,Release[Requirement ID],0))),"",INDEX(Release[Release],MATCH($A124,Release[Requirement ID],0))),"")</f>
        <v/>
      </c>
      <c r="L123" s="33"/>
      <c r="M123" s="33"/>
      <c r="P123" s="1" t="n">
        <f aca="false">IFERROR(VALUE(MID($A123,5,4)),0)</f>
        <v>0</v>
      </c>
      <c r="Q123" s="1" t="str">
        <f aca="false">IF(B123="","","NEW-"&amp;TEXT(MAX($P$2:$P122,Lists!$N$2)+1,"0000"))</f>
        <v/>
      </c>
    </row>
    <row r="124" customFormat="false" ht="15" hidden="false" customHeight="true" outlineLevel="0" collapsed="false">
      <c r="A124" s="32" t="str">
        <f aca="false">IF(AND(B124="",C124="",D124="",E124="",F124="",G124="",H124="",J124="",L124="",M124="",N124=""),"",Q124)</f>
        <v/>
      </c>
      <c r="B124" s="33"/>
      <c r="C124" s="33"/>
      <c r="D124" s="33"/>
      <c r="E124" s="33"/>
      <c r="F124" s="33"/>
      <c r="G124" s="33"/>
      <c r="H124" s="33"/>
      <c r="I124" s="1" t="str">
        <f aca="false">IF($A125="","",IFERROR(IF(ISBLANK(INDEX(SprintPlanning[Sprint],MATCH($A125,SprintPlanning[Requirement ID],0))),"To Plan",INDEX(SprintPlanning[Sprint],MATCH($A125,SprintPlanning[Requirement ID],0))),"To Plan"))</f>
        <v/>
      </c>
      <c r="J124" s="33"/>
      <c r="K124" s="1" t="str">
        <f aca="false">IFERROR(IF(ISBLANK(INDEX(Release[Release],MATCH($A125,Release[Requirement ID],0))),"",INDEX(Release[Release],MATCH($A125,Release[Requirement ID],0))),"")</f>
        <v/>
      </c>
      <c r="L124" s="33"/>
      <c r="M124" s="33"/>
      <c r="P124" s="1" t="n">
        <f aca="false">IFERROR(VALUE(MID($A124,5,4)),0)</f>
        <v>0</v>
      </c>
      <c r="Q124" s="1" t="str">
        <f aca="false">IF(B124="","","NEW-"&amp;TEXT(MAX($P$2:$P123,Lists!$N$2)+1,"0000"))</f>
        <v/>
      </c>
    </row>
    <row r="125" customFormat="false" ht="15" hidden="false" customHeight="true" outlineLevel="0" collapsed="false">
      <c r="A125" s="32" t="str">
        <f aca="false">IF(AND(B125="",C125="",D125="",E125="",F125="",G125="",H125="",J125="",L125="",M125="",N125=""),"",Q125)</f>
        <v/>
      </c>
      <c r="B125" s="33"/>
      <c r="C125" s="33"/>
      <c r="D125" s="33"/>
      <c r="E125" s="33"/>
      <c r="F125" s="33"/>
      <c r="G125" s="33"/>
      <c r="H125" s="33"/>
      <c r="I125" s="1" t="str">
        <f aca="false">IF($A126="","",IFERROR(IF(ISBLANK(INDEX(SprintPlanning[Sprint],MATCH($A126,SprintPlanning[Requirement ID],0))),"To Plan",INDEX(SprintPlanning[Sprint],MATCH($A126,SprintPlanning[Requirement ID],0))),"To Plan"))</f>
        <v/>
      </c>
      <c r="J125" s="33"/>
      <c r="K125" s="1" t="str">
        <f aca="false">IFERROR(IF(ISBLANK(INDEX(Release[Release],MATCH($A126,Release[Requirement ID],0))),"",INDEX(Release[Release],MATCH($A126,Release[Requirement ID],0))),"")</f>
        <v/>
      </c>
      <c r="L125" s="33"/>
      <c r="M125" s="33"/>
      <c r="P125" s="1" t="n">
        <f aca="false">IFERROR(VALUE(MID($A125,5,4)),0)</f>
        <v>0</v>
      </c>
      <c r="Q125" s="1" t="str">
        <f aca="false">IF(B125="","","NEW-"&amp;TEXT(MAX($P$2:$P124,Lists!$N$2)+1,"0000"))</f>
        <v/>
      </c>
    </row>
    <row r="126" customFormat="false" ht="15" hidden="false" customHeight="true" outlineLevel="0" collapsed="false">
      <c r="A126" s="32" t="str">
        <f aca="false">IF(AND(B126="",C126="",D126="",E126="",F126="",G126="",H126="",J126="",L126="",M126="",N126=""),"",Q126)</f>
        <v/>
      </c>
      <c r="B126" s="33"/>
      <c r="C126" s="33"/>
      <c r="D126" s="33"/>
      <c r="E126" s="33"/>
      <c r="F126" s="33"/>
      <c r="G126" s="33"/>
      <c r="H126" s="33"/>
      <c r="I126" s="1" t="str">
        <f aca="false">IF($A127="","",IFERROR(IF(ISBLANK(INDEX(SprintPlanning[Sprint],MATCH($A127,SprintPlanning[Requirement ID],0))),"To Plan",INDEX(SprintPlanning[Sprint],MATCH($A127,SprintPlanning[Requirement ID],0))),"To Plan"))</f>
        <v/>
      </c>
      <c r="J126" s="33"/>
      <c r="K126" s="1" t="str">
        <f aca="false">IFERROR(IF(ISBLANK(INDEX(Release[Release],MATCH($A127,Release[Requirement ID],0))),"",INDEX(Release[Release],MATCH($A127,Release[Requirement ID],0))),"")</f>
        <v/>
      </c>
      <c r="L126" s="33"/>
      <c r="M126" s="33"/>
      <c r="P126" s="1" t="n">
        <f aca="false">IFERROR(VALUE(MID($A126,5,4)),0)</f>
        <v>0</v>
      </c>
      <c r="Q126" s="1" t="str">
        <f aca="false">IF(B126="","","NEW-"&amp;TEXT(MAX($P$2:$P125,Lists!$N$2)+1,"0000"))</f>
        <v/>
      </c>
    </row>
    <row r="127" customFormat="false" ht="15" hidden="false" customHeight="true" outlineLevel="0" collapsed="false">
      <c r="A127" s="32" t="str">
        <f aca="false">IF(AND(B127="",C127="",D127="",E127="",F127="",G127="",H127="",J127="",L127="",M127="",N127=""),"",Q127)</f>
        <v/>
      </c>
      <c r="B127" s="33"/>
      <c r="C127" s="33"/>
      <c r="D127" s="33"/>
      <c r="E127" s="33"/>
      <c r="F127" s="33"/>
      <c r="G127" s="33"/>
      <c r="H127" s="33"/>
      <c r="I127" s="1" t="str">
        <f aca="false">IF($A128="","",IFERROR(IF(ISBLANK(INDEX(SprintPlanning[Sprint],MATCH($A128,SprintPlanning[Requirement ID],0))),"To Plan",INDEX(SprintPlanning[Sprint],MATCH($A128,SprintPlanning[Requirement ID],0))),"To Plan"))</f>
        <v/>
      </c>
      <c r="J127" s="33"/>
      <c r="K127" s="1" t="str">
        <f aca="false">IFERROR(IF(ISBLANK(INDEX(Release[Release],MATCH($A128,Release[Requirement ID],0))),"",INDEX(Release[Release],MATCH($A128,Release[Requirement ID],0))),"")</f>
        <v/>
      </c>
      <c r="L127" s="33"/>
      <c r="M127" s="33"/>
      <c r="P127" s="1" t="n">
        <f aca="false">IFERROR(VALUE(MID($A127,5,4)),0)</f>
        <v>0</v>
      </c>
      <c r="Q127" s="1" t="str">
        <f aca="false">IF(B127="","","NEW-"&amp;TEXT(MAX($P$2:$P126,Lists!$N$2)+1,"0000"))</f>
        <v/>
      </c>
    </row>
    <row r="128" customFormat="false" ht="15" hidden="false" customHeight="true" outlineLevel="0" collapsed="false">
      <c r="A128" s="32" t="str">
        <f aca="false">IF(AND(B128="",C128="",D128="",E128="",F128="",G128="",H128="",J128="",L128="",M128="",N128=""),"",Q128)</f>
        <v/>
      </c>
      <c r="B128" s="33"/>
      <c r="C128" s="33"/>
      <c r="D128" s="33"/>
      <c r="E128" s="33"/>
      <c r="F128" s="33"/>
      <c r="G128" s="33"/>
      <c r="H128" s="33"/>
      <c r="I128" s="1" t="str">
        <f aca="false">IF($A129="","",IFERROR(IF(ISBLANK(INDEX(SprintPlanning[Sprint],MATCH($A129,SprintPlanning[Requirement ID],0))),"To Plan",INDEX(SprintPlanning[Sprint],MATCH($A129,SprintPlanning[Requirement ID],0))),"To Plan"))</f>
        <v/>
      </c>
      <c r="J128" s="33"/>
      <c r="K128" s="1" t="str">
        <f aca="false">IFERROR(IF(ISBLANK(INDEX(Release[Release],MATCH($A129,Release[Requirement ID],0))),"",INDEX(Release[Release],MATCH($A129,Release[Requirement ID],0))),"")</f>
        <v/>
      </c>
      <c r="L128" s="33"/>
      <c r="M128" s="33"/>
      <c r="P128" s="1" t="n">
        <f aca="false">IFERROR(VALUE(MID($A128,5,4)),0)</f>
        <v>0</v>
      </c>
      <c r="Q128" s="1" t="str">
        <f aca="false">IF(B128="","","NEW-"&amp;TEXT(MAX($P$2:$P127,Lists!$N$2)+1,"0000"))</f>
        <v/>
      </c>
    </row>
    <row r="129" customFormat="false" ht="15" hidden="false" customHeight="true" outlineLevel="0" collapsed="false">
      <c r="A129" s="32" t="str">
        <f aca="false">IF(AND(B129="",C129="",D129="",E129="",F129="",G129="",H129="",J129="",L129="",M129="",N129=""),"",Q129)</f>
        <v/>
      </c>
      <c r="B129" s="33"/>
      <c r="C129" s="33"/>
      <c r="D129" s="33"/>
      <c r="E129" s="33"/>
      <c r="F129" s="33"/>
      <c r="G129" s="33"/>
      <c r="H129" s="33"/>
      <c r="I129" s="1" t="str">
        <f aca="false">IF($A130="","",IFERROR(IF(ISBLANK(INDEX(SprintPlanning[Sprint],MATCH($A130,SprintPlanning[Requirement ID],0))),"To Plan",INDEX(SprintPlanning[Sprint],MATCH($A130,SprintPlanning[Requirement ID],0))),"To Plan"))</f>
        <v/>
      </c>
      <c r="J129" s="33"/>
      <c r="K129" s="1" t="str">
        <f aca="false">IFERROR(IF(ISBLANK(INDEX(Release[Release],MATCH($A130,Release[Requirement ID],0))),"",INDEX(Release[Release],MATCH($A130,Release[Requirement ID],0))),"")</f>
        <v/>
      </c>
      <c r="L129" s="33"/>
      <c r="M129" s="33"/>
      <c r="P129" s="1" t="n">
        <f aca="false">IFERROR(VALUE(MID($A129,5,4)),0)</f>
        <v>0</v>
      </c>
      <c r="Q129" s="1" t="str">
        <f aca="false">IF(B129="","","NEW-"&amp;TEXT(MAX($P$2:$P128,Lists!$N$2)+1,"0000"))</f>
        <v/>
      </c>
    </row>
    <row r="130" customFormat="false" ht="15" hidden="false" customHeight="true" outlineLevel="0" collapsed="false">
      <c r="A130" s="32" t="str">
        <f aca="false">IF(AND(B130="",C130="",D130="",E130="",F130="",G130="",H130="",J130="",L130="",M130="",N130=""),"",Q130)</f>
        <v/>
      </c>
      <c r="B130" s="33"/>
      <c r="C130" s="33"/>
      <c r="D130" s="33"/>
      <c r="E130" s="33"/>
      <c r="F130" s="33"/>
      <c r="G130" s="33"/>
      <c r="H130" s="33"/>
      <c r="I130" s="1" t="str">
        <f aca="false">IF($A131="","",IFERROR(IF(ISBLANK(INDEX(SprintPlanning[Sprint],MATCH($A131,SprintPlanning[Requirement ID],0))),"To Plan",INDEX(SprintPlanning[Sprint],MATCH($A131,SprintPlanning[Requirement ID],0))),"To Plan"))</f>
        <v/>
      </c>
      <c r="J130" s="33"/>
      <c r="K130" s="1" t="str">
        <f aca="false">IFERROR(IF(ISBLANK(INDEX(Release[Release],MATCH($A131,Release[Requirement ID],0))),"",INDEX(Release[Release],MATCH($A131,Release[Requirement ID],0))),"")</f>
        <v/>
      </c>
      <c r="L130" s="33"/>
      <c r="M130" s="33"/>
      <c r="P130" s="1" t="n">
        <f aca="false">IFERROR(VALUE(MID($A130,5,4)),0)</f>
        <v>0</v>
      </c>
      <c r="Q130" s="1" t="str">
        <f aca="false">IF(B130="","","NEW-"&amp;TEXT(MAX($P$2:$P129,Lists!$N$2)+1,"0000"))</f>
        <v/>
      </c>
    </row>
    <row r="131" customFormat="false" ht="15" hidden="false" customHeight="true" outlineLevel="0" collapsed="false">
      <c r="A131" s="32" t="str">
        <f aca="false">IF(AND(B131="",C131="",D131="",E131="",F131="",G131="",H131="",J131="",L131="",M131="",N131=""),"",Q131)</f>
        <v/>
      </c>
      <c r="B131" s="33"/>
      <c r="C131" s="33"/>
      <c r="D131" s="33"/>
      <c r="E131" s="33"/>
      <c r="F131" s="33"/>
      <c r="G131" s="33"/>
      <c r="H131" s="33"/>
      <c r="I131" s="1" t="str">
        <f aca="false">IF($A132="","",IFERROR(IF(ISBLANK(INDEX(SprintPlanning[Sprint],MATCH($A132,SprintPlanning[Requirement ID],0))),"To Plan",INDEX(SprintPlanning[Sprint],MATCH($A132,SprintPlanning[Requirement ID],0))),"To Plan"))</f>
        <v/>
      </c>
      <c r="J131" s="33"/>
      <c r="K131" s="1" t="str">
        <f aca="false">IFERROR(IF(ISBLANK(INDEX(Release[Release],MATCH($A132,Release[Requirement ID],0))),"",INDEX(Release[Release],MATCH($A132,Release[Requirement ID],0))),"")</f>
        <v/>
      </c>
      <c r="L131" s="33"/>
      <c r="M131" s="33"/>
      <c r="P131" s="1" t="n">
        <f aca="false">IFERROR(VALUE(MID($A131,5,4)),0)</f>
        <v>0</v>
      </c>
      <c r="Q131" s="1" t="str">
        <f aca="false">IF(B131="","","NEW-"&amp;TEXT(MAX($P$2:$P130,Lists!$N$2)+1,"0000"))</f>
        <v/>
      </c>
    </row>
    <row r="132" customFormat="false" ht="15" hidden="false" customHeight="true" outlineLevel="0" collapsed="false">
      <c r="A132" s="32" t="str">
        <f aca="false">IF(AND(B132="",C132="",D132="",E132="",F132="",G132="",H132="",J132="",L132="",M132="",N132=""),"",Q132)</f>
        <v/>
      </c>
      <c r="B132" s="33"/>
      <c r="C132" s="33"/>
      <c r="D132" s="33"/>
      <c r="E132" s="33"/>
      <c r="F132" s="33"/>
      <c r="G132" s="33"/>
      <c r="H132" s="33"/>
      <c r="I132" s="1" t="str">
        <f aca="false">IF($A133="","",IFERROR(IF(ISBLANK(INDEX(SprintPlanning[Sprint],MATCH($A133,SprintPlanning[Requirement ID],0))),"To Plan",INDEX(SprintPlanning[Sprint],MATCH($A133,SprintPlanning[Requirement ID],0))),"To Plan"))</f>
        <v/>
      </c>
      <c r="J132" s="33"/>
      <c r="K132" s="1" t="str">
        <f aca="false">IFERROR(IF(ISBLANK(INDEX(Release[Release],MATCH($A133,Release[Requirement ID],0))),"",INDEX(Release[Release],MATCH($A133,Release[Requirement ID],0))),"")</f>
        <v/>
      </c>
      <c r="L132" s="33"/>
      <c r="M132" s="33"/>
      <c r="P132" s="1" t="n">
        <f aca="false">IFERROR(VALUE(MID($A132,5,4)),0)</f>
        <v>0</v>
      </c>
      <c r="Q132" s="1" t="str">
        <f aca="false">IF(B132="","","NEW-"&amp;TEXT(MAX($P$2:$P131,Lists!$N$2)+1,"0000"))</f>
        <v/>
      </c>
    </row>
    <row r="133" customFormat="false" ht="15" hidden="false" customHeight="true" outlineLevel="0" collapsed="false">
      <c r="A133" s="32" t="str">
        <f aca="false">IF(AND(B133="",C133="",D133="",E133="",F133="",G133="",H133="",J133="",L133="",M133="",N133=""),"",Q133)</f>
        <v/>
      </c>
      <c r="B133" s="33"/>
      <c r="C133" s="33"/>
      <c r="D133" s="33"/>
      <c r="E133" s="33"/>
      <c r="F133" s="33"/>
      <c r="G133" s="33"/>
      <c r="H133" s="33"/>
      <c r="I133" s="1" t="str">
        <f aca="false">IF($A134="","",IFERROR(IF(ISBLANK(INDEX(SprintPlanning[Sprint],MATCH($A134,SprintPlanning[Requirement ID],0))),"To Plan",INDEX(SprintPlanning[Sprint],MATCH($A134,SprintPlanning[Requirement ID],0))),"To Plan"))</f>
        <v/>
      </c>
      <c r="J133" s="33"/>
      <c r="K133" s="1" t="str">
        <f aca="false">IFERROR(IF(ISBLANK(INDEX(Release[Release],MATCH($A134,Release[Requirement ID],0))),"",INDEX(Release[Release],MATCH($A134,Release[Requirement ID],0))),"")</f>
        <v/>
      </c>
      <c r="L133" s="33"/>
      <c r="M133" s="33"/>
      <c r="P133" s="1" t="n">
        <f aca="false">IFERROR(VALUE(MID($A133,5,4)),0)</f>
        <v>0</v>
      </c>
      <c r="Q133" s="1" t="str">
        <f aca="false">IF(B133="","","NEW-"&amp;TEXT(MAX($P$2:$P132,Lists!$N$2)+1,"0000"))</f>
        <v/>
      </c>
    </row>
    <row r="134" customFormat="false" ht="15" hidden="false" customHeight="true" outlineLevel="0" collapsed="false">
      <c r="A134" s="32" t="str">
        <f aca="false">IF(AND(B134="",C134="",D134="",E134="",F134="",G134="",H134="",J134="",L134="",M134="",N134=""),"",Q134)</f>
        <v/>
      </c>
      <c r="B134" s="33"/>
      <c r="C134" s="33"/>
      <c r="D134" s="33"/>
      <c r="E134" s="33"/>
      <c r="F134" s="33"/>
      <c r="G134" s="33"/>
      <c r="H134" s="33"/>
      <c r="I134" s="1" t="str">
        <f aca="false">IF($A135="","",IFERROR(IF(ISBLANK(INDEX(SprintPlanning[Sprint],MATCH($A135,SprintPlanning[Requirement ID],0))),"To Plan",INDEX(SprintPlanning[Sprint],MATCH($A135,SprintPlanning[Requirement ID],0))),"To Plan"))</f>
        <v/>
      </c>
      <c r="J134" s="33"/>
      <c r="K134" s="1" t="str">
        <f aca="false">IFERROR(IF(ISBLANK(INDEX(Release[Release],MATCH($A135,Release[Requirement ID],0))),"",INDEX(Release[Release],MATCH($A135,Release[Requirement ID],0))),"")</f>
        <v/>
      </c>
      <c r="L134" s="33"/>
      <c r="M134" s="33"/>
      <c r="P134" s="1" t="n">
        <f aca="false">IFERROR(VALUE(MID($A134,5,4)),0)</f>
        <v>0</v>
      </c>
      <c r="Q134" s="1" t="str">
        <f aca="false">IF(B134="","","NEW-"&amp;TEXT(MAX($P$2:$P133,Lists!$N$2)+1,"0000"))</f>
        <v/>
      </c>
    </row>
    <row r="135" customFormat="false" ht="15" hidden="false" customHeight="true" outlineLevel="0" collapsed="false">
      <c r="A135" s="32" t="str">
        <f aca="false">IF(AND(B135="",C135="",D135="",E135="",F135="",G135="",H135="",J135="",L135="",M135="",N135=""),"",Q135)</f>
        <v/>
      </c>
      <c r="B135" s="33"/>
      <c r="C135" s="33"/>
      <c r="D135" s="33"/>
      <c r="E135" s="33"/>
      <c r="F135" s="33"/>
      <c r="G135" s="33"/>
      <c r="H135" s="33"/>
      <c r="I135" s="1" t="str">
        <f aca="false">IF($A136="","",IFERROR(IF(ISBLANK(INDEX(SprintPlanning[Sprint],MATCH($A136,SprintPlanning[Requirement ID],0))),"To Plan",INDEX(SprintPlanning[Sprint],MATCH($A136,SprintPlanning[Requirement ID],0))),"To Plan"))</f>
        <v/>
      </c>
      <c r="J135" s="33"/>
      <c r="K135" s="1" t="str">
        <f aca="false">IFERROR(IF(ISBLANK(INDEX(Release[Release],MATCH($A136,Release[Requirement ID],0))),"",INDEX(Release[Release],MATCH($A136,Release[Requirement ID],0))),"")</f>
        <v/>
      </c>
      <c r="L135" s="33"/>
      <c r="M135" s="33"/>
      <c r="P135" s="1" t="n">
        <f aca="false">IFERROR(VALUE(MID($A135,5,4)),0)</f>
        <v>0</v>
      </c>
      <c r="Q135" s="1" t="str">
        <f aca="false">IF(B135="","","NEW-"&amp;TEXT(MAX($P$2:$P134,Lists!$N$2)+1,"0000"))</f>
        <v/>
      </c>
    </row>
    <row r="136" customFormat="false" ht="15" hidden="false" customHeight="true" outlineLevel="0" collapsed="false">
      <c r="A136" s="32" t="str">
        <f aca="false">IF(AND(B136="",C136="",D136="",E136="",F136="",G136="",H136="",J136="",L136="",M136="",N136=""),"",Q136)</f>
        <v/>
      </c>
      <c r="B136" s="33"/>
      <c r="C136" s="33"/>
      <c r="D136" s="33"/>
      <c r="E136" s="33"/>
      <c r="F136" s="33"/>
      <c r="G136" s="33"/>
      <c r="H136" s="33"/>
      <c r="I136" s="1" t="str">
        <f aca="false">IF($A137="","",IFERROR(IF(ISBLANK(INDEX(SprintPlanning[Sprint],MATCH($A137,SprintPlanning[Requirement ID],0))),"To Plan",INDEX(SprintPlanning[Sprint],MATCH($A137,SprintPlanning[Requirement ID],0))),"To Plan"))</f>
        <v/>
      </c>
      <c r="J136" s="33"/>
      <c r="K136" s="1" t="str">
        <f aca="false">IFERROR(IF(ISBLANK(INDEX(Release[Release],MATCH($A137,Release[Requirement ID],0))),"",INDEX(Release[Release],MATCH($A137,Release[Requirement ID],0))),"")</f>
        <v/>
      </c>
      <c r="L136" s="33"/>
      <c r="M136" s="33"/>
      <c r="P136" s="1" t="n">
        <f aca="false">IFERROR(VALUE(MID($A136,5,4)),0)</f>
        <v>0</v>
      </c>
      <c r="Q136" s="1" t="str">
        <f aca="false">IF(B136="","","NEW-"&amp;TEXT(MAX($P$2:$P135,Lists!$N$2)+1,"0000"))</f>
        <v/>
      </c>
    </row>
    <row r="137" customFormat="false" ht="15" hidden="false" customHeight="true" outlineLevel="0" collapsed="false">
      <c r="A137" s="32" t="str">
        <f aca="false">IF(AND(B137="",C137="",D137="",E137="",F137="",G137="",H137="",J137="",L137="",M137="",N137=""),"",Q137)</f>
        <v/>
      </c>
      <c r="B137" s="33"/>
      <c r="C137" s="33"/>
      <c r="D137" s="33"/>
      <c r="E137" s="33"/>
      <c r="F137" s="33"/>
      <c r="G137" s="33"/>
      <c r="H137" s="33"/>
      <c r="I137" s="1" t="str">
        <f aca="false">IF($A138="","",IFERROR(IF(ISBLANK(INDEX(SprintPlanning[Sprint],MATCH($A138,SprintPlanning[Requirement ID],0))),"To Plan",INDEX(SprintPlanning[Sprint],MATCH($A138,SprintPlanning[Requirement ID],0))),"To Plan"))</f>
        <v/>
      </c>
      <c r="J137" s="33"/>
      <c r="K137" s="1" t="str">
        <f aca="false">IFERROR(IF(ISBLANK(INDEX(Release[Release],MATCH($A138,Release[Requirement ID],0))),"",INDEX(Release[Release],MATCH($A138,Release[Requirement ID],0))),"")</f>
        <v/>
      </c>
      <c r="L137" s="33"/>
      <c r="M137" s="33"/>
      <c r="P137" s="1" t="n">
        <f aca="false">IFERROR(VALUE(MID($A137,5,4)),0)</f>
        <v>0</v>
      </c>
      <c r="Q137" s="1" t="str">
        <f aca="false">IF(B137="","","NEW-"&amp;TEXT(MAX($P$2:$P136,Lists!$N$2)+1,"0000"))</f>
        <v/>
      </c>
    </row>
    <row r="138" customFormat="false" ht="15" hidden="false" customHeight="true" outlineLevel="0" collapsed="false">
      <c r="A138" s="32" t="str">
        <f aca="false">IF(AND(B138="",C138="",D138="",E138="",F138="",G138="",H138="",J138="",L138="",M138="",N138=""),"",Q138)</f>
        <v/>
      </c>
      <c r="B138" s="33"/>
      <c r="C138" s="33"/>
      <c r="D138" s="33"/>
      <c r="E138" s="33"/>
      <c r="F138" s="33"/>
      <c r="G138" s="33"/>
      <c r="H138" s="33"/>
      <c r="I138" s="1" t="str">
        <f aca="false">IF($A139="","",IFERROR(IF(ISBLANK(INDEX(SprintPlanning[Sprint],MATCH($A139,SprintPlanning[Requirement ID],0))),"To Plan",INDEX(SprintPlanning[Sprint],MATCH($A139,SprintPlanning[Requirement ID],0))),"To Plan"))</f>
        <v/>
      </c>
      <c r="J138" s="33"/>
      <c r="K138" s="1" t="str">
        <f aca="false">IFERROR(IF(ISBLANK(INDEX(Release[Release],MATCH($A139,Release[Requirement ID],0))),"",INDEX(Release[Release],MATCH($A139,Release[Requirement ID],0))),"")</f>
        <v/>
      </c>
      <c r="L138" s="33"/>
      <c r="M138" s="33"/>
      <c r="P138" s="1" t="n">
        <f aca="false">IFERROR(VALUE(MID($A138,5,4)),0)</f>
        <v>0</v>
      </c>
      <c r="Q138" s="1" t="str">
        <f aca="false">IF(B138="","","NEW-"&amp;TEXT(MAX($P$2:$P137,Lists!$N$2)+1,"0000"))</f>
        <v/>
      </c>
    </row>
    <row r="139" customFormat="false" ht="15" hidden="false" customHeight="true" outlineLevel="0" collapsed="false">
      <c r="A139" s="32" t="str">
        <f aca="false">IF(AND(B139="",C139="",D139="",E139="",F139="",G139="",H139="",J139="",L139="",M139="",N139=""),"",Q139)</f>
        <v/>
      </c>
      <c r="B139" s="33"/>
      <c r="C139" s="33"/>
      <c r="D139" s="33"/>
      <c r="E139" s="33"/>
      <c r="F139" s="33"/>
      <c r="G139" s="33"/>
      <c r="H139" s="33"/>
      <c r="I139" s="1" t="str">
        <f aca="false">IF($A140="","",IFERROR(IF(ISBLANK(INDEX(SprintPlanning[Sprint],MATCH($A140,SprintPlanning[Requirement ID],0))),"To Plan",INDEX(SprintPlanning[Sprint],MATCH($A140,SprintPlanning[Requirement ID],0))),"To Plan"))</f>
        <v/>
      </c>
      <c r="J139" s="33"/>
      <c r="K139" s="1" t="str">
        <f aca="false">IFERROR(IF(ISBLANK(INDEX(Release[Release],MATCH($A140,Release[Requirement ID],0))),"",INDEX(Release[Release],MATCH($A140,Release[Requirement ID],0))),"")</f>
        <v/>
      </c>
      <c r="L139" s="33"/>
      <c r="M139" s="33"/>
      <c r="P139" s="1" t="n">
        <f aca="false">IFERROR(VALUE(MID($A139,5,4)),0)</f>
        <v>0</v>
      </c>
      <c r="Q139" s="1" t="str">
        <f aca="false">IF(B139="","","NEW-"&amp;TEXT(MAX($P$2:$P138,Lists!$N$2)+1,"0000"))</f>
        <v/>
      </c>
    </row>
    <row r="140" customFormat="false" ht="15" hidden="false" customHeight="true" outlineLevel="0" collapsed="false">
      <c r="A140" s="32" t="str">
        <f aca="false">IF(AND(B140="",C140="",D140="",E140="",F140="",G140="",H140="",J140="",L140="",M140="",N140=""),"",Q140)</f>
        <v/>
      </c>
      <c r="B140" s="33"/>
      <c r="C140" s="33"/>
      <c r="D140" s="33"/>
      <c r="E140" s="33"/>
      <c r="F140" s="33"/>
      <c r="G140" s="33"/>
      <c r="H140" s="33"/>
      <c r="I140" s="1" t="str">
        <f aca="false">IF($A141="","",IFERROR(IF(ISBLANK(INDEX(SprintPlanning[Sprint],MATCH($A141,SprintPlanning[Requirement ID],0))),"To Plan",INDEX(SprintPlanning[Sprint],MATCH($A141,SprintPlanning[Requirement ID],0))),"To Plan"))</f>
        <v/>
      </c>
      <c r="J140" s="33"/>
      <c r="K140" s="1" t="str">
        <f aca="false">IFERROR(IF(ISBLANK(INDEX(Release[Release],MATCH($A141,Release[Requirement ID],0))),"",INDEX(Release[Release],MATCH($A141,Release[Requirement ID],0))),"")</f>
        <v/>
      </c>
      <c r="L140" s="33"/>
      <c r="M140" s="33"/>
      <c r="P140" s="1" t="n">
        <f aca="false">IFERROR(VALUE(MID($A140,5,4)),0)</f>
        <v>0</v>
      </c>
      <c r="Q140" s="1" t="str">
        <f aca="false">IF(B140="","","NEW-"&amp;TEXT(MAX($P$2:$P139,Lists!$N$2)+1,"0000"))</f>
        <v/>
      </c>
    </row>
    <row r="141" customFormat="false" ht="15" hidden="false" customHeight="true" outlineLevel="0" collapsed="false">
      <c r="A141" s="32" t="str">
        <f aca="false">IF(AND(B141="",C141="",D141="",E141="",F141="",G141="",H141="",J141="",L141="",M141="",N141=""),"",Q141)</f>
        <v/>
      </c>
      <c r="B141" s="33"/>
      <c r="C141" s="33"/>
      <c r="D141" s="33"/>
      <c r="E141" s="33"/>
      <c r="F141" s="33"/>
      <c r="G141" s="33"/>
      <c r="H141" s="33"/>
      <c r="I141" s="1" t="str">
        <f aca="false">IF($A142="","",IFERROR(IF(ISBLANK(INDEX(SprintPlanning[Sprint],MATCH($A142,SprintPlanning[Requirement ID],0))),"To Plan",INDEX(SprintPlanning[Sprint],MATCH($A142,SprintPlanning[Requirement ID],0))),"To Plan"))</f>
        <v/>
      </c>
      <c r="J141" s="33"/>
      <c r="K141" s="1" t="str">
        <f aca="false">IFERROR(IF(ISBLANK(INDEX(Release[Release],MATCH($A142,Release[Requirement ID],0))),"",INDEX(Release[Release],MATCH($A142,Release[Requirement ID],0))),"")</f>
        <v/>
      </c>
      <c r="L141" s="33"/>
      <c r="M141" s="33"/>
      <c r="P141" s="1" t="n">
        <f aca="false">IFERROR(VALUE(MID($A141,5,4)),0)</f>
        <v>0</v>
      </c>
      <c r="Q141" s="1" t="str">
        <f aca="false">IF(B141="","","NEW-"&amp;TEXT(MAX($P$2:$P140,Lists!$N$2)+1,"0000"))</f>
        <v/>
      </c>
    </row>
    <row r="142" customFormat="false" ht="15" hidden="false" customHeight="true" outlineLevel="0" collapsed="false">
      <c r="A142" s="32" t="str">
        <f aca="false">IF(AND(B142="",C142="",D142="",E142="",F142="",G142="",H142="",J142="",L142="",M142="",N142=""),"",Q142)</f>
        <v/>
      </c>
      <c r="B142" s="33"/>
      <c r="C142" s="33"/>
      <c r="D142" s="33"/>
      <c r="E142" s="33"/>
      <c r="F142" s="33"/>
      <c r="G142" s="33"/>
      <c r="H142" s="33"/>
      <c r="I142" s="1" t="str">
        <f aca="false">IF($A143="","",IFERROR(IF(ISBLANK(INDEX(SprintPlanning[Sprint],MATCH($A143,SprintPlanning[Requirement ID],0))),"To Plan",INDEX(SprintPlanning[Sprint],MATCH($A143,SprintPlanning[Requirement ID],0))),"To Plan"))</f>
        <v/>
      </c>
      <c r="J142" s="33"/>
      <c r="K142" s="1" t="str">
        <f aca="false">IFERROR(IF(ISBLANK(INDEX(Release[Release],MATCH($A143,Release[Requirement ID],0))),"",INDEX(Release[Release],MATCH($A143,Release[Requirement ID],0))),"")</f>
        <v/>
      </c>
      <c r="L142" s="33"/>
      <c r="M142" s="33"/>
      <c r="P142" s="1" t="n">
        <f aca="false">IFERROR(VALUE(MID($A142,5,4)),0)</f>
        <v>0</v>
      </c>
      <c r="Q142" s="1" t="str">
        <f aca="false">IF(B142="","","NEW-"&amp;TEXT(MAX($P$2:$P141,Lists!$N$2)+1,"0000"))</f>
        <v/>
      </c>
    </row>
    <row r="143" customFormat="false" ht="15" hidden="false" customHeight="true" outlineLevel="0" collapsed="false">
      <c r="A143" s="32" t="str">
        <f aca="false">IF(AND(B143="",C143="",D143="",E143="",F143="",G143="",H143="",J143="",L143="",M143="",N143=""),"",Q143)</f>
        <v/>
      </c>
      <c r="B143" s="33"/>
      <c r="C143" s="33"/>
      <c r="D143" s="33"/>
      <c r="E143" s="33"/>
      <c r="F143" s="33"/>
      <c r="G143" s="33"/>
      <c r="H143" s="33"/>
      <c r="I143" s="1" t="str">
        <f aca="false">IF($A144="","",IFERROR(IF(ISBLANK(INDEX(SprintPlanning[Sprint],MATCH($A144,SprintPlanning[Requirement ID],0))),"To Plan",INDEX(SprintPlanning[Sprint],MATCH($A144,SprintPlanning[Requirement ID],0))),"To Plan"))</f>
        <v/>
      </c>
      <c r="J143" s="33"/>
      <c r="K143" s="1" t="str">
        <f aca="false">IFERROR(IF(ISBLANK(INDEX(Release[Release],MATCH($A144,Release[Requirement ID],0))),"",INDEX(Release[Release],MATCH($A144,Release[Requirement ID],0))),"")</f>
        <v/>
      </c>
      <c r="L143" s="33"/>
      <c r="M143" s="33"/>
      <c r="P143" s="1" t="n">
        <f aca="false">IFERROR(VALUE(MID($A143,5,4)),0)</f>
        <v>0</v>
      </c>
      <c r="Q143" s="1" t="str">
        <f aca="false">IF(B143="","","NEW-"&amp;TEXT(MAX($P$2:$P142,Lists!$N$2)+1,"0000"))</f>
        <v/>
      </c>
    </row>
    <row r="144" customFormat="false" ht="15" hidden="false" customHeight="true" outlineLevel="0" collapsed="false">
      <c r="A144" s="32" t="str">
        <f aca="false">IF(AND(B144="",C144="",D144="",E144="",F144="",G144="",H144="",J144="",L144="",M144="",N144=""),"",Q144)</f>
        <v/>
      </c>
      <c r="B144" s="33"/>
      <c r="C144" s="33"/>
      <c r="D144" s="33"/>
      <c r="E144" s="33"/>
      <c r="F144" s="33"/>
      <c r="G144" s="33"/>
      <c r="H144" s="33"/>
      <c r="I144" s="1" t="str">
        <f aca="false">IF($A145="","",IFERROR(IF(ISBLANK(INDEX(SprintPlanning[Sprint],MATCH($A145,SprintPlanning[Requirement ID],0))),"To Plan",INDEX(SprintPlanning[Sprint],MATCH($A145,SprintPlanning[Requirement ID],0))),"To Plan"))</f>
        <v/>
      </c>
      <c r="J144" s="33"/>
      <c r="K144" s="1" t="str">
        <f aca="false">IFERROR(IF(ISBLANK(INDEX(Release[Release],MATCH($A145,Release[Requirement ID],0))),"",INDEX(Release[Release],MATCH($A145,Release[Requirement ID],0))),"")</f>
        <v/>
      </c>
      <c r="L144" s="33"/>
      <c r="M144" s="33"/>
      <c r="P144" s="1" t="n">
        <f aca="false">IFERROR(VALUE(MID($A144,5,4)),0)</f>
        <v>0</v>
      </c>
      <c r="Q144" s="1" t="str">
        <f aca="false">IF(B144="","","NEW-"&amp;TEXT(MAX($P$2:$P143,Lists!$N$2)+1,"0000"))</f>
        <v/>
      </c>
    </row>
    <row r="145" customFormat="false" ht="15" hidden="false" customHeight="true" outlineLevel="0" collapsed="false">
      <c r="A145" s="32" t="str">
        <f aca="false">IF(AND(B145="",C145="",D145="",E145="",F145="",G145="",H145="",J145="",L145="",M145="",N145=""),"",Q145)</f>
        <v/>
      </c>
      <c r="B145" s="33"/>
      <c r="C145" s="33"/>
      <c r="D145" s="33"/>
      <c r="E145" s="33"/>
      <c r="F145" s="33"/>
      <c r="G145" s="33"/>
      <c r="H145" s="33"/>
      <c r="I145" s="1" t="str">
        <f aca="false">IF($A146="","",IFERROR(IF(ISBLANK(INDEX(SprintPlanning[Sprint],MATCH($A146,SprintPlanning[Requirement ID],0))),"To Plan",INDEX(SprintPlanning[Sprint],MATCH($A146,SprintPlanning[Requirement ID],0))),"To Plan"))</f>
        <v/>
      </c>
      <c r="J145" s="33"/>
      <c r="K145" s="1" t="str">
        <f aca="false">IFERROR(IF(ISBLANK(INDEX(Release[Release],MATCH($A146,Release[Requirement ID],0))),"",INDEX(Release[Release],MATCH($A146,Release[Requirement ID],0))),"")</f>
        <v/>
      </c>
      <c r="L145" s="33"/>
      <c r="M145" s="33"/>
      <c r="P145" s="1" t="n">
        <f aca="false">IFERROR(VALUE(MID($A145,5,4)),0)</f>
        <v>0</v>
      </c>
      <c r="Q145" s="1" t="str">
        <f aca="false">IF(B145="","","NEW-"&amp;TEXT(MAX($P$2:$P144,Lists!$N$2)+1,"0000"))</f>
        <v/>
      </c>
    </row>
    <row r="146" customFormat="false" ht="15" hidden="false" customHeight="true" outlineLevel="0" collapsed="false">
      <c r="A146" s="32" t="str">
        <f aca="false">IF(AND(B146="",C146="",D146="",E146="",F146="",G146="",H146="",J146="",L146="",M146="",N146=""),"",Q146)</f>
        <v/>
      </c>
      <c r="B146" s="33"/>
      <c r="C146" s="33"/>
      <c r="D146" s="33"/>
      <c r="E146" s="33"/>
      <c r="F146" s="33"/>
      <c r="G146" s="33"/>
      <c r="H146" s="33"/>
      <c r="I146" s="1" t="str">
        <f aca="false">IF($A147="","",IFERROR(IF(ISBLANK(INDEX(SprintPlanning[Sprint],MATCH($A147,SprintPlanning[Requirement ID],0))),"To Plan",INDEX(SprintPlanning[Sprint],MATCH($A147,SprintPlanning[Requirement ID],0))),"To Plan"))</f>
        <v/>
      </c>
      <c r="J146" s="33"/>
      <c r="K146" s="1" t="str">
        <f aca="false">IFERROR(IF(ISBLANK(INDEX(Release[Release],MATCH($A147,Release[Requirement ID],0))),"",INDEX(Release[Release],MATCH($A147,Release[Requirement ID],0))),"")</f>
        <v/>
      </c>
      <c r="L146" s="33"/>
      <c r="M146" s="33"/>
      <c r="P146" s="1" t="n">
        <f aca="false">IFERROR(VALUE(MID($A146,5,4)),0)</f>
        <v>0</v>
      </c>
      <c r="Q146" s="1" t="str">
        <f aca="false">IF(B146="","","NEW-"&amp;TEXT(MAX($P$2:$P145,Lists!$N$2)+1,"0000"))</f>
        <v/>
      </c>
    </row>
    <row r="147" customFormat="false" ht="15" hidden="false" customHeight="true" outlineLevel="0" collapsed="false">
      <c r="A147" s="32" t="str">
        <f aca="false">IF(AND(B147="",C147="",D147="",E147="",F147="",G147="",H147="",J147="",L147="",M147="",N147=""),"",Q147)</f>
        <v/>
      </c>
      <c r="B147" s="33"/>
      <c r="C147" s="33"/>
      <c r="D147" s="33"/>
      <c r="E147" s="33"/>
      <c r="F147" s="33"/>
      <c r="G147" s="33"/>
      <c r="H147" s="33"/>
      <c r="I147" s="1" t="str">
        <f aca="false">IF($A148="","",IFERROR(IF(ISBLANK(INDEX(SprintPlanning[Sprint],MATCH($A148,SprintPlanning[Requirement ID],0))),"To Plan",INDEX(SprintPlanning[Sprint],MATCH($A148,SprintPlanning[Requirement ID],0))),"To Plan"))</f>
        <v/>
      </c>
      <c r="J147" s="33"/>
      <c r="K147" s="1" t="str">
        <f aca="false">IFERROR(IF(ISBLANK(INDEX(Release[Release],MATCH($A148,Release[Requirement ID],0))),"",INDEX(Release[Release],MATCH($A148,Release[Requirement ID],0))),"")</f>
        <v/>
      </c>
      <c r="L147" s="33"/>
      <c r="M147" s="33"/>
      <c r="P147" s="1" t="n">
        <f aca="false">IFERROR(VALUE(MID($A147,5,4)),0)</f>
        <v>0</v>
      </c>
      <c r="Q147" s="1" t="str">
        <f aca="false">IF(B147="","","NEW-"&amp;TEXT(MAX($P$2:$P146,Lists!$N$2)+1,"0000"))</f>
        <v/>
      </c>
    </row>
    <row r="148" customFormat="false" ht="15" hidden="false" customHeight="true" outlineLevel="0" collapsed="false">
      <c r="A148" s="32" t="str">
        <f aca="false">IF(AND(B148="",C148="",D148="",E148="",F148="",G148="",H148="",J148="",L148="",M148="",N148=""),"",Q148)</f>
        <v/>
      </c>
      <c r="B148" s="33"/>
      <c r="C148" s="33"/>
      <c r="D148" s="33"/>
      <c r="E148" s="33"/>
      <c r="F148" s="33"/>
      <c r="G148" s="33"/>
      <c r="H148" s="33"/>
      <c r="I148" s="1" t="str">
        <f aca="false">IF($A149="","",IFERROR(IF(ISBLANK(INDEX(SprintPlanning[Sprint],MATCH($A149,SprintPlanning[Requirement ID],0))),"To Plan",INDEX(SprintPlanning[Sprint],MATCH($A149,SprintPlanning[Requirement ID],0))),"To Plan"))</f>
        <v/>
      </c>
      <c r="J148" s="33"/>
      <c r="K148" s="1" t="str">
        <f aca="false">IFERROR(IF(ISBLANK(INDEX(Release[Release],MATCH($A149,Release[Requirement ID],0))),"",INDEX(Release[Release],MATCH($A149,Release[Requirement ID],0))),"")</f>
        <v/>
      </c>
      <c r="L148" s="33"/>
      <c r="M148" s="33"/>
      <c r="P148" s="1" t="n">
        <f aca="false">IFERROR(VALUE(MID($A148,5,4)),0)</f>
        <v>0</v>
      </c>
      <c r="Q148" s="1" t="str">
        <f aca="false">IF(B148="","","NEW-"&amp;TEXT(MAX($P$2:$P147,Lists!$N$2)+1,"0000"))</f>
        <v/>
      </c>
    </row>
    <row r="149" customFormat="false" ht="15" hidden="false" customHeight="true" outlineLevel="0" collapsed="false">
      <c r="A149" s="32" t="str">
        <f aca="false">IF(AND(B149="",C149="",D149="",E149="",F149="",G149="",H149="",J149="",L149="",M149="",N149=""),"",Q149)</f>
        <v/>
      </c>
      <c r="B149" s="33"/>
      <c r="C149" s="33"/>
      <c r="D149" s="33"/>
      <c r="E149" s="33"/>
      <c r="F149" s="33"/>
      <c r="G149" s="33"/>
      <c r="H149" s="33"/>
      <c r="I149" s="1" t="str">
        <f aca="false">IF($A150="","",IFERROR(IF(ISBLANK(INDEX(SprintPlanning[Sprint],MATCH($A150,SprintPlanning[Requirement ID],0))),"To Plan",INDEX(SprintPlanning[Sprint],MATCH($A150,SprintPlanning[Requirement ID],0))),"To Plan"))</f>
        <v/>
      </c>
      <c r="J149" s="33"/>
      <c r="K149" s="1" t="str">
        <f aca="false">IFERROR(IF(ISBLANK(INDEX(Release[Release],MATCH($A150,Release[Requirement ID],0))),"",INDEX(Release[Release],MATCH($A150,Release[Requirement ID],0))),"")</f>
        <v/>
      </c>
      <c r="L149" s="33"/>
      <c r="M149" s="33"/>
      <c r="P149" s="1" t="n">
        <f aca="false">IFERROR(VALUE(MID($A149,5,4)),0)</f>
        <v>0</v>
      </c>
      <c r="Q149" s="1" t="str">
        <f aca="false">IF(B149="","","NEW-"&amp;TEXT(MAX($P$2:$P148,Lists!$N$2)+1,"0000"))</f>
        <v/>
      </c>
    </row>
    <row r="150" customFormat="false" ht="15" hidden="false" customHeight="true" outlineLevel="0" collapsed="false">
      <c r="A150" s="32" t="str">
        <f aca="false">IF(AND(B150="",C150="",D150="",E150="",F150="",G150="",H150="",J150="",L150="",M150="",N150=""),"",Q150)</f>
        <v/>
      </c>
      <c r="B150" s="33"/>
      <c r="C150" s="33"/>
      <c r="D150" s="33"/>
      <c r="E150" s="33"/>
      <c r="F150" s="33"/>
      <c r="G150" s="33"/>
      <c r="H150" s="33"/>
      <c r="I150" s="1" t="str">
        <f aca="false">IF($A151="","",IFERROR(IF(ISBLANK(INDEX(SprintPlanning[Sprint],MATCH($A151,SprintPlanning[Requirement ID],0))),"To Plan",INDEX(SprintPlanning[Sprint],MATCH($A151,SprintPlanning[Requirement ID],0))),"To Plan"))</f>
        <v/>
      </c>
      <c r="J150" s="33"/>
      <c r="K150" s="1" t="str">
        <f aca="false">IFERROR(IF(ISBLANK(INDEX(Release[Release],MATCH($A151,Release[Requirement ID],0))),"",INDEX(Release[Release],MATCH($A151,Release[Requirement ID],0))),"")</f>
        <v/>
      </c>
      <c r="L150" s="33"/>
      <c r="M150" s="33"/>
      <c r="P150" s="1" t="n">
        <f aca="false">IFERROR(VALUE(MID($A150,5,4)),0)</f>
        <v>0</v>
      </c>
      <c r="Q150" s="1" t="str">
        <f aca="false">IF(B150="","","NEW-"&amp;TEXT(MAX($P$2:$P149,Lists!$N$2)+1,"0000"))</f>
        <v/>
      </c>
    </row>
    <row r="151" customFormat="false" ht="15" hidden="false" customHeight="true" outlineLevel="0" collapsed="false">
      <c r="A151" s="32" t="str">
        <f aca="false">IF(AND(B151="",C151="",D151="",E151="",F151="",G151="",H151="",J151="",L151="",M151="",N151=""),"",Q151)</f>
        <v/>
      </c>
      <c r="B151" s="33"/>
      <c r="C151" s="33"/>
      <c r="D151" s="33"/>
      <c r="E151" s="33"/>
      <c r="F151" s="33"/>
      <c r="G151" s="33"/>
      <c r="H151" s="33"/>
      <c r="I151" s="1" t="str">
        <f aca="false">IF($A152="","",IFERROR(IF(ISBLANK(INDEX(SprintPlanning[Sprint],MATCH($A152,SprintPlanning[Requirement ID],0))),"To Plan",INDEX(SprintPlanning[Sprint],MATCH($A152,SprintPlanning[Requirement ID],0))),"To Plan"))</f>
        <v/>
      </c>
      <c r="J151" s="33"/>
      <c r="K151" s="1" t="str">
        <f aca="false">IFERROR(IF(ISBLANK(INDEX(Release[Release],MATCH($A152,Release[Requirement ID],0))),"",INDEX(Release[Release],MATCH($A152,Release[Requirement ID],0))),"")</f>
        <v/>
      </c>
      <c r="L151" s="33"/>
      <c r="M151" s="33"/>
      <c r="P151" s="1" t="n">
        <f aca="false">IFERROR(VALUE(MID($A151,5,4)),0)</f>
        <v>0</v>
      </c>
      <c r="Q151" s="1" t="str">
        <f aca="false">IF(B151="","","NEW-"&amp;TEXT(MAX($P$2:$P150,Lists!$N$2)+1,"0000"))</f>
        <v/>
      </c>
    </row>
    <row r="152" customFormat="false" ht="15" hidden="false" customHeight="true" outlineLevel="0" collapsed="false">
      <c r="A152" s="32" t="str">
        <f aca="false">IF(AND(B152="",C152="",D152="",E152="",F152="",G152="",H152="",J152="",L152="",M152="",N152=""),"",Q152)</f>
        <v/>
      </c>
      <c r="B152" s="33"/>
      <c r="C152" s="33"/>
      <c r="D152" s="33"/>
      <c r="E152" s="33"/>
      <c r="F152" s="33"/>
      <c r="G152" s="33"/>
      <c r="H152" s="33"/>
      <c r="I152" s="1" t="str">
        <f aca="false">IF($A153="","",IFERROR(IF(ISBLANK(INDEX(SprintPlanning[Sprint],MATCH($A153,SprintPlanning[Requirement ID],0))),"To Plan",INDEX(SprintPlanning[Sprint],MATCH($A153,SprintPlanning[Requirement ID],0))),"To Plan"))</f>
        <v/>
      </c>
      <c r="J152" s="33"/>
      <c r="K152" s="1" t="str">
        <f aca="false">IFERROR(IF(ISBLANK(INDEX(Release[Release],MATCH($A153,Release[Requirement ID],0))),"",INDEX(Release[Release],MATCH($A153,Release[Requirement ID],0))),"")</f>
        <v/>
      </c>
      <c r="L152" s="33"/>
      <c r="M152" s="33"/>
      <c r="P152" s="1" t="n">
        <f aca="false">IFERROR(VALUE(MID($A152,5,4)),0)</f>
        <v>0</v>
      </c>
      <c r="Q152" s="1" t="str">
        <f aca="false">IF(B152="","","NEW-"&amp;TEXT(MAX($P$2:$P151,Lists!$N$2)+1,"0000"))</f>
        <v/>
      </c>
    </row>
    <row r="153" customFormat="false" ht="15" hidden="false" customHeight="true" outlineLevel="0" collapsed="false">
      <c r="A153" s="32" t="str">
        <f aca="false">IF(AND(B153="",C153="",D153="",E153="",F153="",G153="",H153="",J153="",L153="",M153="",N153=""),"",Q153)</f>
        <v/>
      </c>
      <c r="B153" s="33"/>
      <c r="C153" s="33"/>
      <c r="D153" s="33"/>
      <c r="E153" s="33"/>
      <c r="F153" s="33"/>
      <c r="G153" s="33"/>
      <c r="H153" s="33"/>
      <c r="I153" s="1" t="str">
        <f aca="false">IF($A154="","",IFERROR(IF(ISBLANK(INDEX(SprintPlanning[Sprint],MATCH($A154,SprintPlanning[Requirement ID],0))),"To Plan",INDEX(SprintPlanning[Sprint],MATCH($A154,SprintPlanning[Requirement ID],0))),"To Plan"))</f>
        <v/>
      </c>
      <c r="J153" s="33"/>
      <c r="K153" s="1" t="str">
        <f aca="false">IFERROR(IF(ISBLANK(INDEX(Release[Release],MATCH($A154,Release[Requirement ID],0))),"",INDEX(Release[Release],MATCH($A154,Release[Requirement ID],0))),"")</f>
        <v/>
      </c>
      <c r="L153" s="33"/>
      <c r="M153" s="33"/>
      <c r="P153" s="1" t="n">
        <f aca="false">IFERROR(VALUE(MID($A153,5,4)),0)</f>
        <v>0</v>
      </c>
      <c r="Q153" s="1" t="str">
        <f aca="false">IF(B153="","","NEW-"&amp;TEXT(MAX($P$2:$P152,Lists!$N$2)+1,"0000"))</f>
        <v/>
      </c>
    </row>
    <row r="154" customFormat="false" ht="15" hidden="false" customHeight="true" outlineLevel="0" collapsed="false">
      <c r="A154" s="32" t="str">
        <f aca="false">IF(AND(B154="",C154="",D154="",E154="",F154="",G154="",H154="",J154="",L154="",M154="",N154=""),"",Q154)</f>
        <v/>
      </c>
      <c r="B154" s="33"/>
      <c r="C154" s="33"/>
      <c r="D154" s="33"/>
      <c r="E154" s="33"/>
      <c r="F154" s="33"/>
      <c r="G154" s="33"/>
      <c r="H154" s="33"/>
      <c r="I154" s="1" t="str">
        <f aca="false">IF($A155="","",IFERROR(IF(ISBLANK(INDEX(SprintPlanning[Sprint],MATCH($A155,SprintPlanning[Requirement ID],0))),"To Plan",INDEX(SprintPlanning[Sprint],MATCH($A155,SprintPlanning[Requirement ID],0))),"To Plan"))</f>
        <v/>
      </c>
      <c r="J154" s="33"/>
      <c r="K154" s="1" t="str">
        <f aca="false">IFERROR(IF(ISBLANK(INDEX(Release[Release],MATCH($A155,Release[Requirement ID],0))),"",INDEX(Release[Release],MATCH($A155,Release[Requirement ID],0))),"")</f>
        <v/>
      </c>
      <c r="L154" s="33"/>
      <c r="M154" s="33"/>
      <c r="P154" s="1" t="n">
        <f aca="false">IFERROR(VALUE(MID($A154,5,4)),0)</f>
        <v>0</v>
      </c>
      <c r="Q154" s="1" t="str">
        <f aca="false">IF(B154="","","NEW-"&amp;TEXT(MAX($P$2:$P153,Lists!$N$2)+1,"0000"))</f>
        <v/>
      </c>
    </row>
    <row r="155" customFormat="false" ht="15" hidden="false" customHeight="true" outlineLevel="0" collapsed="false">
      <c r="A155" s="32" t="str">
        <f aca="false">IF(AND(B155="",C155="",D155="",E155="",F155="",G155="",H155="",J155="",L155="",M155="",N155=""),"",Q155)</f>
        <v/>
      </c>
      <c r="B155" s="33"/>
      <c r="C155" s="33"/>
      <c r="D155" s="33"/>
      <c r="E155" s="33"/>
      <c r="F155" s="33"/>
      <c r="G155" s="33"/>
      <c r="H155" s="33"/>
      <c r="I155" s="1" t="str">
        <f aca="false">IF($A156="","",IFERROR(IF(ISBLANK(INDEX(SprintPlanning[Sprint],MATCH($A156,SprintPlanning[Requirement ID],0))),"To Plan",INDEX(SprintPlanning[Sprint],MATCH($A156,SprintPlanning[Requirement ID],0))),"To Plan"))</f>
        <v/>
      </c>
      <c r="J155" s="33"/>
      <c r="K155" s="1" t="str">
        <f aca="false">IFERROR(IF(ISBLANK(INDEX(Release[Release],MATCH($A156,Release[Requirement ID],0))),"",INDEX(Release[Release],MATCH($A156,Release[Requirement ID],0))),"")</f>
        <v/>
      </c>
      <c r="L155" s="33"/>
      <c r="M155" s="33"/>
      <c r="P155" s="1" t="n">
        <f aca="false">IFERROR(VALUE(MID($A155,5,4)),0)</f>
        <v>0</v>
      </c>
      <c r="Q155" s="1" t="str">
        <f aca="false">IF(B155="","","NEW-"&amp;TEXT(MAX($P$2:$P154,Lists!$N$2)+1,"0000"))</f>
        <v/>
      </c>
    </row>
    <row r="156" customFormat="false" ht="15" hidden="false" customHeight="true" outlineLevel="0" collapsed="false">
      <c r="A156" s="32" t="str">
        <f aca="false">IF(AND(B156="",C156="",D156="",E156="",F156="",G156="",H156="",J156="",L156="",M156="",N156=""),"",Q156)</f>
        <v/>
      </c>
      <c r="B156" s="33"/>
      <c r="C156" s="33"/>
      <c r="D156" s="33"/>
      <c r="E156" s="33"/>
      <c r="F156" s="33"/>
      <c r="G156" s="33"/>
      <c r="H156" s="33"/>
      <c r="I156" s="1" t="str">
        <f aca="false">IF($A157="","",IFERROR(IF(ISBLANK(INDEX(SprintPlanning[Sprint],MATCH($A157,SprintPlanning[Requirement ID],0))),"To Plan",INDEX(SprintPlanning[Sprint],MATCH($A157,SprintPlanning[Requirement ID],0))),"To Plan"))</f>
        <v/>
      </c>
      <c r="J156" s="33"/>
      <c r="K156" s="1" t="str">
        <f aca="false">IFERROR(IF(ISBLANK(INDEX(Release[Release],MATCH($A157,Release[Requirement ID],0))),"",INDEX(Release[Release],MATCH($A157,Release[Requirement ID],0))),"")</f>
        <v/>
      </c>
      <c r="L156" s="33"/>
      <c r="M156" s="33"/>
      <c r="P156" s="1" t="n">
        <f aca="false">IFERROR(VALUE(MID($A156,5,4)),0)</f>
        <v>0</v>
      </c>
      <c r="Q156" s="1" t="str">
        <f aca="false">IF(B156="","","NEW-"&amp;TEXT(MAX($P$2:$P155,Lists!$N$2)+1,"0000"))</f>
        <v/>
      </c>
    </row>
    <row r="157" customFormat="false" ht="15" hidden="false" customHeight="true" outlineLevel="0" collapsed="false">
      <c r="A157" s="32" t="str">
        <f aca="false">IF(AND(B157="",C157="",D157="",E157="",F157="",G157="",H157="",J157="",L157="",M157="",N157=""),"",Q157)</f>
        <v/>
      </c>
      <c r="B157" s="33"/>
      <c r="C157" s="33"/>
      <c r="D157" s="33"/>
      <c r="E157" s="33"/>
      <c r="F157" s="33"/>
      <c r="G157" s="33"/>
      <c r="H157" s="33"/>
      <c r="I157" s="1" t="str">
        <f aca="false">IF($A158="","",IFERROR(IF(ISBLANK(INDEX(SprintPlanning[Sprint],MATCH($A158,SprintPlanning[Requirement ID],0))),"To Plan",INDEX(SprintPlanning[Sprint],MATCH($A158,SprintPlanning[Requirement ID],0))),"To Plan"))</f>
        <v/>
      </c>
      <c r="J157" s="33"/>
      <c r="K157" s="1" t="str">
        <f aca="false">IFERROR(IF(ISBLANK(INDEX(Release[Release],MATCH($A158,Release[Requirement ID],0))),"",INDEX(Release[Release],MATCH($A158,Release[Requirement ID],0))),"")</f>
        <v/>
      </c>
      <c r="L157" s="33"/>
      <c r="M157" s="33"/>
      <c r="P157" s="1" t="n">
        <f aca="false">IFERROR(VALUE(MID($A157,5,4)),0)</f>
        <v>0</v>
      </c>
      <c r="Q157" s="1" t="str">
        <f aca="false">IF(B157="","","NEW-"&amp;TEXT(MAX($P$2:$P156,Lists!$N$2)+1,"0000"))</f>
        <v/>
      </c>
    </row>
    <row r="158" customFormat="false" ht="15" hidden="false" customHeight="true" outlineLevel="0" collapsed="false">
      <c r="A158" s="32" t="str">
        <f aca="false">IF(AND(B158="",C158="",D158="",E158="",F158="",G158="",H158="",J158="",L158="",M158="",N158=""),"",Q158)</f>
        <v/>
      </c>
      <c r="B158" s="33"/>
      <c r="C158" s="33"/>
      <c r="D158" s="33"/>
      <c r="E158" s="33"/>
      <c r="F158" s="33"/>
      <c r="G158" s="33"/>
      <c r="H158" s="33"/>
      <c r="I158" s="1" t="str">
        <f aca="false">IF($A159="","",IFERROR(IF(ISBLANK(INDEX(SprintPlanning[Sprint],MATCH($A159,SprintPlanning[Requirement ID],0))),"To Plan",INDEX(SprintPlanning[Sprint],MATCH($A159,SprintPlanning[Requirement ID],0))),"To Plan"))</f>
        <v/>
      </c>
      <c r="J158" s="33"/>
      <c r="K158" s="1" t="str">
        <f aca="false">IFERROR(IF(ISBLANK(INDEX(Release[Release],MATCH($A159,Release[Requirement ID],0))),"",INDEX(Release[Release],MATCH($A159,Release[Requirement ID],0))),"")</f>
        <v/>
      </c>
      <c r="L158" s="33"/>
      <c r="M158" s="33"/>
      <c r="P158" s="1" t="n">
        <f aca="false">IFERROR(VALUE(MID($A158,5,4)),0)</f>
        <v>0</v>
      </c>
      <c r="Q158" s="1" t="str">
        <f aca="false">IF(B158="","","NEW-"&amp;TEXT(MAX($P$2:$P157,Lists!$N$2)+1,"0000"))</f>
        <v/>
      </c>
    </row>
    <row r="159" customFormat="false" ht="15" hidden="false" customHeight="true" outlineLevel="0" collapsed="false">
      <c r="A159" s="32" t="str">
        <f aca="false">IF(AND(B159="",C159="",D159="",E159="",F159="",G159="",H159="",J159="",L159="",M159="",N159=""),"",Q159)</f>
        <v/>
      </c>
      <c r="B159" s="33"/>
      <c r="C159" s="33"/>
      <c r="D159" s="33"/>
      <c r="E159" s="33"/>
      <c r="F159" s="33"/>
      <c r="G159" s="33"/>
      <c r="H159" s="33"/>
      <c r="I159" s="1" t="str">
        <f aca="false">IF($A160="","",IFERROR(IF(ISBLANK(INDEX(SprintPlanning[Sprint],MATCH($A160,SprintPlanning[Requirement ID],0))),"To Plan",INDEX(SprintPlanning[Sprint],MATCH($A160,SprintPlanning[Requirement ID],0))),"To Plan"))</f>
        <v/>
      </c>
      <c r="J159" s="33"/>
      <c r="K159" s="1" t="str">
        <f aca="false">IFERROR(IF(ISBLANK(INDEX(Release[Release],MATCH($A160,Release[Requirement ID],0))),"",INDEX(Release[Release],MATCH($A160,Release[Requirement ID],0))),"")</f>
        <v/>
      </c>
      <c r="L159" s="33"/>
      <c r="M159" s="33"/>
      <c r="P159" s="1" t="n">
        <f aca="false">IFERROR(VALUE(MID($A159,5,4)),0)</f>
        <v>0</v>
      </c>
      <c r="Q159" s="1" t="str">
        <f aca="false">IF(B159="","","NEW-"&amp;TEXT(MAX($P$2:$P158,Lists!$N$2)+1,"0000"))</f>
        <v/>
      </c>
    </row>
    <row r="160" customFormat="false" ht="15" hidden="false" customHeight="true" outlineLevel="0" collapsed="false">
      <c r="A160" s="32" t="str">
        <f aca="false">IF(AND(B160="",C160="",D160="",E160="",F160="",G160="",H160="",J160="",L160="",M160="",N160=""),"",Q160)</f>
        <v/>
      </c>
      <c r="B160" s="33"/>
      <c r="C160" s="33"/>
      <c r="D160" s="33"/>
      <c r="E160" s="33"/>
      <c r="F160" s="33"/>
      <c r="G160" s="33"/>
      <c r="H160" s="33"/>
      <c r="I160" s="1" t="str">
        <f aca="false">IF($A161="","",IFERROR(IF(ISBLANK(INDEX(SprintPlanning[Sprint],MATCH($A161,SprintPlanning[Requirement ID],0))),"To Plan",INDEX(SprintPlanning[Sprint],MATCH($A161,SprintPlanning[Requirement ID],0))),"To Plan"))</f>
        <v/>
      </c>
      <c r="J160" s="33"/>
      <c r="K160" s="1" t="str">
        <f aca="false">IFERROR(IF(ISBLANK(INDEX(Release[Release],MATCH($A161,Release[Requirement ID],0))),"",INDEX(Release[Release],MATCH($A161,Release[Requirement ID],0))),"")</f>
        <v/>
      </c>
      <c r="L160" s="33"/>
      <c r="M160" s="33"/>
      <c r="P160" s="1" t="n">
        <f aca="false">IFERROR(VALUE(MID($A160,5,4)),0)</f>
        <v>0</v>
      </c>
      <c r="Q160" s="1" t="str">
        <f aca="false">IF(B160="","","NEW-"&amp;TEXT(MAX($P$2:$P159,Lists!$N$2)+1,"0000"))</f>
        <v/>
      </c>
    </row>
    <row r="161" customFormat="false" ht="15" hidden="false" customHeight="true" outlineLevel="0" collapsed="false">
      <c r="A161" s="32" t="str">
        <f aca="false">IF(AND(B161="",C161="",D161="",E161="",F161="",G161="",H161="",J161="",L161="",M161="",N161=""),"",Q161)</f>
        <v/>
      </c>
      <c r="B161" s="33"/>
      <c r="C161" s="33"/>
      <c r="D161" s="33"/>
      <c r="E161" s="33"/>
      <c r="F161" s="33"/>
      <c r="G161" s="33"/>
      <c r="H161" s="33"/>
      <c r="I161" s="1" t="str">
        <f aca="false">IF($A162="","",IFERROR(IF(ISBLANK(INDEX(SprintPlanning[Sprint],MATCH($A162,SprintPlanning[Requirement ID],0))),"To Plan",INDEX(SprintPlanning[Sprint],MATCH($A162,SprintPlanning[Requirement ID],0))),"To Plan"))</f>
        <v/>
      </c>
      <c r="J161" s="33"/>
      <c r="K161" s="1" t="str">
        <f aca="false">IFERROR(IF(ISBLANK(INDEX(Release[Release],MATCH($A162,Release[Requirement ID],0))),"",INDEX(Release[Release],MATCH($A162,Release[Requirement ID],0))),"")</f>
        <v/>
      </c>
      <c r="L161" s="33"/>
      <c r="M161" s="33"/>
      <c r="P161" s="1" t="n">
        <f aca="false">IFERROR(VALUE(MID($A161,5,4)),0)</f>
        <v>0</v>
      </c>
      <c r="Q161" s="1" t="str">
        <f aca="false">IF(B161="","","NEW-"&amp;TEXT(MAX($P$2:$P160,Lists!$N$2)+1,"0000"))</f>
        <v/>
      </c>
    </row>
    <row r="162" customFormat="false" ht="15" hidden="false" customHeight="true" outlineLevel="0" collapsed="false">
      <c r="A162" s="32" t="str">
        <f aca="false">IF(AND(B162="",C162="",D162="",E162="",F162="",G162="",H162="",J162="",L162="",M162="",N162=""),"",Q162)</f>
        <v/>
      </c>
      <c r="B162" s="33"/>
      <c r="C162" s="33"/>
      <c r="D162" s="33"/>
      <c r="E162" s="33"/>
      <c r="F162" s="33"/>
      <c r="G162" s="33"/>
      <c r="H162" s="33"/>
      <c r="I162" s="1" t="str">
        <f aca="false">IF($A163="","",IFERROR(IF(ISBLANK(INDEX(SprintPlanning[Sprint],MATCH($A163,SprintPlanning[Requirement ID],0))),"To Plan",INDEX(SprintPlanning[Sprint],MATCH($A163,SprintPlanning[Requirement ID],0))),"To Plan"))</f>
        <v/>
      </c>
      <c r="J162" s="33"/>
      <c r="K162" s="1" t="str">
        <f aca="false">IFERROR(IF(ISBLANK(INDEX(Release[Release],MATCH($A163,Release[Requirement ID],0))),"",INDEX(Release[Release],MATCH($A163,Release[Requirement ID],0))),"")</f>
        <v/>
      </c>
      <c r="L162" s="33"/>
      <c r="M162" s="33"/>
      <c r="P162" s="1" t="n">
        <f aca="false">IFERROR(VALUE(MID($A162,5,4)),0)</f>
        <v>0</v>
      </c>
      <c r="Q162" s="1" t="str">
        <f aca="false">IF(B162="","","NEW-"&amp;TEXT(MAX($P$2:$P161,Lists!$N$2)+1,"0000"))</f>
        <v/>
      </c>
    </row>
    <row r="163" customFormat="false" ht="15" hidden="false" customHeight="true" outlineLevel="0" collapsed="false">
      <c r="A163" s="32" t="str">
        <f aca="false">IF(AND(B163="",C163="",D163="",E163="",F163="",G163="",H163="",J163="",L163="",M163="",N163=""),"",Q163)</f>
        <v/>
      </c>
      <c r="B163" s="33"/>
      <c r="C163" s="33"/>
      <c r="D163" s="33"/>
      <c r="E163" s="33"/>
      <c r="F163" s="33"/>
      <c r="G163" s="33"/>
      <c r="H163" s="33"/>
      <c r="I163" s="1" t="str">
        <f aca="false">IF($A164="","",IFERROR(IF(ISBLANK(INDEX(SprintPlanning[Sprint],MATCH($A164,SprintPlanning[Requirement ID],0))),"To Plan",INDEX(SprintPlanning[Sprint],MATCH($A164,SprintPlanning[Requirement ID],0))),"To Plan"))</f>
        <v/>
      </c>
      <c r="J163" s="33"/>
      <c r="K163" s="1" t="str">
        <f aca="false">IFERROR(IF(ISBLANK(INDEX(Release[Release],MATCH($A164,Release[Requirement ID],0))),"",INDEX(Release[Release],MATCH($A164,Release[Requirement ID],0))),"")</f>
        <v/>
      </c>
      <c r="L163" s="33"/>
      <c r="M163" s="33"/>
      <c r="P163" s="1" t="n">
        <f aca="false">IFERROR(VALUE(MID($A163,5,4)),0)</f>
        <v>0</v>
      </c>
      <c r="Q163" s="1" t="str">
        <f aca="false">IF(B163="","","NEW-"&amp;TEXT(MAX($P$2:$P162,Lists!$N$2)+1,"0000"))</f>
        <v/>
      </c>
    </row>
    <row r="164" customFormat="false" ht="15" hidden="false" customHeight="true" outlineLevel="0" collapsed="false">
      <c r="A164" s="32" t="str">
        <f aca="false">IF(AND(B164="",C164="",D164="",E164="",F164="",G164="",H164="",J164="",L164="",M164="",N164=""),"",Q164)</f>
        <v/>
      </c>
      <c r="B164" s="33"/>
      <c r="C164" s="33"/>
      <c r="D164" s="33"/>
      <c r="E164" s="33"/>
      <c r="F164" s="33"/>
      <c r="G164" s="33"/>
      <c r="H164" s="33"/>
      <c r="I164" s="1" t="str">
        <f aca="false">IF($A165="","",IFERROR(IF(ISBLANK(INDEX(SprintPlanning[Sprint],MATCH($A165,SprintPlanning[Requirement ID],0))),"To Plan",INDEX(SprintPlanning[Sprint],MATCH($A165,SprintPlanning[Requirement ID],0))),"To Plan"))</f>
        <v/>
      </c>
      <c r="J164" s="33"/>
      <c r="K164" s="1" t="str">
        <f aca="false">IFERROR(IF(ISBLANK(INDEX(Release[Release],MATCH($A165,Release[Requirement ID],0))),"",INDEX(Release[Release],MATCH($A165,Release[Requirement ID],0))),"")</f>
        <v/>
      </c>
      <c r="L164" s="33"/>
      <c r="M164" s="33"/>
      <c r="P164" s="1" t="n">
        <f aca="false">IFERROR(VALUE(MID($A164,5,4)),0)</f>
        <v>0</v>
      </c>
      <c r="Q164" s="1" t="str">
        <f aca="false">IF(B164="","","NEW-"&amp;TEXT(MAX($P$2:$P163,Lists!$N$2)+1,"0000"))</f>
        <v/>
      </c>
    </row>
    <row r="165" customFormat="false" ht="15" hidden="false" customHeight="true" outlineLevel="0" collapsed="false">
      <c r="A165" s="32" t="str">
        <f aca="false">IF(AND(B165="",C165="",D165="",E165="",F165="",G165="",H165="",J165="",L165="",M165="",N165=""),"",Q165)</f>
        <v/>
      </c>
      <c r="B165" s="33"/>
      <c r="C165" s="33"/>
      <c r="D165" s="33"/>
      <c r="E165" s="33"/>
      <c r="F165" s="33"/>
      <c r="G165" s="33"/>
      <c r="H165" s="33"/>
      <c r="I165" s="1" t="str">
        <f aca="false">IF($A166="","",IFERROR(IF(ISBLANK(INDEX(SprintPlanning[Sprint],MATCH($A166,SprintPlanning[Requirement ID],0))),"To Plan",INDEX(SprintPlanning[Sprint],MATCH($A166,SprintPlanning[Requirement ID],0))),"To Plan"))</f>
        <v/>
      </c>
      <c r="J165" s="33"/>
      <c r="K165" s="1" t="str">
        <f aca="false">IFERROR(IF(ISBLANK(INDEX(Release[Release],MATCH($A166,Release[Requirement ID],0))),"",INDEX(Release[Release],MATCH($A166,Release[Requirement ID],0))),"")</f>
        <v/>
      </c>
      <c r="L165" s="33"/>
      <c r="M165" s="33"/>
      <c r="P165" s="1" t="n">
        <f aca="false">IFERROR(VALUE(MID($A165,5,4)),0)</f>
        <v>0</v>
      </c>
      <c r="Q165" s="1" t="str">
        <f aca="false">IF(B165="","","NEW-"&amp;TEXT(MAX($P$2:$P164,Lists!$N$2)+1,"0000"))</f>
        <v/>
      </c>
    </row>
    <row r="166" customFormat="false" ht="15" hidden="false" customHeight="true" outlineLevel="0" collapsed="false">
      <c r="A166" s="32" t="str">
        <f aca="false">IF(AND(B166="",C166="",D166="",E166="",F166="",G166="",H166="",J166="",L166="",M166="",N166=""),"",Q166)</f>
        <v/>
      </c>
      <c r="B166" s="33"/>
      <c r="C166" s="33"/>
      <c r="D166" s="33"/>
      <c r="E166" s="33"/>
      <c r="F166" s="33"/>
      <c r="G166" s="33"/>
      <c r="H166" s="33"/>
      <c r="I166" s="1" t="str">
        <f aca="false">IF($A167="","",IFERROR(IF(ISBLANK(INDEX(SprintPlanning[Sprint],MATCH($A167,SprintPlanning[Requirement ID],0))),"To Plan",INDEX(SprintPlanning[Sprint],MATCH($A167,SprintPlanning[Requirement ID],0))),"To Plan"))</f>
        <v/>
      </c>
      <c r="J166" s="33"/>
      <c r="K166" s="1" t="str">
        <f aca="false">IFERROR(IF(ISBLANK(INDEX(Release[Release],MATCH($A167,Release[Requirement ID],0))),"",INDEX(Release[Release],MATCH($A167,Release[Requirement ID],0))),"")</f>
        <v/>
      </c>
      <c r="L166" s="33"/>
      <c r="M166" s="33"/>
      <c r="P166" s="1" t="n">
        <f aca="false">IFERROR(VALUE(MID($A166,5,4)),0)</f>
        <v>0</v>
      </c>
      <c r="Q166" s="1" t="str">
        <f aca="false">IF(B166="","","NEW-"&amp;TEXT(MAX($P$2:$P165,Lists!$N$2)+1,"0000"))</f>
        <v/>
      </c>
    </row>
    <row r="167" customFormat="false" ht="15" hidden="false" customHeight="true" outlineLevel="0" collapsed="false">
      <c r="A167" s="32" t="str">
        <f aca="false">IF(AND(B167="",C167="",D167="",E167="",F167="",G167="",H167="",J167="",L167="",M167="",N167=""),"",Q167)</f>
        <v/>
      </c>
      <c r="B167" s="33"/>
      <c r="C167" s="33"/>
      <c r="D167" s="33"/>
      <c r="E167" s="33"/>
      <c r="F167" s="33"/>
      <c r="G167" s="33"/>
      <c r="H167" s="33"/>
      <c r="I167" s="1" t="str">
        <f aca="false">IF($A168="","",IFERROR(IF(ISBLANK(INDEX(SprintPlanning[Sprint],MATCH($A168,SprintPlanning[Requirement ID],0))),"To Plan",INDEX(SprintPlanning[Sprint],MATCH($A168,SprintPlanning[Requirement ID],0))),"To Plan"))</f>
        <v/>
      </c>
      <c r="J167" s="33"/>
      <c r="K167" s="1" t="str">
        <f aca="false">IFERROR(IF(ISBLANK(INDEX(Release[Release],MATCH($A168,Release[Requirement ID],0))),"",INDEX(Release[Release],MATCH($A168,Release[Requirement ID],0))),"")</f>
        <v/>
      </c>
      <c r="L167" s="33"/>
      <c r="M167" s="33"/>
      <c r="P167" s="1" t="n">
        <f aca="false">IFERROR(VALUE(MID($A167,5,4)),0)</f>
        <v>0</v>
      </c>
      <c r="Q167" s="1" t="str">
        <f aca="false">IF(B167="","","NEW-"&amp;TEXT(MAX($P$2:$P166,Lists!$N$2)+1,"0000"))</f>
        <v/>
      </c>
    </row>
    <row r="168" customFormat="false" ht="15" hidden="false" customHeight="true" outlineLevel="0" collapsed="false">
      <c r="A168" s="32" t="str">
        <f aca="false">IF(AND(B168="",C168="",D168="",E168="",F168="",G168="",H168="",J168="",L168="",M168="",N168=""),"",Q168)</f>
        <v/>
      </c>
      <c r="B168" s="33"/>
      <c r="C168" s="33"/>
      <c r="D168" s="33"/>
      <c r="E168" s="33"/>
      <c r="F168" s="33"/>
      <c r="G168" s="33"/>
      <c r="H168" s="33"/>
      <c r="I168" s="1" t="str">
        <f aca="false">IF($A169="","",IFERROR(IF(ISBLANK(INDEX(SprintPlanning[Sprint],MATCH($A169,SprintPlanning[Requirement ID],0))),"To Plan",INDEX(SprintPlanning[Sprint],MATCH($A169,SprintPlanning[Requirement ID],0))),"To Plan"))</f>
        <v/>
      </c>
      <c r="J168" s="33"/>
      <c r="K168" s="1" t="str">
        <f aca="false">IFERROR(IF(ISBLANK(INDEX(Release[Release],MATCH($A169,Release[Requirement ID],0))),"",INDEX(Release[Release],MATCH($A169,Release[Requirement ID],0))),"")</f>
        <v/>
      </c>
      <c r="L168" s="33"/>
      <c r="M168" s="33"/>
      <c r="P168" s="1" t="n">
        <f aca="false">IFERROR(VALUE(MID($A168,5,4)),0)</f>
        <v>0</v>
      </c>
      <c r="Q168" s="1" t="str">
        <f aca="false">IF(B168="","","NEW-"&amp;TEXT(MAX($P$2:$P167,Lists!$N$2)+1,"0000"))</f>
        <v/>
      </c>
    </row>
    <row r="169" customFormat="false" ht="15" hidden="false" customHeight="true" outlineLevel="0" collapsed="false">
      <c r="A169" s="32" t="str">
        <f aca="false">IF(AND(B169="",C169="",D169="",E169="",F169="",G169="",H169="",J169="",L169="",M169="",N169=""),"",Q169)</f>
        <v/>
      </c>
      <c r="B169" s="33"/>
      <c r="C169" s="33"/>
      <c r="D169" s="33"/>
      <c r="E169" s="33"/>
      <c r="F169" s="33"/>
      <c r="G169" s="33"/>
      <c r="H169" s="33"/>
      <c r="I169" s="1" t="str">
        <f aca="false">IF($A170="","",IFERROR(IF(ISBLANK(INDEX(SprintPlanning[Sprint],MATCH($A170,SprintPlanning[Requirement ID],0))),"To Plan",INDEX(SprintPlanning[Sprint],MATCH($A170,SprintPlanning[Requirement ID],0))),"To Plan"))</f>
        <v/>
      </c>
      <c r="J169" s="33"/>
      <c r="K169" s="1" t="str">
        <f aca="false">IFERROR(IF(ISBLANK(INDEX(Release[Release],MATCH($A170,Release[Requirement ID],0))),"",INDEX(Release[Release],MATCH($A170,Release[Requirement ID],0))),"")</f>
        <v/>
      </c>
      <c r="L169" s="33"/>
      <c r="M169" s="33"/>
      <c r="P169" s="1" t="n">
        <f aca="false">IFERROR(VALUE(MID($A169,5,4)),0)</f>
        <v>0</v>
      </c>
      <c r="Q169" s="1" t="str">
        <f aca="false">IF(B169="","","NEW-"&amp;TEXT(MAX($P$2:$P168,Lists!$N$2)+1,"0000"))</f>
        <v/>
      </c>
    </row>
    <row r="170" customFormat="false" ht="15" hidden="false" customHeight="true" outlineLevel="0" collapsed="false">
      <c r="A170" s="32" t="str">
        <f aca="false">IF(AND(B170="",C170="",D170="",E170="",F170="",G170="",H170="",J170="",L170="",M170="",N170=""),"",Q170)</f>
        <v/>
      </c>
      <c r="B170" s="33"/>
      <c r="C170" s="33"/>
      <c r="D170" s="33"/>
      <c r="E170" s="33"/>
      <c r="F170" s="33"/>
      <c r="G170" s="33"/>
      <c r="H170" s="33"/>
      <c r="I170" s="1" t="str">
        <f aca="false">IF($A171="","",IFERROR(IF(ISBLANK(INDEX(SprintPlanning[Sprint],MATCH($A171,SprintPlanning[Requirement ID],0))),"To Plan",INDEX(SprintPlanning[Sprint],MATCH($A171,SprintPlanning[Requirement ID],0))),"To Plan"))</f>
        <v/>
      </c>
      <c r="J170" s="33"/>
      <c r="K170" s="1" t="str">
        <f aca="false">IFERROR(IF(ISBLANK(INDEX(Release[Release],MATCH($A171,Release[Requirement ID],0))),"",INDEX(Release[Release],MATCH($A171,Release[Requirement ID],0))),"")</f>
        <v/>
      </c>
      <c r="L170" s="33"/>
      <c r="M170" s="33"/>
      <c r="P170" s="1" t="n">
        <f aca="false">IFERROR(VALUE(MID($A170,5,4)),0)</f>
        <v>0</v>
      </c>
      <c r="Q170" s="1" t="str">
        <f aca="false">IF(B170="","","NEW-"&amp;TEXT(MAX($P$2:$P169,Lists!$N$2)+1,"0000"))</f>
        <v/>
      </c>
    </row>
    <row r="171" customFormat="false" ht="15" hidden="false" customHeight="true" outlineLevel="0" collapsed="false">
      <c r="A171" s="32" t="str">
        <f aca="false">IF(AND(B171="",C171="",D171="",E171="",F171="",G171="",H171="",J171="",L171="",M171="",N171=""),"",Q171)</f>
        <v/>
      </c>
      <c r="B171" s="33"/>
      <c r="C171" s="33"/>
      <c r="D171" s="33"/>
      <c r="E171" s="33"/>
      <c r="F171" s="33"/>
      <c r="G171" s="33"/>
      <c r="H171" s="33"/>
      <c r="I171" s="1" t="str">
        <f aca="false">IF($A172="","",IFERROR(IF(ISBLANK(INDEX(SprintPlanning[Sprint],MATCH($A172,SprintPlanning[Requirement ID],0))),"To Plan",INDEX(SprintPlanning[Sprint],MATCH($A172,SprintPlanning[Requirement ID],0))),"To Plan"))</f>
        <v/>
      </c>
      <c r="J171" s="33"/>
      <c r="K171" s="1" t="str">
        <f aca="false">IFERROR(IF(ISBLANK(INDEX(Release[Release],MATCH($A172,Release[Requirement ID],0))),"",INDEX(Release[Release],MATCH($A172,Release[Requirement ID],0))),"")</f>
        <v/>
      </c>
      <c r="L171" s="33"/>
      <c r="M171" s="33"/>
      <c r="P171" s="1" t="n">
        <f aca="false">IFERROR(VALUE(MID($A171,5,4)),0)</f>
        <v>0</v>
      </c>
      <c r="Q171" s="1" t="str">
        <f aca="false">IF(B171="","","NEW-"&amp;TEXT(MAX($P$2:$P170,Lists!$N$2)+1,"0000"))</f>
        <v/>
      </c>
    </row>
    <row r="172" customFormat="false" ht="15" hidden="false" customHeight="true" outlineLevel="0" collapsed="false">
      <c r="A172" s="32" t="str">
        <f aca="false">IF(AND(B172="",C172="",D172="",E172="",F172="",G172="",H172="",J172="",L172="",M172="",N172=""),"",Q172)</f>
        <v/>
      </c>
      <c r="B172" s="33"/>
      <c r="C172" s="33"/>
      <c r="D172" s="33"/>
      <c r="E172" s="33"/>
      <c r="F172" s="33"/>
      <c r="G172" s="33"/>
      <c r="H172" s="33"/>
      <c r="I172" s="1" t="str">
        <f aca="false">IF($A173="","",IFERROR(IF(ISBLANK(INDEX(SprintPlanning[Sprint],MATCH($A173,SprintPlanning[Requirement ID],0))),"To Plan",INDEX(SprintPlanning[Sprint],MATCH($A173,SprintPlanning[Requirement ID],0))),"To Plan"))</f>
        <v/>
      </c>
      <c r="J172" s="33"/>
      <c r="K172" s="1" t="str">
        <f aca="false">IFERROR(IF(ISBLANK(INDEX(Release[Release],MATCH($A173,Release[Requirement ID],0))),"",INDEX(Release[Release],MATCH($A173,Release[Requirement ID],0))),"")</f>
        <v/>
      </c>
      <c r="L172" s="33"/>
      <c r="M172" s="33"/>
      <c r="P172" s="1" t="n">
        <f aca="false">IFERROR(VALUE(MID($A172,5,4)),0)</f>
        <v>0</v>
      </c>
      <c r="Q172" s="1" t="str">
        <f aca="false">IF(B172="","","NEW-"&amp;TEXT(MAX($P$2:$P171,Lists!$N$2)+1,"0000"))</f>
        <v/>
      </c>
    </row>
    <row r="173" customFormat="false" ht="15" hidden="false" customHeight="true" outlineLevel="0" collapsed="false">
      <c r="A173" s="32" t="str">
        <f aca="false">IF(AND(B173="",C173="",D173="",E173="",F173="",G173="",H173="",J173="",L173="",M173="",N173=""),"",Q173)</f>
        <v/>
      </c>
      <c r="B173" s="33"/>
      <c r="C173" s="33"/>
      <c r="D173" s="33"/>
      <c r="E173" s="33"/>
      <c r="F173" s="33"/>
      <c r="G173" s="33"/>
      <c r="H173" s="33"/>
      <c r="I173" s="1" t="str">
        <f aca="false">IF($A174="","",IFERROR(IF(ISBLANK(INDEX(SprintPlanning[Sprint],MATCH($A174,SprintPlanning[Requirement ID],0))),"To Plan",INDEX(SprintPlanning[Sprint],MATCH($A174,SprintPlanning[Requirement ID],0))),"To Plan"))</f>
        <v/>
      </c>
      <c r="J173" s="33"/>
      <c r="K173" s="1" t="str">
        <f aca="false">IFERROR(IF(ISBLANK(INDEX(Release[Release],MATCH($A174,Release[Requirement ID],0))),"",INDEX(Release[Release],MATCH($A174,Release[Requirement ID],0))),"")</f>
        <v/>
      </c>
      <c r="L173" s="33"/>
      <c r="M173" s="33"/>
      <c r="P173" s="1" t="n">
        <f aca="false">IFERROR(VALUE(MID($A173,5,4)),0)</f>
        <v>0</v>
      </c>
      <c r="Q173" s="1" t="str">
        <f aca="false">IF(B173="","","NEW-"&amp;TEXT(MAX($P$2:$P172,Lists!$N$2)+1,"0000"))</f>
        <v/>
      </c>
    </row>
    <row r="174" customFormat="false" ht="15" hidden="false" customHeight="true" outlineLevel="0" collapsed="false">
      <c r="A174" s="32" t="str">
        <f aca="false">IF(AND(B174="",C174="",D174="",E174="",F174="",G174="",H174="",J174="",L174="",M174="",N174=""),"",Q174)</f>
        <v/>
      </c>
      <c r="B174" s="33"/>
      <c r="C174" s="33"/>
      <c r="D174" s="33"/>
      <c r="E174" s="33"/>
      <c r="F174" s="33"/>
      <c r="G174" s="33"/>
      <c r="H174" s="33"/>
      <c r="I174" s="1" t="str">
        <f aca="false">IF($A175="","",IFERROR(IF(ISBLANK(INDEX(SprintPlanning[Sprint],MATCH($A175,SprintPlanning[Requirement ID],0))),"To Plan",INDEX(SprintPlanning[Sprint],MATCH($A175,SprintPlanning[Requirement ID],0))),"To Plan"))</f>
        <v/>
      </c>
      <c r="J174" s="33"/>
      <c r="K174" s="1" t="str">
        <f aca="false">IFERROR(IF(ISBLANK(INDEX(Release[Release],MATCH($A175,Release[Requirement ID],0))),"",INDEX(Release[Release],MATCH($A175,Release[Requirement ID],0))),"")</f>
        <v/>
      </c>
      <c r="L174" s="33"/>
      <c r="M174" s="33"/>
      <c r="P174" s="1" t="n">
        <f aca="false">IFERROR(VALUE(MID($A174,5,4)),0)</f>
        <v>0</v>
      </c>
      <c r="Q174" s="1" t="str">
        <f aca="false">IF(B174="","","NEW-"&amp;TEXT(MAX($P$2:$P173,Lists!$N$2)+1,"0000"))</f>
        <v/>
      </c>
    </row>
    <row r="175" customFormat="false" ht="15" hidden="false" customHeight="true" outlineLevel="0" collapsed="false">
      <c r="A175" s="32" t="str">
        <f aca="false">IF(AND(B175="",C175="",D175="",E175="",F175="",G175="",H175="",J175="",L175="",M175="",N175=""),"",Q175)</f>
        <v/>
      </c>
      <c r="B175" s="33"/>
      <c r="C175" s="33"/>
      <c r="D175" s="33"/>
      <c r="E175" s="33"/>
      <c r="F175" s="33"/>
      <c r="G175" s="33"/>
      <c r="H175" s="33"/>
      <c r="I175" s="1" t="str">
        <f aca="false">IF($A176="","",IFERROR(IF(ISBLANK(INDEX(SprintPlanning[Sprint],MATCH($A176,SprintPlanning[Requirement ID],0))),"To Plan",INDEX(SprintPlanning[Sprint],MATCH($A176,SprintPlanning[Requirement ID],0))),"To Plan"))</f>
        <v/>
      </c>
      <c r="J175" s="33"/>
      <c r="K175" s="1" t="str">
        <f aca="false">IFERROR(IF(ISBLANK(INDEX(Release[Release],MATCH($A176,Release[Requirement ID],0))),"",INDEX(Release[Release],MATCH($A176,Release[Requirement ID],0))),"")</f>
        <v/>
      </c>
      <c r="L175" s="33"/>
      <c r="M175" s="33"/>
      <c r="P175" s="1" t="n">
        <f aca="false">IFERROR(VALUE(MID($A175,5,4)),0)</f>
        <v>0</v>
      </c>
      <c r="Q175" s="1" t="str">
        <f aca="false">IF(B175="","","NEW-"&amp;TEXT(MAX($P$2:$P174,Lists!$N$2)+1,"0000"))</f>
        <v/>
      </c>
    </row>
    <row r="176" customFormat="false" ht="15" hidden="false" customHeight="true" outlineLevel="0" collapsed="false">
      <c r="A176" s="32" t="str">
        <f aca="false">IF(AND(B176="",C176="",D176="",E176="",F176="",G176="",H176="",J176="",L176="",M176="",N176=""),"",Q176)</f>
        <v/>
      </c>
      <c r="B176" s="33"/>
      <c r="C176" s="33"/>
      <c r="D176" s="33"/>
      <c r="E176" s="33"/>
      <c r="F176" s="33"/>
      <c r="G176" s="33"/>
      <c r="H176" s="33"/>
      <c r="I176" s="1" t="str">
        <f aca="false">IF($A177="","",IFERROR(IF(ISBLANK(INDEX(SprintPlanning[Sprint],MATCH($A177,SprintPlanning[Requirement ID],0))),"To Plan",INDEX(SprintPlanning[Sprint],MATCH($A177,SprintPlanning[Requirement ID],0))),"To Plan"))</f>
        <v/>
      </c>
      <c r="J176" s="33"/>
      <c r="K176" s="1" t="str">
        <f aca="false">IFERROR(IF(ISBLANK(INDEX(Release[Release],MATCH($A177,Release[Requirement ID],0))),"",INDEX(Release[Release],MATCH($A177,Release[Requirement ID],0))),"")</f>
        <v/>
      </c>
      <c r="L176" s="33"/>
      <c r="M176" s="33"/>
      <c r="P176" s="1" t="n">
        <f aca="false">IFERROR(VALUE(MID($A176,5,4)),0)</f>
        <v>0</v>
      </c>
      <c r="Q176" s="1" t="str">
        <f aca="false">IF(B176="","","NEW-"&amp;TEXT(MAX($P$2:$P175,Lists!$N$2)+1,"0000"))</f>
        <v/>
      </c>
    </row>
    <row r="177" customFormat="false" ht="15" hidden="false" customHeight="true" outlineLevel="0" collapsed="false">
      <c r="A177" s="32" t="str">
        <f aca="false">IF(AND(B177="",C177="",D177="",E177="",F177="",G177="",H177="",J177="",L177="",M177="",N177=""),"",Q177)</f>
        <v/>
      </c>
      <c r="B177" s="33"/>
      <c r="C177" s="33"/>
      <c r="D177" s="33"/>
      <c r="E177" s="33"/>
      <c r="F177" s="33"/>
      <c r="G177" s="33"/>
      <c r="H177" s="33"/>
      <c r="I177" s="1" t="str">
        <f aca="false">IF($A178="","",IFERROR(IF(ISBLANK(INDEX(SprintPlanning[Sprint],MATCH($A178,SprintPlanning[Requirement ID],0))),"To Plan",INDEX(SprintPlanning[Sprint],MATCH($A178,SprintPlanning[Requirement ID],0))),"To Plan"))</f>
        <v/>
      </c>
      <c r="J177" s="33"/>
      <c r="K177" s="1" t="str">
        <f aca="false">IFERROR(IF(ISBLANK(INDEX(Release[Release],MATCH($A178,Release[Requirement ID],0))),"",INDEX(Release[Release],MATCH($A178,Release[Requirement ID],0))),"")</f>
        <v/>
      </c>
      <c r="L177" s="33"/>
      <c r="M177" s="33"/>
      <c r="P177" s="1" t="n">
        <f aca="false">IFERROR(VALUE(MID($A177,5,4)),0)</f>
        <v>0</v>
      </c>
      <c r="Q177" s="1" t="str">
        <f aca="false">IF(B177="","","NEW-"&amp;TEXT(MAX($P$2:$P176,Lists!$N$2)+1,"0000"))</f>
        <v/>
      </c>
    </row>
    <row r="178" customFormat="false" ht="15" hidden="false" customHeight="true" outlineLevel="0" collapsed="false">
      <c r="A178" s="32" t="str">
        <f aca="false">IF(AND(B178="",C178="",D178="",E178="",F178="",G178="",H178="",J178="",L178="",M178="",N178=""),"",Q178)</f>
        <v/>
      </c>
      <c r="B178" s="33"/>
      <c r="C178" s="33"/>
      <c r="D178" s="33"/>
      <c r="E178" s="33"/>
      <c r="F178" s="33"/>
      <c r="G178" s="33"/>
      <c r="H178" s="33"/>
      <c r="I178" s="1" t="str">
        <f aca="false">IF($A179="","",IFERROR(IF(ISBLANK(INDEX(SprintPlanning[Sprint],MATCH($A179,SprintPlanning[Requirement ID],0))),"To Plan",INDEX(SprintPlanning[Sprint],MATCH($A179,SprintPlanning[Requirement ID],0))),"To Plan"))</f>
        <v/>
      </c>
      <c r="J178" s="33"/>
      <c r="K178" s="1" t="str">
        <f aca="false">IFERROR(IF(ISBLANK(INDEX(Release[Release],MATCH($A179,Release[Requirement ID],0))),"",INDEX(Release[Release],MATCH($A179,Release[Requirement ID],0))),"")</f>
        <v/>
      </c>
      <c r="L178" s="33"/>
      <c r="M178" s="33"/>
      <c r="P178" s="1" t="n">
        <f aca="false">IFERROR(VALUE(MID($A178,5,4)),0)</f>
        <v>0</v>
      </c>
      <c r="Q178" s="1" t="str">
        <f aca="false">IF(B178="","","NEW-"&amp;TEXT(MAX($P$2:$P177,Lists!$N$2)+1,"0000"))</f>
        <v/>
      </c>
    </row>
    <row r="179" customFormat="false" ht="15" hidden="false" customHeight="true" outlineLevel="0" collapsed="false">
      <c r="A179" s="32" t="str">
        <f aca="false">IF(AND(B179="",C179="",D179="",E179="",F179="",G179="",H179="",J179="",L179="",M179="",N179=""),"",Q179)</f>
        <v/>
      </c>
      <c r="B179" s="33"/>
      <c r="C179" s="33"/>
      <c r="D179" s="33"/>
      <c r="E179" s="33"/>
      <c r="F179" s="33"/>
      <c r="G179" s="33"/>
      <c r="H179" s="33"/>
      <c r="I179" s="1" t="str">
        <f aca="false">IF($A180="","",IFERROR(IF(ISBLANK(INDEX(SprintPlanning[Sprint],MATCH($A180,SprintPlanning[Requirement ID],0))),"To Plan",INDEX(SprintPlanning[Sprint],MATCH($A180,SprintPlanning[Requirement ID],0))),"To Plan"))</f>
        <v/>
      </c>
      <c r="J179" s="33"/>
      <c r="K179" s="1" t="str">
        <f aca="false">IFERROR(IF(ISBLANK(INDEX(Release[Release],MATCH($A180,Release[Requirement ID],0))),"",INDEX(Release[Release],MATCH($A180,Release[Requirement ID],0))),"")</f>
        <v/>
      </c>
      <c r="L179" s="33"/>
      <c r="M179" s="33"/>
      <c r="P179" s="1" t="n">
        <f aca="false">IFERROR(VALUE(MID($A179,5,4)),0)</f>
        <v>0</v>
      </c>
      <c r="Q179" s="1" t="str">
        <f aca="false">IF(B179="","","NEW-"&amp;TEXT(MAX($P$2:$P178,Lists!$N$2)+1,"0000"))</f>
        <v/>
      </c>
    </row>
    <row r="180" customFormat="false" ht="15" hidden="false" customHeight="true" outlineLevel="0" collapsed="false">
      <c r="A180" s="32" t="str">
        <f aca="false">IF(AND(B180="",C180="",D180="",E180="",F180="",G180="",H180="",J180="",L180="",M180="",N180=""),"",Q180)</f>
        <v/>
      </c>
      <c r="B180" s="33"/>
      <c r="C180" s="33"/>
      <c r="D180" s="33"/>
      <c r="E180" s="33"/>
      <c r="F180" s="33"/>
      <c r="G180" s="33"/>
      <c r="H180" s="33"/>
      <c r="I180" s="1" t="str">
        <f aca="false">IF($A181="","",IFERROR(IF(ISBLANK(INDEX(SprintPlanning[Sprint],MATCH($A181,SprintPlanning[Requirement ID],0))),"To Plan",INDEX(SprintPlanning[Sprint],MATCH($A181,SprintPlanning[Requirement ID],0))),"To Plan"))</f>
        <v/>
      </c>
      <c r="J180" s="33"/>
      <c r="K180" s="1" t="str">
        <f aca="false">IFERROR(IF(ISBLANK(INDEX(Release[Release],MATCH($A181,Release[Requirement ID],0))),"",INDEX(Release[Release],MATCH($A181,Release[Requirement ID],0))),"")</f>
        <v/>
      </c>
      <c r="L180" s="33"/>
      <c r="M180" s="33"/>
      <c r="P180" s="1" t="n">
        <f aca="false">IFERROR(VALUE(MID($A180,5,4)),0)</f>
        <v>0</v>
      </c>
      <c r="Q180" s="1" t="str">
        <f aca="false">IF(B180="","","NEW-"&amp;TEXT(MAX($P$2:$P179,Lists!$N$2)+1,"0000"))</f>
        <v/>
      </c>
    </row>
    <row r="181" customFormat="false" ht="15" hidden="false" customHeight="true" outlineLevel="0" collapsed="false">
      <c r="A181" s="32" t="str">
        <f aca="false">IF(AND(B181="",C181="",D181="",E181="",F181="",G181="",H181="",J181="",L181="",M181="",N181=""),"",Q181)</f>
        <v/>
      </c>
      <c r="B181" s="33"/>
      <c r="C181" s="33"/>
      <c r="D181" s="33"/>
      <c r="E181" s="33"/>
      <c r="F181" s="33"/>
      <c r="G181" s="33"/>
      <c r="H181" s="33"/>
      <c r="I181" s="1" t="str">
        <f aca="false">IF($A182="","",IFERROR(IF(ISBLANK(INDEX(SprintPlanning[Sprint],MATCH($A182,SprintPlanning[Requirement ID],0))),"To Plan",INDEX(SprintPlanning[Sprint],MATCH($A182,SprintPlanning[Requirement ID],0))),"To Plan"))</f>
        <v/>
      </c>
      <c r="J181" s="33"/>
      <c r="K181" s="1" t="str">
        <f aca="false">IFERROR(IF(ISBLANK(INDEX(Release[Release],MATCH($A182,Release[Requirement ID],0))),"",INDEX(Release[Release],MATCH($A182,Release[Requirement ID],0))),"")</f>
        <v/>
      </c>
      <c r="L181" s="33"/>
      <c r="M181" s="33"/>
      <c r="P181" s="1" t="n">
        <f aca="false">IFERROR(VALUE(MID($A181,5,4)),0)</f>
        <v>0</v>
      </c>
      <c r="Q181" s="1" t="str">
        <f aca="false">IF(B181="","","NEW-"&amp;TEXT(MAX($P$2:$P180,Lists!$N$2)+1,"0000"))</f>
        <v/>
      </c>
    </row>
    <row r="182" customFormat="false" ht="15" hidden="false" customHeight="true" outlineLevel="0" collapsed="false">
      <c r="A182" s="32" t="str">
        <f aca="false">IF(AND(B182="",C182="",D182="",E182="",F182="",G182="",H182="",J182="",L182="",M182="",N182=""),"",Q182)</f>
        <v/>
      </c>
      <c r="B182" s="33"/>
      <c r="C182" s="33"/>
      <c r="D182" s="33"/>
      <c r="E182" s="33"/>
      <c r="F182" s="33"/>
      <c r="G182" s="33"/>
      <c r="H182" s="33"/>
      <c r="I182" s="1" t="str">
        <f aca="false">IF($A183="","",IFERROR(IF(ISBLANK(INDEX(SprintPlanning[Sprint],MATCH($A183,SprintPlanning[Requirement ID],0))),"To Plan",INDEX(SprintPlanning[Sprint],MATCH($A183,SprintPlanning[Requirement ID],0))),"To Plan"))</f>
        <v/>
      </c>
      <c r="J182" s="33"/>
      <c r="K182" s="1" t="str">
        <f aca="false">IFERROR(IF(ISBLANK(INDEX(Release[Release],MATCH($A183,Release[Requirement ID],0))),"",INDEX(Release[Release],MATCH($A183,Release[Requirement ID],0))),"")</f>
        <v/>
      </c>
      <c r="L182" s="33"/>
      <c r="M182" s="33"/>
      <c r="P182" s="1" t="n">
        <f aca="false">IFERROR(VALUE(MID($A182,5,4)),0)</f>
        <v>0</v>
      </c>
      <c r="Q182" s="1" t="str">
        <f aca="false">IF(B182="","","NEW-"&amp;TEXT(MAX($P$2:$P181,Lists!$N$2)+1,"0000"))</f>
        <v/>
      </c>
    </row>
    <row r="183" customFormat="false" ht="15" hidden="false" customHeight="true" outlineLevel="0" collapsed="false">
      <c r="A183" s="32" t="str">
        <f aca="false">IF(AND(B183="",C183="",D183="",E183="",F183="",G183="",H183="",J183="",L183="",M183="",N183=""),"",Q183)</f>
        <v/>
      </c>
      <c r="B183" s="33"/>
      <c r="C183" s="33"/>
      <c r="D183" s="33"/>
      <c r="E183" s="33"/>
      <c r="F183" s="33"/>
      <c r="G183" s="33"/>
      <c r="H183" s="33"/>
      <c r="I183" s="1" t="str">
        <f aca="false">IF($A184="","",IFERROR(IF(ISBLANK(INDEX(SprintPlanning[Sprint],MATCH($A184,SprintPlanning[Requirement ID],0))),"To Plan",INDEX(SprintPlanning[Sprint],MATCH($A184,SprintPlanning[Requirement ID],0))),"To Plan"))</f>
        <v/>
      </c>
      <c r="J183" s="33"/>
      <c r="K183" s="1" t="str">
        <f aca="false">IFERROR(IF(ISBLANK(INDEX(Release[Release],MATCH($A184,Release[Requirement ID],0))),"",INDEX(Release[Release],MATCH($A184,Release[Requirement ID],0))),"")</f>
        <v/>
      </c>
      <c r="L183" s="33"/>
      <c r="M183" s="33"/>
      <c r="P183" s="1" t="n">
        <f aca="false">IFERROR(VALUE(MID($A183,5,4)),0)</f>
        <v>0</v>
      </c>
      <c r="Q183" s="1" t="str">
        <f aca="false">IF(B183="","","NEW-"&amp;TEXT(MAX($P$2:$P182,Lists!$N$2)+1,"0000"))</f>
        <v/>
      </c>
    </row>
    <row r="184" customFormat="false" ht="15" hidden="false" customHeight="true" outlineLevel="0" collapsed="false">
      <c r="A184" s="32" t="str">
        <f aca="false">IF(AND(B184="",C184="",D184="",E184="",F184="",G184="",H184="",J184="",L184="",M184="",N184=""),"",Q184)</f>
        <v/>
      </c>
      <c r="B184" s="33"/>
      <c r="C184" s="33"/>
      <c r="D184" s="33"/>
      <c r="E184" s="33"/>
      <c r="F184" s="33"/>
      <c r="G184" s="33"/>
      <c r="H184" s="33"/>
      <c r="I184" s="1" t="str">
        <f aca="false">IF($A185="","",IFERROR(IF(ISBLANK(INDEX(SprintPlanning[Sprint],MATCH($A185,SprintPlanning[Requirement ID],0))),"To Plan",INDEX(SprintPlanning[Sprint],MATCH($A185,SprintPlanning[Requirement ID],0))),"To Plan"))</f>
        <v/>
      </c>
      <c r="J184" s="33"/>
      <c r="K184" s="1" t="str">
        <f aca="false">IFERROR(IF(ISBLANK(INDEX(Release[Release],MATCH($A185,Release[Requirement ID],0))),"",INDEX(Release[Release],MATCH($A185,Release[Requirement ID],0))),"")</f>
        <v/>
      </c>
      <c r="L184" s="33"/>
      <c r="M184" s="33"/>
      <c r="P184" s="1" t="n">
        <f aca="false">IFERROR(VALUE(MID($A184,5,4)),0)</f>
        <v>0</v>
      </c>
      <c r="Q184" s="1" t="str">
        <f aca="false">IF(B184="","","NEW-"&amp;TEXT(MAX($P$2:$P183,Lists!$N$2)+1,"0000"))</f>
        <v/>
      </c>
    </row>
    <row r="185" customFormat="false" ht="15" hidden="false" customHeight="true" outlineLevel="0" collapsed="false">
      <c r="A185" s="32" t="str">
        <f aca="false">IF(AND(B185="",C185="",D185="",E185="",F185="",G185="",H185="",J185="",L185="",M185="",N185=""),"",Q185)</f>
        <v/>
      </c>
      <c r="B185" s="33"/>
      <c r="C185" s="33"/>
      <c r="D185" s="33"/>
      <c r="E185" s="33"/>
      <c r="F185" s="33"/>
      <c r="G185" s="33"/>
      <c r="H185" s="33"/>
      <c r="I185" s="1" t="str">
        <f aca="false">IF($A186="","",IFERROR(IF(ISBLANK(INDEX(SprintPlanning[Sprint],MATCH($A186,SprintPlanning[Requirement ID],0))),"To Plan",INDEX(SprintPlanning[Sprint],MATCH($A186,SprintPlanning[Requirement ID],0))),"To Plan"))</f>
        <v/>
      </c>
      <c r="J185" s="33"/>
      <c r="K185" s="1" t="str">
        <f aca="false">IFERROR(IF(ISBLANK(INDEX(Release[Release],MATCH($A186,Release[Requirement ID],0))),"",INDEX(Release[Release],MATCH($A186,Release[Requirement ID],0))),"")</f>
        <v/>
      </c>
      <c r="L185" s="33"/>
      <c r="M185" s="33"/>
      <c r="P185" s="1" t="n">
        <f aca="false">IFERROR(VALUE(MID($A185,5,4)),0)</f>
        <v>0</v>
      </c>
      <c r="Q185" s="1" t="str">
        <f aca="false">IF(B185="","","NEW-"&amp;TEXT(MAX($P$2:$P184,Lists!$N$2)+1,"0000"))</f>
        <v/>
      </c>
    </row>
    <row r="186" customFormat="false" ht="15" hidden="false" customHeight="true" outlineLevel="0" collapsed="false">
      <c r="A186" s="32" t="str">
        <f aca="false">IF(AND(B186="",C186="",D186="",E186="",F186="",G186="",H186="",J186="",L186="",M186="",N186=""),"",Q186)</f>
        <v/>
      </c>
      <c r="B186" s="33"/>
      <c r="C186" s="33"/>
      <c r="D186" s="33"/>
      <c r="E186" s="33"/>
      <c r="F186" s="33"/>
      <c r="G186" s="33"/>
      <c r="H186" s="33"/>
      <c r="I186" s="1" t="str">
        <f aca="false">IF($A187="","",IFERROR(IF(ISBLANK(INDEX(SprintPlanning[Sprint],MATCH($A187,SprintPlanning[Requirement ID],0))),"To Plan",INDEX(SprintPlanning[Sprint],MATCH($A187,SprintPlanning[Requirement ID],0))),"To Plan"))</f>
        <v/>
      </c>
      <c r="J186" s="33"/>
      <c r="K186" s="1" t="str">
        <f aca="false">IFERROR(IF(ISBLANK(INDEX(Release[Release],MATCH($A187,Release[Requirement ID],0))),"",INDEX(Release[Release],MATCH($A187,Release[Requirement ID],0))),"")</f>
        <v/>
      </c>
      <c r="L186" s="33"/>
      <c r="M186" s="33"/>
      <c r="P186" s="1" t="n">
        <f aca="false">IFERROR(VALUE(MID($A186,5,4)),0)</f>
        <v>0</v>
      </c>
      <c r="Q186" s="1" t="str">
        <f aca="false">IF(B186="","","NEW-"&amp;TEXT(MAX($P$2:$P185,Lists!$N$2)+1,"0000"))</f>
        <v/>
      </c>
    </row>
    <row r="187" customFormat="false" ht="15" hidden="false" customHeight="true" outlineLevel="0" collapsed="false">
      <c r="A187" s="32" t="str">
        <f aca="false">IF(AND(B187="",C187="",D187="",E187="",F187="",G187="",H187="",J187="",L187="",M187="",N187=""),"",Q187)</f>
        <v/>
      </c>
      <c r="B187" s="33"/>
      <c r="C187" s="33"/>
      <c r="D187" s="33"/>
      <c r="E187" s="33"/>
      <c r="F187" s="33"/>
      <c r="G187" s="33"/>
      <c r="H187" s="33"/>
      <c r="I187" s="1" t="str">
        <f aca="false">IF($A188="","",IFERROR(IF(ISBLANK(INDEX(SprintPlanning[Sprint],MATCH($A188,SprintPlanning[Requirement ID],0))),"To Plan",INDEX(SprintPlanning[Sprint],MATCH($A188,SprintPlanning[Requirement ID],0))),"To Plan"))</f>
        <v/>
      </c>
      <c r="J187" s="33"/>
      <c r="K187" s="1" t="str">
        <f aca="false">IFERROR(IF(ISBLANK(INDEX(Release[Release],MATCH($A188,Release[Requirement ID],0))),"",INDEX(Release[Release],MATCH($A188,Release[Requirement ID],0))),"")</f>
        <v/>
      </c>
      <c r="L187" s="33"/>
      <c r="M187" s="33"/>
      <c r="P187" s="1" t="n">
        <f aca="false">IFERROR(VALUE(MID($A187,5,4)),0)</f>
        <v>0</v>
      </c>
      <c r="Q187" s="1" t="str">
        <f aca="false">IF(B187="","","NEW-"&amp;TEXT(MAX($P$2:$P186,Lists!$N$2)+1,"0000"))</f>
        <v/>
      </c>
    </row>
    <row r="188" customFormat="false" ht="15" hidden="false" customHeight="true" outlineLevel="0" collapsed="false">
      <c r="A188" s="32" t="str">
        <f aca="false">IF(AND(B188="",C188="",D188="",E188="",F188="",G188="",H188="",J188="",L188="",M188="",N188=""),"",Q188)</f>
        <v/>
      </c>
      <c r="B188" s="33"/>
      <c r="C188" s="33"/>
      <c r="D188" s="33"/>
      <c r="E188" s="33"/>
      <c r="F188" s="33"/>
      <c r="G188" s="33"/>
      <c r="H188" s="33"/>
      <c r="I188" s="1" t="str">
        <f aca="false">IF($A189="","",IFERROR(IF(ISBLANK(INDEX(SprintPlanning[Sprint],MATCH($A189,SprintPlanning[Requirement ID],0))),"To Plan",INDEX(SprintPlanning[Sprint],MATCH($A189,SprintPlanning[Requirement ID],0))),"To Plan"))</f>
        <v/>
      </c>
      <c r="J188" s="33"/>
      <c r="K188" s="1" t="str">
        <f aca="false">IFERROR(IF(ISBLANK(INDEX(Release[Release],MATCH($A189,Release[Requirement ID],0))),"",INDEX(Release[Release],MATCH($A189,Release[Requirement ID],0))),"")</f>
        <v/>
      </c>
      <c r="L188" s="33"/>
      <c r="M188" s="33"/>
      <c r="P188" s="1" t="n">
        <f aca="false">IFERROR(VALUE(MID($A188,5,4)),0)</f>
        <v>0</v>
      </c>
      <c r="Q188" s="1" t="str">
        <f aca="false">IF(B188="","","NEW-"&amp;TEXT(MAX($P$2:$P187,Lists!$N$2)+1,"0000"))</f>
        <v/>
      </c>
    </row>
    <row r="189" customFormat="false" ht="15" hidden="false" customHeight="true" outlineLevel="0" collapsed="false">
      <c r="A189" s="32" t="str">
        <f aca="false">IF(AND(B189="",C189="",D189="",E189="",F189="",G189="",H189="",J189="",L189="",M189="",N189=""),"",Q189)</f>
        <v/>
      </c>
      <c r="B189" s="33"/>
      <c r="C189" s="33"/>
      <c r="D189" s="33"/>
      <c r="E189" s="33"/>
      <c r="F189" s="33"/>
      <c r="G189" s="33"/>
      <c r="H189" s="33"/>
      <c r="I189" s="1" t="str">
        <f aca="false">IF($A190="","",IFERROR(IF(ISBLANK(INDEX(SprintPlanning[Sprint],MATCH($A190,SprintPlanning[Requirement ID],0))),"To Plan",INDEX(SprintPlanning[Sprint],MATCH($A190,SprintPlanning[Requirement ID],0))),"To Plan"))</f>
        <v/>
      </c>
      <c r="J189" s="33"/>
      <c r="K189" s="1" t="str">
        <f aca="false">IFERROR(IF(ISBLANK(INDEX(Release[Release],MATCH($A190,Release[Requirement ID],0))),"",INDEX(Release[Release],MATCH($A190,Release[Requirement ID],0))),"")</f>
        <v/>
      </c>
      <c r="L189" s="33"/>
      <c r="M189" s="33"/>
      <c r="P189" s="1" t="n">
        <f aca="false">IFERROR(VALUE(MID($A189,5,4)),0)</f>
        <v>0</v>
      </c>
      <c r="Q189" s="1" t="str">
        <f aca="false">IF(B189="","","NEW-"&amp;TEXT(MAX($P$2:$P188,Lists!$N$2)+1,"0000"))</f>
        <v/>
      </c>
    </row>
    <row r="190" customFormat="false" ht="15" hidden="false" customHeight="true" outlineLevel="0" collapsed="false">
      <c r="A190" s="32" t="str">
        <f aca="false">IF(AND(B190="",C190="",D190="",E190="",F190="",G190="",H190="",J190="",L190="",M190="",N190=""),"",Q190)</f>
        <v/>
      </c>
      <c r="B190" s="33"/>
      <c r="C190" s="33"/>
      <c r="D190" s="33"/>
      <c r="E190" s="33"/>
      <c r="F190" s="33"/>
      <c r="G190" s="33"/>
      <c r="H190" s="33"/>
      <c r="I190" s="1" t="str">
        <f aca="false">IF($A191="","",IFERROR(IF(ISBLANK(INDEX(SprintPlanning[Sprint],MATCH($A191,SprintPlanning[Requirement ID],0))),"To Plan",INDEX(SprintPlanning[Sprint],MATCH($A191,SprintPlanning[Requirement ID],0))),"To Plan"))</f>
        <v/>
      </c>
      <c r="J190" s="33"/>
      <c r="K190" s="1" t="str">
        <f aca="false">IFERROR(IF(ISBLANK(INDEX(Release[Release],MATCH($A191,Release[Requirement ID],0))),"",INDEX(Release[Release],MATCH($A191,Release[Requirement ID],0))),"")</f>
        <v/>
      </c>
      <c r="L190" s="33"/>
      <c r="M190" s="33"/>
      <c r="P190" s="1" t="n">
        <f aca="false">IFERROR(VALUE(MID($A190,5,4)),0)</f>
        <v>0</v>
      </c>
      <c r="Q190" s="1" t="str">
        <f aca="false">IF(B190="","","NEW-"&amp;TEXT(MAX($P$2:$P189,Lists!$N$2)+1,"0000"))</f>
        <v/>
      </c>
    </row>
    <row r="191" customFormat="false" ht="15" hidden="false" customHeight="true" outlineLevel="0" collapsed="false">
      <c r="A191" s="32" t="str">
        <f aca="false">IF(AND(B191="",C191="",D191="",E191="",F191="",G191="",H191="",J191="",L191="",M191="",N191=""),"",Q191)</f>
        <v/>
      </c>
      <c r="B191" s="33"/>
      <c r="C191" s="33"/>
      <c r="D191" s="33"/>
      <c r="E191" s="33"/>
      <c r="F191" s="33"/>
      <c r="G191" s="33"/>
      <c r="H191" s="33"/>
      <c r="I191" s="1" t="str">
        <f aca="false">IF($A192="","",IFERROR(IF(ISBLANK(INDEX(SprintPlanning[Sprint],MATCH($A192,SprintPlanning[Requirement ID],0))),"To Plan",INDEX(SprintPlanning[Sprint],MATCH($A192,SprintPlanning[Requirement ID],0))),"To Plan"))</f>
        <v/>
      </c>
      <c r="J191" s="33"/>
      <c r="K191" s="1" t="str">
        <f aca="false">IFERROR(IF(ISBLANK(INDEX(Release[Release],MATCH($A192,Release[Requirement ID],0))),"",INDEX(Release[Release],MATCH($A192,Release[Requirement ID],0))),"")</f>
        <v/>
      </c>
      <c r="L191" s="33"/>
      <c r="M191" s="33"/>
      <c r="P191" s="1" t="n">
        <f aca="false">IFERROR(VALUE(MID($A191,5,4)),0)</f>
        <v>0</v>
      </c>
      <c r="Q191" s="1" t="str">
        <f aca="false">IF(B191="","","NEW-"&amp;TEXT(MAX($P$2:$P190,Lists!$N$2)+1,"0000"))</f>
        <v/>
      </c>
    </row>
    <row r="192" customFormat="false" ht="15" hidden="false" customHeight="true" outlineLevel="0" collapsed="false">
      <c r="A192" s="32" t="str">
        <f aca="false">IF(AND(B192="",C192="",D192="",E192="",F192="",G192="",H192="",J192="",L192="",M192="",N192=""),"",Q192)</f>
        <v/>
      </c>
      <c r="B192" s="33"/>
      <c r="C192" s="33"/>
      <c r="D192" s="33"/>
      <c r="E192" s="33"/>
      <c r="F192" s="33"/>
      <c r="G192" s="33"/>
      <c r="H192" s="33"/>
      <c r="I192" s="1" t="str">
        <f aca="false">IF($A193="","",IFERROR(IF(ISBLANK(INDEX(SprintPlanning[Sprint],MATCH($A193,SprintPlanning[Requirement ID],0))),"To Plan",INDEX(SprintPlanning[Sprint],MATCH($A193,SprintPlanning[Requirement ID],0))),"To Plan"))</f>
        <v/>
      </c>
      <c r="J192" s="33"/>
      <c r="K192" s="1" t="str">
        <f aca="false">IFERROR(IF(ISBLANK(INDEX(Release[Release],MATCH($A193,Release[Requirement ID],0))),"",INDEX(Release[Release],MATCH($A193,Release[Requirement ID],0))),"")</f>
        <v/>
      </c>
      <c r="L192" s="33"/>
      <c r="M192" s="33"/>
      <c r="P192" s="1" t="n">
        <f aca="false">IFERROR(VALUE(MID($A192,5,4)),0)</f>
        <v>0</v>
      </c>
      <c r="Q192" s="1" t="str">
        <f aca="false">IF(B192="","","NEW-"&amp;TEXT(MAX($P$2:$P191,Lists!$N$2)+1,"0000"))</f>
        <v/>
      </c>
    </row>
    <row r="193" customFormat="false" ht="15" hidden="false" customHeight="true" outlineLevel="0" collapsed="false">
      <c r="A193" s="32" t="str">
        <f aca="false">IF(AND(B193="",C193="",D193="",E193="",F193="",G193="",H193="",J193="",L193="",M193="",N193=""),"",Q193)</f>
        <v/>
      </c>
      <c r="B193" s="33"/>
      <c r="C193" s="33"/>
      <c r="D193" s="33"/>
      <c r="E193" s="33"/>
      <c r="F193" s="33"/>
      <c r="G193" s="33"/>
      <c r="H193" s="33"/>
      <c r="I193" s="1" t="str">
        <f aca="false">IF($A194="","",IFERROR(IF(ISBLANK(INDEX(SprintPlanning[Sprint],MATCH($A194,SprintPlanning[Requirement ID],0))),"To Plan",INDEX(SprintPlanning[Sprint],MATCH($A194,SprintPlanning[Requirement ID],0))),"To Plan"))</f>
        <v/>
      </c>
      <c r="J193" s="33"/>
      <c r="K193" s="1" t="str">
        <f aca="false">IFERROR(IF(ISBLANK(INDEX(Release[Release],MATCH($A194,Release[Requirement ID],0))),"",INDEX(Release[Release],MATCH($A194,Release[Requirement ID],0))),"")</f>
        <v/>
      </c>
      <c r="L193" s="33"/>
      <c r="M193" s="33"/>
      <c r="P193" s="1" t="n">
        <f aca="false">IFERROR(VALUE(MID($A193,5,4)),0)</f>
        <v>0</v>
      </c>
      <c r="Q193" s="1" t="str">
        <f aca="false">IF(B193="","","NEW-"&amp;TEXT(MAX($P$2:$P192,Lists!$N$2)+1,"0000"))</f>
        <v/>
      </c>
    </row>
    <row r="194" customFormat="false" ht="15" hidden="false" customHeight="true" outlineLevel="0" collapsed="false">
      <c r="A194" s="32" t="str">
        <f aca="false">IF(AND(B194="",C194="",D194="",E194="",F194="",G194="",H194="",J194="",L194="",M194="",N194=""),"",Q194)</f>
        <v/>
      </c>
      <c r="B194" s="33"/>
      <c r="C194" s="33"/>
      <c r="D194" s="33"/>
      <c r="E194" s="33"/>
      <c r="F194" s="33"/>
      <c r="G194" s="33"/>
      <c r="H194" s="33"/>
      <c r="I194" s="1" t="str">
        <f aca="false">IF($A195="","",IFERROR(IF(ISBLANK(INDEX(SprintPlanning[Sprint],MATCH($A195,SprintPlanning[Requirement ID],0))),"To Plan",INDEX(SprintPlanning[Sprint],MATCH($A195,SprintPlanning[Requirement ID],0))),"To Plan"))</f>
        <v/>
      </c>
      <c r="J194" s="33"/>
      <c r="K194" s="1" t="str">
        <f aca="false">IFERROR(IF(ISBLANK(INDEX(Release[Release],MATCH($A195,Release[Requirement ID],0))),"",INDEX(Release[Release],MATCH($A195,Release[Requirement ID],0))),"")</f>
        <v/>
      </c>
      <c r="L194" s="33"/>
      <c r="M194" s="33"/>
      <c r="P194" s="1" t="n">
        <f aca="false">IFERROR(VALUE(MID($A194,5,4)),0)</f>
        <v>0</v>
      </c>
      <c r="Q194" s="1" t="str">
        <f aca="false">IF(B194="","","NEW-"&amp;TEXT(MAX($P$2:$P193,Lists!$N$2)+1,"0000"))</f>
        <v/>
      </c>
    </row>
    <row r="195" customFormat="false" ht="15" hidden="false" customHeight="true" outlineLevel="0" collapsed="false">
      <c r="A195" s="32" t="str">
        <f aca="false">IF(AND(B195="",C195="",D195="",E195="",F195="",G195="",H195="",J195="",L195="",M195="",N195=""),"",Q195)</f>
        <v/>
      </c>
      <c r="B195" s="33"/>
      <c r="C195" s="33"/>
      <c r="D195" s="33"/>
      <c r="E195" s="33"/>
      <c r="F195" s="33"/>
      <c r="G195" s="33"/>
      <c r="H195" s="33"/>
      <c r="I195" s="1" t="str">
        <f aca="false">IF($A196="","",IFERROR(IF(ISBLANK(INDEX(SprintPlanning[Sprint],MATCH($A196,SprintPlanning[Requirement ID],0))),"To Plan",INDEX(SprintPlanning[Sprint],MATCH($A196,SprintPlanning[Requirement ID],0))),"To Plan"))</f>
        <v/>
      </c>
      <c r="J195" s="33"/>
      <c r="K195" s="1" t="str">
        <f aca="false">IFERROR(IF(ISBLANK(INDEX(Release[Release],MATCH($A196,Release[Requirement ID],0))),"",INDEX(Release[Release],MATCH($A196,Release[Requirement ID],0))),"")</f>
        <v/>
      </c>
      <c r="L195" s="33"/>
      <c r="M195" s="33"/>
      <c r="P195" s="1" t="n">
        <f aca="false">IFERROR(VALUE(MID($A195,5,4)),0)</f>
        <v>0</v>
      </c>
      <c r="Q195" s="1" t="str">
        <f aca="false">IF(B195="","","NEW-"&amp;TEXT(MAX($P$2:$P194,Lists!$N$2)+1,"0000"))</f>
        <v/>
      </c>
    </row>
    <row r="196" customFormat="false" ht="15" hidden="false" customHeight="true" outlineLevel="0" collapsed="false">
      <c r="A196" s="32" t="str">
        <f aca="false">IF(AND(B196="",C196="",D196="",E196="",F196="",G196="",H196="",J196="",L196="",M196="",N196=""),"",Q196)</f>
        <v/>
      </c>
      <c r="B196" s="33"/>
      <c r="C196" s="33"/>
      <c r="D196" s="33"/>
      <c r="E196" s="33"/>
      <c r="F196" s="33"/>
      <c r="G196" s="33"/>
      <c r="H196" s="33"/>
      <c r="I196" s="1" t="str">
        <f aca="false">IF($A197="","",IFERROR(IF(ISBLANK(INDEX(SprintPlanning[Sprint],MATCH($A197,SprintPlanning[Requirement ID],0))),"To Plan",INDEX(SprintPlanning[Sprint],MATCH($A197,SprintPlanning[Requirement ID],0))),"To Plan"))</f>
        <v/>
      </c>
      <c r="J196" s="33"/>
      <c r="K196" s="1" t="str">
        <f aca="false">IFERROR(IF(ISBLANK(INDEX(Release[Release],MATCH($A197,Release[Requirement ID],0))),"",INDEX(Release[Release],MATCH($A197,Release[Requirement ID],0))),"")</f>
        <v/>
      </c>
      <c r="L196" s="33"/>
      <c r="M196" s="33"/>
      <c r="P196" s="1" t="n">
        <f aca="false">IFERROR(VALUE(MID($A196,5,4)),0)</f>
        <v>0</v>
      </c>
      <c r="Q196" s="1" t="str">
        <f aca="false">IF(B196="","","NEW-"&amp;TEXT(MAX($P$2:$P195,Lists!$N$2)+1,"0000"))</f>
        <v/>
      </c>
    </row>
    <row r="197" customFormat="false" ht="15" hidden="false" customHeight="true" outlineLevel="0" collapsed="false">
      <c r="A197" s="32" t="str">
        <f aca="false">IF(AND(B197="",C197="",D197="",E197="",F197="",G197="",H197="",J197="",L197="",M197="",N197=""),"",Q197)</f>
        <v/>
      </c>
      <c r="B197" s="33"/>
      <c r="C197" s="33"/>
      <c r="D197" s="33"/>
      <c r="E197" s="33"/>
      <c r="F197" s="33"/>
      <c r="G197" s="33"/>
      <c r="H197" s="33"/>
      <c r="I197" s="1" t="str">
        <f aca="false">IF($A198="","",IFERROR(IF(ISBLANK(INDEX(SprintPlanning[Sprint],MATCH($A198,SprintPlanning[Requirement ID],0))),"To Plan",INDEX(SprintPlanning[Sprint],MATCH($A198,SprintPlanning[Requirement ID],0))),"To Plan"))</f>
        <v/>
      </c>
      <c r="J197" s="33"/>
      <c r="K197" s="1" t="str">
        <f aca="false">IFERROR(IF(ISBLANK(INDEX(Release[Release],MATCH($A198,Release[Requirement ID],0))),"",INDEX(Release[Release],MATCH($A198,Release[Requirement ID],0))),"")</f>
        <v/>
      </c>
      <c r="L197" s="33"/>
      <c r="M197" s="33"/>
      <c r="P197" s="1" t="n">
        <f aca="false">IFERROR(VALUE(MID($A197,5,4)),0)</f>
        <v>0</v>
      </c>
      <c r="Q197" s="1" t="str">
        <f aca="false">IF(B197="","","NEW-"&amp;TEXT(MAX($P$2:$P196,Lists!$N$2)+1,"0000"))</f>
        <v/>
      </c>
    </row>
    <row r="198" customFormat="false" ht="15" hidden="false" customHeight="true" outlineLevel="0" collapsed="false">
      <c r="A198" s="32" t="str">
        <f aca="false">IF(AND(B198="",C198="",D198="",E198="",F198="",G198="",H198="",J198="",L198="",M198="",N198=""),"",Q198)</f>
        <v/>
      </c>
      <c r="B198" s="33"/>
      <c r="C198" s="33"/>
      <c r="D198" s="33"/>
      <c r="E198" s="33"/>
      <c r="F198" s="33"/>
      <c r="G198" s="33"/>
      <c r="H198" s="33"/>
      <c r="I198" s="1" t="str">
        <f aca="false">IF($A199="","",IFERROR(IF(ISBLANK(INDEX(SprintPlanning[Sprint],MATCH($A199,SprintPlanning[Requirement ID],0))),"To Plan",INDEX(SprintPlanning[Sprint],MATCH($A199,SprintPlanning[Requirement ID],0))),"To Plan"))</f>
        <v/>
      </c>
      <c r="J198" s="33"/>
      <c r="K198" s="1" t="str">
        <f aca="false">IFERROR(IF(ISBLANK(INDEX(Release[Release],MATCH($A199,Release[Requirement ID],0))),"",INDEX(Release[Release],MATCH($A199,Release[Requirement ID],0))),"")</f>
        <v/>
      </c>
      <c r="L198" s="33"/>
      <c r="M198" s="33"/>
      <c r="P198" s="1" t="n">
        <f aca="false">IFERROR(VALUE(MID($A198,5,4)),0)</f>
        <v>0</v>
      </c>
      <c r="Q198" s="1" t="str">
        <f aca="false">IF(B198="","","NEW-"&amp;TEXT(MAX($P$2:$P197,Lists!$N$2)+1,"0000"))</f>
        <v/>
      </c>
    </row>
    <row r="199" customFormat="false" ht="15" hidden="false" customHeight="true" outlineLevel="0" collapsed="false">
      <c r="A199" s="32" t="str">
        <f aca="false">IF(AND(B199="",C199="",D199="",E199="",F199="",G199="",H199="",J199="",L199="",M199="",N199=""),"",Q199)</f>
        <v/>
      </c>
      <c r="B199" s="33"/>
      <c r="C199" s="33"/>
      <c r="D199" s="33"/>
      <c r="E199" s="33"/>
      <c r="F199" s="33"/>
      <c r="G199" s="33"/>
      <c r="H199" s="33"/>
      <c r="I199" s="1" t="str">
        <f aca="false">IF($A200="","",IFERROR(IF(ISBLANK(INDEX(SprintPlanning[Sprint],MATCH($A200,SprintPlanning[Requirement ID],0))),"To Plan",INDEX(SprintPlanning[Sprint],MATCH($A200,SprintPlanning[Requirement ID],0))),"To Plan"))</f>
        <v/>
      </c>
      <c r="J199" s="33"/>
      <c r="K199" s="1" t="str">
        <f aca="false">IFERROR(IF(ISBLANK(INDEX(Release[Release],MATCH($A200,Release[Requirement ID],0))),"",INDEX(Release[Release],MATCH($A200,Release[Requirement ID],0))),"")</f>
        <v/>
      </c>
      <c r="L199" s="33"/>
      <c r="M199" s="33"/>
      <c r="P199" s="1" t="n">
        <f aca="false">IFERROR(VALUE(MID($A199,5,4)),0)</f>
        <v>0</v>
      </c>
      <c r="Q199" s="1" t="str">
        <f aca="false">IF(B199="","","NEW-"&amp;TEXT(MAX($P$2:$P198,Lists!$N$2)+1,"0000"))</f>
        <v/>
      </c>
    </row>
    <row r="200" customFormat="false" ht="15" hidden="false" customHeight="true" outlineLevel="0" collapsed="false">
      <c r="A200" s="32" t="str">
        <f aca="false">IF(AND(B200="",C200="",D200="",E200="",F200="",G200="",H200="",J200="",L200="",M200="",N200=""),"",Q200)</f>
        <v/>
      </c>
      <c r="B200" s="33"/>
      <c r="C200" s="33"/>
      <c r="D200" s="33"/>
      <c r="E200" s="33"/>
      <c r="F200" s="33"/>
      <c r="G200" s="33"/>
      <c r="H200" s="33"/>
      <c r="I200" s="1" t="str">
        <f aca="false">IF($A201="","",IFERROR(IF(ISBLANK(INDEX(SprintPlanning[Sprint],MATCH($A201,SprintPlanning[Requirement ID],0))),"To Plan",INDEX(SprintPlanning[Sprint],MATCH($A201,SprintPlanning[Requirement ID],0))),"To Plan"))</f>
        <v/>
      </c>
      <c r="J200" s="33"/>
      <c r="K200" s="1" t="str">
        <f aca="false">IFERROR(IF(ISBLANK(INDEX(Release[Release],MATCH($A201,Release[Requirement ID],0))),"",INDEX(Release[Release],MATCH($A201,Release[Requirement ID],0))),"")</f>
        <v/>
      </c>
      <c r="L200" s="33"/>
      <c r="M200" s="33"/>
      <c r="P200" s="1" t="n">
        <f aca="false">IFERROR(VALUE(MID($A200,5,4)),0)</f>
        <v>0</v>
      </c>
      <c r="Q200" s="1" t="str">
        <f aca="false">IF(B200="","","NEW-"&amp;TEXT(MAX($P$2:$P199,Lists!$N$2)+1,"0000"))</f>
        <v/>
      </c>
    </row>
    <row r="201" customFormat="false" ht="15" hidden="false" customHeight="true" outlineLevel="0" collapsed="false">
      <c r="A201" s="32" t="str">
        <f aca="false">IF(AND(B201="",C201="",D201="",E201="",F201="",G201="",H201="",J201="",L201="",M201="",N201=""),"",Q201)</f>
        <v/>
      </c>
      <c r="B201" s="33"/>
      <c r="C201" s="33"/>
      <c r="D201" s="33"/>
      <c r="E201" s="33"/>
      <c r="F201" s="33"/>
      <c r="G201" s="33"/>
      <c r="H201" s="33"/>
      <c r="I201" s="1" t="str">
        <f aca="false">IF($A202="","",IFERROR(IF(ISBLANK(INDEX(SprintPlanning[Sprint],MATCH($A202,SprintPlanning[Requirement ID],0))),"To Plan",INDEX(SprintPlanning[Sprint],MATCH($A202,SprintPlanning[Requirement ID],0))),"To Plan"))</f>
        <v/>
      </c>
      <c r="J201" s="33"/>
      <c r="K201" s="1" t="str">
        <f aca="false">IFERROR(IF(ISBLANK(INDEX(Release[Release],MATCH($A202,Release[Requirement ID],0))),"",INDEX(Release[Release],MATCH($A202,Release[Requirement ID],0))),"")</f>
        <v/>
      </c>
      <c r="L201" s="33"/>
      <c r="M201" s="33"/>
      <c r="P201" s="1" t="n">
        <f aca="false">IFERROR(VALUE(MID($A201,5,4)),0)</f>
        <v>0</v>
      </c>
      <c r="Q201" s="1" t="str">
        <f aca="false">IF(B201="","","NEW-"&amp;TEXT(MAX($P$2:$P200,Lists!$N$2)+1,"0000"))</f>
        <v/>
      </c>
    </row>
    <row r="202" customFormat="false" ht="15" hidden="false" customHeight="true" outlineLevel="0" collapsed="false">
      <c r="A202" s="32" t="str">
        <f aca="false">IF(AND(B202="",C202="",D202="",E202="",F202="",G202="",H202="",J202="",L202="",M202="",N202=""),"",Q202)</f>
        <v/>
      </c>
      <c r="B202" s="33"/>
      <c r="C202" s="33"/>
      <c r="D202" s="33"/>
      <c r="E202" s="33"/>
      <c r="F202" s="33"/>
      <c r="G202" s="33"/>
      <c r="H202" s="33"/>
      <c r="I202" s="1" t="str">
        <f aca="false">IF($A203="","",IFERROR(IF(ISBLANK(INDEX(SprintPlanning[Sprint],MATCH($A203,SprintPlanning[Requirement ID],0))),"To Plan",INDEX(SprintPlanning[Sprint],MATCH($A203,SprintPlanning[Requirement ID],0))),"To Plan"))</f>
        <v/>
      </c>
      <c r="J202" s="33"/>
      <c r="K202" s="1" t="str">
        <f aca="false">IFERROR(IF(ISBLANK(INDEX(Release[Release],MATCH($A203,Release[Requirement ID],0))),"",INDEX(Release[Release],MATCH($A203,Release[Requirement ID],0))),"")</f>
        <v/>
      </c>
      <c r="L202" s="33"/>
      <c r="M202" s="33"/>
      <c r="P202" s="1" t="n">
        <f aca="false">IFERROR(VALUE(MID($A202,5,4)),0)</f>
        <v>0</v>
      </c>
      <c r="Q202" s="1" t="str">
        <f aca="false">IF(B202="","","NEW-"&amp;TEXT(MAX($P$2:$P201,Lists!$N$2)+1,"0000"))</f>
        <v/>
      </c>
    </row>
    <row r="203" customFormat="false" ht="15" hidden="false" customHeight="true" outlineLevel="0" collapsed="false">
      <c r="A203" s="32" t="str">
        <f aca="false">IF(AND(B203="",C203="",D203="",E203="",F203="",G203="",H203="",J203="",L203="",M203="",N203=""),"",Q203)</f>
        <v/>
      </c>
      <c r="B203" s="33"/>
      <c r="C203" s="33"/>
      <c r="D203" s="33"/>
      <c r="E203" s="33"/>
      <c r="F203" s="33"/>
      <c r="G203" s="33"/>
      <c r="H203" s="33"/>
      <c r="I203" s="1" t="str">
        <f aca="false">IF($A204="","",IFERROR(IF(ISBLANK(INDEX(SprintPlanning[Sprint],MATCH($A204,SprintPlanning[Requirement ID],0))),"To Plan",INDEX(SprintPlanning[Sprint],MATCH($A204,SprintPlanning[Requirement ID],0))),"To Plan"))</f>
        <v/>
      </c>
      <c r="J203" s="33"/>
      <c r="K203" s="1" t="str">
        <f aca="false">IFERROR(IF(ISBLANK(INDEX(Release[Release],MATCH($A204,Release[Requirement ID],0))),"",INDEX(Release[Release],MATCH($A204,Release[Requirement ID],0))),"")</f>
        <v/>
      </c>
      <c r="L203" s="33"/>
      <c r="M203" s="33"/>
      <c r="P203" s="1" t="n">
        <f aca="false">IFERROR(VALUE(MID($A203,5,4)),0)</f>
        <v>0</v>
      </c>
      <c r="Q203" s="1" t="str">
        <f aca="false">IF(B203="","","NEW-"&amp;TEXT(MAX($P$2:$P202,Lists!$N$2)+1,"0000"))</f>
        <v/>
      </c>
    </row>
    <row r="204" customFormat="false" ht="15" hidden="false" customHeight="true" outlineLevel="0" collapsed="false">
      <c r="A204" s="32" t="str">
        <f aca="false">IF(AND(B204="",C204="",D204="",E204="",F204="",G204="",H204="",J204="",L204="",M204="",N204=""),"",Q204)</f>
        <v/>
      </c>
      <c r="B204" s="33"/>
      <c r="C204" s="33"/>
      <c r="D204" s="33"/>
      <c r="E204" s="33"/>
      <c r="F204" s="33"/>
      <c r="G204" s="33"/>
      <c r="H204" s="33"/>
      <c r="I204" s="1" t="str">
        <f aca="false">IF($A205="","",IFERROR(IF(ISBLANK(INDEX(SprintPlanning[Sprint],MATCH($A205,SprintPlanning[Requirement ID],0))),"To Plan",INDEX(SprintPlanning[Sprint],MATCH($A205,SprintPlanning[Requirement ID],0))),"To Plan"))</f>
        <v/>
      </c>
      <c r="J204" s="33"/>
      <c r="K204" s="1" t="str">
        <f aca="false">IFERROR(IF(ISBLANK(INDEX(Release[Release],MATCH($A205,Release[Requirement ID],0))),"",INDEX(Release[Release],MATCH($A205,Release[Requirement ID],0))),"")</f>
        <v/>
      </c>
      <c r="L204" s="33"/>
      <c r="M204" s="33"/>
      <c r="P204" s="1" t="n">
        <f aca="false">IFERROR(VALUE(MID($A204,5,4)),0)</f>
        <v>0</v>
      </c>
      <c r="Q204" s="1" t="str">
        <f aca="false">IF(B204="","","NEW-"&amp;TEXT(MAX($P$2:$P203,Lists!$N$2)+1,"0000"))</f>
        <v/>
      </c>
    </row>
    <row r="205" customFormat="false" ht="15" hidden="false" customHeight="true" outlineLevel="0" collapsed="false">
      <c r="A205" s="32" t="str">
        <f aca="false">IF(AND(B205="",C205="",D205="",E205="",F205="",G205="",H205="",J205="",L205="",M205="",N205=""),"",Q205)</f>
        <v/>
      </c>
      <c r="B205" s="33"/>
      <c r="C205" s="33"/>
      <c r="D205" s="33"/>
      <c r="E205" s="33"/>
      <c r="F205" s="33"/>
      <c r="G205" s="33"/>
      <c r="H205" s="33"/>
      <c r="I205" s="1" t="str">
        <f aca="false">IF($A206="","",IFERROR(IF(ISBLANK(INDEX(SprintPlanning[Sprint],MATCH($A206,SprintPlanning[Requirement ID],0))),"To Plan",INDEX(SprintPlanning[Sprint],MATCH($A206,SprintPlanning[Requirement ID],0))),"To Plan"))</f>
        <v/>
      </c>
      <c r="J205" s="33"/>
      <c r="K205" s="1" t="str">
        <f aca="false">IFERROR(IF(ISBLANK(INDEX(Release[Release],MATCH($A206,Release[Requirement ID],0))),"",INDEX(Release[Release],MATCH($A206,Release[Requirement ID],0))),"")</f>
        <v/>
      </c>
      <c r="L205" s="33"/>
      <c r="M205" s="33"/>
      <c r="P205" s="1" t="n">
        <f aca="false">IFERROR(VALUE(MID($A205,5,4)),0)</f>
        <v>0</v>
      </c>
      <c r="Q205" s="1" t="str">
        <f aca="false">IF(B205="","","NEW-"&amp;TEXT(MAX($P$2:$P204,Lists!$N$2)+1,"0000"))</f>
        <v/>
      </c>
    </row>
    <row r="206" customFormat="false" ht="23.25" hidden="false" customHeight="true" outlineLevel="0" collapsed="false">
      <c r="A206" s="32" t="str">
        <f aca="false">IF(AND(B206="",C206="",D206="",E206="",F206="",G206="",H206="",J206="",L206="",M206="",N206=""),"",Q206)</f>
        <v/>
      </c>
      <c r="B206" s="33"/>
      <c r="C206" s="33"/>
      <c r="D206" s="33"/>
      <c r="E206" s="33"/>
      <c r="F206" s="33"/>
      <c r="G206" s="33"/>
      <c r="H206" s="33"/>
      <c r="I206" s="1" t="str">
        <f aca="false">IF($A207="","",IFERROR(IF(ISBLANK(INDEX(SprintPlanning[Sprint],MATCH($A207,SprintPlanning[Requirement ID],0))),"To Plan",INDEX(SprintPlanning[Sprint],MATCH($A207,SprintPlanning[Requirement ID],0))),"To Plan"))</f>
        <v/>
      </c>
      <c r="J206" s="33"/>
      <c r="K206" s="1" t="str">
        <f aca="false">IFERROR(IF(ISBLANK(INDEX(Release[Release],MATCH($A207,Release[Requirement ID],0))),"",INDEX(Release[Release],MATCH($A207,Release[Requirement ID],0))),"")</f>
        <v/>
      </c>
      <c r="L206" s="33"/>
      <c r="M206" s="33"/>
      <c r="P206" s="1" t="n">
        <f aca="false">IFERROR(VALUE(MID($A206,5,4)),0)</f>
        <v>0</v>
      </c>
      <c r="Q206" s="1" t="str">
        <f aca="false">IF(B206="","","NEW-"&amp;TEXT(MAX($P$2:$P205,Lists!$N$2)+1,"0000"))</f>
        <v/>
      </c>
    </row>
    <row r="207" customFormat="false" ht="15" hidden="false" customHeight="true" outlineLevel="0" collapsed="false">
      <c r="A207" s="32" t="str">
        <f aca="false">IF(AND(B207="",C207="",D207="",E207="",F207="",G207="",H207="",J207="",L207="",M207="",N207=""),"",Q207)</f>
        <v/>
      </c>
      <c r="B207" s="33"/>
      <c r="C207" s="33"/>
      <c r="D207" s="33"/>
      <c r="E207" s="33"/>
      <c r="F207" s="33"/>
      <c r="G207" s="33"/>
      <c r="H207" s="33"/>
      <c r="I207" s="1" t="str">
        <f aca="false">IF($A208="","",IFERROR(IF(ISBLANK(INDEX(SprintPlanning[Sprint],MATCH($A208,SprintPlanning[Requirement ID],0))),"To Plan",INDEX(SprintPlanning[Sprint],MATCH($A208,SprintPlanning[Requirement ID],0))),"To Plan"))</f>
        <v/>
      </c>
      <c r="J207" s="33"/>
      <c r="K207" s="1" t="str">
        <f aca="false">IFERROR(IF(ISBLANK(INDEX(Release[Release],MATCH($A208,Release[Requirement ID],0))),"",INDEX(Release[Release],MATCH($A208,Release[Requirement ID],0))),"")</f>
        <v/>
      </c>
      <c r="L207" s="33"/>
      <c r="M207" s="33"/>
      <c r="P207" s="1" t="n">
        <f aca="false">IFERROR(VALUE(MID($A207,5,4)),0)</f>
        <v>0</v>
      </c>
      <c r="Q207" s="1" t="str">
        <f aca="false">IF(B207="","","NEW-"&amp;TEXT(MAX($P$2:$P206,Lists!$N$2)+1,"0000"))</f>
        <v/>
      </c>
    </row>
    <row r="208" customFormat="false" ht="15" hidden="false" customHeight="true" outlineLevel="0" collapsed="false">
      <c r="A208" s="32" t="str">
        <f aca="false">IF(AND(B208="",C208="",D208="",E208="",F208="",G208="",H208="",J208="",L208="",M208="",N208=""),"",Q208)</f>
        <v/>
      </c>
      <c r="B208" s="33"/>
      <c r="C208" s="33"/>
      <c r="D208" s="33"/>
      <c r="E208" s="33"/>
      <c r="F208" s="33"/>
      <c r="G208" s="33"/>
      <c r="H208" s="33"/>
      <c r="I208" s="1" t="str">
        <f aca="false">IF($A209="","",IFERROR(IF(ISBLANK(INDEX(SprintPlanning[Sprint],MATCH($A209,SprintPlanning[Requirement ID],0))),"To Plan",INDEX(SprintPlanning[Sprint],MATCH($A209,SprintPlanning[Requirement ID],0))),"To Plan"))</f>
        <v/>
      </c>
      <c r="J208" s="33"/>
      <c r="K208" s="1" t="str">
        <f aca="false">IFERROR(IF(ISBLANK(INDEX(Release[Release],MATCH($A209,Release[Requirement ID],0))),"",INDEX(Release[Release],MATCH($A209,Release[Requirement ID],0))),"")</f>
        <v/>
      </c>
      <c r="L208" s="33"/>
      <c r="M208" s="33"/>
      <c r="P208" s="1" t="n">
        <f aca="false">IFERROR(VALUE(MID($A208,5,4)),0)</f>
        <v>0</v>
      </c>
      <c r="Q208" s="1" t="str">
        <f aca="false">IF(B208="","","NEW-"&amp;TEXT(MAX($P$2:$P207,Lists!$N$2)+1,"0000"))</f>
        <v/>
      </c>
    </row>
    <row r="209" customFormat="false" ht="15" hidden="false" customHeight="true" outlineLevel="0" collapsed="false">
      <c r="A209" s="32" t="str">
        <f aca="false">IF(AND(B209="",C209="",D209="",E209="",F209="",G209="",H209="",J209="",L209="",M209="",N209=""),"",Q209)</f>
        <v/>
      </c>
      <c r="B209" s="33"/>
      <c r="C209" s="33"/>
      <c r="D209" s="33"/>
      <c r="E209" s="33"/>
      <c r="F209" s="33"/>
      <c r="G209" s="33"/>
      <c r="H209" s="33"/>
      <c r="I209" s="1" t="str">
        <f aca="false">IF($A210="","",IFERROR(IF(ISBLANK(INDEX(SprintPlanning[Sprint],MATCH($A210,SprintPlanning[Requirement ID],0))),"To Plan",INDEX(SprintPlanning[Sprint],MATCH($A210,SprintPlanning[Requirement ID],0))),"To Plan"))</f>
        <v/>
      </c>
      <c r="J209" s="33"/>
      <c r="K209" s="1" t="str">
        <f aca="false">IFERROR(IF(ISBLANK(INDEX(Release[Release],MATCH($A210,Release[Requirement ID],0))),"",INDEX(Release[Release],MATCH($A210,Release[Requirement ID],0))),"")</f>
        <v/>
      </c>
      <c r="L209" s="33"/>
      <c r="M209" s="33"/>
      <c r="P209" s="1" t="n">
        <f aca="false">IFERROR(VALUE(MID($A209,5,4)),0)</f>
        <v>0</v>
      </c>
      <c r="Q209" s="1" t="str">
        <f aca="false">IF(B209="","","NEW-"&amp;TEXT(MAX($P$2:$P208,Lists!$N$2)+1,"0000"))</f>
        <v/>
      </c>
    </row>
    <row r="210" customFormat="false" ht="15" hidden="false" customHeight="true" outlineLevel="0" collapsed="false">
      <c r="A210" s="32" t="str">
        <f aca="false">IF(AND(B210="",C210="",D210="",E210="",F210="",G210="",H210="",J210="",L210="",M210="",N210=""),"",Q210)</f>
        <v/>
      </c>
      <c r="B210" s="33"/>
      <c r="C210" s="33"/>
      <c r="D210" s="33"/>
      <c r="E210" s="33"/>
      <c r="F210" s="33"/>
      <c r="G210" s="33"/>
      <c r="H210" s="33"/>
      <c r="I210" s="1" t="str">
        <f aca="false">IF($A211="","",IFERROR(IF(ISBLANK(INDEX(SprintPlanning[Sprint],MATCH($A211,SprintPlanning[Requirement ID],0))),"To Plan",INDEX(SprintPlanning[Sprint],MATCH($A211,SprintPlanning[Requirement ID],0))),"To Plan"))</f>
        <v/>
      </c>
      <c r="J210" s="33"/>
      <c r="K210" s="1" t="str">
        <f aca="false">IFERROR(IF(ISBLANK(INDEX(Release[Release],MATCH($A211,Release[Requirement ID],0))),"",INDEX(Release[Release],MATCH($A211,Release[Requirement ID],0))),"")</f>
        <v/>
      </c>
      <c r="L210" s="33"/>
      <c r="M210" s="33"/>
      <c r="P210" s="1" t="n">
        <f aca="false">IFERROR(VALUE(MID($A210,5,4)),0)</f>
        <v>0</v>
      </c>
      <c r="Q210" s="1" t="str">
        <f aca="false">IF(B210="","","NEW-"&amp;TEXT(MAX($P$2:$P209,Lists!$N$2)+1,"0000"))</f>
        <v/>
      </c>
    </row>
    <row r="211" customFormat="false" ht="15" hidden="false" customHeight="true" outlineLevel="0" collapsed="false">
      <c r="A211" s="32" t="str">
        <f aca="false">IF(AND(B211="",C211="",D211="",E211="",F211="",G211="",H211="",J211="",L211="",M211="",N211=""),"",Q211)</f>
        <v/>
      </c>
      <c r="B211" s="33"/>
      <c r="C211" s="33"/>
      <c r="D211" s="33"/>
      <c r="E211" s="33"/>
      <c r="F211" s="33"/>
      <c r="G211" s="33"/>
      <c r="H211" s="33"/>
      <c r="I211" s="1" t="str">
        <f aca="false">IF($A212="","",IFERROR(IF(ISBLANK(INDEX(SprintPlanning[Sprint],MATCH($A212,SprintPlanning[Requirement ID],0))),"To Plan",INDEX(SprintPlanning[Sprint],MATCH($A212,SprintPlanning[Requirement ID],0))),"To Plan"))</f>
        <v/>
      </c>
      <c r="J211" s="33"/>
      <c r="K211" s="1" t="str">
        <f aca="false">IFERROR(IF(ISBLANK(INDEX(Release[Release],MATCH($A212,Release[Requirement ID],0))),"",INDEX(Release[Release],MATCH($A212,Release[Requirement ID],0))),"")</f>
        <v/>
      </c>
      <c r="L211" s="33"/>
      <c r="M211" s="33"/>
      <c r="P211" s="1" t="n">
        <f aca="false">IFERROR(VALUE(MID($A211,5,4)),0)</f>
        <v>0</v>
      </c>
      <c r="Q211" s="1" t="str">
        <f aca="false">IF(B211="","","NEW-"&amp;TEXT(MAX($P$2:$P210,Lists!$N$2)+1,"0000"))</f>
        <v/>
      </c>
    </row>
    <row r="212" customFormat="false" ht="15" hidden="false" customHeight="true" outlineLevel="0" collapsed="false">
      <c r="A212" s="32" t="str">
        <f aca="false">IF(AND(B212="",C212="",D212="",E212="",F212="",G212="",H212="",J212="",L212="",M212="",N212=""),"",Q212)</f>
        <v/>
      </c>
      <c r="B212" s="33"/>
      <c r="C212" s="33"/>
      <c r="D212" s="33"/>
      <c r="E212" s="33"/>
      <c r="F212" s="33"/>
      <c r="G212" s="33"/>
      <c r="H212" s="33"/>
      <c r="I212" s="1" t="str">
        <f aca="false">IF($A213="","",IFERROR(IF(ISBLANK(INDEX(SprintPlanning[Sprint],MATCH($A213,SprintPlanning[Requirement ID],0))),"To Plan",INDEX(SprintPlanning[Sprint],MATCH($A213,SprintPlanning[Requirement ID],0))),"To Plan"))</f>
        <v/>
      </c>
      <c r="J212" s="33"/>
      <c r="K212" s="1" t="str">
        <f aca="false">IFERROR(IF(ISBLANK(INDEX(Release[Release],MATCH($A213,Release[Requirement ID],0))),"",INDEX(Release[Release],MATCH($A213,Release[Requirement ID],0))),"")</f>
        <v/>
      </c>
      <c r="L212" s="33"/>
      <c r="M212" s="33"/>
      <c r="P212" s="1" t="n">
        <f aca="false">IFERROR(VALUE(MID($A212,5,4)),0)</f>
        <v>0</v>
      </c>
      <c r="Q212" s="1" t="str">
        <f aca="false">IF(B212="","","NEW-"&amp;TEXT(MAX($P$2:$P211,Lists!$N$2)+1,"0000"))</f>
        <v/>
      </c>
    </row>
    <row r="213" customFormat="false" ht="15" hidden="false" customHeight="true" outlineLevel="0" collapsed="false">
      <c r="A213" s="32" t="str">
        <f aca="false">IF(AND(B213="",C213="",D213="",E213="",F213="",G213="",H213="",J213="",L213="",M213="",N213=""),"",Q213)</f>
        <v/>
      </c>
      <c r="B213" s="33"/>
      <c r="C213" s="33"/>
      <c r="D213" s="33"/>
      <c r="E213" s="33"/>
      <c r="F213" s="33"/>
      <c r="G213" s="33"/>
      <c r="H213" s="33"/>
      <c r="I213" s="1" t="str">
        <f aca="false">IF($A214="","",IFERROR(IF(ISBLANK(INDEX(SprintPlanning[Sprint],MATCH($A214,SprintPlanning[Requirement ID],0))),"To Plan",INDEX(SprintPlanning[Sprint],MATCH($A214,SprintPlanning[Requirement ID],0))),"To Plan"))</f>
        <v/>
      </c>
      <c r="J213" s="33"/>
      <c r="K213" s="1" t="str">
        <f aca="false">IFERROR(IF(ISBLANK(INDEX(Release[Release],MATCH($A214,Release[Requirement ID],0))),"",INDEX(Release[Release],MATCH($A214,Release[Requirement ID],0))),"")</f>
        <v/>
      </c>
      <c r="L213" s="33"/>
      <c r="M213" s="33"/>
      <c r="P213" s="1" t="n">
        <f aca="false">IFERROR(VALUE(MID($A213,5,4)),0)</f>
        <v>0</v>
      </c>
      <c r="Q213" s="1" t="str">
        <f aca="false">IF(B213="","","NEW-"&amp;TEXT(MAX($P$2:$P212,Lists!$N$2)+1,"0000"))</f>
        <v/>
      </c>
    </row>
    <row r="214" customFormat="false" ht="15" hidden="false" customHeight="true" outlineLevel="0" collapsed="false">
      <c r="A214" s="32" t="str">
        <f aca="false">IF(AND(B214="",C214="",D214="",E214="",F214="",G214="",H214="",J214="",L214="",M214="",N214=""),"",Q214)</f>
        <v/>
      </c>
      <c r="B214" s="33"/>
      <c r="C214" s="33"/>
      <c r="D214" s="33"/>
      <c r="E214" s="33"/>
      <c r="F214" s="33"/>
      <c r="G214" s="33"/>
      <c r="H214" s="33"/>
      <c r="I214" s="1" t="str">
        <f aca="false">IF($A215="","",IFERROR(IF(ISBLANK(INDEX(SprintPlanning[Sprint],MATCH($A215,SprintPlanning[Requirement ID],0))),"To Plan",INDEX(SprintPlanning[Sprint],MATCH($A215,SprintPlanning[Requirement ID],0))),"To Plan"))</f>
        <v/>
      </c>
      <c r="J214" s="33"/>
      <c r="K214" s="1" t="str">
        <f aca="false">IFERROR(IF(ISBLANK(INDEX(Release[Release],MATCH($A215,Release[Requirement ID],0))),"",INDEX(Release[Release],MATCH($A215,Release[Requirement ID],0))),"")</f>
        <v/>
      </c>
      <c r="L214" s="33"/>
      <c r="M214" s="33"/>
      <c r="P214" s="1" t="n">
        <f aca="false">IFERROR(VALUE(MID($A214,5,4)),0)</f>
        <v>0</v>
      </c>
      <c r="Q214" s="1" t="str">
        <f aca="false">IF(B214="","","NEW-"&amp;TEXT(MAX($P$2:$P213,Lists!$N$2)+1,"0000"))</f>
        <v/>
      </c>
    </row>
    <row r="215" customFormat="false" ht="15" hidden="false" customHeight="true" outlineLevel="0" collapsed="false">
      <c r="A215" s="32" t="str">
        <f aca="false">IF(AND(B215="",C215="",D215="",E215="",F215="",G215="",H215="",J215="",L215="",M215="",N215=""),"",Q215)</f>
        <v/>
      </c>
      <c r="B215" s="33"/>
      <c r="C215" s="33"/>
      <c r="D215" s="33"/>
      <c r="E215" s="33"/>
      <c r="F215" s="33"/>
      <c r="G215" s="33"/>
      <c r="H215" s="33"/>
      <c r="I215" s="1" t="str">
        <f aca="false">IF($A216="","",IFERROR(IF(ISBLANK(INDEX(SprintPlanning[Sprint],MATCH($A216,SprintPlanning[Requirement ID],0))),"To Plan",INDEX(SprintPlanning[Sprint],MATCH($A216,SprintPlanning[Requirement ID],0))),"To Plan"))</f>
        <v/>
      </c>
      <c r="J215" s="33"/>
      <c r="K215" s="1" t="str">
        <f aca="false">IFERROR(IF(ISBLANK(INDEX(Release[Release],MATCH($A216,Release[Requirement ID],0))),"",INDEX(Release[Release],MATCH($A216,Release[Requirement ID],0))),"")</f>
        <v/>
      </c>
      <c r="L215" s="33"/>
      <c r="M215" s="33"/>
      <c r="P215" s="1" t="n">
        <f aca="false">IFERROR(VALUE(MID($A215,5,4)),0)</f>
        <v>0</v>
      </c>
      <c r="Q215" s="1" t="str">
        <f aca="false">IF(B215="","","NEW-"&amp;TEXT(MAX($P$2:$P214,Lists!$N$2)+1,"0000"))</f>
        <v/>
      </c>
    </row>
    <row r="216" customFormat="false" ht="15" hidden="false" customHeight="true" outlineLevel="0" collapsed="false">
      <c r="A216" s="32" t="str">
        <f aca="false">IF(AND(B216="",C216="",D216="",E216="",F216="",G216="",H216="",J216="",L216="",M216="",N216=""),"",Q216)</f>
        <v/>
      </c>
      <c r="B216" s="33"/>
      <c r="C216" s="33"/>
      <c r="D216" s="33"/>
      <c r="E216" s="33"/>
      <c r="F216" s="33"/>
      <c r="G216" s="33"/>
      <c r="H216" s="33"/>
      <c r="I216" s="1" t="str">
        <f aca="false">IF($A217="","",IFERROR(IF(ISBLANK(INDEX(SprintPlanning[Sprint],MATCH($A217,SprintPlanning[Requirement ID],0))),"To Plan",INDEX(SprintPlanning[Sprint],MATCH($A217,SprintPlanning[Requirement ID],0))),"To Plan"))</f>
        <v/>
      </c>
      <c r="J216" s="33"/>
      <c r="K216" s="1" t="str">
        <f aca="false">IFERROR(IF(ISBLANK(INDEX(Release[Release],MATCH($A217,Release[Requirement ID],0))),"",INDEX(Release[Release],MATCH($A217,Release[Requirement ID],0))),"")</f>
        <v/>
      </c>
      <c r="L216" s="33"/>
      <c r="M216" s="33"/>
      <c r="P216" s="1" t="n">
        <f aca="false">IFERROR(VALUE(MID($A216,5,4)),0)</f>
        <v>0</v>
      </c>
      <c r="Q216" s="1" t="str">
        <f aca="false">IF(B216="","","NEW-"&amp;TEXT(MAX($P$2:$P215,Lists!$N$2)+1,"0000"))</f>
        <v/>
      </c>
    </row>
    <row r="217" customFormat="false" ht="15" hidden="false" customHeight="true" outlineLevel="0" collapsed="false">
      <c r="A217" s="32" t="str">
        <f aca="false">IF(AND(B217="",C217="",D217="",E217="",F217="",G217="",H217="",J217="",L217="",M217="",N217=""),"",Q217)</f>
        <v/>
      </c>
      <c r="B217" s="33"/>
      <c r="C217" s="33"/>
      <c r="D217" s="33"/>
      <c r="E217" s="33"/>
      <c r="F217" s="33"/>
      <c r="G217" s="33"/>
      <c r="H217" s="33"/>
      <c r="I217" s="1" t="str">
        <f aca="false">IF($A218="","",IFERROR(IF(ISBLANK(INDEX(SprintPlanning[Sprint],MATCH($A218,SprintPlanning[Requirement ID],0))),"To Plan",INDEX(SprintPlanning[Sprint],MATCH($A218,SprintPlanning[Requirement ID],0))),"To Plan"))</f>
        <v/>
      </c>
      <c r="J217" s="33"/>
      <c r="K217" s="1" t="str">
        <f aca="false">IFERROR(IF(ISBLANK(INDEX(Release[Release],MATCH($A218,Release[Requirement ID],0))),"",INDEX(Release[Release],MATCH($A218,Release[Requirement ID],0))),"")</f>
        <v/>
      </c>
      <c r="L217" s="33"/>
      <c r="M217" s="33"/>
      <c r="P217" s="1" t="n">
        <f aca="false">IFERROR(VALUE(MID($A217,5,4)),0)</f>
        <v>0</v>
      </c>
      <c r="Q217" s="1" t="str">
        <f aca="false">IF(B217="","","NEW-"&amp;TEXT(MAX($P$2:$P216,Lists!$N$2)+1,"0000"))</f>
        <v/>
      </c>
    </row>
    <row r="218" customFormat="false" ht="15" hidden="false" customHeight="true" outlineLevel="0" collapsed="false">
      <c r="A218" s="32" t="str">
        <f aca="false">IF(AND(B218="",C218="",D218="",E218="",F218="",G218="",H218="",J218="",L218="",M218="",N218=""),"",Q218)</f>
        <v/>
      </c>
      <c r="B218" s="33"/>
      <c r="C218" s="33"/>
      <c r="D218" s="33"/>
      <c r="E218" s="33"/>
      <c r="F218" s="33"/>
      <c r="G218" s="33"/>
      <c r="H218" s="33"/>
      <c r="I218" s="1" t="str">
        <f aca="false">IF($A219="","",IFERROR(IF(ISBLANK(INDEX(SprintPlanning[Sprint],MATCH($A219,SprintPlanning[Requirement ID],0))),"To Plan",INDEX(SprintPlanning[Sprint],MATCH($A219,SprintPlanning[Requirement ID],0))),"To Plan"))</f>
        <v/>
      </c>
      <c r="J218" s="33"/>
      <c r="K218" s="1" t="str">
        <f aca="false">IFERROR(IF(ISBLANK(INDEX(Release[Release],MATCH($A219,Release[Requirement ID],0))),"",INDEX(Release[Release],MATCH($A219,Release[Requirement ID],0))),"")</f>
        <v/>
      </c>
      <c r="L218" s="33"/>
      <c r="M218" s="33"/>
      <c r="P218" s="1" t="n">
        <f aca="false">IFERROR(VALUE(MID($A218,5,4)),0)</f>
        <v>0</v>
      </c>
      <c r="Q218" s="1" t="str">
        <f aca="false">IF(B218="","","NEW-"&amp;TEXT(MAX($P$2:$P217,Lists!$N$2)+1,"0000"))</f>
        <v/>
      </c>
    </row>
    <row r="219" customFormat="false" ht="15" hidden="false" customHeight="true" outlineLevel="0" collapsed="false">
      <c r="A219" s="32" t="str">
        <f aca="false">IF(AND(B219="",C219="",D219="",E219="",F219="",G219="",H219="",J219="",L219="",M219="",N219=""),"",Q219)</f>
        <v/>
      </c>
      <c r="B219" s="33"/>
      <c r="C219" s="33"/>
      <c r="D219" s="33"/>
      <c r="E219" s="33"/>
      <c r="F219" s="33"/>
      <c r="G219" s="33"/>
      <c r="H219" s="33"/>
      <c r="I219" s="1" t="str">
        <f aca="false">IF($A220="","",IFERROR(IF(ISBLANK(INDEX(SprintPlanning[Sprint],MATCH($A220,SprintPlanning[Requirement ID],0))),"To Plan",INDEX(SprintPlanning[Sprint],MATCH($A220,SprintPlanning[Requirement ID],0))),"To Plan"))</f>
        <v/>
      </c>
      <c r="J219" s="33"/>
      <c r="K219" s="1" t="str">
        <f aca="false">IFERROR(IF(ISBLANK(INDEX(Release[Release],MATCH($A220,Release[Requirement ID],0))),"",INDEX(Release[Release],MATCH($A220,Release[Requirement ID],0))),"")</f>
        <v/>
      </c>
      <c r="L219" s="33"/>
      <c r="M219" s="33"/>
      <c r="P219" s="1" t="n">
        <f aca="false">IFERROR(VALUE(MID($A219,5,4)),0)</f>
        <v>0</v>
      </c>
      <c r="Q219" s="1" t="str">
        <f aca="false">IF(B219="","","NEW-"&amp;TEXT(MAX($P$2:$P218,Lists!$N$2)+1,"0000"))</f>
        <v/>
      </c>
    </row>
    <row r="220" customFormat="false" ht="15" hidden="false" customHeight="true" outlineLevel="0" collapsed="false">
      <c r="A220" s="32" t="str">
        <f aca="false">IF(AND(B220="",C220="",D220="",E220="",F220="",G220="",H220="",J220="",L220="",M220="",N220=""),"",Q220)</f>
        <v/>
      </c>
      <c r="B220" s="33"/>
      <c r="C220" s="33"/>
      <c r="D220" s="33"/>
      <c r="E220" s="33"/>
      <c r="F220" s="33"/>
      <c r="G220" s="33"/>
      <c r="H220" s="33"/>
      <c r="I220" s="1" t="str">
        <f aca="false">IF($A221="","",IFERROR(IF(ISBLANK(INDEX(SprintPlanning[Sprint],MATCH($A221,SprintPlanning[Requirement ID],0))),"To Plan",INDEX(SprintPlanning[Sprint],MATCH($A221,SprintPlanning[Requirement ID],0))),"To Plan"))</f>
        <v/>
      </c>
      <c r="J220" s="33"/>
      <c r="K220" s="1" t="str">
        <f aca="false">IFERROR(IF(ISBLANK(INDEX(Release[Release],MATCH($A221,Release[Requirement ID],0))),"",INDEX(Release[Release],MATCH($A221,Release[Requirement ID],0))),"")</f>
        <v/>
      </c>
      <c r="L220" s="33"/>
      <c r="M220" s="33"/>
      <c r="P220" s="1" t="n">
        <f aca="false">IFERROR(VALUE(MID($A220,5,4)),0)</f>
        <v>0</v>
      </c>
      <c r="Q220" s="1" t="str">
        <f aca="false">IF(B220="","","NEW-"&amp;TEXT(MAX($P$2:$P219,Lists!$N$2)+1,"0000"))</f>
        <v/>
      </c>
    </row>
    <row r="221" customFormat="false" ht="15" hidden="false" customHeight="true" outlineLevel="0" collapsed="false">
      <c r="A221" s="32" t="str">
        <f aca="false">IF(AND(B221="",C221="",D221="",E221="",F221="",G221="",H221="",J221="",L221="",M221="",N221=""),"",Q221)</f>
        <v/>
      </c>
      <c r="B221" s="33"/>
      <c r="C221" s="33"/>
      <c r="D221" s="33"/>
      <c r="E221" s="33"/>
      <c r="F221" s="33"/>
      <c r="G221" s="33"/>
      <c r="H221" s="33"/>
      <c r="I221" s="1" t="str">
        <f aca="false">IF($A222="","",IFERROR(IF(ISBLANK(INDEX(SprintPlanning[Sprint],MATCH($A222,SprintPlanning[Requirement ID],0))),"To Plan",INDEX(SprintPlanning[Sprint],MATCH($A222,SprintPlanning[Requirement ID],0))),"To Plan"))</f>
        <v/>
      </c>
      <c r="J221" s="33"/>
      <c r="K221" s="1" t="str">
        <f aca="false">IFERROR(IF(ISBLANK(INDEX(Release[Release],MATCH($A222,Release[Requirement ID],0))),"",INDEX(Release[Release],MATCH($A222,Release[Requirement ID],0))),"")</f>
        <v/>
      </c>
      <c r="L221" s="33"/>
      <c r="M221" s="33"/>
      <c r="P221" s="1" t="n">
        <f aca="false">IFERROR(VALUE(MID($A221,5,4)),0)</f>
        <v>0</v>
      </c>
      <c r="Q221" s="1" t="str">
        <f aca="false">IF(B221="","","NEW-"&amp;TEXT(MAX($P$2:$P220,Lists!$N$2)+1,"0000"))</f>
        <v/>
      </c>
    </row>
    <row r="222" customFormat="false" ht="15" hidden="false" customHeight="true" outlineLevel="0" collapsed="false">
      <c r="A222" s="32" t="str">
        <f aca="false">IF(AND(B222="",C222="",D222="",E222="",F222="",G222="",H222="",J222="",L222="",M222="",N222=""),"",Q222)</f>
        <v/>
      </c>
      <c r="B222" s="33"/>
      <c r="C222" s="33"/>
      <c r="D222" s="33"/>
      <c r="E222" s="33"/>
      <c r="F222" s="33"/>
      <c r="G222" s="33"/>
      <c r="H222" s="33"/>
      <c r="I222" s="1" t="str">
        <f aca="false">IF($A223="","",IFERROR(IF(ISBLANK(INDEX(SprintPlanning[Sprint],MATCH($A223,SprintPlanning[Requirement ID],0))),"To Plan",INDEX(SprintPlanning[Sprint],MATCH($A223,SprintPlanning[Requirement ID],0))),"To Plan"))</f>
        <v/>
      </c>
      <c r="J222" s="33"/>
      <c r="K222" s="1" t="str">
        <f aca="false">IFERROR(IF(ISBLANK(INDEX(Release[Release],MATCH($A223,Release[Requirement ID],0))),"",INDEX(Release[Release],MATCH($A223,Release[Requirement ID],0))),"")</f>
        <v/>
      </c>
      <c r="L222" s="33"/>
      <c r="M222" s="33"/>
      <c r="P222" s="1" t="n">
        <f aca="false">IFERROR(VALUE(MID($A222,5,4)),0)</f>
        <v>0</v>
      </c>
      <c r="Q222" s="1" t="str">
        <f aca="false">IF(B222="","","NEW-"&amp;TEXT(MAX($P$2:$P221,Lists!$N$2)+1,"0000"))</f>
        <v/>
      </c>
    </row>
    <row r="223" customFormat="false" ht="15" hidden="false" customHeight="true" outlineLevel="0" collapsed="false">
      <c r="A223" s="32" t="str">
        <f aca="false">IF(AND(B223="",C223="",D223="",E223="",F223="",G223="",H223="",J223="",L223="",M223="",N223=""),"",Q223)</f>
        <v/>
      </c>
      <c r="B223" s="33"/>
      <c r="C223" s="33"/>
      <c r="D223" s="33"/>
      <c r="E223" s="33"/>
      <c r="F223" s="33"/>
      <c r="G223" s="33"/>
      <c r="H223" s="33"/>
      <c r="I223" s="1" t="str">
        <f aca="false">IF($A224="","",IFERROR(IF(ISBLANK(INDEX(SprintPlanning[Sprint],MATCH($A224,SprintPlanning[Requirement ID],0))),"To Plan",INDEX(SprintPlanning[Sprint],MATCH($A224,SprintPlanning[Requirement ID],0))),"To Plan"))</f>
        <v/>
      </c>
      <c r="J223" s="33"/>
      <c r="K223" s="1" t="str">
        <f aca="false">IFERROR(IF(ISBLANK(INDEX(Release[Release],MATCH($A224,Release[Requirement ID],0))),"",INDEX(Release[Release],MATCH($A224,Release[Requirement ID],0))),"")</f>
        <v/>
      </c>
      <c r="L223" s="33"/>
      <c r="M223" s="33"/>
      <c r="P223" s="1" t="n">
        <f aca="false">IFERROR(VALUE(MID($A223,5,4)),0)</f>
        <v>0</v>
      </c>
      <c r="Q223" s="1" t="str">
        <f aca="false">IF(B223="","","NEW-"&amp;TEXT(MAX($P$2:$P222,Lists!$N$2)+1,"0000"))</f>
        <v/>
      </c>
    </row>
    <row r="224" customFormat="false" ht="15" hidden="false" customHeight="true" outlineLevel="0" collapsed="false">
      <c r="A224" s="32" t="str">
        <f aca="false">IF(AND(B224="",C224="",D224="",E224="",F224="",G224="",H224="",J224="",L224="",M224="",N224=""),"",Q224)</f>
        <v/>
      </c>
      <c r="B224" s="33"/>
      <c r="C224" s="33"/>
      <c r="D224" s="33"/>
      <c r="E224" s="33"/>
      <c r="F224" s="33"/>
      <c r="G224" s="33"/>
      <c r="H224" s="33"/>
      <c r="I224" s="1" t="str">
        <f aca="false">IF($A225="","",IFERROR(IF(ISBLANK(INDEX(SprintPlanning[Sprint],MATCH($A225,SprintPlanning[Requirement ID],0))),"To Plan",INDEX(SprintPlanning[Sprint],MATCH($A225,SprintPlanning[Requirement ID],0))),"To Plan"))</f>
        <v/>
      </c>
      <c r="J224" s="33"/>
      <c r="K224" s="1" t="str">
        <f aca="false">IFERROR(IF(ISBLANK(INDEX(Release[Release],MATCH($A225,Release[Requirement ID],0))),"",INDEX(Release[Release],MATCH($A225,Release[Requirement ID],0))),"")</f>
        <v/>
      </c>
      <c r="L224" s="33"/>
      <c r="M224" s="33"/>
      <c r="P224" s="1" t="n">
        <f aca="false">IFERROR(VALUE(MID($A224,5,4)),0)</f>
        <v>0</v>
      </c>
      <c r="Q224" s="1" t="str">
        <f aca="false">IF(B224="","","NEW-"&amp;TEXT(MAX($P$2:$P223,Lists!$N$2)+1,"0000"))</f>
        <v/>
      </c>
    </row>
    <row r="225" customFormat="false" ht="15" hidden="false" customHeight="true" outlineLevel="0" collapsed="false">
      <c r="A225" s="32" t="str">
        <f aca="false">IF(AND(B225="",C225="",D225="",E225="",F225="",G225="",H225="",J225="",L225="",M225="",N225=""),"",Q225)</f>
        <v/>
      </c>
      <c r="B225" s="33"/>
      <c r="C225" s="33"/>
      <c r="D225" s="33"/>
      <c r="E225" s="33"/>
      <c r="F225" s="33"/>
      <c r="G225" s="33"/>
      <c r="H225" s="33"/>
      <c r="I225" s="1" t="str">
        <f aca="false">IF($A226="","",IFERROR(IF(ISBLANK(INDEX(SprintPlanning[Sprint],MATCH($A226,SprintPlanning[Requirement ID],0))),"To Plan",INDEX(SprintPlanning[Sprint],MATCH($A226,SprintPlanning[Requirement ID],0))),"To Plan"))</f>
        <v/>
      </c>
      <c r="J225" s="33"/>
      <c r="K225" s="1" t="str">
        <f aca="false">IFERROR(IF(ISBLANK(INDEX(Release[Release],MATCH($A226,Release[Requirement ID],0))),"",INDEX(Release[Release],MATCH($A226,Release[Requirement ID],0))),"")</f>
        <v/>
      </c>
      <c r="L225" s="33"/>
      <c r="M225" s="33"/>
      <c r="P225" s="1" t="n">
        <f aca="false">IFERROR(VALUE(MID($A225,5,4)),0)</f>
        <v>0</v>
      </c>
      <c r="Q225" s="1" t="str">
        <f aca="false">IF(B225="","","NEW-"&amp;TEXT(MAX($P$2:$P224,Lists!$N$2)+1,"0000"))</f>
        <v/>
      </c>
    </row>
    <row r="226" customFormat="false" ht="23.25" hidden="false" customHeight="true" outlineLevel="0" collapsed="false">
      <c r="A226" s="32" t="str">
        <f aca="false">IF(AND(B226="",C226="",D226="",E226="",F226="",G226="",H226="",J226="",L226="",M226="",N226=""),"",Q226)</f>
        <v/>
      </c>
      <c r="B226" s="33"/>
      <c r="C226" s="33"/>
      <c r="D226" s="33"/>
      <c r="E226" s="33"/>
      <c r="F226" s="33"/>
      <c r="G226" s="33"/>
      <c r="H226" s="33"/>
      <c r="I226" s="1" t="str">
        <f aca="false">IF($A227="","",IFERROR(IF(ISBLANK(INDEX(SprintPlanning[Sprint],MATCH($A227,SprintPlanning[Requirement ID],0))),"To Plan",INDEX(SprintPlanning[Sprint],MATCH($A227,SprintPlanning[Requirement ID],0))),"To Plan"))</f>
        <v/>
      </c>
      <c r="J226" s="33"/>
      <c r="K226" s="1" t="str">
        <f aca="false">IFERROR(IF(ISBLANK(INDEX(Release[Release],MATCH($A227,Release[Requirement ID],0))),"",INDEX(Release[Release],MATCH($A227,Release[Requirement ID],0))),"")</f>
        <v/>
      </c>
      <c r="L226" s="33"/>
      <c r="M226" s="33"/>
      <c r="P226" s="1" t="n">
        <f aca="false">IFERROR(VALUE(MID($A226,5,4)),0)</f>
        <v>0</v>
      </c>
      <c r="Q226" s="1" t="str">
        <f aca="false">IF(B226="","","NEW-"&amp;TEXT(MAX($P$2:$P225,Lists!$N$2)+1,"0000"))</f>
        <v/>
      </c>
    </row>
    <row r="227" customFormat="false" ht="15" hidden="false" customHeight="true" outlineLevel="0" collapsed="false">
      <c r="A227" s="32" t="str">
        <f aca="false">IF(AND(B227="",C227="",D227="",E227="",F227="",G227="",H227="",J227="",L227="",M227="",N227=""),"",Q227)</f>
        <v/>
      </c>
      <c r="B227" s="33"/>
      <c r="C227" s="33"/>
      <c r="D227" s="33"/>
      <c r="E227" s="33"/>
      <c r="F227" s="33"/>
      <c r="G227" s="33"/>
      <c r="H227" s="33"/>
      <c r="I227" s="1" t="str">
        <f aca="false">IF($A228="","",IFERROR(IF(ISBLANK(INDEX(SprintPlanning[Sprint],MATCH($A228,SprintPlanning[Requirement ID],0))),"To Plan",INDEX(SprintPlanning[Sprint],MATCH($A228,SprintPlanning[Requirement ID],0))),"To Plan"))</f>
        <v/>
      </c>
      <c r="J227" s="33"/>
      <c r="K227" s="1" t="str">
        <f aca="false">IFERROR(IF(ISBLANK(INDEX(Release[Release],MATCH($A228,Release[Requirement ID],0))),"",INDEX(Release[Release],MATCH($A228,Release[Requirement ID],0))),"")</f>
        <v/>
      </c>
      <c r="L227" s="33"/>
      <c r="M227" s="33"/>
      <c r="P227" s="1" t="n">
        <f aca="false">IFERROR(VALUE(MID($A227,5,4)),0)</f>
        <v>0</v>
      </c>
      <c r="Q227" s="1" t="str">
        <f aca="false">IF(B227="","","NEW-"&amp;TEXT(MAX($P$2:$P226,Lists!$N$2)+1,"0000"))</f>
        <v/>
      </c>
    </row>
    <row r="228" customFormat="false" ht="15" hidden="false" customHeight="true" outlineLevel="0" collapsed="false">
      <c r="A228" s="32" t="str">
        <f aca="false">IF(AND(B228="",C228="",D228="",E228="",F228="",G228="",H228="",J228="",L228="",M228="",N228=""),"",Q228)</f>
        <v/>
      </c>
      <c r="B228" s="33"/>
      <c r="C228" s="33"/>
      <c r="D228" s="33"/>
      <c r="E228" s="33"/>
      <c r="F228" s="33"/>
      <c r="G228" s="33"/>
      <c r="H228" s="33"/>
      <c r="I228" s="1" t="str">
        <f aca="false">IF($A229="","",IFERROR(IF(ISBLANK(INDEX(SprintPlanning[Sprint],MATCH($A229,SprintPlanning[Requirement ID],0))),"To Plan",INDEX(SprintPlanning[Sprint],MATCH($A229,SprintPlanning[Requirement ID],0))),"To Plan"))</f>
        <v/>
      </c>
      <c r="J228" s="33"/>
      <c r="K228" s="1" t="str">
        <f aca="false">IFERROR(IF(ISBLANK(INDEX(Release[Release],MATCH($A229,Release[Requirement ID],0))),"",INDEX(Release[Release],MATCH($A229,Release[Requirement ID],0))),"")</f>
        <v/>
      </c>
      <c r="L228" s="33"/>
      <c r="M228" s="33"/>
      <c r="P228" s="1" t="n">
        <f aca="false">IFERROR(VALUE(MID($A228,5,4)),0)</f>
        <v>0</v>
      </c>
      <c r="Q228" s="1" t="str">
        <f aca="false">IF(B228="","","NEW-"&amp;TEXT(MAX($P$2:$P227,Lists!$N$2)+1,"0000"))</f>
        <v/>
      </c>
    </row>
    <row r="229" customFormat="false" ht="15" hidden="false" customHeight="true" outlineLevel="0" collapsed="false">
      <c r="A229" s="32" t="str">
        <f aca="false">IF(AND(B229="",C229="",D229="",E229="",F229="",G229="",H229="",J229="",L229="",M229="",N229=""),"",Q229)</f>
        <v/>
      </c>
      <c r="B229" s="33"/>
      <c r="C229" s="33"/>
      <c r="D229" s="33"/>
      <c r="E229" s="33"/>
      <c r="F229" s="33"/>
      <c r="G229" s="33"/>
      <c r="H229" s="33"/>
      <c r="I229" s="1" t="str">
        <f aca="false">IF($A230="","",IFERROR(IF(ISBLANK(INDEX(SprintPlanning[Sprint],MATCH($A230,SprintPlanning[Requirement ID],0))),"To Plan",INDEX(SprintPlanning[Sprint],MATCH($A230,SprintPlanning[Requirement ID],0))),"To Plan"))</f>
        <v/>
      </c>
      <c r="J229" s="33"/>
      <c r="K229" s="1" t="str">
        <f aca="false">IFERROR(IF(ISBLANK(INDEX(Release[Release],MATCH($A230,Release[Requirement ID],0))),"",INDEX(Release[Release],MATCH($A230,Release[Requirement ID],0))),"")</f>
        <v/>
      </c>
      <c r="L229" s="33"/>
      <c r="M229" s="33"/>
      <c r="P229" s="1" t="n">
        <f aca="false">IFERROR(VALUE(MID($A229,5,4)),0)</f>
        <v>0</v>
      </c>
      <c r="Q229" s="1" t="str">
        <f aca="false">IF(B229="","","NEW-"&amp;TEXT(MAX($P$2:$P228,Lists!$N$2)+1,"0000"))</f>
        <v/>
      </c>
    </row>
    <row r="230" customFormat="false" ht="15" hidden="false" customHeight="true" outlineLevel="0" collapsed="false">
      <c r="A230" s="32" t="str">
        <f aca="false">IF(AND(B230="",C230="",D230="",E230="",F230="",G230="",H230="",J230="",L230="",M230="",N230=""),"",Q230)</f>
        <v/>
      </c>
      <c r="B230" s="33"/>
      <c r="C230" s="33"/>
      <c r="D230" s="33"/>
      <c r="E230" s="33"/>
      <c r="F230" s="33"/>
      <c r="G230" s="33"/>
      <c r="H230" s="33"/>
      <c r="I230" s="1" t="str">
        <f aca="false">IF($A231="","",IFERROR(IF(ISBLANK(INDEX(SprintPlanning[Sprint],MATCH($A231,SprintPlanning[Requirement ID],0))),"To Plan",INDEX(SprintPlanning[Sprint],MATCH($A231,SprintPlanning[Requirement ID],0))),"To Plan"))</f>
        <v/>
      </c>
      <c r="J230" s="33"/>
      <c r="K230" s="1" t="str">
        <f aca="false">IFERROR(IF(ISBLANK(INDEX(Release[Release],MATCH($A231,Release[Requirement ID],0))),"",INDEX(Release[Release],MATCH($A231,Release[Requirement ID],0))),"")</f>
        <v/>
      </c>
      <c r="L230" s="33"/>
      <c r="M230" s="33"/>
      <c r="P230" s="1" t="n">
        <f aca="false">IFERROR(VALUE(MID($A230,5,4)),0)</f>
        <v>0</v>
      </c>
      <c r="Q230" s="1" t="str">
        <f aca="false">IF(B230="","","NEW-"&amp;TEXT(MAX($P$2:$P229,Lists!$N$2)+1,"0000"))</f>
        <v/>
      </c>
    </row>
    <row r="231" customFormat="false" ht="15" hidden="false" customHeight="true" outlineLevel="0" collapsed="false">
      <c r="A231" s="32" t="str">
        <f aca="false">IF(AND(B231="",C231="",D231="",E231="",F231="",G231="",H231="",J231="",L231="",M231="",N231=""),"",Q231)</f>
        <v/>
      </c>
      <c r="B231" s="33"/>
      <c r="C231" s="33"/>
      <c r="D231" s="33"/>
      <c r="E231" s="33"/>
      <c r="F231" s="33"/>
      <c r="G231" s="33"/>
      <c r="H231" s="33"/>
      <c r="I231" s="1" t="str">
        <f aca="false">IF($A232="","",IFERROR(IF(ISBLANK(INDEX(SprintPlanning[Sprint],MATCH($A232,SprintPlanning[Requirement ID],0))),"To Plan",INDEX(SprintPlanning[Sprint],MATCH($A232,SprintPlanning[Requirement ID],0))),"To Plan"))</f>
        <v/>
      </c>
      <c r="J231" s="33"/>
      <c r="K231" s="1" t="str">
        <f aca="false">IFERROR(IF(ISBLANK(INDEX(Release[Release],MATCH($A232,Release[Requirement ID],0))),"",INDEX(Release[Release],MATCH($A232,Release[Requirement ID],0))),"")</f>
        <v/>
      </c>
      <c r="L231" s="33"/>
      <c r="M231" s="33"/>
      <c r="P231" s="1" t="n">
        <f aca="false">IFERROR(VALUE(MID($A231,5,4)),0)</f>
        <v>0</v>
      </c>
      <c r="Q231" s="1" t="str">
        <f aca="false">IF(B231="","","NEW-"&amp;TEXT(MAX($P$2:$P230,Lists!$N$2)+1,"0000"))</f>
        <v/>
      </c>
    </row>
    <row r="232" customFormat="false" ht="15" hidden="false" customHeight="true" outlineLevel="0" collapsed="false">
      <c r="A232" s="32" t="str">
        <f aca="false">IF(AND(B232="",C232="",D232="",E232="",F232="",G232="",H232="",J232="",L232="",M232="",N232=""),"",Q232)</f>
        <v/>
      </c>
      <c r="B232" s="33"/>
      <c r="C232" s="33"/>
      <c r="D232" s="33"/>
      <c r="E232" s="33"/>
      <c r="F232" s="33"/>
      <c r="G232" s="33"/>
      <c r="H232" s="33"/>
      <c r="I232" s="1" t="str">
        <f aca="false">IF($A233="","",IFERROR(IF(ISBLANK(INDEX(SprintPlanning[Sprint],MATCH($A233,SprintPlanning[Requirement ID],0))),"To Plan",INDEX(SprintPlanning[Sprint],MATCH($A233,SprintPlanning[Requirement ID],0))),"To Plan"))</f>
        <v/>
      </c>
      <c r="J232" s="33"/>
      <c r="K232" s="1" t="str">
        <f aca="false">IFERROR(IF(ISBLANK(INDEX(Release[Release],MATCH($A233,Release[Requirement ID],0))),"",INDEX(Release[Release],MATCH($A233,Release[Requirement ID],0))),"")</f>
        <v/>
      </c>
      <c r="L232" s="33"/>
      <c r="M232" s="33"/>
      <c r="P232" s="1" t="n">
        <f aca="false">IFERROR(VALUE(MID($A232,5,4)),0)</f>
        <v>0</v>
      </c>
      <c r="Q232" s="1" t="str">
        <f aca="false">IF(B232="","","NEW-"&amp;TEXT(MAX($P$2:$P231,Lists!$N$2)+1,"0000"))</f>
        <v/>
      </c>
    </row>
    <row r="233" customFormat="false" ht="15" hidden="false" customHeight="true" outlineLevel="0" collapsed="false">
      <c r="A233" s="32" t="str">
        <f aca="false">IF(AND(B233="",C233="",D233="",E233="",F233="",G233="",H233="",J233="",L233="",M233="",N233=""),"",Q233)</f>
        <v/>
      </c>
      <c r="B233" s="33"/>
      <c r="C233" s="33"/>
      <c r="D233" s="33"/>
      <c r="E233" s="33"/>
      <c r="F233" s="33"/>
      <c r="G233" s="33"/>
      <c r="H233" s="33"/>
      <c r="I233" s="1" t="str">
        <f aca="false">IF($A234="","",IFERROR(IF(ISBLANK(INDEX(SprintPlanning[Sprint],MATCH($A234,SprintPlanning[Requirement ID],0))),"To Plan",INDEX(SprintPlanning[Sprint],MATCH($A234,SprintPlanning[Requirement ID],0))),"To Plan"))</f>
        <v/>
      </c>
      <c r="J233" s="33"/>
      <c r="K233" s="1" t="str">
        <f aca="false">IFERROR(IF(ISBLANK(INDEX(Release[Release],MATCH($A234,Release[Requirement ID],0))),"",INDEX(Release[Release],MATCH($A234,Release[Requirement ID],0))),"")</f>
        <v/>
      </c>
      <c r="L233" s="33"/>
      <c r="M233" s="33"/>
      <c r="P233" s="1" t="n">
        <f aca="false">IFERROR(VALUE(MID($A233,5,4)),0)</f>
        <v>0</v>
      </c>
      <c r="Q233" s="1" t="str">
        <f aca="false">IF(B233="","","NEW-"&amp;TEXT(MAX($P$2:$P232,Lists!$N$2)+1,"0000"))</f>
        <v/>
      </c>
    </row>
    <row r="234" customFormat="false" ht="15" hidden="false" customHeight="true" outlineLevel="0" collapsed="false">
      <c r="A234" s="32" t="str">
        <f aca="false">IF(AND(B234="",C234="",D234="",E234="",F234="",G234="",H234="",J234="",L234="",M234="",N234=""),"",Q234)</f>
        <v/>
      </c>
      <c r="B234" s="33"/>
      <c r="C234" s="33"/>
      <c r="D234" s="33"/>
      <c r="E234" s="33"/>
      <c r="F234" s="33"/>
      <c r="G234" s="33"/>
      <c r="H234" s="33"/>
      <c r="I234" s="1" t="str">
        <f aca="false">IF($A235="","",IFERROR(IF(ISBLANK(INDEX(SprintPlanning[Sprint],MATCH($A235,SprintPlanning[Requirement ID],0))),"To Plan",INDEX(SprintPlanning[Sprint],MATCH($A235,SprintPlanning[Requirement ID],0))),"To Plan"))</f>
        <v/>
      </c>
      <c r="J234" s="33"/>
      <c r="K234" s="1" t="str">
        <f aca="false">IFERROR(IF(ISBLANK(INDEX(Release[Release],MATCH($A235,Release[Requirement ID],0))),"",INDEX(Release[Release],MATCH($A235,Release[Requirement ID],0))),"")</f>
        <v/>
      </c>
      <c r="L234" s="33"/>
      <c r="M234" s="33"/>
      <c r="P234" s="1" t="n">
        <f aca="false">IFERROR(VALUE(MID($A234,5,4)),0)</f>
        <v>0</v>
      </c>
      <c r="Q234" s="1" t="str">
        <f aca="false">IF(B234="","","NEW-"&amp;TEXT(MAX($P$2:$P233,Lists!$N$2)+1,"0000"))</f>
        <v/>
      </c>
    </row>
    <row r="235" customFormat="false" ht="15" hidden="false" customHeight="true" outlineLevel="0" collapsed="false">
      <c r="A235" s="32" t="str">
        <f aca="false">IF(AND(B235="",C235="",D235="",E235="",F235="",G235="",H235="",J235="",L235="",M235="",N235=""),"",Q235)</f>
        <v/>
      </c>
      <c r="B235" s="33"/>
      <c r="C235" s="33"/>
      <c r="D235" s="33"/>
      <c r="E235" s="33"/>
      <c r="F235" s="33"/>
      <c r="G235" s="33"/>
      <c r="H235" s="33"/>
      <c r="I235" s="1" t="str">
        <f aca="false">IF($A236="","",IFERROR(IF(ISBLANK(INDEX(SprintPlanning[Sprint],MATCH($A236,SprintPlanning[Requirement ID],0))),"To Plan",INDEX(SprintPlanning[Sprint],MATCH($A236,SprintPlanning[Requirement ID],0))),"To Plan"))</f>
        <v/>
      </c>
      <c r="J235" s="33"/>
      <c r="K235" s="1" t="str">
        <f aca="false">IFERROR(IF(ISBLANK(INDEX(Release[Release],MATCH($A236,Release[Requirement ID],0))),"",INDEX(Release[Release],MATCH($A236,Release[Requirement ID],0))),"")</f>
        <v/>
      </c>
      <c r="L235" s="33"/>
      <c r="M235" s="33"/>
      <c r="P235" s="1" t="n">
        <f aca="false">IFERROR(VALUE(MID($A235,5,4)),0)</f>
        <v>0</v>
      </c>
      <c r="Q235" s="1" t="str">
        <f aca="false">IF(B235="","","NEW-"&amp;TEXT(MAX($P$2:$P234,Lists!$N$2)+1,"0000"))</f>
        <v/>
      </c>
    </row>
    <row r="236" customFormat="false" ht="15" hidden="false" customHeight="true" outlineLevel="0" collapsed="false">
      <c r="A236" s="32" t="str">
        <f aca="false">IF(AND(B236="",C236="",D236="",E236="",F236="",G236="",H236="",J236="",L236="",M236="",N236=""),"",Q236)</f>
        <v/>
      </c>
      <c r="B236" s="33"/>
      <c r="C236" s="33"/>
      <c r="D236" s="33"/>
      <c r="E236" s="33"/>
      <c r="F236" s="33"/>
      <c r="G236" s="33"/>
      <c r="H236" s="33"/>
      <c r="I236" s="1" t="str">
        <f aca="false">IF($A237="","",IFERROR(IF(ISBLANK(INDEX(SprintPlanning[Sprint],MATCH($A237,SprintPlanning[Requirement ID],0))),"To Plan",INDEX(SprintPlanning[Sprint],MATCH($A237,SprintPlanning[Requirement ID],0))),"To Plan"))</f>
        <v/>
      </c>
      <c r="J236" s="33"/>
      <c r="K236" s="1" t="str">
        <f aca="false">IFERROR(IF(ISBLANK(INDEX(Release[Release],MATCH($A237,Release[Requirement ID],0))),"",INDEX(Release[Release],MATCH($A237,Release[Requirement ID],0))),"")</f>
        <v/>
      </c>
      <c r="L236" s="33"/>
      <c r="M236" s="33"/>
      <c r="P236" s="1" t="n">
        <f aca="false">IFERROR(VALUE(MID($A236,5,4)),0)</f>
        <v>0</v>
      </c>
      <c r="Q236" s="1" t="str">
        <f aca="false">IF(B236="","","NEW-"&amp;TEXT(MAX($P$2:$P235,Lists!$N$2)+1,"0000"))</f>
        <v/>
      </c>
    </row>
    <row r="237" customFormat="false" ht="15" hidden="false" customHeight="true" outlineLevel="0" collapsed="false">
      <c r="A237" s="32" t="str">
        <f aca="false">IF(AND(B237="",C237="",D237="",E237="",F237="",G237="",H237="",J237="",L237="",M237="",N237=""),"",Q237)</f>
        <v/>
      </c>
      <c r="B237" s="33"/>
      <c r="C237" s="33"/>
      <c r="D237" s="33"/>
      <c r="E237" s="33"/>
      <c r="F237" s="33"/>
      <c r="G237" s="33"/>
      <c r="H237" s="33"/>
      <c r="I237" s="1" t="str">
        <f aca="false">IF($A238="","",IFERROR(IF(ISBLANK(INDEX(SprintPlanning[Sprint],MATCH($A238,SprintPlanning[Requirement ID],0))),"To Plan",INDEX(SprintPlanning[Sprint],MATCH($A238,SprintPlanning[Requirement ID],0))),"To Plan"))</f>
        <v/>
      </c>
      <c r="J237" s="33"/>
      <c r="K237" s="1" t="str">
        <f aca="false">IFERROR(IF(ISBLANK(INDEX(Release[Release],MATCH($A238,Release[Requirement ID],0))),"",INDEX(Release[Release],MATCH($A238,Release[Requirement ID],0))),"")</f>
        <v/>
      </c>
      <c r="L237" s="33"/>
      <c r="M237" s="33"/>
      <c r="P237" s="1" t="n">
        <f aca="false">IFERROR(VALUE(MID($A237,5,4)),0)</f>
        <v>0</v>
      </c>
      <c r="Q237" s="1" t="str">
        <f aca="false">IF(B237="","","NEW-"&amp;TEXT(MAX($P$2:$P236,Lists!$N$2)+1,"0000"))</f>
        <v/>
      </c>
    </row>
    <row r="238" customFormat="false" ht="15" hidden="false" customHeight="true" outlineLevel="0" collapsed="false">
      <c r="A238" s="32" t="str">
        <f aca="false">IF(AND(B238="",C238="",D238="",E238="",F238="",G238="",H238="",J238="",L238="",M238="",N238=""),"",Q238)</f>
        <v/>
      </c>
      <c r="B238" s="33"/>
      <c r="C238" s="33"/>
      <c r="D238" s="33"/>
      <c r="E238" s="33"/>
      <c r="F238" s="33"/>
      <c r="G238" s="33"/>
      <c r="H238" s="33"/>
      <c r="I238" s="1" t="str">
        <f aca="false">IF($A239="","",IFERROR(IF(ISBLANK(INDEX(SprintPlanning[Sprint],MATCH($A239,SprintPlanning[Requirement ID],0))),"To Plan",INDEX(SprintPlanning[Sprint],MATCH($A239,SprintPlanning[Requirement ID],0))),"To Plan"))</f>
        <v/>
      </c>
      <c r="J238" s="33"/>
      <c r="K238" s="1" t="str">
        <f aca="false">IFERROR(IF(ISBLANK(INDEX(Release[Release],MATCH($A239,Release[Requirement ID],0))),"",INDEX(Release[Release],MATCH($A239,Release[Requirement ID],0))),"")</f>
        <v/>
      </c>
      <c r="L238" s="33"/>
      <c r="M238" s="33"/>
      <c r="P238" s="1" t="n">
        <f aca="false">IFERROR(VALUE(MID($A238,5,4)),0)</f>
        <v>0</v>
      </c>
      <c r="Q238" s="1" t="str">
        <f aca="false">IF(B238="","","NEW-"&amp;TEXT(MAX($P$2:$P237,Lists!$N$2)+1,"0000"))</f>
        <v/>
      </c>
    </row>
    <row r="239" customFormat="false" ht="15" hidden="false" customHeight="true" outlineLevel="0" collapsed="false">
      <c r="A239" s="32" t="str">
        <f aca="false">IF(AND(B239="",C239="",D239="",E239="",F239="",G239="",H239="",J239="",L239="",M239="",N239=""),"",Q239)</f>
        <v/>
      </c>
      <c r="B239" s="33"/>
      <c r="C239" s="33"/>
      <c r="D239" s="33"/>
      <c r="E239" s="33"/>
      <c r="F239" s="33"/>
      <c r="G239" s="33"/>
      <c r="H239" s="33"/>
      <c r="I239" s="1" t="str">
        <f aca="false">IF($A240="","",IFERROR(IF(ISBLANK(INDEX(SprintPlanning[Sprint],MATCH($A240,SprintPlanning[Requirement ID],0))),"To Plan",INDEX(SprintPlanning[Sprint],MATCH($A240,SprintPlanning[Requirement ID],0))),"To Plan"))</f>
        <v/>
      </c>
      <c r="J239" s="33"/>
      <c r="K239" s="1" t="str">
        <f aca="false">IFERROR(IF(ISBLANK(INDEX(Release[Release],MATCH($A240,Release[Requirement ID],0))),"",INDEX(Release[Release],MATCH($A240,Release[Requirement ID],0))),"")</f>
        <v/>
      </c>
      <c r="L239" s="33"/>
      <c r="M239" s="33"/>
      <c r="P239" s="1" t="n">
        <f aca="false">IFERROR(VALUE(MID($A239,5,4)),0)</f>
        <v>0</v>
      </c>
      <c r="Q239" s="1" t="str">
        <f aca="false">IF(B239="","","NEW-"&amp;TEXT(MAX($P$2:$P238,Lists!$N$2)+1,"0000"))</f>
        <v/>
      </c>
    </row>
    <row r="240" customFormat="false" ht="15" hidden="false" customHeight="true" outlineLevel="0" collapsed="false">
      <c r="A240" s="32" t="str">
        <f aca="false">IF(AND(B240="",C240="",D240="",E240="",F240="",G240="",H240="",J240="",L240="",M240="",N240=""),"",Q240)</f>
        <v/>
      </c>
      <c r="B240" s="33"/>
      <c r="C240" s="33"/>
      <c r="D240" s="33"/>
      <c r="E240" s="33"/>
      <c r="F240" s="33"/>
      <c r="G240" s="33"/>
      <c r="H240" s="33"/>
      <c r="I240" s="1" t="str">
        <f aca="false">IF($A241="","",IFERROR(IF(ISBLANK(INDEX(SprintPlanning[Sprint],MATCH($A241,SprintPlanning[Requirement ID],0))),"To Plan",INDEX(SprintPlanning[Sprint],MATCH($A241,SprintPlanning[Requirement ID],0))),"To Plan"))</f>
        <v/>
      </c>
      <c r="J240" s="33"/>
      <c r="K240" s="1" t="str">
        <f aca="false">IFERROR(IF(ISBLANK(INDEX(Release[Release],MATCH($A241,Release[Requirement ID],0))),"",INDEX(Release[Release],MATCH($A241,Release[Requirement ID],0))),"")</f>
        <v/>
      </c>
      <c r="L240" s="33"/>
      <c r="M240" s="33"/>
      <c r="P240" s="1" t="n">
        <f aca="false">IFERROR(VALUE(MID($A240,5,4)),0)</f>
        <v>0</v>
      </c>
      <c r="Q240" s="1" t="str">
        <f aca="false">IF(B240="","","NEW-"&amp;TEXT(MAX($P$2:$P239,Lists!$N$2)+1,"0000"))</f>
        <v/>
      </c>
    </row>
    <row r="241" customFormat="false" ht="15" hidden="false" customHeight="true" outlineLevel="0" collapsed="false">
      <c r="A241" s="32" t="str">
        <f aca="false">IF(AND(B241="",C241="",D241="",E241="",F241="",G241="",H241="",J241="",L241="",M241="",N241=""),"",Q241)</f>
        <v/>
      </c>
      <c r="B241" s="33"/>
      <c r="C241" s="33"/>
      <c r="D241" s="33"/>
      <c r="E241" s="33"/>
      <c r="F241" s="33"/>
      <c r="G241" s="33"/>
      <c r="H241" s="33"/>
      <c r="I241" s="1" t="str">
        <f aca="false">IF($A242="","",IFERROR(IF(ISBLANK(INDEX(SprintPlanning[Sprint],MATCH($A242,SprintPlanning[Requirement ID],0))),"To Plan",INDEX(SprintPlanning[Sprint],MATCH($A242,SprintPlanning[Requirement ID],0))),"To Plan"))</f>
        <v/>
      </c>
      <c r="J241" s="33"/>
      <c r="K241" s="1" t="str">
        <f aca="false">IFERROR(IF(ISBLANK(INDEX(Release[Release],MATCH($A242,Release[Requirement ID],0))),"",INDEX(Release[Release],MATCH($A242,Release[Requirement ID],0))),"")</f>
        <v/>
      </c>
      <c r="L241" s="33"/>
      <c r="M241" s="33"/>
      <c r="P241" s="1" t="n">
        <f aca="false">IFERROR(VALUE(MID($A241,5,4)),0)</f>
        <v>0</v>
      </c>
      <c r="Q241" s="1" t="str">
        <f aca="false">IF(B241="","","NEW-"&amp;TEXT(MAX($P$2:$P240,Lists!$N$2)+1,"0000"))</f>
        <v/>
      </c>
    </row>
    <row r="242" customFormat="false" ht="15" hidden="false" customHeight="true" outlineLevel="0" collapsed="false">
      <c r="A242" s="32" t="str">
        <f aca="false">IF(AND(B242="",C242="",D242="",E242="",F242="",G242="",H242="",J242="",L242="",M242="",N242=""),"",Q242)</f>
        <v/>
      </c>
      <c r="B242" s="33"/>
      <c r="C242" s="33"/>
      <c r="D242" s="33"/>
      <c r="E242" s="33"/>
      <c r="F242" s="33"/>
      <c r="G242" s="33"/>
      <c r="H242" s="33"/>
      <c r="I242" s="1" t="str">
        <f aca="false">IF($A243="","",IFERROR(IF(ISBLANK(INDEX(SprintPlanning[Sprint],MATCH($A243,SprintPlanning[Requirement ID],0))),"To Plan",INDEX(SprintPlanning[Sprint],MATCH($A243,SprintPlanning[Requirement ID],0))),"To Plan"))</f>
        <v/>
      </c>
      <c r="J242" s="33"/>
      <c r="K242" s="1" t="str">
        <f aca="false">IFERROR(IF(ISBLANK(INDEX(Release[Release],MATCH($A243,Release[Requirement ID],0))),"",INDEX(Release[Release],MATCH($A243,Release[Requirement ID],0))),"")</f>
        <v/>
      </c>
      <c r="L242" s="33"/>
      <c r="M242" s="33"/>
      <c r="P242" s="1" t="n">
        <f aca="false">IFERROR(VALUE(MID($A242,5,4)),0)</f>
        <v>0</v>
      </c>
      <c r="Q242" s="1" t="str">
        <f aca="false">IF(B242="","","NEW-"&amp;TEXT(MAX($P$2:$P241,Lists!$N$2)+1,"0000"))</f>
        <v/>
      </c>
    </row>
    <row r="243" customFormat="false" ht="15" hidden="false" customHeight="true" outlineLevel="0" collapsed="false">
      <c r="A243" s="32" t="str">
        <f aca="false">IF(AND(B243="",C243="",D243="",E243="",F243="",G243="",H243="",J243="",L243="",M243="",N243=""),"",Q243)</f>
        <v/>
      </c>
      <c r="B243" s="33"/>
      <c r="C243" s="33"/>
      <c r="D243" s="33"/>
      <c r="E243" s="33"/>
      <c r="F243" s="33"/>
      <c r="G243" s="33"/>
      <c r="H243" s="33"/>
      <c r="I243" s="1" t="str">
        <f aca="false">IF($A244="","",IFERROR(IF(ISBLANK(INDEX(SprintPlanning[Sprint],MATCH($A244,SprintPlanning[Requirement ID],0))),"To Plan",INDEX(SprintPlanning[Sprint],MATCH($A244,SprintPlanning[Requirement ID],0))),"To Plan"))</f>
        <v/>
      </c>
      <c r="J243" s="33"/>
      <c r="K243" s="1" t="str">
        <f aca="false">IFERROR(IF(ISBLANK(INDEX(Release[Release],MATCH($A244,Release[Requirement ID],0))),"",INDEX(Release[Release],MATCH($A244,Release[Requirement ID],0))),"")</f>
        <v/>
      </c>
      <c r="L243" s="33"/>
      <c r="M243" s="33"/>
      <c r="P243" s="1" t="n">
        <f aca="false">IFERROR(VALUE(MID($A243,5,4)),0)</f>
        <v>0</v>
      </c>
      <c r="Q243" s="1" t="str">
        <f aca="false">IF(B243="","","NEW-"&amp;TEXT(MAX($P$2:$P242,Lists!$N$2)+1,"0000"))</f>
        <v/>
      </c>
    </row>
    <row r="244" customFormat="false" ht="15" hidden="false" customHeight="true" outlineLevel="0" collapsed="false">
      <c r="A244" s="32" t="str">
        <f aca="false">IF(AND(B244="",C244="",D244="",E244="",F244="",G244="",H244="",J244="",L244="",M244="",N244=""),"",Q244)</f>
        <v/>
      </c>
      <c r="B244" s="33"/>
      <c r="C244" s="33"/>
      <c r="D244" s="33"/>
      <c r="E244" s="33"/>
      <c r="F244" s="33"/>
      <c r="G244" s="33"/>
      <c r="H244" s="33"/>
      <c r="I244" s="1" t="str">
        <f aca="false">IF($A245="","",IFERROR(IF(ISBLANK(INDEX(SprintPlanning[Sprint],MATCH($A245,SprintPlanning[Requirement ID],0))),"To Plan",INDEX(SprintPlanning[Sprint],MATCH($A245,SprintPlanning[Requirement ID],0))),"To Plan"))</f>
        <v/>
      </c>
      <c r="J244" s="33"/>
      <c r="K244" s="1" t="str">
        <f aca="false">IFERROR(IF(ISBLANK(INDEX(Release[Release],MATCH($A245,Release[Requirement ID],0))),"",INDEX(Release[Release],MATCH($A245,Release[Requirement ID],0))),"")</f>
        <v/>
      </c>
      <c r="L244" s="33"/>
      <c r="M244" s="33"/>
      <c r="P244" s="1" t="n">
        <f aca="false">IFERROR(VALUE(MID($A244,5,4)),0)</f>
        <v>0</v>
      </c>
      <c r="Q244" s="1" t="str">
        <f aca="false">IF(B244="","","NEW-"&amp;TEXT(MAX($P$2:$P243,Lists!$N$2)+1,"0000"))</f>
        <v/>
      </c>
    </row>
    <row r="245" customFormat="false" ht="15" hidden="false" customHeight="true" outlineLevel="0" collapsed="false">
      <c r="A245" s="32" t="str">
        <f aca="false">IF(AND(B245="",C245="",D245="",E245="",F245="",G245="",H245="",J245="",L245="",M245="",N245=""),"",Q245)</f>
        <v/>
      </c>
      <c r="B245" s="33"/>
      <c r="C245" s="33"/>
      <c r="D245" s="33"/>
      <c r="E245" s="33"/>
      <c r="F245" s="33"/>
      <c r="G245" s="33"/>
      <c r="H245" s="33"/>
      <c r="I245" s="1" t="str">
        <f aca="false">IF($A246="","",IFERROR(IF(ISBLANK(INDEX(SprintPlanning[Sprint],MATCH($A246,SprintPlanning[Requirement ID],0))),"To Plan",INDEX(SprintPlanning[Sprint],MATCH($A246,SprintPlanning[Requirement ID],0))),"To Plan"))</f>
        <v/>
      </c>
      <c r="J245" s="33"/>
      <c r="K245" s="1" t="str">
        <f aca="false">IFERROR(IF(ISBLANK(INDEX(Release[Release],MATCH($A246,Release[Requirement ID],0))),"",INDEX(Release[Release],MATCH($A246,Release[Requirement ID],0))),"")</f>
        <v/>
      </c>
      <c r="L245" s="33"/>
      <c r="M245" s="33"/>
      <c r="P245" s="1" t="n">
        <f aca="false">IFERROR(VALUE(MID($A245,5,4)),0)</f>
        <v>0</v>
      </c>
      <c r="Q245" s="1" t="str">
        <f aca="false">IF(B245="","","NEW-"&amp;TEXT(MAX($P$2:$P244,Lists!$N$2)+1,"0000"))</f>
        <v/>
      </c>
    </row>
    <row r="246" customFormat="false" ht="15" hidden="false" customHeight="true" outlineLevel="0" collapsed="false">
      <c r="A246" s="32" t="str">
        <f aca="false">IF(AND(B246="",C246="",D246="",E246="",F246="",G246="",H246="",J246="",L246="",M246="",N246=""),"",Q246)</f>
        <v/>
      </c>
      <c r="B246" s="33"/>
      <c r="C246" s="33"/>
      <c r="D246" s="33"/>
      <c r="E246" s="33"/>
      <c r="F246" s="33"/>
      <c r="G246" s="33"/>
      <c r="H246" s="33"/>
      <c r="I246" s="1" t="str">
        <f aca="false">IF($A247="","",IFERROR(IF(ISBLANK(INDEX(SprintPlanning[Sprint],MATCH($A247,SprintPlanning[Requirement ID],0))),"To Plan",INDEX(SprintPlanning[Sprint],MATCH($A247,SprintPlanning[Requirement ID],0))),"To Plan"))</f>
        <v/>
      </c>
      <c r="J246" s="33"/>
      <c r="K246" s="1" t="str">
        <f aca="false">IFERROR(IF(ISBLANK(INDEX(Release[Release],MATCH($A247,Release[Requirement ID],0))),"",INDEX(Release[Release],MATCH($A247,Release[Requirement ID],0))),"")</f>
        <v/>
      </c>
      <c r="L246" s="33"/>
      <c r="M246" s="33"/>
      <c r="P246" s="1" t="n">
        <f aca="false">IFERROR(VALUE(MID($A246,5,4)),0)</f>
        <v>0</v>
      </c>
      <c r="Q246" s="1" t="str">
        <f aca="false">IF(B246="","","NEW-"&amp;TEXT(MAX($P$2:$P245,Lists!$N$2)+1,"0000"))</f>
        <v/>
      </c>
    </row>
    <row r="247" customFormat="false" ht="15" hidden="false" customHeight="true" outlineLevel="0" collapsed="false">
      <c r="A247" s="32" t="str">
        <f aca="false">IF(AND(B247="",C247="",D247="",E247="",F247="",G247="",H247="",J247="",L247="",M247="",N247=""),"",Q247)</f>
        <v/>
      </c>
      <c r="B247" s="33"/>
      <c r="C247" s="33"/>
      <c r="D247" s="33"/>
      <c r="E247" s="33"/>
      <c r="F247" s="33"/>
      <c r="G247" s="33"/>
      <c r="H247" s="33"/>
      <c r="I247" s="1" t="str">
        <f aca="false">IF($A248="","",IFERROR(IF(ISBLANK(INDEX(SprintPlanning[Sprint],MATCH($A248,SprintPlanning[Requirement ID],0))),"To Plan",INDEX(SprintPlanning[Sprint],MATCH($A248,SprintPlanning[Requirement ID],0))),"To Plan"))</f>
        <v/>
      </c>
      <c r="J247" s="33"/>
      <c r="K247" s="1" t="str">
        <f aca="false">IFERROR(IF(ISBLANK(INDEX(Release[Release],MATCH($A248,Release[Requirement ID],0))),"",INDEX(Release[Release],MATCH($A248,Release[Requirement ID],0))),"")</f>
        <v/>
      </c>
      <c r="L247" s="33"/>
      <c r="M247" s="33"/>
      <c r="P247" s="1" t="n">
        <f aca="false">IFERROR(VALUE(MID($A247,5,4)),0)</f>
        <v>0</v>
      </c>
      <c r="Q247" s="1" t="str">
        <f aca="false">IF(B247="","","NEW-"&amp;TEXT(MAX($P$2:$P246,Lists!$N$2)+1,"0000"))</f>
        <v/>
      </c>
    </row>
    <row r="248" customFormat="false" ht="15" hidden="false" customHeight="true" outlineLevel="0" collapsed="false">
      <c r="A248" s="32" t="str">
        <f aca="false">IF(AND(B248="",C248="",D248="",E248="",F248="",G248="",H248="",J248="",L248="",M248="",N248=""),"",Q248)</f>
        <v/>
      </c>
      <c r="B248" s="33"/>
      <c r="C248" s="33"/>
      <c r="D248" s="33"/>
      <c r="E248" s="33"/>
      <c r="F248" s="33"/>
      <c r="G248" s="33"/>
      <c r="H248" s="33"/>
      <c r="I248" s="1" t="str">
        <f aca="false">IF($A249="","",IFERROR(IF(ISBLANK(INDEX(SprintPlanning[Sprint],MATCH($A249,SprintPlanning[Requirement ID],0))),"To Plan",INDEX(SprintPlanning[Sprint],MATCH($A249,SprintPlanning[Requirement ID],0))),"To Plan"))</f>
        <v/>
      </c>
      <c r="J248" s="33"/>
      <c r="K248" s="1" t="str">
        <f aca="false">IFERROR(IF(ISBLANK(INDEX(Release[Release],MATCH($A249,Release[Requirement ID],0))),"",INDEX(Release[Release],MATCH($A249,Release[Requirement ID],0))),"")</f>
        <v/>
      </c>
      <c r="L248" s="33"/>
      <c r="M248" s="33"/>
      <c r="P248" s="1" t="n">
        <f aca="false">IFERROR(VALUE(MID($A248,5,4)),0)</f>
        <v>0</v>
      </c>
      <c r="Q248" s="1" t="str">
        <f aca="false">IF(B248="","","NEW-"&amp;TEXT(MAX($P$2:$P247,Lists!$N$2)+1,"0000"))</f>
        <v/>
      </c>
    </row>
    <row r="249" customFormat="false" ht="15" hidden="false" customHeight="true" outlineLevel="0" collapsed="false">
      <c r="A249" s="32" t="str">
        <f aca="false">IF(AND(B249="",C249="",D249="",E249="",F249="",G249="",H249="",J249="",L249="",M249="",N249=""),"",Q249)</f>
        <v/>
      </c>
      <c r="B249" s="33"/>
      <c r="C249" s="33"/>
      <c r="D249" s="33"/>
      <c r="E249" s="33"/>
      <c r="F249" s="33"/>
      <c r="G249" s="33"/>
      <c r="H249" s="33"/>
      <c r="I249" s="1" t="str">
        <f aca="false">IF($A250="","",IFERROR(IF(ISBLANK(INDEX(SprintPlanning[Sprint],MATCH($A250,SprintPlanning[Requirement ID],0))),"To Plan",INDEX(SprintPlanning[Sprint],MATCH($A250,SprintPlanning[Requirement ID],0))),"To Plan"))</f>
        <v/>
      </c>
      <c r="J249" s="33"/>
      <c r="K249" s="1" t="str">
        <f aca="false">IFERROR(IF(ISBLANK(INDEX(Release[Release],MATCH($A250,Release[Requirement ID],0))),"",INDEX(Release[Release],MATCH($A250,Release[Requirement ID],0))),"")</f>
        <v/>
      </c>
      <c r="L249" s="33"/>
      <c r="M249" s="33"/>
      <c r="P249" s="1" t="n">
        <f aca="false">IFERROR(VALUE(MID($A249,5,4)),0)</f>
        <v>0</v>
      </c>
      <c r="Q249" s="1" t="str">
        <f aca="false">IF(B249="","","NEW-"&amp;TEXT(MAX($P$2:$P248,Lists!$N$2)+1,"0000"))</f>
        <v/>
      </c>
    </row>
    <row r="250" customFormat="false" ht="15" hidden="false" customHeight="true" outlineLevel="0" collapsed="false">
      <c r="A250" s="32" t="str">
        <f aca="false">IF(AND(B250="",C250="",D250="",E250="",F250="",G250="",H250="",J250="",L250="",M250="",N250=""),"",Q250)</f>
        <v/>
      </c>
      <c r="B250" s="33"/>
      <c r="C250" s="33"/>
      <c r="D250" s="33"/>
      <c r="E250" s="33"/>
      <c r="F250" s="33"/>
      <c r="G250" s="33"/>
      <c r="H250" s="33"/>
      <c r="I250" s="1" t="str">
        <f aca="false">IF($A251="","",IFERROR(IF(ISBLANK(INDEX(SprintPlanning[Sprint],MATCH($A251,SprintPlanning[Requirement ID],0))),"To Plan",INDEX(SprintPlanning[Sprint],MATCH($A251,SprintPlanning[Requirement ID],0))),"To Plan"))</f>
        <v/>
      </c>
      <c r="J250" s="33"/>
      <c r="K250" s="1" t="str">
        <f aca="false">IFERROR(IF(ISBLANK(INDEX(Release[Release],MATCH($A251,Release[Requirement ID],0))),"",INDEX(Release[Release],MATCH($A251,Release[Requirement ID],0))),"")</f>
        <v/>
      </c>
      <c r="L250" s="33"/>
      <c r="M250" s="33"/>
      <c r="P250" s="1" t="n">
        <f aca="false">IFERROR(VALUE(MID($A250,5,4)),0)</f>
        <v>0</v>
      </c>
      <c r="Q250" s="1" t="str">
        <f aca="false">IF(B250="","","NEW-"&amp;TEXT(MAX($P$2:$P249,Lists!$N$2)+1,"0000"))</f>
        <v/>
      </c>
    </row>
    <row r="251" customFormat="false" ht="15" hidden="false" customHeight="true" outlineLevel="0" collapsed="false">
      <c r="A251" s="32" t="str">
        <f aca="false">IF(AND(B251="",C251="",D251="",E251="",F251="",G251="",H251="",J251="",L251="",M251="",N251=""),"",Q251)</f>
        <v/>
      </c>
      <c r="B251" s="33"/>
      <c r="C251" s="33"/>
      <c r="D251" s="33"/>
      <c r="E251" s="33"/>
      <c r="F251" s="33"/>
      <c r="G251" s="33"/>
      <c r="H251" s="33"/>
      <c r="I251" s="1" t="str">
        <f aca="false">IF($A252="","",IFERROR(IF(ISBLANK(INDEX(SprintPlanning[Sprint],MATCH($A252,SprintPlanning[Requirement ID],0))),"To Plan",INDEX(SprintPlanning[Sprint],MATCH($A252,SprintPlanning[Requirement ID],0))),"To Plan"))</f>
        <v/>
      </c>
      <c r="J251" s="33"/>
      <c r="K251" s="1" t="str">
        <f aca="false">IFERROR(IF(ISBLANK(INDEX(Release[Release],MATCH($A252,Release[Requirement ID],0))),"",INDEX(Release[Release],MATCH($A252,Release[Requirement ID],0))),"")</f>
        <v/>
      </c>
      <c r="L251" s="33"/>
      <c r="M251" s="33"/>
      <c r="P251" s="1" t="n">
        <f aca="false">IFERROR(VALUE(MID($A251,5,4)),0)</f>
        <v>0</v>
      </c>
      <c r="Q251" s="1" t="str">
        <f aca="false">IF(B251="","","NEW-"&amp;TEXT(MAX($P$2:$P250,Lists!$N$2)+1,"0000"))</f>
        <v/>
      </c>
    </row>
    <row r="252" customFormat="false" ht="15" hidden="false" customHeight="true" outlineLevel="0" collapsed="false">
      <c r="A252" s="32" t="str">
        <f aca="false">IF(AND(B252="",C252="",D252="",E252="",F252="",G252="",H252="",J252="",L252="",M252="",N252=""),"",Q252)</f>
        <v/>
      </c>
      <c r="B252" s="33"/>
      <c r="C252" s="33"/>
      <c r="D252" s="33"/>
      <c r="E252" s="33"/>
      <c r="F252" s="33"/>
      <c r="G252" s="33"/>
      <c r="H252" s="33"/>
      <c r="I252" s="1" t="str">
        <f aca="false">IF($A253="","",IFERROR(IF(ISBLANK(INDEX(SprintPlanning[Sprint],MATCH($A253,SprintPlanning[Requirement ID],0))),"To Plan",INDEX(SprintPlanning[Sprint],MATCH($A253,SprintPlanning[Requirement ID],0))),"To Plan"))</f>
        <v/>
      </c>
      <c r="J252" s="33"/>
      <c r="K252" s="1" t="str">
        <f aca="false">IFERROR(IF(ISBLANK(INDEX(Release[Release],MATCH($A253,Release[Requirement ID],0))),"",INDEX(Release[Release],MATCH($A253,Release[Requirement ID],0))),"")</f>
        <v/>
      </c>
      <c r="L252" s="33"/>
      <c r="M252" s="33"/>
      <c r="P252" s="1" t="n">
        <f aca="false">IFERROR(VALUE(MID($A252,5,4)),0)</f>
        <v>0</v>
      </c>
      <c r="Q252" s="1" t="str">
        <f aca="false">IF(B252="","","NEW-"&amp;TEXT(MAX($P$2:$P251,Lists!$N$2)+1,"0000"))</f>
        <v/>
      </c>
    </row>
    <row r="253" customFormat="false" ht="15" hidden="false" customHeight="true" outlineLevel="0" collapsed="false">
      <c r="A253" s="32" t="str">
        <f aca="false">IF(AND(B253="",C253="",D253="",E253="",F253="",G253="",H253="",J253="",L253="",M253="",N253=""),"",Q253)</f>
        <v/>
      </c>
      <c r="B253" s="33"/>
      <c r="C253" s="33"/>
      <c r="D253" s="33"/>
      <c r="E253" s="33"/>
      <c r="F253" s="33"/>
      <c r="G253" s="33"/>
      <c r="H253" s="33"/>
      <c r="I253" s="1" t="str">
        <f aca="false">IF($A254="","",IFERROR(IF(ISBLANK(INDEX(SprintPlanning[Sprint],MATCH($A254,SprintPlanning[Requirement ID],0))),"To Plan",INDEX(SprintPlanning[Sprint],MATCH($A254,SprintPlanning[Requirement ID],0))),"To Plan"))</f>
        <v/>
      </c>
      <c r="J253" s="33"/>
      <c r="K253" s="1" t="str">
        <f aca="false">IFERROR(IF(ISBLANK(INDEX(Release[Release],MATCH($A254,Release[Requirement ID],0))),"",INDEX(Release[Release],MATCH($A254,Release[Requirement ID],0))),"")</f>
        <v/>
      </c>
      <c r="L253" s="33"/>
      <c r="M253" s="33"/>
      <c r="P253" s="1" t="n">
        <f aca="false">IFERROR(VALUE(MID($A253,5,4)),0)</f>
        <v>0</v>
      </c>
      <c r="Q253" s="1" t="str">
        <f aca="false">IF(B253="","","NEW-"&amp;TEXT(MAX($P$2:$P252,Lists!$N$2)+1,"0000"))</f>
        <v/>
      </c>
    </row>
    <row r="254" customFormat="false" ht="15" hidden="false" customHeight="true" outlineLevel="0" collapsed="false">
      <c r="A254" s="32" t="str">
        <f aca="false">IF(AND(B254="",C254="",D254="",E254="",F254="",G254="",H254="",J254="",L254="",M254="",N254=""),"",Q254)</f>
        <v/>
      </c>
      <c r="B254" s="33"/>
      <c r="C254" s="33"/>
      <c r="D254" s="33"/>
      <c r="E254" s="33"/>
      <c r="F254" s="33"/>
      <c r="G254" s="33"/>
      <c r="H254" s="33"/>
      <c r="I254" s="1" t="str">
        <f aca="false">IF($A255="","",IFERROR(IF(ISBLANK(INDEX(SprintPlanning[Sprint],MATCH($A255,SprintPlanning[Requirement ID],0))),"To Plan",INDEX(SprintPlanning[Sprint],MATCH($A255,SprintPlanning[Requirement ID],0))),"To Plan"))</f>
        <v/>
      </c>
      <c r="J254" s="33"/>
      <c r="K254" s="1" t="str">
        <f aca="false">IFERROR(IF(ISBLANK(INDEX(Release[Release],MATCH($A255,Release[Requirement ID],0))),"",INDEX(Release[Release],MATCH($A255,Release[Requirement ID],0))),"")</f>
        <v/>
      </c>
      <c r="L254" s="33"/>
      <c r="M254" s="33"/>
      <c r="P254" s="1" t="n">
        <f aca="false">IFERROR(VALUE(MID($A254,5,4)),0)</f>
        <v>0</v>
      </c>
      <c r="Q254" s="1" t="str">
        <f aca="false">IF(B254="","","NEW-"&amp;TEXT(MAX($P$2:$P253,Lists!$N$2)+1,"0000"))</f>
        <v/>
      </c>
    </row>
    <row r="255" customFormat="false" ht="15" hidden="false" customHeight="true" outlineLevel="0" collapsed="false">
      <c r="A255" s="32" t="str">
        <f aca="false">IF(AND(B255="",C255="",D255="",E255="",F255="",G255="",H255="",J255="",L255="",M255="",N255=""),"",Q255)</f>
        <v/>
      </c>
      <c r="B255" s="33"/>
      <c r="C255" s="33"/>
      <c r="D255" s="33"/>
      <c r="E255" s="33"/>
      <c r="F255" s="33"/>
      <c r="G255" s="33"/>
      <c r="H255" s="33"/>
      <c r="I255" s="1" t="str">
        <f aca="false">IF($A256="","",IFERROR(IF(ISBLANK(INDEX(SprintPlanning[Sprint],MATCH($A256,SprintPlanning[Requirement ID],0))),"To Plan",INDEX(SprintPlanning[Sprint],MATCH($A256,SprintPlanning[Requirement ID],0))),"To Plan"))</f>
        <v/>
      </c>
      <c r="J255" s="33"/>
      <c r="K255" s="1" t="str">
        <f aca="false">IFERROR(IF(ISBLANK(INDEX(Release[Release],MATCH($A256,Release[Requirement ID],0))),"",INDEX(Release[Release],MATCH($A256,Release[Requirement ID],0))),"")</f>
        <v/>
      </c>
      <c r="L255" s="33"/>
      <c r="M255" s="33"/>
      <c r="P255" s="1" t="n">
        <f aca="false">IFERROR(VALUE(MID($A255,5,4)),0)</f>
        <v>0</v>
      </c>
      <c r="Q255" s="1" t="str">
        <f aca="false">IF(B255="","","NEW-"&amp;TEXT(MAX($P$2:$P254,Lists!$N$2)+1,"0000"))</f>
        <v/>
      </c>
    </row>
    <row r="256" customFormat="false" ht="15" hidden="false" customHeight="true" outlineLevel="0" collapsed="false">
      <c r="A256" s="32" t="str">
        <f aca="false">IF(AND(B256="",C256="",D256="",E256="",F256="",G256="",H256="",J256="",L256="",M256="",N256=""),"",Q256)</f>
        <v/>
      </c>
      <c r="B256" s="33"/>
      <c r="C256" s="33"/>
      <c r="D256" s="33"/>
      <c r="E256" s="33"/>
      <c r="F256" s="33"/>
      <c r="G256" s="33"/>
      <c r="H256" s="33"/>
      <c r="I256" s="1" t="str">
        <f aca="false">IF($A257="","",IFERROR(IF(ISBLANK(INDEX(SprintPlanning[Sprint],MATCH($A257,SprintPlanning[Requirement ID],0))),"To Plan",INDEX(SprintPlanning[Sprint],MATCH($A257,SprintPlanning[Requirement ID],0))),"To Plan"))</f>
        <v/>
      </c>
      <c r="J256" s="33"/>
      <c r="K256" s="1" t="str">
        <f aca="false">IFERROR(IF(ISBLANK(INDEX(Release[Release],MATCH($A257,Release[Requirement ID],0))),"",INDEX(Release[Release],MATCH($A257,Release[Requirement ID],0))),"")</f>
        <v/>
      </c>
      <c r="L256" s="33"/>
      <c r="M256" s="33"/>
      <c r="P256" s="1" t="n">
        <f aca="false">IFERROR(VALUE(MID($A256,5,4)),0)</f>
        <v>0</v>
      </c>
      <c r="Q256" s="1" t="str">
        <f aca="false">IF(B256="","","NEW-"&amp;TEXT(MAX($P$2:$P255,Lists!$N$2)+1,"0000"))</f>
        <v/>
      </c>
    </row>
    <row r="257" customFormat="false" ht="15" hidden="false" customHeight="true" outlineLevel="0" collapsed="false">
      <c r="A257" s="32" t="str">
        <f aca="false">IF(AND(B257="",C257="",D257="",E257="",F257="",G257="",H257="",J257="",L257="",M257="",N257=""),"",Q257)</f>
        <v/>
      </c>
      <c r="B257" s="33"/>
      <c r="C257" s="33"/>
      <c r="D257" s="33"/>
      <c r="E257" s="33"/>
      <c r="F257" s="33"/>
      <c r="G257" s="33"/>
      <c r="H257" s="33"/>
      <c r="I257" s="1" t="str">
        <f aca="false">IF($A258="","",IFERROR(IF(ISBLANK(INDEX(SprintPlanning[Sprint],MATCH($A258,SprintPlanning[Requirement ID],0))),"To Plan",INDEX(SprintPlanning[Sprint],MATCH($A258,SprintPlanning[Requirement ID],0))),"To Plan"))</f>
        <v/>
      </c>
      <c r="J257" s="33"/>
      <c r="K257" s="1" t="str">
        <f aca="false">IFERROR(IF(ISBLANK(INDEX(Release[Release],MATCH($A258,Release[Requirement ID],0))),"",INDEX(Release[Release],MATCH($A258,Release[Requirement ID],0))),"")</f>
        <v/>
      </c>
      <c r="L257" s="33"/>
      <c r="M257" s="33"/>
      <c r="P257" s="1" t="n">
        <f aca="false">IFERROR(VALUE(MID($A257,5,4)),0)</f>
        <v>0</v>
      </c>
      <c r="Q257" s="1" t="str">
        <f aca="false">IF(B257="","","NEW-"&amp;TEXT(MAX($P$2:$P256,Lists!$N$2)+1,"0000"))</f>
        <v/>
      </c>
    </row>
    <row r="258" customFormat="false" ht="15" hidden="false" customHeight="true" outlineLevel="0" collapsed="false">
      <c r="A258" s="32" t="str">
        <f aca="false">IF(AND(B258="",C258="",D258="",E258="",F258="",G258="",H258="",J258="",L258="",M258="",N258=""),"",Q258)</f>
        <v/>
      </c>
      <c r="B258" s="33"/>
      <c r="C258" s="33"/>
      <c r="D258" s="33"/>
      <c r="E258" s="33"/>
      <c r="F258" s="33"/>
      <c r="G258" s="33"/>
      <c r="H258" s="33"/>
      <c r="I258" s="1" t="str">
        <f aca="false">IF($A259="","",IFERROR(IF(ISBLANK(INDEX(SprintPlanning[Sprint],MATCH($A259,SprintPlanning[Requirement ID],0))),"To Plan",INDEX(SprintPlanning[Sprint],MATCH($A259,SprintPlanning[Requirement ID],0))),"To Plan"))</f>
        <v/>
      </c>
      <c r="J258" s="33"/>
      <c r="K258" s="1" t="str">
        <f aca="false">IFERROR(IF(ISBLANK(INDEX(Release[Release],MATCH($A259,Release[Requirement ID],0))),"",INDEX(Release[Release],MATCH($A259,Release[Requirement ID],0))),"")</f>
        <v/>
      </c>
      <c r="L258" s="33"/>
      <c r="M258" s="33"/>
      <c r="P258" s="1" t="n">
        <f aca="false">IFERROR(VALUE(MID($A258,5,4)),0)</f>
        <v>0</v>
      </c>
      <c r="Q258" s="1" t="str">
        <f aca="false">IF(B258="","","NEW-"&amp;TEXT(MAX($P$2:$P257,Lists!$N$2)+1,"0000"))</f>
        <v/>
      </c>
    </row>
    <row r="259" customFormat="false" ht="15" hidden="false" customHeight="true" outlineLevel="0" collapsed="false">
      <c r="A259" s="32" t="str">
        <f aca="false">IF(AND(B259="",C259="",D259="",E259="",F259="",G259="",H259="",J259="",L259="",M259="",N259=""),"",Q259)</f>
        <v/>
      </c>
      <c r="B259" s="33"/>
      <c r="C259" s="33"/>
      <c r="D259" s="33"/>
      <c r="E259" s="33"/>
      <c r="F259" s="33"/>
      <c r="G259" s="33"/>
      <c r="H259" s="33"/>
      <c r="I259" s="1" t="str">
        <f aca="false">IF($A260="","",IFERROR(IF(ISBLANK(INDEX(SprintPlanning[Sprint],MATCH($A260,SprintPlanning[Requirement ID],0))),"To Plan",INDEX(SprintPlanning[Sprint],MATCH($A260,SprintPlanning[Requirement ID],0))),"To Plan"))</f>
        <v/>
      </c>
      <c r="J259" s="33"/>
      <c r="K259" s="1" t="str">
        <f aca="false">IFERROR(IF(ISBLANK(INDEX(Release[Release],MATCH($A260,Release[Requirement ID],0))),"",INDEX(Release[Release],MATCH($A260,Release[Requirement ID],0))),"")</f>
        <v/>
      </c>
      <c r="L259" s="33"/>
      <c r="M259" s="33"/>
      <c r="P259" s="1" t="n">
        <f aca="false">IFERROR(VALUE(MID($A259,5,4)),0)</f>
        <v>0</v>
      </c>
      <c r="Q259" s="1" t="str">
        <f aca="false">IF(B259="","","NEW-"&amp;TEXT(MAX($P$2:$P258,Lists!$N$2)+1,"0000"))</f>
        <v/>
      </c>
    </row>
    <row r="260" customFormat="false" ht="15" hidden="false" customHeight="true" outlineLevel="0" collapsed="false">
      <c r="A260" s="32" t="str">
        <f aca="false">IF(AND(B260="",C260="",D260="",E260="",F260="",G260="",H260="",J260="",L260="",M260="",N260=""),"",Q260)</f>
        <v/>
      </c>
      <c r="B260" s="33"/>
      <c r="C260" s="33"/>
      <c r="D260" s="33"/>
      <c r="E260" s="33"/>
      <c r="F260" s="33"/>
      <c r="G260" s="33"/>
      <c r="H260" s="33"/>
      <c r="I260" s="1" t="str">
        <f aca="false">IF($A261="","",IFERROR(IF(ISBLANK(INDEX(SprintPlanning[Sprint],MATCH($A261,SprintPlanning[Requirement ID],0))),"To Plan",INDEX(SprintPlanning[Sprint],MATCH($A261,SprintPlanning[Requirement ID],0))),"To Plan"))</f>
        <v/>
      </c>
      <c r="J260" s="33"/>
      <c r="K260" s="1" t="str">
        <f aca="false">IFERROR(IF(ISBLANK(INDEX(Release[Release],MATCH($A261,Release[Requirement ID],0))),"",INDEX(Release[Release],MATCH($A261,Release[Requirement ID],0))),"")</f>
        <v/>
      </c>
      <c r="L260" s="33"/>
      <c r="M260" s="33"/>
      <c r="P260" s="1" t="n">
        <f aca="false">IFERROR(VALUE(MID($A260,5,4)),0)</f>
        <v>0</v>
      </c>
      <c r="Q260" s="1" t="str">
        <f aca="false">IF(B260="","","NEW-"&amp;TEXT(MAX($P$2:$P259,Lists!$N$2)+1,"0000"))</f>
        <v/>
      </c>
    </row>
    <row r="261" customFormat="false" ht="15" hidden="false" customHeight="true" outlineLevel="0" collapsed="false">
      <c r="A261" s="32" t="str">
        <f aca="false">IF(AND(B261="",C261="",D261="",E261="",F261="",G261="",H261="",J261="",L261="",M261="",N261=""),"",Q261)</f>
        <v/>
      </c>
      <c r="B261" s="33"/>
      <c r="C261" s="33"/>
      <c r="D261" s="33"/>
      <c r="E261" s="33"/>
      <c r="F261" s="33"/>
      <c r="G261" s="33"/>
      <c r="H261" s="33"/>
      <c r="I261" s="1" t="str">
        <f aca="false">IF($A262="","",IFERROR(IF(ISBLANK(INDEX(SprintPlanning[Sprint],MATCH($A262,SprintPlanning[Requirement ID],0))),"To Plan",INDEX(SprintPlanning[Sprint],MATCH($A262,SprintPlanning[Requirement ID],0))),"To Plan"))</f>
        <v/>
      </c>
      <c r="J261" s="33"/>
      <c r="K261" s="1" t="str">
        <f aca="false">IFERROR(IF(ISBLANK(INDEX(Release[Release],MATCH($A262,Release[Requirement ID],0))),"",INDEX(Release[Release],MATCH($A262,Release[Requirement ID],0))),"")</f>
        <v/>
      </c>
      <c r="L261" s="33"/>
      <c r="M261" s="33"/>
      <c r="P261" s="1" t="n">
        <f aca="false">IFERROR(VALUE(MID($A261,5,4)),0)</f>
        <v>0</v>
      </c>
      <c r="Q261" s="1" t="str">
        <f aca="false">IF(B261="","","NEW-"&amp;TEXT(MAX($P$2:$P260,Lists!$N$2)+1,"0000"))</f>
        <v/>
      </c>
    </row>
    <row r="262" customFormat="false" ht="15" hidden="false" customHeight="true" outlineLevel="0" collapsed="false">
      <c r="A262" s="32" t="str">
        <f aca="false">IF(AND(B262="",C262="",D262="",E262="",F262="",G262="",H262="",J262="",L262="",M262="",N262=""),"",Q262)</f>
        <v/>
      </c>
      <c r="B262" s="33"/>
      <c r="C262" s="33"/>
      <c r="D262" s="33"/>
      <c r="E262" s="33"/>
      <c r="F262" s="33"/>
      <c r="G262" s="33"/>
      <c r="H262" s="33"/>
      <c r="I262" s="1" t="str">
        <f aca="false">IF($A263="","",IFERROR(IF(ISBLANK(INDEX(SprintPlanning[Sprint],MATCH($A263,SprintPlanning[Requirement ID],0))),"To Plan",INDEX(SprintPlanning[Sprint],MATCH($A263,SprintPlanning[Requirement ID],0))),"To Plan"))</f>
        <v/>
      </c>
      <c r="J262" s="33"/>
      <c r="K262" s="1" t="str">
        <f aca="false">IFERROR(IF(ISBLANK(INDEX(Release[Release],MATCH($A263,Release[Requirement ID],0))),"",INDEX(Release[Release],MATCH($A263,Release[Requirement ID],0))),"")</f>
        <v/>
      </c>
      <c r="L262" s="33"/>
      <c r="M262" s="33"/>
      <c r="P262" s="1" t="n">
        <f aca="false">IFERROR(VALUE(MID($A262,5,4)),0)</f>
        <v>0</v>
      </c>
      <c r="Q262" s="1" t="str">
        <f aca="false">IF(B262="","","NEW-"&amp;TEXT(MAX($P$2:$P261,Lists!$N$2)+1,"0000"))</f>
        <v/>
      </c>
    </row>
    <row r="263" customFormat="false" ht="15" hidden="false" customHeight="true" outlineLevel="0" collapsed="false">
      <c r="A263" s="32" t="str">
        <f aca="false">IF(AND(B263="",C263="",D263="",E263="",F263="",G263="",H263="",J263="",L263="",M263="",N263=""),"",Q263)</f>
        <v/>
      </c>
      <c r="B263" s="33"/>
      <c r="C263" s="33"/>
      <c r="D263" s="33"/>
      <c r="E263" s="33"/>
      <c r="F263" s="33"/>
      <c r="G263" s="33"/>
      <c r="H263" s="33"/>
      <c r="I263" s="1" t="str">
        <f aca="false">IF($A264="","",IFERROR(IF(ISBLANK(INDEX(SprintPlanning[Sprint],MATCH($A264,SprintPlanning[Requirement ID],0))),"To Plan",INDEX(SprintPlanning[Sprint],MATCH($A264,SprintPlanning[Requirement ID],0))),"To Plan"))</f>
        <v/>
      </c>
      <c r="J263" s="33"/>
      <c r="K263" s="1" t="str">
        <f aca="false">IFERROR(IF(ISBLANK(INDEX(Release[Release],MATCH($A264,Release[Requirement ID],0))),"",INDEX(Release[Release],MATCH($A264,Release[Requirement ID],0))),"")</f>
        <v/>
      </c>
      <c r="L263" s="33"/>
      <c r="M263" s="33"/>
      <c r="P263" s="1" t="n">
        <f aca="false">IFERROR(VALUE(MID($A263,5,4)),0)</f>
        <v>0</v>
      </c>
      <c r="Q263" s="1" t="str">
        <f aca="false">IF(B263="","","NEW-"&amp;TEXT(MAX($P$2:$P262,Lists!$N$2)+1,"0000"))</f>
        <v/>
      </c>
    </row>
    <row r="264" customFormat="false" ht="15" hidden="false" customHeight="true" outlineLevel="0" collapsed="false">
      <c r="A264" s="32" t="str">
        <f aca="false">IF(AND(B264="",C264="",D264="",E264="",F264="",G264="",H264="",J264="",L264="",M264="",N264=""),"",Q264)</f>
        <v/>
      </c>
      <c r="B264" s="33"/>
      <c r="C264" s="33"/>
      <c r="D264" s="33"/>
      <c r="E264" s="33"/>
      <c r="F264" s="33"/>
      <c r="G264" s="33"/>
      <c r="H264" s="33"/>
      <c r="I264" s="1" t="str">
        <f aca="false">IF($A265="","",IFERROR(IF(ISBLANK(INDEX(SprintPlanning[Sprint],MATCH($A265,SprintPlanning[Requirement ID],0))),"To Plan",INDEX(SprintPlanning[Sprint],MATCH($A265,SprintPlanning[Requirement ID],0))),"To Plan"))</f>
        <v/>
      </c>
      <c r="J264" s="33"/>
      <c r="K264" s="1" t="str">
        <f aca="false">IFERROR(IF(ISBLANK(INDEX(Release[Release],MATCH($A265,Release[Requirement ID],0))),"",INDEX(Release[Release],MATCH($A265,Release[Requirement ID],0))),"")</f>
        <v/>
      </c>
      <c r="L264" s="33"/>
      <c r="M264" s="33"/>
      <c r="P264" s="1" t="n">
        <f aca="false">IFERROR(VALUE(MID($A264,5,4)),0)</f>
        <v>0</v>
      </c>
      <c r="Q264" s="1" t="str">
        <f aca="false">IF(B264="","","NEW-"&amp;TEXT(MAX($P$2:$P263,Lists!$N$2)+1,"0000"))</f>
        <v/>
      </c>
    </row>
    <row r="265" customFormat="false" ht="15" hidden="false" customHeight="true" outlineLevel="0" collapsed="false">
      <c r="A265" s="32" t="str">
        <f aca="false">IF(AND(B265="",C265="",D265="",E265="",F265="",G265="",H265="",J265="",L265="",M265="",N265=""),"",Q265)</f>
        <v/>
      </c>
      <c r="B265" s="33"/>
      <c r="C265" s="33"/>
      <c r="D265" s="33"/>
      <c r="E265" s="33"/>
      <c r="F265" s="33"/>
      <c r="G265" s="33"/>
      <c r="H265" s="33"/>
      <c r="I265" s="1" t="str">
        <f aca="false">IF($A266="","",IFERROR(IF(ISBLANK(INDEX(SprintPlanning[Sprint],MATCH($A266,SprintPlanning[Requirement ID],0))),"To Plan",INDEX(SprintPlanning[Sprint],MATCH($A266,SprintPlanning[Requirement ID],0))),"To Plan"))</f>
        <v/>
      </c>
      <c r="J265" s="33"/>
      <c r="K265" s="1" t="str">
        <f aca="false">IFERROR(IF(ISBLANK(INDEX(Release[Release],MATCH($A266,Release[Requirement ID],0))),"",INDEX(Release[Release],MATCH($A266,Release[Requirement ID],0))),"")</f>
        <v/>
      </c>
      <c r="L265" s="33"/>
      <c r="M265" s="33"/>
      <c r="P265" s="1" t="n">
        <f aca="false">IFERROR(VALUE(MID($A265,5,4)),0)</f>
        <v>0</v>
      </c>
      <c r="Q265" s="1" t="str">
        <f aca="false">IF(B265="","","NEW-"&amp;TEXT(MAX($P$2:$P264,Lists!$N$2)+1,"0000"))</f>
        <v/>
      </c>
    </row>
    <row r="266" customFormat="false" ht="15" hidden="false" customHeight="true" outlineLevel="0" collapsed="false">
      <c r="A266" s="32" t="str">
        <f aca="false">IF(AND(B266="",C266="",D266="",E266="",F266="",G266="",H266="",J266="",L266="",M266="",N266=""),"",Q266)</f>
        <v/>
      </c>
      <c r="B266" s="33"/>
      <c r="C266" s="33"/>
      <c r="D266" s="33"/>
      <c r="E266" s="33"/>
      <c r="F266" s="33"/>
      <c r="G266" s="33"/>
      <c r="H266" s="33"/>
      <c r="I266" s="1" t="str">
        <f aca="false">IF($A267="","",IFERROR(IF(ISBLANK(INDEX(SprintPlanning[Sprint],MATCH($A267,SprintPlanning[Requirement ID],0))),"To Plan",INDEX(SprintPlanning[Sprint],MATCH($A267,SprintPlanning[Requirement ID],0))),"To Plan"))</f>
        <v/>
      </c>
      <c r="J266" s="33"/>
      <c r="K266" s="1" t="str">
        <f aca="false">IFERROR(IF(ISBLANK(INDEX(Release[Release],MATCH($A267,Release[Requirement ID],0))),"",INDEX(Release[Release],MATCH($A267,Release[Requirement ID],0))),"")</f>
        <v/>
      </c>
      <c r="L266" s="33"/>
      <c r="M266" s="33"/>
      <c r="P266" s="1" t="n">
        <f aca="false">IFERROR(VALUE(MID($A266,5,4)),0)</f>
        <v>0</v>
      </c>
      <c r="Q266" s="1" t="str">
        <f aca="false">IF(B266="","","NEW-"&amp;TEXT(MAX($P$2:$P265,Lists!$N$2)+1,"0000"))</f>
        <v/>
      </c>
    </row>
    <row r="267" customFormat="false" ht="15" hidden="false" customHeight="true" outlineLevel="0" collapsed="false">
      <c r="A267" s="32" t="str">
        <f aca="false">IF(AND(B267="",C267="",D267="",E267="",F267="",G267="",H267="",J267="",L267="",M267="",N267=""),"",Q267)</f>
        <v/>
      </c>
      <c r="B267" s="33"/>
      <c r="C267" s="33"/>
      <c r="D267" s="33"/>
      <c r="E267" s="33"/>
      <c r="F267" s="33"/>
      <c r="G267" s="33"/>
      <c r="H267" s="33"/>
      <c r="I267" s="1" t="str">
        <f aca="false">IF($A268="","",IFERROR(IF(ISBLANK(INDEX(SprintPlanning[Sprint],MATCH($A268,SprintPlanning[Requirement ID],0))),"To Plan",INDEX(SprintPlanning[Sprint],MATCH($A268,SprintPlanning[Requirement ID],0))),"To Plan"))</f>
        <v/>
      </c>
      <c r="J267" s="33"/>
      <c r="K267" s="1" t="str">
        <f aca="false">IFERROR(IF(ISBLANK(INDEX(Release[Release],MATCH($A268,Release[Requirement ID],0))),"",INDEX(Release[Release],MATCH($A268,Release[Requirement ID],0))),"")</f>
        <v/>
      </c>
      <c r="L267" s="33"/>
      <c r="M267" s="33"/>
      <c r="P267" s="1" t="n">
        <f aca="false">IFERROR(VALUE(MID($A267,5,4)),0)</f>
        <v>0</v>
      </c>
      <c r="Q267" s="1" t="str">
        <f aca="false">IF(B267="","","NEW-"&amp;TEXT(MAX($P$2:$P266,Lists!$N$2)+1,"0000"))</f>
        <v/>
      </c>
    </row>
    <row r="268" customFormat="false" ht="15" hidden="false" customHeight="true" outlineLevel="0" collapsed="false">
      <c r="A268" s="32" t="str">
        <f aca="false">IF(AND(B268="",C268="",D268="",E268="",F268="",G268="",H268="",J268="",L268="",M268="",N268=""),"",Q268)</f>
        <v/>
      </c>
      <c r="B268" s="33"/>
      <c r="C268" s="33"/>
      <c r="D268" s="33"/>
      <c r="E268" s="33"/>
      <c r="F268" s="33"/>
      <c r="G268" s="33"/>
      <c r="H268" s="33"/>
      <c r="I268" s="1" t="str">
        <f aca="false">IF($A269="","",IFERROR(IF(ISBLANK(INDEX(SprintPlanning[Sprint],MATCH($A269,SprintPlanning[Requirement ID],0))),"To Plan",INDEX(SprintPlanning[Sprint],MATCH($A269,SprintPlanning[Requirement ID],0))),"To Plan"))</f>
        <v/>
      </c>
      <c r="J268" s="33"/>
      <c r="K268" s="1" t="str">
        <f aca="false">IFERROR(IF(ISBLANK(INDEX(Release[Release],MATCH($A269,Release[Requirement ID],0))),"",INDEX(Release[Release],MATCH($A269,Release[Requirement ID],0))),"")</f>
        <v/>
      </c>
      <c r="L268" s="33"/>
      <c r="M268" s="33"/>
      <c r="P268" s="1" t="n">
        <f aca="false">IFERROR(VALUE(MID($A268,5,4)),0)</f>
        <v>0</v>
      </c>
      <c r="Q268" s="1" t="str">
        <f aca="false">IF(B268="","","NEW-"&amp;TEXT(MAX($P$2:$P267,Lists!$N$2)+1,"0000"))</f>
        <v/>
      </c>
    </row>
    <row r="269" customFormat="false" ht="15" hidden="false" customHeight="true" outlineLevel="0" collapsed="false">
      <c r="A269" s="32" t="str">
        <f aca="false">IF(AND(B269="",C269="",D269="",E269="",F269="",G269="",H269="",J269="",L269="",M269="",N269=""),"",Q269)</f>
        <v/>
      </c>
      <c r="B269" s="33"/>
      <c r="C269" s="33"/>
      <c r="D269" s="33"/>
      <c r="E269" s="33"/>
      <c r="F269" s="33"/>
      <c r="G269" s="33"/>
      <c r="H269" s="33"/>
      <c r="I269" s="1" t="str">
        <f aca="false">IF($A270="","",IFERROR(IF(ISBLANK(INDEX(SprintPlanning[Sprint],MATCH($A270,SprintPlanning[Requirement ID],0))),"To Plan",INDEX(SprintPlanning[Sprint],MATCH($A270,SprintPlanning[Requirement ID],0))),"To Plan"))</f>
        <v/>
      </c>
      <c r="J269" s="33"/>
      <c r="K269" s="1" t="str">
        <f aca="false">IFERROR(IF(ISBLANK(INDEX(Release[Release],MATCH($A270,Release[Requirement ID],0))),"",INDEX(Release[Release],MATCH($A270,Release[Requirement ID],0))),"")</f>
        <v/>
      </c>
      <c r="L269" s="33"/>
      <c r="M269" s="33"/>
      <c r="P269" s="1" t="n">
        <f aca="false">IFERROR(VALUE(MID($A269,5,4)),0)</f>
        <v>0</v>
      </c>
      <c r="Q269" s="1" t="str">
        <f aca="false">IF(B269="","","NEW-"&amp;TEXT(MAX($P$2:$P268,Lists!$N$2)+1,"0000"))</f>
        <v/>
      </c>
    </row>
    <row r="270" customFormat="false" ht="15" hidden="false" customHeight="true" outlineLevel="0" collapsed="false">
      <c r="A270" s="32" t="str">
        <f aca="false">IF(AND(B270="",C270="",D270="",E270="",F270="",G270="",H270="",J270="",L270="",M270="",N270=""),"",Q270)</f>
        <v/>
      </c>
      <c r="B270" s="33"/>
      <c r="C270" s="33"/>
      <c r="D270" s="33"/>
      <c r="E270" s="33"/>
      <c r="F270" s="33"/>
      <c r="G270" s="33"/>
      <c r="H270" s="33"/>
      <c r="I270" s="1" t="str">
        <f aca="false">IF($A271="","",IFERROR(IF(ISBLANK(INDEX(SprintPlanning[Sprint],MATCH($A271,SprintPlanning[Requirement ID],0))),"To Plan",INDEX(SprintPlanning[Sprint],MATCH($A271,SprintPlanning[Requirement ID],0))),"To Plan"))</f>
        <v/>
      </c>
      <c r="J270" s="33"/>
      <c r="K270" s="1" t="str">
        <f aca="false">IFERROR(IF(ISBLANK(INDEX(Release[Release],MATCH($A271,Release[Requirement ID],0))),"",INDEX(Release[Release],MATCH($A271,Release[Requirement ID],0))),"")</f>
        <v/>
      </c>
      <c r="L270" s="33"/>
      <c r="M270" s="33"/>
      <c r="P270" s="1" t="n">
        <f aca="false">IFERROR(VALUE(MID($A270,5,4)),0)</f>
        <v>0</v>
      </c>
      <c r="Q270" s="1" t="str">
        <f aca="false">IF(B270="","","NEW-"&amp;TEXT(MAX($P$2:$P269,Lists!$N$2)+1,"0000"))</f>
        <v/>
      </c>
    </row>
    <row r="271" customFormat="false" ht="15" hidden="false" customHeight="true" outlineLevel="0" collapsed="false">
      <c r="A271" s="32" t="str">
        <f aca="false">IF(AND(B271="",C271="",D271="",E271="",F271="",G271="",H271="",J271="",L271="",M271="",N271=""),"",Q271)</f>
        <v/>
      </c>
      <c r="B271" s="33"/>
      <c r="C271" s="33"/>
      <c r="D271" s="33"/>
      <c r="E271" s="33"/>
      <c r="F271" s="33"/>
      <c r="G271" s="33"/>
      <c r="H271" s="33"/>
      <c r="I271" s="1" t="str">
        <f aca="false">IF($A272="","",IFERROR(IF(ISBLANK(INDEX(SprintPlanning[Sprint],MATCH($A272,SprintPlanning[Requirement ID],0))),"To Plan",INDEX(SprintPlanning[Sprint],MATCH($A272,SprintPlanning[Requirement ID],0))),"To Plan"))</f>
        <v/>
      </c>
      <c r="J271" s="33"/>
      <c r="K271" s="1" t="str">
        <f aca="false">IFERROR(IF(ISBLANK(INDEX(Release[Release],MATCH($A272,Release[Requirement ID],0))),"",INDEX(Release[Release],MATCH($A272,Release[Requirement ID],0))),"")</f>
        <v/>
      </c>
      <c r="L271" s="33"/>
      <c r="M271" s="33"/>
      <c r="P271" s="1" t="n">
        <f aca="false">IFERROR(VALUE(MID($A271,5,4)),0)</f>
        <v>0</v>
      </c>
      <c r="Q271" s="1" t="str">
        <f aca="false">IF(B271="","","NEW-"&amp;TEXT(MAX($P$2:$P270,Lists!$N$2)+1,"0000"))</f>
        <v/>
      </c>
    </row>
    <row r="272" customFormat="false" ht="15" hidden="false" customHeight="true" outlineLevel="0" collapsed="false">
      <c r="A272" s="32" t="str">
        <f aca="false">IF(AND(B272="",C272="",D272="",E272="",F272="",G272="",H272="",J272="",L272="",M272="",N272=""),"",Q272)</f>
        <v/>
      </c>
      <c r="B272" s="33"/>
      <c r="C272" s="33"/>
      <c r="D272" s="33"/>
      <c r="E272" s="33"/>
      <c r="F272" s="33"/>
      <c r="G272" s="33"/>
      <c r="H272" s="33"/>
      <c r="I272" s="1" t="str">
        <f aca="false">IF($A273="","",IFERROR(IF(ISBLANK(INDEX(SprintPlanning[Sprint],MATCH($A273,SprintPlanning[Requirement ID],0))),"To Plan",INDEX(SprintPlanning[Sprint],MATCH($A273,SprintPlanning[Requirement ID],0))),"To Plan"))</f>
        <v/>
      </c>
      <c r="J272" s="33"/>
      <c r="K272" s="1" t="str">
        <f aca="false">IFERROR(IF(ISBLANK(INDEX(Release[Release],MATCH($A273,Release[Requirement ID],0))),"",INDEX(Release[Release],MATCH($A273,Release[Requirement ID],0))),"")</f>
        <v/>
      </c>
      <c r="L272" s="33"/>
      <c r="M272" s="33"/>
      <c r="P272" s="1" t="n">
        <f aca="false">IFERROR(VALUE(MID($A272,5,4)),0)</f>
        <v>0</v>
      </c>
      <c r="Q272" s="1" t="str">
        <f aca="false">IF(B272="","","NEW-"&amp;TEXT(MAX($P$2:$P271,Lists!$N$2)+1,"0000"))</f>
        <v/>
      </c>
    </row>
    <row r="273" customFormat="false" ht="15" hidden="false" customHeight="true" outlineLevel="0" collapsed="false">
      <c r="A273" s="32" t="str">
        <f aca="false">IF(AND(B273="",C273="",D273="",E273="",F273="",G273="",H273="",J273="",L273="",M273="",N273=""),"",Q273)</f>
        <v/>
      </c>
      <c r="B273" s="33"/>
      <c r="C273" s="33"/>
      <c r="D273" s="33"/>
      <c r="E273" s="33"/>
      <c r="F273" s="33"/>
      <c r="G273" s="33"/>
      <c r="H273" s="33"/>
      <c r="I273" s="1" t="str">
        <f aca="false">IF($A274="","",IFERROR(IF(ISBLANK(INDEX(SprintPlanning[Sprint],MATCH($A274,SprintPlanning[Requirement ID],0))),"To Plan",INDEX(SprintPlanning[Sprint],MATCH($A274,SprintPlanning[Requirement ID],0))),"To Plan"))</f>
        <v/>
      </c>
      <c r="J273" s="33"/>
      <c r="K273" s="1" t="str">
        <f aca="false">IFERROR(IF(ISBLANK(INDEX(Release[Release],MATCH($A274,Release[Requirement ID],0))),"",INDEX(Release[Release],MATCH($A274,Release[Requirement ID],0))),"")</f>
        <v/>
      </c>
      <c r="L273" s="33"/>
      <c r="M273" s="33"/>
      <c r="P273" s="1" t="n">
        <f aca="false">IFERROR(VALUE(MID($A273,5,4)),0)</f>
        <v>0</v>
      </c>
      <c r="Q273" s="1" t="str">
        <f aca="false">IF(B273="","","NEW-"&amp;TEXT(MAX($P$2:$P272,Lists!$N$2)+1,"0000"))</f>
        <v/>
      </c>
    </row>
    <row r="274" customFormat="false" ht="15" hidden="false" customHeight="true" outlineLevel="0" collapsed="false">
      <c r="A274" s="32" t="str">
        <f aca="false">IF(AND(B274="",C274="",D274="",E274="",F274="",G274="",H274="",J274="",L274="",M274="",N274=""),"",Q274)</f>
        <v/>
      </c>
      <c r="B274" s="33"/>
      <c r="C274" s="33"/>
      <c r="D274" s="33"/>
      <c r="E274" s="33"/>
      <c r="F274" s="33"/>
      <c r="G274" s="33"/>
      <c r="H274" s="33"/>
      <c r="I274" s="1" t="str">
        <f aca="false">IF($A275="","",IFERROR(IF(ISBLANK(INDEX(SprintPlanning[Sprint],MATCH($A275,SprintPlanning[Requirement ID],0))),"To Plan",INDEX(SprintPlanning[Sprint],MATCH($A275,SprintPlanning[Requirement ID],0))),"To Plan"))</f>
        <v/>
      </c>
      <c r="J274" s="33"/>
      <c r="K274" s="1" t="str">
        <f aca="false">IFERROR(IF(ISBLANK(INDEX(Release[Release],MATCH($A275,Release[Requirement ID],0))),"",INDEX(Release[Release],MATCH($A275,Release[Requirement ID],0))),"")</f>
        <v/>
      </c>
      <c r="L274" s="33"/>
      <c r="M274" s="33"/>
      <c r="P274" s="1" t="n">
        <f aca="false">IFERROR(VALUE(MID($A274,5,4)),0)</f>
        <v>0</v>
      </c>
      <c r="Q274" s="1" t="str">
        <f aca="false">IF(B274="","","NEW-"&amp;TEXT(MAX($P$2:$P273,Lists!$N$2)+1,"0000"))</f>
        <v/>
      </c>
    </row>
    <row r="275" customFormat="false" ht="15" hidden="false" customHeight="true" outlineLevel="0" collapsed="false">
      <c r="A275" s="32" t="str">
        <f aca="false">IF(AND(B275="",C275="",D275="",E275="",F275="",G275="",H275="",J275="",L275="",M275="",N275=""),"",Q275)</f>
        <v/>
      </c>
      <c r="B275" s="33"/>
      <c r="C275" s="33"/>
      <c r="D275" s="33"/>
      <c r="E275" s="33"/>
      <c r="F275" s="33"/>
      <c r="G275" s="33"/>
      <c r="H275" s="33"/>
      <c r="I275" s="1" t="str">
        <f aca="false">IF($A276="","",IFERROR(IF(ISBLANK(INDEX(SprintPlanning[Sprint],MATCH($A276,SprintPlanning[Requirement ID],0))),"To Plan",INDEX(SprintPlanning[Sprint],MATCH($A276,SprintPlanning[Requirement ID],0))),"To Plan"))</f>
        <v/>
      </c>
      <c r="J275" s="33"/>
      <c r="K275" s="1" t="str">
        <f aca="false">IFERROR(IF(ISBLANK(INDEX(Release[Release],MATCH($A276,Release[Requirement ID],0))),"",INDEX(Release[Release],MATCH($A276,Release[Requirement ID],0))),"")</f>
        <v/>
      </c>
      <c r="L275" s="33"/>
      <c r="M275" s="33"/>
      <c r="P275" s="1" t="n">
        <f aca="false">IFERROR(VALUE(MID($A275,5,4)),0)</f>
        <v>0</v>
      </c>
      <c r="Q275" s="1" t="str">
        <f aca="false">IF(B275="","","NEW-"&amp;TEXT(MAX($P$2:$P274,Lists!$N$2)+1,"0000"))</f>
        <v/>
      </c>
    </row>
    <row r="276" customFormat="false" ht="15" hidden="false" customHeight="true" outlineLevel="0" collapsed="false">
      <c r="A276" s="32" t="str">
        <f aca="false">IF(AND(B276="",C276="",D276="",E276="",F276="",G276="",H276="",J276="",L276="",M276="",N276=""),"",Q276)</f>
        <v/>
      </c>
      <c r="B276" s="33"/>
      <c r="C276" s="33"/>
      <c r="D276" s="33"/>
      <c r="E276" s="33"/>
      <c r="F276" s="33"/>
      <c r="G276" s="33"/>
      <c r="H276" s="33"/>
      <c r="I276" s="1" t="str">
        <f aca="false">IF($A277="","",IFERROR(IF(ISBLANK(INDEX(SprintPlanning[Sprint],MATCH($A277,SprintPlanning[Requirement ID],0))),"To Plan",INDEX(SprintPlanning[Sprint],MATCH($A277,SprintPlanning[Requirement ID],0))),"To Plan"))</f>
        <v/>
      </c>
      <c r="J276" s="33"/>
      <c r="K276" s="1" t="str">
        <f aca="false">IFERROR(IF(ISBLANK(INDEX(Release[Release],MATCH($A277,Release[Requirement ID],0))),"",INDEX(Release[Release],MATCH($A277,Release[Requirement ID],0))),"")</f>
        <v/>
      </c>
      <c r="L276" s="33"/>
      <c r="M276" s="33"/>
      <c r="P276" s="1" t="n">
        <f aca="false">IFERROR(VALUE(MID($A276,5,4)),0)</f>
        <v>0</v>
      </c>
      <c r="Q276" s="1" t="str">
        <f aca="false">IF(B276="","","NEW-"&amp;TEXT(MAX($P$2:$P275,Lists!$N$2)+1,"0000"))</f>
        <v/>
      </c>
    </row>
    <row r="277" customFormat="false" ht="15" hidden="false" customHeight="true" outlineLevel="0" collapsed="false">
      <c r="A277" s="32" t="str">
        <f aca="false">IF(AND(B277="",C277="",D277="",E277="",F277="",G277="",H277="",J277="",L277="",M277="",N277=""),"",Q277)</f>
        <v/>
      </c>
      <c r="B277" s="33"/>
      <c r="C277" s="33"/>
      <c r="D277" s="33"/>
      <c r="E277" s="33"/>
      <c r="F277" s="33"/>
      <c r="G277" s="33"/>
      <c r="H277" s="33"/>
      <c r="I277" s="1" t="str">
        <f aca="false">IF($A278="","",IFERROR(IF(ISBLANK(INDEX(SprintPlanning[Sprint],MATCH($A278,SprintPlanning[Requirement ID],0))),"To Plan",INDEX(SprintPlanning[Sprint],MATCH($A278,SprintPlanning[Requirement ID],0))),"To Plan"))</f>
        <v/>
      </c>
      <c r="J277" s="33"/>
      <c r="K277" s="1" t="str">
        <f aca="false">IFERROR(IF(ISBLANK(INDEX(Release[Release],MATCH($A278,Release[Requirement ID],0))),"",INDEX(Release[Release],MATCH($A278,Release[Requirement ID],0))),"")</f>
        <v/>
      </c>
      <c r="L277" s="33"/>
      <c r="M277" s="33"/>
      <c r="P277" s="1" t="n">
        <f aca="false">IFERROR(VALUE(MID($A277,5,4)),0)</f>
        <v>0</v>
      </c>
      <c r="Q277" s="1" t="str">
        <f aca="false">IF(B277="","","NEW-"&amp;TEXT(MAX($P$2:$P276,Lists!$N$2)+1,"0000"))</f>
        <v/>
      </c>
    </row>
    <row r="278" customFormat="false" ht="15" hidden="false" customHeight="true" outlineLevel="0" collapsed="false">
      <c r="A278" s="32" t="str">
        <f aca="false">IF(AND(B278="",C278="",D278="",E278="",F278="",G278="",H278="",J278="",L278="",M278="",N278=""),"",Q278)</f>
        <v/>
      </c>
      <c r="B278" s="33"/>
      <c r="C278" s="33"/>
      <c r="D278" s="33"/>
      <c r="E278" s="33"/>
      <c r="F278" s="33"/>
      <c r="G278" s="33"/>
      <c r="H278" s="33"/>
      <c r="I278" s="1" t="str">
        <f aca="false">IF($A279="","",IFERROR(IF(ISBLANK(INDEX(SprintPlanning[Sprint],MATCH($A279,SprintPlanning[Requirement ID],0))),"To Plan",INDEX(SprintPlanning[Sprint],MATCH($A279,SprintPlanning[Requirement ID],0))),"To Plan"))</f>
        <v/>
      </c>
      <c r="J278" s="33"/>
      <c r="K278" s="1" t="str">
        <f aca="false">IFERROR(IF(ISBLANK(INDEX(Release[Release],MATCH($A279,Release[Requirement ID],0))),"",INDEX(Release[Release],MATCH($A279,Release[Requirement ID],0))),"")</f>
        <v/>
      </c>
      <c r="L278" s="33"/>
      <c r="M278" s="33"/>
      <c r="P278" s="1" t="n">
        <f aca="false">IFERROR(VALUE(MID($A278,5,4)),0)</f>
        <v>0</v>
      </c>
      <c r="Q278" s="1" t="str">
        <f aca="false">IF(B278="","","NEW-"&amp;TEXT(MAX($P$2:$P277,Lists!$N$2)+1,"0000"))</f>
        <v/>
      </c>
    </row>
    <row r="279" customFormat="false" ht="15" hidden="false" customHeight="true" outlineLevel="0" collapsed="false">
      <c r="A279" s="32" t="str">
        <f aca="false">IF(AND(B279="",C279="",D279="",E279="",F279="",G279="",H279="",J279="",L279="",M279="",N279=""),"",Q279)</f>
        <v/>
      </c>
      <c r="B279" s="33"/>
      <c r="C279" s="33"/>
      <c r="D279" s="33"/>
      <c r="E279" s="33"/>
      <c r="F279" s="33"/>
      <c r="G279" s="33"/>
      <c r="H279" s="33"/>
      <c r="I279" s="1" t="str">
        <f aca="false">IF($A280="","",IFERROR(IF(ISBLANK(INDEX(SprintPlanning[Sprint],MATCH($A280,SprintPlanning[Requirement ID],0))),"To Plan",INDEX(SprintPlanning[Sprint],MATCH($A280,SprintPlanning[Requirement ID],0))),"To Plan"))</f>
        <v/>
      </c>
      <c r="J279" s="33"/>
      <c r="K279" s="1" t="str">
        <f aca="false">IFERROR(IF(ISBLANK(INDEX(Release[Release],MATCH($A280,Release[Requirement ID],0))),"",INDEX(Release[Release],MATCH($A280,Release[Requirement ID],0))),"")</f>
        <v/>
      </c>
      <c r="L279" s="33"/>
      <c r="M279" s="33"/>
      <c r="P279" s="1" t="n">
        <f aca="false">IFERROR(VALUE(MID($A279,5,4)),0)</f>
        <v>0</v>
      </c>
      <c r="Q279" s="1" t="str">
        <f aca="false">IF(B279="","","NEW-"&amp;TEXT(MAX($P$2:$P278,Lists!$N$2)+1,"0000"))</f>
        <v/>
      </c>
    </row>
    <row r="280" customFormat="false" ht="15" hidden="false" customHeight="true" outlineLevel="0" collapsed="false">
      <c r="A280" s="32" t="str">
        <f aca="false">IF(AND(B280="",C280="",D280="",E280="",F280="",G280="",H280="",J280="",L280="",M280="",N280=""),"",Q280)</f>
        <v/>
      </c>
      <c r="B280" s="33"/>
      <c r="C280" s="33"/>
      <c r="D280" s="33"/>
      <c r="E280" s="33"/>
      <c r="F280" s="33"/>
      <c r="G280" s="33"/>
      <c r="H280" s="33"/>
      <c r="I280" s="1" t="str">
        <f aca="false">IF($A281="","",IFERROR(IF(ISBLANK(INDEX(SprintPlanning[Sprint],MATCH($A281,SprintPlanning[Requirement ID],0))),"To Plan",INDEX(SprintPlanning[Sprint],MATCH($A281,SprintPlanning[Requirement ID],0))),"To Plan"))</f>
        <v/>
      </c>
      <c r="J280" s="33"/>
      <c r="K280" s="1" t="str">
        <f aca="false">IFERROR(IF(ISBLANK(INDEX(Release[Release],MATCH($A281,Release[Requirement ID],0))),"",INDEX(Release[Release],MATCH($A281,Release[Requirement ID],0))),"")</f>
        <v/>
      </c>
      <c r="L280" s="33"/>
      <c r="M280" s="33"/>
      <c r="P280" s="1" t="n">
        <f aca="false">IFERROR(VALUE(MID($A280,5,4)),0)</f>
        <v>0</v>
      </c>
      <c r="Q280" s="1" t="str">
        <f aca="false">IF(B280="","","NEW-"&amp;TEXT(MAX($P$2:$P279,Lists!$N$2)+1,"0000"))</f>
        <v/>
      </c>
    </row>
    <row r="281" customFormat="false" ht="15" hidden="false" customHeight="true" outlineLevel="0" collapsed="false">
      <c r="A281" s="32" t="str">
        <f aca="false">IF(AND(B281="",C281="",D281="",E281="",F281="",G281="",H281="",J281="",L281="",M281="",N281=""),"",Q281)</f>
        <v/>
      </c>
      <c r="B281" s="33"/>
      <c r="C281" s="33"/>
      <c r="D281" s="33"/>
      <c r="E281" s="33"/>
      <c r="F281" s="33"/>
      <c r="G281" s="33"/>
      <c r="H281" s="33"/>
      <c r="I281" s="1" t="str">
        <f aca="false">IF($A282="","",IFERROR(IF(ISBLANK(INDEX(SprintPlanning[Sprint],MATCH($A282,SprintPlanning[Requirement ID],0))),"To Plan",INDEX(SprintPlanning[Sprint],MATCH($A282,SprintPlanning[Requirement ID],0))),"To Plan"))</f>
        <v/>
      </c>
      <c r="J281" s="33"/>
      <c r="K281" s="1" t="str">
        <f aca="false">IFERROR(IF(ISBLANK(INDEX(Release[Release],MATCH($A282,Release[Requirement ID],0))),"",INDEX(Release[Release],MATCH($A282,Release[Requirement ID],0))),"")</f>
        <v/>
      </c>
      <c r="L281" s="33"/>
      <c r="M281" s="33"/>
      <c r="P281" s="1" t="n">
        <f aca="false">IFERROR(VALUE(MID($A281,5,4)),0)</f>
        <v>0</v>
      </c>
      <c r="Q281" s="1" t="str">
        <f aca="false">IF(B281="","","NEW-"&amp;TEXT(MAX($P$2:$P280,Lists!$N$2)+1,"0000"))</f>
        <v/>
      </c>
    </row>
    <row r="282" customFormat="false" ht="15" hidden="false" customHeight="true" outlineLevel="0" collapsed="false">
      <c r="A282" s="32" t="str">
        <f aca="false">IF(AND(B282="",C282="",D282="",E282="",F282="",G282="",H282="",J282="",L282="",M282="",N282=""),"",Q282)</f>
        <v/>
      </c>
      <c r="B282" s="33"/>
      <c r="C282" s="33"/>
      <c r="D282" s="33"/>
      <c r="E282" s="33"/>
      <c r="F282" s="33"/>
      <c r="G282" s="33"/>
      <c r="H282" s="33"/>
      <c r="I282" s="1" t="str">
        <f aca="false">IF($A283="","",IFERROR(IF(ISBLANK(INDEX(SprintPlanning[Sprint],MATCH($A283,SprintPlanning[Requirement ID],0))),"To Plan",INDEX(SprintPlanning[Sprint],MATCH($A283,SprintPlanning[Requirement ID],0))),"To Plan"))</f>
        <v/>
      </c>
      <c r="J282" s="33"/>
      <c r="K282" s="1" t="str">
        <f aca="false">IFERROR(IF(ISBLANK(INDEX(Release[Release],MATCH($A283,Release[Requirement ID],0))),"",INDEX(Release[Release],MATCH($A283,Release[Requirement ID],0))),"")</f>
        <v/>
      </c>
      <c r="L282" s="33"/>
      <c r="M282" s="33"/>
      <c r="P282" s="1" t="n">
        <f aca="false">IFERROR(VALUE(MID($A282,5,4)),0)</f>
        <v>0</v>
      </c>
      <c r="Q282" s="1" t="str">
        <f aca="false">IF(B282="","","NEW-"&amp;TEXT(MAX($P$2:$P281,Lists!$N$2)+1,"0000"))</f>
        <v/>
      </c>
    </row>
    <row r="283" customFormat="false" ht="15" hidden="false" customHeight="true" outlineLevel="0" collapsed="false">
      <c r="A283" s="32" t="str">
        <f aca="false">IF(AND(B283="",C283="",D283="",E283="",F283="",G283="",H283="",J283="",L283="",M283="",N283=""),"",Q283)</f>
        <v/>
      </c>
      <c r="B283" s="33"/>
      <c r="C283" s="33"/>
      <c r="D283" s="33"/>
      <c r="E283" s="33"/>
      <c r="F283" s="33"/>
      <c r="G283" s="33"/>
      <c r="H283" s="33"/>
      <c r="I283" s="1" t="str">
        <f aca="false">IF($A284="","",IFERROR(IF(ISBLANK(INDEX(SprintPlanning[Sprint],MATCH($A284,SprintPlanning[Requirement ID],0))),"To Plan",INDEX(SprintPlanning[Sprint],MATCH($A284,SprintPlanning[Requirement ID],0))),"To Plan"))</f>
        <v/>
      </c>
      <c r="J283" s="33"/>
      <c r="K283" s="1" t="str">
        <f aca="false">IFERROR(IF(ISBLANK(INDEX(Release[Release],MATCH($A284,Release[Requirement ID],0))),"",INDEX(Release[Release],MATCH($A284,Release[Requirement ID],0))),"")</f>
        <v/>
      </c>
      <c r="L283" s="33"/>
      <c r="M283" s="33"/>
      <c r="P283" s="1" t="n">
        <f aca="false">IFERROR(VALUE(MID($A283,5,4)),0)</f>
        <v>0</v>
      </c>
      <c r="Q283" s="1" t="str">
        <f aca="false">IF(B283="","","NEW-"&amp;TEXT(MAX($P$2:$P282,Lists!$N$2)+1,"0000"))</f>
        <v/>
      </c>
    </row>
    <row r="284" customFormat="false" ht="15" hidden="false" customHeight="true" outlineLevel="0" collapsed="false">
      <c r="A284" s="32" t="str">
        <f aca="false">IF(AND(B284="",C284="",D284="",E284="",F284="",G284="",H284="",J284="",L284="",M284="",N284=""),"",Q284)</f>
        <v/>
      </c>
      <c r="B284" s="33"/>
      <c r="C284" s="33"/>
      <c r="D284" s="33"/>
      <c r="E284" s="33"/>
      <c r="F284" s="33"/>
      <c r="G284" s="33"/>
      <c r="H284" s="33"/>
      <c r="I284" s="1" t="str">
        <f aca="false">IF($A285="","",IFERROR(IF(ISBLANK(INDEX(SprintPlanning[Sprint],MATCH($A285,SprintPlanning[Requirement ID],0))),"To Plan",INDEX(SprintPlanning[Sprint],MATCH($A285,SprintPlanning[Requirement ID],0))),"To Plan"))</f>
        <v/>
      </c>
      <c r="J284" s="33"/>
      <c r="K284" s="1" t="str">
        <f aca="false">IFERROR(IF(ISBLANK(INDEX(Release[Release],MATCH($A285,Release[Requirement ID],0))),"",INDEX(Release[Release],MATCH($A285,Release[Requirement ID],0))),"")</f>
        <v/>
      </c>
      <c r="L284" s="33"/>
      <c r="M284" s="33"/>
      <c r="P284" s="1" t="n">
        <f aca="false">IFERROR(VALUE(MID($A284,5,4)),0)</f>
        <v>0</v>
      </c>
      <c r="Q284" s="1" t="str">
        <f aca="false">IF(B284="","","NEW-"&amp;TEXT(MAX($P$2:$P283,Lists!$N$2)+1,"0000"))</f>
        <v/>
      </c>
    </row>
    <row r="285" customFormat="false" ht="15" hidden="false" customHeight="true" outlineLevel="0" collapsed="false">
      <c r="A285" s="32" t="str">
        <f aca="false">IF(AND(B285="",C285="",D285="",E285="",F285="",G285="",H285="",J285="",L285="",M285="",N285=""),"",Q285)</f>
        <v/>
      </c>
      <c r="B285" s="33"/>
      <c r="C285" s="33"/>
      <c r="D285" s="33"/>
      <c r="E285" s="33"/>
      <c r="F285" s="33"/>
      <c r="G285" s="33"/>
      <c r="H285" s="33"/>
      <c r="I285" s="1" t="str">
        <f aca="false">IF($A286="","",IFERROR(IF(ISBLANK(INDEX(SprintPlanning[Sprint],MATCH($A286,SprintPlanning[Requirement ID],0))),"To Plan",INDEX(SprintPlanning[Sprint],MATCH($A286,SprintPlanning[Requirement ID],0))),"To Plan"))</f>
        <v/>
      </c>
      <c r="J285" s="33"/>
      <c r="K285" s="1" t="str">
        <f aca="false">IFERROR(IF(ISBLANK(INDEX(Release[Release],MATCH($A286,Release[Requirement ID],0))),"",INDEX(Release[Release],MATCH($A286,Release[Requirement ID],0))),"")</f>
        <v/>
      </c>
      <c r="L285" s="33"/>
      <c r="M285" s="33"/>
      <c r="P285" s="1" t="n">
        <f aca="false">IFERROR(VALUE(MID($A285,5,4)),0)</f>
        <v>0</v>
      </c>
      <c r="Q285" s="1" t="str">
        <f aca="false">IF(B285="","","NEW-"&amp;TEXT(MAX($P$2:$P284,Lists!$N$2)+1,"0000"))</f>
        <v/>
      </c>
    </row>
    <row r="286" customFormat="false" ht="15" hidden="false" customHeight="true" outlineLevel="0" collapsed="false">
      <c r="A286" s="32" t="str">
        <f aca="false">IF(AND(B286="",C286="",D286="",E286="",F286="",G286="",H286="",J286="",L286="",M286="",N286=""),"",Q286)</f>
        <v/>
      </c>
      <c r="B286" s="33"/>
      <c r="C286" s="33"/>
      <c r="D286" s="33"/>
      <c r="E286" s="33"/>
      <c r="F286" s="33"/>
      <c r="G286" s="33"/>
      <c r="H286" s="33"/>
      <c r="I286" s="1" t="str">
        <f aca="false">IF($A287="","",IFERROR(IF(ISBLANK(INDEX(SprintPlanning[Sprint],MATCH($A287,SprintPlanning[Requirement ID],0))),"To Plan",INDEX(SprintPlanning[Sprint],MATCH($A287,SprintPlanning[Requirement ID],0))),"To Plan"))</f>
        <v/>
      </c>
      <c r="J286" s="33"/>
      <c r="K286" s="1" t="str">
        <f aca="false">IFERROR(IF(ISBLANK(INDEX(Release[Release],MATCH($A287,Release[Requirement ID],0))),"",INDEX(Release[Release],MATCH($A287,Release[Requirement ID],0))),"")</f>
        <v/>
      </c>
      <c r="L286" s="33"/>
      <c r="M286" s="33"/>
      <c r="P286" s="1" t="n">
        <f aca="false">IFERROR(VALUE(MID($A286,5,4)),0)</f>
        <v>0</v>
      </c>
      <c r="Q286" s="1" t="str">
        <f aca="false">IF(B286="","","NEW-"&amp;TEXT(MAX($P$2:$P285,Lists!$N$2)+1,"0000"))</f>
        <v/>
      </c>
    </row>
    <row r="287" customFormat="false" ht="15" hidden="false" customHeight="true" outlineLevel="0" collapsed="false">
      <c r="A287" s="32" t="str">
        <f aca="false">IF(AND(B287="",C287="",D287="",E287="",F287="",G287="",H287="",J287="",L287="",M287="",N287=""),"",Q287)</f>
        <v/>
      </c>
      <c r="B287" s="33"/>
      <c r="C287" s="33"/>
      <c r="D287" s="33"/>
      <c r="E287" s="33"/>
      <c r="F287" s="33"/>
      <c r="G287" s="33"/>
      <c r="H287" s="33"/>
      <c r="I287" s="1" t="str">
        <f aca="false">IF($A288="","",IFERROR(IF(ISBLANK(INDEX(SprintPlanning[Sprint],MATCH($A288,SprintPlanning[Requirement ID],0))),"To Plan",INDEX(SprintPlanning[Sprint],MATCH($A288,SprintPlanning[Requirement ID],0))),"To Plan"))</f>
        <v/>
      </c>
      <c r="J287" s="33"/>
      <c r="K287" s="1" t="str">
        <f aca="false">IFERROR(IF(ISBLANK(INDEX(Release[Release],MATCH($A288,Release[Requirement ID],0))),"",INDEX(Release[Release],MATCH($A288,Release[Requirement ID],0))),"")</f>
        <v/>
      </c>
      <c r="L287" s="33"/>
      <c r="M287" s="33"/>
      <c r="P287" s="1" t="n">
        <f aca="false">IFERROR(VALUE(MID($A287,5,4)),0)</f>
        <v>0</v>
      </c>
      <c r="Q287" s="1" t="str">
        <f aca="false">IF(B287="","","NEW-"&amp;TEXT(MAX($P$2:$P286,Lists!$N$2)+1,"0000"))</f>
        <v/>
      </c>
    </row>
    <row r="288" customFormat="false" ht="15" hidden="false" customHeight="true" outlineLevel="0" collapsed="false">
      <c r="A288" s="32" t="str">
        <f aca="false">IF(AND(B288="",C288="",D288="",E288="",F288="",G288="",H288="",J288="",L288="",M288="",N288=""),"",Q288)</f>
        <v/>
      </c>
      <c r="B288" s="33"/>
      <c r="C288" s="33"/>
      <c r="D288" s="33"/>
      <c r="E288" s="33"/>
      <c r="F288" s="33"/>
      <c r="G288" s="33"/>
      <c r="H288" s="33"/>
      <c r="I288" s="1" t="str">
        <f aca="false">IF($A289="","",IFERROR(IF(ISBLANK(INDEX(SprintPlanning[Sprint],MATCH($A289,SprintPlanning[Requirement ID],0))),"To Plan",INDEX(SprintPlanning[Sprint],MATCH($A289,SprintPlanning[Requirement ID],0))),"To Plan"))</f>
        <v/>
      </c>
      <c r="J288" s="33"/>
      <c r="K288" s="1" t="str">
        <f aca="false">IFERROR(IF(ISBLANK(INDEX(Release[Release],MATCH($A289,Release[Requirement ID],0))),"",INDEX(Release[Release],MATCH($A289,Release[Requirement ID],0))),"")</f>
        <v/>
      </c>
      <c r="L288" s="33"/>
      <c r="M288" s="33"/>
      <c r="P288" s="1" t="n">
        <f aca="false">IFERROR(VALUE(MID($A288,5,4)),0)</f>
        <v>0</v>
      </c>
      <c r="Q288" s="1" t="str">
        <f aca="false">IF(B288="","","NEW-"&amp;TEXT(MAX($P$2:$P287,Lists!$N$2)+1,"0000"))</f>
        <v/>
      </c>
    </row>
    <row r="289" customFormat="false" ht="15" hidden="false" customHeight="true" outlineLevel="0" collapsed="false">
      <c r="A289" s="32" t="str">
        <f aca="false">IF(AND(B289="",C289="",D289="",E289="",F289="",G289="",H289="",J289="",L289="",M289="",N289=""),"",Q289)</f>
        <v/>
      </c>
      <c r="B289" s="33"/>
      <c r="C289" s="33"/>
      <c r="D289" s="33"/>
      <c r="E289" s="33"/>
      <c r="F289" s="33"/>
      <c r="G289" s="33"/>
      <c r="H289" s="33"/>
      <c r="I289" s="1" t="str">
        <f aca="false">IF($A290="","",IFERROR(IF(ISBLANK(INDEX(SprintPlanning[Sprint],MATCH($A290,SprintPlanning[Requirement ID],0))),"To Plan",INDEX(SprintPlanning[Sprint],MATCH($A290,SprintPlanning[Requirement ID],0))),"To Plan"))</f>
        <v/>
      </c>
      <c r="J289" s="33"/>
      <c r="K289" s="1" t="str">
        <f aca="false">IFERROR(IF(ISBLANK(INDEX(Release[Release],MATCH($A290,Release[Requirement ID],0))),"",INDEX(Release[Release],MATCH($A290,Release[Requirement ID],0))),"")</f>
        <v/>
      </c>
      <c r="L289" s="33"/>
      <c r="M289" s="33"/>
      <c r="P289" s="1" t="n">
        <f aca="false">IFERROR(VALUE(MID($A289,5,4)),0)</f>
        <v>0</v>
      </c>
      <c r="Q289" s="1" t="str">
        <f aca="false">IF(B289="","","NEW-"&amp;TEXT(MAX($P$2:$P288,Lists!$N$2)+1,"0000"))</f>
        <v/>
      </c>
    </row>
    <row r="290" customFormat="false" ht="15" hidden="false" customHeight="true" outlineLevel="0" collapsed="false">
      <c r="A290" s="32" t="str">
        <f aca="false">IF(AND(B290="",C290="",D290="",E290="",F290="",G290="",H290="",J290="",L290="",M290="",N290=""),"",Q290)</f>
        <v/>
      </c>
      <c r="B290" s="33"/>
      <c r="C290" s="33"/>
      <c r="D290" s="33"/>
      <c r="E290" s="33"/>
      <c r="F290" s="33"/>
      <c r="G290" s="33"/>
      <c r="H290" s="33"/>
      <c r="I290" s="1" t="str">
        <f aca="false">IF($A291="","",IFERROR(IF(ISBLANK(INDEX(SprintPlanning[Sprint],MATCH($A291,SprintPlanning[Requirement ID],0))),"To Plan",INDEX(SprintPlanning[Sprint],MATCH($A291,SprintPlanning[Requirement ID],0))),"To Plan"))</f>
        <v/>
      </c>
      <c r="J290" s="33"/>
      <c r="K290" s="1" t="str">
        <f aca="false">IFERROR(IF(ISBLANK(INDEX(Release[Release],MATCH($A291,Release[Requirement ID],0))),"",INDEX(Release[Release],MATCH($A291,Release[Requirement ID],0))),"")</f>
        <v/>
      </c>
      <c r="L290" s="33"/>
      <c r="M290" s="33"/>
      <c r="P290" s="1" t="n">
        <f aca="false">IFERROR(VALUE(MID($A290,5,4)),0)</f>
        <v>0</v>
      </c>
      <c r="Q290" s="1" t="str">
        <f aca="false">IF(B290="","","NEW-"&amp;TEXT(MAX($P$2:$P289,Lists!$N$2)+1,"0000"))</f>
        <v/>
      </c>
    </row>
    <row r="291" customFormat="false" ht="15" hidden="false" customHeight="true" outlineLevel="0" collapsed="false">
      <c r="A291" s="32" t="str">
        <f aca="false">IF(AND(B291="",C291="",D291="",E291="",F291="",G291="",H291="",J291="",L291="",M291="",N291=""),"",Q291)</f>
        <v/>
      </c>
      <c r="B291" s="33"/>
      <c r="C291" s="33"/>
      <c r="D291" s="33"/>
      <c r="E291" s="33"/>
      <c r="F291" s="33"/>
      <c r="G291" s="33"/>
      <c r="H291" s="33"/>
      <c r="I291" s="1" t="str">
        <f aca="false">IF($A292="","",IFERROR(IF(ISBLANK(INDEX(SprintPlanning[Sprint],MATCH($A292,SprintPlanning[Requirement ID],0))),"To Plan",INDEX(SprintPlanning[Sprint],MATCH($A292,SprintPlanning[Requirement ID],0))),"To Plan"))</f>
        <v/>
      </c>
      <c r="J291" s="33"/>
      <c r="K291" s="1" t="str">
        <f aca="false">IFERROR(IF(ISBLANK(INDEX(Release[Release],MATCH($A292,Release[Requirement ID],0))),"",INDEX(Release[Release],MATCH($A292,Release[Requirement ID],0))),"")</f>
        <v/>
      </c>
      <c r="L291" s="33"/>
      <c r="M291" s="33"/>
      <c r="P291" s="1" t="n">
        <f aca="false">IFERROR(VALUE(MID($A291,5,4)),0)</f>
        <v>0</v>
      </c>
      <c r="Q291" s="1" t="str">
        <f aca="false">IF(B291="","","NEW-"&amp;TEXT(MAX($P$2:$P290,Lists!$N$2)+1,"0000"))</f>
        <v/>
      </c>
    </row>
    <row r="292" customFormat="false" ht="15" hidden="false" customHeight="true" outlineLevel="0" collapsed="false">
      <c r="A292" s="32" t="str">
        <f aca="false">IF(AND(B292="",C292="",D292="",E292="",F292="",G292="",H292="",J292="",L292="",M292="",N292=""),"",Q292)</f>
        <v/>
      </c>
      <c r="B292" s="33"/>
      <c r="C292" s="33"/>
      <c r="D292" s="33"/>
      <c r="E292" s="33"/>
      <c r="F292" s="33"/>
      <c r="G292" s="33"/>
      <c r="H292" s="33"/>
      <c r="I292" s="1" t="str">
        <f aca="false">IF($A293="","",IFERROR(IF(ISBLANK(INDEX(SprintPlanning[Sprint],MATCH($A293,SprintPlanning[Requirement ID],0))),"To Plan",INDEX(SprintPlanning[Sprint],MATCH($A293,SprintPlanning[Requirement ID],0))),"To Plan"))</f>
        <v/>
      </c>
      <c r="J292" s="33"/>
      <c r="K292" s="1" t="str">
        <f aca="false">IFERROR(IF(ISBLANK(INDEX(Release[Release],MATCH($A293,Release[Requirement ID],0))),"",INDEX(Release[Release],MATCH($A293,Release[Requirement ID],0))),"")</f>
        <v/>
      </c>
      <c r="L292" s="33"/>
      <c r="M292" s="33"/>
      <c r="P292" s="1" t="n">
        <f aca="false">IFERROR(VALUE(MID($A292,5,4)),0)</f>
        <v>0</v>
      </c>
      <c r="Q292" s="1" t="str">
        <f aca="false">IF(B292="","","NEW-"&amp;TEXT(MAX($P$2:$P291,Lists!$N$2)+1,"0000"))</f>
        <v/>
      </c>
    </row>
    <row r="293" customFormat="false" ht="15" hidden="false" customHeight="true" outlineLevel="0" collapsed="false">
      <c r="A293" s="32" t="str">
        <f aca="false">IF(AND(B293="",C293="",D293="",E293="",F293="",G293="",H293="",J293="",L293="",M293="",N293=""),"",Q293)</f>
        <v/>
      </c>
      <c r="B293" s="33"/>
      <c r="C293" s="33"/>
      <c r="D293" s="33"/>
      <c r="E293" s="33"/>
      <c r="F293" s="33"/>
      <c r="G293" s="33"/>
      <c r="H293" s="33"/>
      <c r="I293" s="1" t="str">
        <f aca="false">IF($A294="","",IFERROR(IF(ISBLANK(INDEX(SprintPlanning[Sprint],MATCH($A294,SprintPlanning[Requirement ID],0))),"To Plan",INDEX(SprintPlanning[Sprint],MATCH($A294,SprintPlanning[Requirement ID],0))),"To Plan"))</f>
        <v/>
      </c>
      <c r="J293" s="33"/>
      <c r="K293" s="1" t="str">
        <f aca="false">IFERROR(IF(ISBLANK(INDEX(Release[Release],MATCH($A294,Release[Requirement ID],0))),"",INDEX(Release[Release],MATCH($A294,Release[Requirement ID],0))),"")</f>
        <v/>
      </c>
      <c r="L293" s="33"/>
      <c r="M293" s="33"/>
      <c r="P293" s="1" t="n">
        <f aca="false">IFERROR(VALUE(MID($A293,5,4)),0)</f>
        <v>0</v>
      </c>
      <c r="Q293" s="1" t="str">
        <f aca="false">IF(B293="","","NEW-"&amp;TEXT(MAX($P$2:$P292,Lists!$N$2)+1,"0000"))</f>
        <v/>
      </c>
    </row>
    <row r="294" customFormat="false" ht="15" hidden="false" customHeight="true" outlineLevel="0" collapsed="false">
      <c r="A294" s="32" t="str">
        <f aca="false">IF(AND(B294="",C294="",D294="",E294="",F294="",G294="",H294="",J294="",L294="",M294="",N294=""),"",Q294)</f>
        <v/>
      </c>
      <c r="B294" s="33"/>
      <c r="C294" s="33"/>
      <c r="D294" s="33"/>
      <c r="E294" s="33"/>
      <c r="F294" s="33"/>
      <c r="G294" s="33"/>
      <c r="H294" s="33"/>
      <c r="I294" s="1" t="str">
        <f aca="false">IF($A295="","",IFERROR(IF(ISBLANK(INDEX(SprintPlanning[Sprint],MATCH($A295,SprintPlanning[Requirement ID],0))),"To Plan",INDEX(SprintPlanning[Sprint],MATCH($A295,SprintPlanning[Requirement ID],0))),"To Plan"))</f>
        <v/>
      </c>
      <c r="J294" s="33"/>
      <c r="K294" s="1" t="str">
        <f aca="false">IFERROR(IF(ISBLANK(INDEX(Release[Release],MATCH($A295,Release[Requirement ID],0))),"",INDEX(Release[Release],MATCH($A295,Release[Requirement ID],0))),"")</f>
        <v/>
      </c>
      <c r="L294" s="33"/>
      <c r="M294" s="33"/>
      <c r="P294" s="1" t="n">
        <f aca="false">IFERROR(VALUE(MID($A294,5,4)),0)</f>
        <v>0</v>
      </c>
      <c r="Q294" s="1" t="str">
        <f aca="false">IF(B294="","","NEW-"&amp;TEXT(MAX($P$2:$P293,Lists!$N$2)+1,"0000"))</f>
        <v/>
      </c>
    </row>
    <row r="295" customFormat="false" ht="15" hidden="false" customHeight="true" outlineLevel="0" collapsed="false">
      <c r="A295" s="32" t="str">
        <f aca="false">IF(AND(B295="",C295="",D295="",E295="",F295="",G295="",H295="",J295="",L295="",M295="",N295=""),"",Q295)</f>
        <v/>
      </c>
      <c r="B295" s="33"/>
      <c r="C295" s="33"/>
      <c r="D295" s="33"/>
      <c r="E295" s="33"/>
      <c r="F295" s="33"/>
      <c r="G295" s="33"/>
      <c r="H295" s="33"/>
      <c r="I295" s="1" t="str">
        <f aca="false">IF($A296="","",IFERROR(IF(ISBLANK(INDEX(SprintPlanning[Sprint],MATCH($A296,SprintPlanning[Requirement ID],0))),"To Plan",INDEX(SprintPlanning[Sprint],MATCH($A296,SprintPlanning[Requirement ID],0))),"To Plan"))</f>
        <v/>
      </c>
      <c r="J295" s="33"/>
      <c r="K295" s="1" t="str">
        <f aca="false">IFERROR(IF(ISBLANK(INDEX(Release[Release],MATCH($A296,Release[Requirement ID],0))),"",INDEX(Release[Release],MATCH($A296,Release[Requirement ID],0))),"")</f>
        <v/>
      </c>
      <c r="L295" s="33"/>
      <c r="M295" s="33"/>
      <c r="P295" s="1" t="n">
        <f aca="false">IFERROR(VALUE(MID($A295,5,4)),0)</f>
        <v>0</v>
      </c>
      <c r="Q295" s="1" t="str">
        <f aca="false">IF(B295="","","NEW-"&amp;TEXT(MAX($P$2:$P294,Lists!$N$2)+1,"0000"))</f>
        <v/>
      </c>
    </row>
    <row r="296" customFormat="false" ht="15" hidden="false" customHeight="true" outlineLevel="0" collapsed="false">
      <c r="A296" s="32" t="str">
        <f aca="false">IF(AND(B296="",C296="",D296="",E296="",F296="",G296="",H296="",J296="",L296="",M296="",N296=""),"",Q296)</f>
        <v/>
      </c>
      <c r="B296" s="33"/>
      <c r="C296" s="33"/>
      <c r="D296" s="33"/>
      <c r="E296" s="33"/>
      <c r="F296" s="33"/>
      <c r="G296" s="33"/>
      <c r="H296" s="33"/>
      <c r="I296" s="1" t="str">
        <f aca="false">IF($A297="","",IFERROR(IF(ISBLANK(INDEX(SprintPlanning[Sprint],MATCH($A297,SprintPlanning[Requirement ID],0))),"To Plan",INDEX(SprintPlanning[Sprint],MATCH($A297,SprintPlanning[Requirement ID],0))),"To Plan"))</f>
        <v/>
      </c>
      <c r="J296" s="33"/>
      <c r="K296" s="1" t="str">
        <f aca="false">IFERROR(IF(ISBLANK(INDEX(Release[Release],MATCH($A297,Release[Requirement ID],0))),"",INDEX(Release[Release],MATCH($A297,Release[Requirement ID],0))),"")</f>
        <v/>
      </c>
      <c r="L296" s="33"/>
      <c r="M296" s="33"/>
      <c r="P296" s="1" t="n">
        <f aca="false">IFERROR(VALUE(MID($A296,5,4)),0)</f>
        <v>0</v>
      </c>
      <c r="Q296" s="1" t="str">
        <f aca="false">IF(B296="","","NEW-"&amp;TEXT(MAX($P$2:$P295,Lists!$N$2)+1,"0000"))</f>
        <v/>
      </c>
    </row>
    <row r="297" customFormat="false" ht="15" hidden="false" customHeight="true" outlineLevel="0" collapsed="false">
      <c r="A297" s="32" t="str">
        <f aca="false">IF(AND(B297="",C297="",D297="",E297="",F297="",G297="",H297="",J297="",L297="",M297="",N297=""),"",Q297)</f>
        <v/>
      </c>
      <c r="B297" s="33"/>
      <c r="C297" s="33"/>
      <c r="D297" s="33"/>
      <c r="E297" s="33"/>
      <c r="F297" s="33"/>
      <c r="G297" s="33"/>
      <c r="H297" s="33"/>
      <c r="I297" s="1" t="str">
        <f aca="false">IF($A298="","",IFERROR(IF(ISBLANK(INDEX(SprintPlanning[Sprint],MATCH($A298,SprintPlanning[Requirement ID],0))),"To Plan",INDEX(SprintPlanning[Sprint],MATCH($A298,SprintPlanning[Requirement ID],0))),"To Plan"))</f>
        <v/>
      </c>
      <c r="J297" s="33"/>
      <c r="K297" s="1" t="str">
        <f aca="false">IFERROR(IF(ISBLANK(INDEX(Release[Release],MATCH($A298,Release[Requirement ID],0))),"",INDEX(Release[Release],MATCH($A298,Release[Requirement ID],0))),"")</f>
        <v/>
      </c>
      <c r="L297" s="33"/>
      <c r="M297" s="33"/>
      <c r="P297" s="1" t="n">
        <f aca="false">IFERROR(VALUE(MID($A297,5,4)),0)</f>
        <v>0</v>
      </c>
      <c r="Q297" s="1" t="str">
        <f aca="false">IF(B297="","","NEW-"&amp;TEXT(MAX($P$2:$P296,Lists!$N$2)+1,"0000"))</f>
        <v/>
      </c>
    </row>
    <row r="298" customFormat="false" ht="15" hidden="false" customHeight="true" outlineLevel="0" collapsed="false">
      <c r="A298" s="32" t="str">
        <f aca="false">IF(AND(B298="",C298="",D298="",E298="",F298="",G298="",H298="",J298="",L298="",M298="",N298=""),"",Q298)</f>
        <v/>
      </c>
      <c r="B298" s="33"/>
      <c r="C298" s="33"/>
      <c r="D298" s="33"/>
      <c r="E298" s="33"/>
      <c r="F298" s="33"/>
      <c r="G298" s="33"/>
      <c r="H298" s="33"/>
      <c r="I298" s="1" t="str">
        <f aca="false">IF($A299="","",IFERROR(IF(ISBLANK(INDEX(SprintPlanning[Sprint],MATCH($A299,SprintPlanning[Requirement ID],0))),"To Plan",INDEX(SprintPlanning[Sprint],MATCH($A299,SprintPlanning[Requirement ID],0))),"To Plan"))</f>
        <v/>
      </c>
      <c r="J298" s="33"/>
      <c r="K298" s="1" t="str">
        <f aca="false">IFERROR(IF(ISBLANK(INDEX(Release[Release],MATCH($A299,Release[Requirement ID],0))),"",INDEX(Release[Release],MATCH($A299,Release[Requirement ID],0))),"")</f>
        <v/>
      </c>
      <c r="L298" s="33"/>
      <c r="M298" s="33"/>
      <c r="P298" s="1" t="n">
        <f aca="false">IFERROR(VALUE(MID($A298,5,4)),0)</f>
        <v>0</v>
      </c>
      <c r="Q298" s="1" t="str">
        <f aca="false">IF(B298="","","NEW-"&amp;TEXT(MAX($P$2:$P297,Lists!$N$2)+1,"0000"))</f>
        <v/>
      </c>
    </row>
    <row r="299" customFormat="false" ht="15" hidden="false" customHeight="true" outlineLevel="0" collapsed="false">
      <c r="A299" s="32" t="str">
        <f aca="false">IF(AND(B299="",C299="",D299="",E299="",F299="",G299="",H299="",J299="",L299="",M299="",N299=""),"",Q299)</f>
        <v/>
      </c>
      <c r="B299" s="33"/>
      <c r="C299" s="33"/>
      <c r="D299" s="33"/>
      <c r="E299" s="33"/>
      <c r="F299" s="33"/>
      <c r="G299" s="33"/>
      <c r="H299" s="33"/>
      <c r="I299" s="1" t="str">
        <f aca="false">IF($A300="","",IFERROR(IF(ISBLANK(INDEX(SprintPlanning[Sprint],MATCH($A300,SprintPlanning[Requirement ID],0))),"To Plan",INDEX(SprintPlanning[Sprint],MATCH($A300,SprintPlanning[Requirement ID],0))),"To Plan"))</f>
        <v/>
      </c>
      <c r="J299" s="33"/>
      <c r="K299" s="1" t="str">
        <f aca="false">IFERROR(IF(ISBLANK(INDEX(Release[Release],MATCH($A300,Release[Requirement ID],0))),"",INDEX(Release[Release],MATCH($A300,Release[Requirement ID],0))),"")</f>
        <v/>
      </c>
      <c r="L299" s="33"/>
      <c r="M299" s="33"/>
      <c r="P299" s="1" t="n">
        <f aca="false">IFERROR(VALUE(MID($A299,5,4)),0)</f>
        <v>0</v>
      </c>
      <c r="Q299" s="1" t="str">
        <f aca="false">IF(B299="","","NEW-"&amp;TEXT(MAX($P$2:$P298,Lists!$N$2)+1,"0000"))</f>
        <v/>
      </c>
    </row>
    <row r="300" customFormat="false" ht="15" hidden="false" customHeight="true" outlineLevel="0" collapsed="false">
      <c r="A300" s="32" t="str">
        <f aca="false">IF(AND(B300="",C300="",D300="",E300="",F300="",G300="",H300="",J300="",L300="",M300="",N300=""),"",Q300)</f>
        <v/>
      </c>
      <c r="B300" s="33"/>
      <c r="C300" s="33"/>
      <c r="D300" s="33"/>
      <c r="E300" s="33"/>
      <c r="F300" s="33"/>
      <c r="G300" s="33"/>
      <c r="H300" s="33"/>
      <c r="I300" s="1" t="str">
        <f aca="false">IF($A301="","",IFERROR(IF(ISBLANK(INDEX(SprintPlanning[Sprint],MATCH($A301,SprintPlanning[Requirement ID],0))),"To Plan",INDEX(SprintPlanning[Sprint],MATCH($A301,SprintPlanning[Requirement ID],0))),"To Plan"))</f>
        <v/>
      </c>
      <c r="J300" s="33"/>
      <c r="K300" s="1" t="str">
        <f aca="false">IFERROR(IF(ISBLANK(INDEX(Release[Release],MATCH($A301,Release[Requirement ID],0))),"",INDEX(Release[Release],MATCH($A301,Release[Requirement ID],0))),"")</f>
        <v/>
      </c>
      <c r="L300" s="33"/>
      <c r="M300" s="33"/>
      <c r="P300" s="1" t="n">
        <f aca="false">IFERROR(VALUE(MID($A300,5,4)),0)</f>
        <v>0</v>
      </c>
      <c r="Q300" s="1" t="str">
        <f aca="false">IF(B300="","","NEW-"&amp;TEXT(MAX($P$2:$P299,Lists!$N$2)+1,"0000"))</f>
        <v/>
      </c>
    </row>
    <row r="301" customFormat="false" ht="15" hidden="false" customHeight="true" outlineLevel="0" collapsed="false">
      <c r="A301" s="32" t="str">
        <f aca="false">IF(AND(B301="",C301="",D301="",E301="",F301="",G301="",H301="",J301="",L301="",M301="",N301=""),"",Q301)</f>
        <v/>
      </c>
      <c r="B301" s="33"/>
      <c r="C301" s="33"/>
      <c r="D301" s="33"/>
      <c r="E301" s="33"/>
      <c r="F301" s="33"/>
      <c r="G301" s="33"/>
      <c r="H301" s="33"/>
      <c r="I301" s="1" t="str">
        <f aca="false">IF($A302="","",IFERROR(IF(ISBLANK(INDEX(SprintPlanning[Sprint],MATCH($A302,SprintPlanning[Requirement ID],0))),"To Plan",INDEX(SprintPlanning[Sprint],MATCH($A302,SprintPlanning[Requirement ID],0))),"To Plan"))</f>
        <v/>
      </c>
      <c r="J301" s="33"/>
      <c r="K301" s="1" t="str">
        <f aca="false">IFERROR(IF(ISBLANK(INDEX(Release[Release],MATCH($A302,Release[Requirement ID],0))),"",INDEX(Release[Release],MATCH($A302,Release[Requirement ID],0))),"")</f>
        <v/>
      </c>
      <c r="L301" s="33"/>
      <c r="M301" s="33"/>
      <c r="P301" s="1" t="n">
        <f aca="false">IFERROR(VALUE(MID($A301,5,4)),0)</f>
        <v>0</v>
      </c>
      <c r="Q301" s="1" t="str">
        <f aca="false">IF(B301="","","NEW-"&amp;TEXT(MAX($P$2:$P300,Lists!$N$2)+1,"0000"))</f>
        <v/>
      </c>
    </row>
    <row r="302" customFormat="false" ht="15" hidden="false" customHeight="true" outlineLevel="0" collapsed="false">
      <c r="A302" s="32" t="str">
        <f aca="false">IF(AND(B302="",C302="",D302="",E302="",F302="",G302="",H302="",J302="",L302="",M302="",N302=""),"",Q302)</f>
        <v/>
      </c>
      <c r="B302" s="33"/>
      <c r="C302" s="33"/>
      <c r="D302" s="33"/>
      <c r="E302" s="33"/>
      <c r="F302" s="33"/>
      <c r="G302" s="33"/>
      <c r="H302" s="33"/>
      <c r="I302" s="1" t="str">
        <f aca="false">IF($A303="","",IFERROR(IF(ISBLANK(INDEX(SprintPlanning[Sprint],MATCH($A303,SprintPlanning[Requirement ID],0))),"To Plan",INDEX(SprintPlanning[Sprint],MATCH($A303,SprintPlanning[Requirement ID],0))),"To Plan"))</f>
        <v/>
      </c>
      <c r="J302" s="33"/>
      <c r="K302" s="1" t="str">
        <f aca="false">IFERROR(IF(ISBLANK(INDEX(Release[Release],MATCH($A303,Release[Requirement ID],0))),"",INDEX(Release[Release],MATCH($A303,Release[Requirement ID],0))),"")</f>
        <v/>
      </c>
      <c r="L302" s="33"/>
      <c r="M302" s="33"/>
      <c r="P302" s="1" t="n">
        <f aca="false">IFERROR(VALUE(MID($A302,5,4)),0)</f>
        <v>0</v>
      </c>
      <c r="Q302" s="1" t="str">
        <f aca="false">IF(B302="","","NEW-"&amp;TEXT(MAX($P$2:$P301,Lists!$N$2)+1,"0000"))</f>
        <v/>
      </c>
    </row>
    <row r="303" customFormat="false" ht="15" hidden="false" customHeight="true" outlineLevel="0" collapsed="false">
      <c r="A303" s="32" t="str">
        <f aca="false">IF(AND(B303="",C303="",D303="",E303="",F303="",G303="",H303="",J303="",L303="",M303="",N303=""),"",Q303)</f>
        <v/>
      </c>
      <c r="B303" s="33"/>
      <c r="C303" s="33"/>
      <c r="D303" s="33"/>
      <c r="E303" s="33"/>
      <c r="F303" s="33"/>
      <c r="G303" s="33"/>
      <c r="H303" s="33"/>
      <c r="I303" s="1" t="str">
        <f aca="false">IF($A304="","",IFERROR(IF(ISBLANK(INDEX(SprintPlanning[Sprint],MATCH($A304,SprintPlanning[Requirement ID],0))),"To Plan",INDEX(SprintPlanning[Sprint],MATCH($A304,SprintPlanning[Requirement ID],0))),"To Plan"))</f>
        <v/>
      </c>
      <c r="J303" s="33"/>
      <c r="K303" s="1" t="str">
        <f aca="false">IFERROR(IF(ISBLANK(INDEX(Release[Release],MATCH($A304,Release[Requirement ID],0))),"",INDEX(Release[Release],MATCH($A304,Release[Requirement ID],0))),"")</f>
        <v/>
      </c>
      <c r="L303" s="33"/>
      <c r="M303" s="33"/>
      <c r="P303" s="1" t="n">
        <f aca="false">IFERROR(VALUE(MID($A303,5,4)),0)</f>
        <v>0</v>
      </c>
      <c r="Q303" s="1" t="str">
        <f aca="false">IF(B303="","","NEW-"&amp;TEXT(MAX($P$2:$P302,Lists!$N$2)+1,"0000"))</f>
        <v/>
      </c>
    </row>
    <row r="304" customFormat="false" ht="15" hidden="false" customHeight="true" outlineLevel="0" collapsed="false">
      <c r="A304" s="32" t="str">
        <f aca="false">IF(AND(B304="",C304="",D304="",E304="",F304="",G304="",H304="",J304="",L304="",M304="",N304=""),"",Q304)</f>
        <v/>
      </c>
      <c r="B304" s="33"/>
      <c r="C304" s="33"/>
      <c r="D304" s="33"/>
      <c r="E304" s="33"/>
      <c r="F304" s="33"/>
      <c r="G304" s="33"/>
      <c r="H304" s="33"/>
      <c r="I304" s="1" t="str">
        <f aca="false">IF($A305="","",IFERROR(IF(ISBLANK(INDEX(SprintPlanning[Sprint],MATCH($A305,SprintPlanning[Requirement ID],0))),"To Plan",INDEX(SprintPlanning[Sprint],MATCH($A305,SprintPlanning[Requirement ID],0))),"To Plan"))</f>
        <v/>
      </c>
      <c r="J304" s="33"/>
      <c r="K304" s="1" t="str">
        <f aca="false">IFERROR(IF(ISBLANK(INDEX(Release[Release],MATCH($A305,Release[Requirement ID],0))),"",INDEX(Release[Release],MATCH($A305,Release[Requirement ID],0))),"")</f>
        <v/>
      </c>
      <c r="L304" s="33"/>
      <c r="M304" s="33"/>
      <c r="P304" s="1" t="n">
        <f aca="false">IFERROR(VALUE(MID($A304,5,4)),0)</f>
        <v>0</v>
      </c>
      <c r="Q304" s="1" t="str">
        <f aca="false">IF(B304="","","NEW-"&amp;TEXT(MAX($P$2:$P303,Lists!$N$2)+1,"0000"))</f>
        <v/>
      </c>
    </row>
    <row r="305" customFormat="false" ht="15" hidden="false" customHeight="true" outlineLevel="0" collapsed="false">
      <c r="A305" s="32" t="str">
        <f aca="false">IF(AND(B305="",C305="",D305="",E305="",F305="",G305="",H305="",J305="",L305="",M305="",N305=""),"",Q305)</f>
        <v/>
      </c>
      <c r="B305" s="33"/>
      <c r="C305" s="33"/>
      <c r="D305" s="33"/>
      <c r="E305" s="33"/>
      <c r="F305" s="33"/>
      <c r="G305" s="33"/>
      <c r="H305" s="33"/>
      <c r="I305" s="1" t="str">
        <f aca="false">IF($A306="","",IFERROR(IF(ISBLANK(INDEX(SprintPlanning[Sprint],MATCH($A306,SprintPlanning[Requirement ID],0))),"To Plan",INDEX(SprintPlanning[Sprint],MATCH($A306,SprintPlanning[Requirement ID],0))),"To Plan"))</f>
        <v/>
      </c>
      <c r="J305" s="33"/>
      <c r="K305" s="1" t="str">
        <f aca="false">IFERROR(IF(ISBLANK(INDEX(Release[Release],MATCH($A306,Release[Requirement ID],0))),"",INDEX(Release[Release],MATCH($A306,Release[Requirement ID],0))),"")</f>
        <v/>
      </c>
      <c r="L305" s="33"/>
      <c r="M305" s="33"/>
      <c r="P305" s="1" t="n">
        <f aca="false">IFERROR(VALUE(MID($A305,5,4)),0)</f>
        <v>0</v>
      </c>
      <c r="Q305" s="1" t="str">
        <f aca="false">IF(B305="","","NEW-"&amp;TEXT(MAX($P$2:$P304,Lists!$N$2)+1,"0000"))</f>
        <v/>
      </c>
    </row>
    <row r="306" customFormat="false" ht="15" hidden="false" customHeight="true" outlineLevel="0" collapsed="false">
      <c r="A306" s="32" t="str">
        <f aca="false">IF(AND(B306="",C306="",D306="",E306="",F306="",G306="",H306="",J306="",L306="",M306="",N306=""),"",Q306)</f>
        <v/>
      </c>
      <c r="B306" s="33"/>
      <c r="C306" s="33"/>
      <c r="D306" s="33"/>
      <c r="E306" s="33"/>
      <c r="F306" s="33"/>
      <c r="G306" s="33"/>
      <c r="H306" s="33"/>
      <c r="I306" s="1" t="str">
        <f aca="false">IF($A307="","",IFERROR(IF(ISBLANK(INDEX(SprintPlanning[Sprint],MATCH($A307,SprintPlanning[Requirement ID],0))),"To Plan",INDEX(SprintPlanning[Sprint],MATCH($A307,SprintPlanning[Requirement ID],0))),"To Plan"))</f>
        <v/>
      </c>
      <c r="J306" s="33"/>
      <c r="K306" s="1" t="str">
        <f aca="false">IFERROR(IF(ISBLANK(INDEX(Release[Release],MATCH($A307,Release[Requirement ID],0))),"",INDEX(Release[Release],MATCH($A307,Release[Requirement ID],0))),"")</f>
        <v/>
      </c>
      <c r="L306" s="33"/>
      <c r="M306" s="33"/>
      <c r="P306" s="1" t="n">
        <f aca="false">IFERROR(VALUE(MID($A306,5,4)),0)</f>
        <v>0</v>
      </c>
      <c r="Q306" s="1" t="str">
        <f aca="false">IF(B306="","","NEW-"&amp;TEXT(MAX($P$2:$P305,Lists!$N$2)+1,"0000"))</f>
        <v/>
      </c>
    </row>
    <row r="307" customFormat="false" ht="15" hidden="false" customHeight="true" outlineLevel="0" collapsed="false">
      <c r="A307" s="32" t="str">
        <f aca="false">IF(AND(B307="",C307="",D307="",E307="",F307="",G307="",H307="",J307="",L307="",M307="",N307=""),"",Q307)</f>
        <v/>
      </c>
      <c r="B307" s="33"/>
      <c r="C307" s="33"/>
      <c r="D307" s="33"/>
      <c r="E307" s="33"/>
      <c r="F307" s="33"/>
      <c r="G307" s="33"/>
      <c r="H307" s="33"/>
      <c r="I307" s="1" t="str">
        <f aca="false">IF($A308="","",IFERROR(IF(ISBLANK(INDEX(SprintPlanning[Sprint],MATCH($A308,SprintPlanning[Requirement ID],0))),"To Plan",INDEX(SprintPlanning[Sprint],MATCH($A308,SprintPlanning[Requirement ID],0))),"To Plan"))</f>
        <v/>
      </c>
      <c r="J307" s="33"/>
      <c r="K307" s="1" t="str">
        <f aca="false">IFERROR(IF(ISBLANK(INDEX(Release[Release],MATCH($A308,Release[Requirement ID],0))),"",INDEX(Release[Release],MATCH($A308,Release[Requirement ID],0))),"")</f>
        <v/>
      </c>
      <c r="L307" s="33"/>
      <c r="M307" s="33"/>
      <c r="P307" s="1" t="n">
        <f aca="false">IFERROR(VALUE(MID($A307,5,4)),0)</f>
        <v>0</v>
      </c>
      <c r="Q307" s="1" t="str">
        <f aca="false">IF(B307="","","NEW-"&amp;TEXT(MAX($P$2:$P306,Lists!$N$2)+1,"0000"))</f>
        <v/>
      </c>
    </row>
    <row r="308" customFormat="false" ht="15" hidden="false" customHeight="true" outlineLevel="0" collapsed="false">
      <c r="A308" s="32" t="str">
        <f aca="false">IF(AND(B308="",C308="",D308="",E308="",F308="",G308="",H308="",J308="",L308="",M308="",N308=""),"",Q308)</f>
        <v/>
      </c>
      <c r="B308" s="33"/>
      <c r="C308" s="33"/>
      <c r="D308" s="33"/>
      <c r="E308" s="33"/>
      <c r="F308" s="33"/>
      <c r="G308" s="33"/>
      <c r="H308" s="33"/>
      <c r="I308" s="1" t="str">
        <f aca="false">IF($A309="","",IFERROR(IF(ISBLANK(INDEX(SprintPlanning[Sprint],MATCH($A309,SprintPlanning[Requirement ID],0))),"To Plan",INDEX(SprintPlanning[Sprint],MATCH($A309,SprintPlanning[Requirement ID],0))),"To Plan"))</f>
        <v/>
      </c>
      <c r="J308" s="33"/>
      <c r="K308" s="1" t="str">
        <f aca="false">IFERROR(IF(ISBLANK(INDEX(Release[Release],MATCH($A309,Release[Requirement ID],0))),"",INDEX(Release[Release],MATCH($A309,Release[Requirement ID],0))),"")</f>
        <v/>
      </c>
      <c r="L308" s="33"/>
      <c r="M308" s="33"/>
      <c r="P308" s="1" t="n">
        <f aca="false">IFERROR(VALUE(MID($A308,5,4)),0)</f>
        <v>0</v>
      </c>
      <c r="Q308" s="1" t="str">
        <f aca="false">IF(B308="","","NEW-"&amp;TEXT(MAX($P$2:$P307,Lists!$N$2)+1,"0000"))</f>
        <v/>
      </c>
    </row>
    <row r="309" customFormat="false" ht="15" hidden="false" customHeight="true" outlineLevel="0" collapsed="false">
      <c r="A309" s="32" t="str">
        <f aca="false">IF(AND(B309="",C309="",D309="",E309="",F309="",G309="",H309="",J309="",L309="",M309="",N309=""),"",Q309)</f>
        <v/>
      </c>
      <c r="B309" s="33"/>
      <c r="C309" s="33"/>
      <c r="D309" s="33"/>
      <c r="E309" s="33"/>
      <c r="F309" s="33"/>
      <c r="G309" s="33"/>
      <c r="H309" s="33"/>
      <c r="I309" s="1" t="str">
        <f aca="false">IF($A310="","",IFERROR(IF(ISBLANK(INDEX(SprintPlanning[Sprint],MATCH($A310,SprintPlanning[Requirement ID],0))),"To Plan",INDEX(SprintPlanning[Sprint],MATCH($A310,SprintPlanning[Requirement ID],0))),"To Plan"))</f>
        <v/>
      </c>
      <c r="J309" s="33"/>
      <c r="K309" s="1" t="str">
        <f aca="false">IFERROR(IF(ISBLANK(INDEX(Release[Release],MATCH($A310,Release[Requirement ID],0))),"",INDEX(Release[Release],MATCH($A310,Release[Requirement ID],0))),"")</f>
        <v/>
      </c>
      <c r="L309" s="33"/>
      <c r="M309" s="33"/>
      <c r="P309" s="1" t="n">
        <f aca="false">IFERROR(VALUE(MID($A309,5,4)),0)</f>
        <v>0</v>
      </c>
      <c r="Q309" s="1" t="str">
        <f aca="false">IF(B309="","","NEW-"&amp;TEXT(MAX($P$2:$P308,Lists!$N$2)+1,"0000"))</f>
        <v/>
      </c>
    </row>
    <row r="310" customFormat="false" ht="15" hidden="false" customHeight="true" outlineLevel="0" collapsed="false">
      <c r="A310" s="32" t="str">
        <f aca="false">IF(AND(B310="",C310="",D310="",E310="",F310="",G310="",H310="",J310="",L310="",M310="",N310=""),"",Q310)</f>
        <v/>
      </c>
      <c r="B310" s="33"/>
      <c r="C310" s="33"/>
      <c r="D310" s="33"/>
      <c r="E310" s="33"/>
      <c r="F310" s="33"/>
      <c r="G310" s="33"/>
      <c r="H310" s="33"/>
      <c r="I310" s="1" t="str">
        <f aca="false">IF($A311="","",IFERROR(IF(ISBLANK(INDEX(SprintPlanning[Sprint],MATCH($A311,SprintPlanning[Requirement ID],0))),"To Plan",INDEX(SprintPlanning[Sprint],MATCH($A311,SprintPlanning[Requirement ID],0))),"To Plan"))</f>
        <v/>
      </c>
      <c r="J310" s="33"/>
      <c r="K310" s="1" t="str">
        <f aca="false">IFERROR(IF(ISBLANK(INDEX(Release[Release],MATCH($A311,Release[Requirement ID],0))),"",INDEX(Release[Release],MATCH($A311,Release[Requirement ID],0))),"")</f>
        <v/>
      </c>
      <c r="L310" s="33"/>
      <c r="M310" s="33"/>
      <c r="P310" s="1" t="n">
        <f aca="false">IFERROR(VALUE(MID($A310,5,4)),0)</f>
        <v>0</v>
      </c>
      <c r="Q310" s="1" t="str">
        <f aca="false">IF(B310="","","NEW-"&amp;TEXT(MAX($P$2:$P309,Lists!$N$2)+1,"0000"))</f>
        <v/>
      </c>
    </row>
    <row r="311" customFormat="false" ht="15" hidden="false" customHeight="true" outlineLevel="0" collapsed="false">
      <c r="A311" s="32" t="str">
        <f aca="false">IF(AND(B311="",C311="",D311="",E311="",F311="",G311="",H311="",J311="",L311="",M311="",N311=""),"",Q311)</f>
        <v/>
      </c>
      <c r="B311" s="33"/>
      <c r="C311" s="33"/>
      <c r="D311" s="33"/>
      <c r="E311" s="33"/>
      <c r="F311" s="33"/>
      <c r="G311" s="33"/>
      <c r="H311" s="33"/>
      <c r="I311" s="1" t="str">
        <f aca="false">IF($A312="","",IFERROR(IF(ISBLANK(INDEX(SprintPlanning[Sprint],MATCH($A312,SprintPlanning[Requirement ID],0))),"To Plan",INDEX(SprintPlanning[Sprint],MATCH($A312,SprintPlanning[Requirement ID],0))),"To Plan"))</f>
        <v/>
      </c>
      <c r="J311" s="33"/>
      <c r="K311" s="1" t="str">
        <f aca="false">IFERROR(IF(ISBLANK(INDEX(Release[Release],MATCH($A312,Release[Requirement ID],0))),"",INDEX(Release[Release],MATCH($A312,Release[Requirement ID],0))),"")</f>
        <v/>
      </c>
      <c r="L311" s="33"/>
      <c r="M311" s="33"/>
      <c r="P311" s="1" t="n">
        <f aca="false">IFERROR(VALUE(MID($A311,5,4)),0)</f>
        <v>0</v>
      </c>
      <c r="Q311" s="1" t="str">
        <f aca="false">IF(B311="","","NEW-"&amp;TEXT(MAX($P$2:$P310,Lists!$N$2)+1,"0000"))</f>
        <v/>
      </c>
    </row>
    <row r="312" customFormat="false" ht="15" hidden="false" customHeight="true" outlineLevel="0" collapsed="false">
      <c r="A312" s="32" t="str">
        <f aca="false">IF(AND(B312="",C312="",D312="",E312="",F312="",G312="",H312="",J312="",L312="",M312="",N312=""),"",Q312)</f>
        <v/>
      </c>
      <c r="B312" s="33"/>
      <c r="C312" s="33"/>
      <c r="D312" s="33"/>
      <c r="E312" s="33"/>
      <c r="F312" s="33"/>
      <c r="G312" s="33"/>
      <c r="H312" s="33"/>
      <c r="I312" s="1" t="str">
        <f aca="false">IF($A313="","",IFERROR(IF(ISBLANK(INDEX(SprintPlanning[Sprint],MATCH($A313,SprintPlanning[Requirement ID],0))),"To Plan",INDEX(SprintPlanning[Sprint],MATCH($A313,SprintPlanning[Requirement ID],0))),"To Plan"))</f>
        <v/>
      </c>
      <c r="J312" s="33"/>
      <c r="K312" s="1" t="str">
        <f aca="false">IFERROR(IF(ISBLANK(INDEX(Release[Release],MATCH($A313,Release[Requirement ID],0))),"",INDEX(Release[Release],MATCH($A313,Release[Requirement ID],0))),"")</f>
        <v/>
      </c>
      <c r="L312" s="33"/>
      <c r="M312" s="33"/>
      <c r="P312" s="1" t="n">
        <f aca="false">IFERROR(VALUE(MID($A312,5,4)),0)</f>
        <v>0</v>
      </c>
      <c r="Q312" s="1" t="str">
        <f aca="false">IF(B312="","","NEW-"&amp;TEXT(MAX($P$2:$P311,Lists!$N$2)+1,"0000"))</f>
        <v/>
      </c>
    </row>
    <row r="313" customFormat="false" ht="15" hidden="false" customHeight="true" outlineLevel="0" collapsed="false">
      <c r="A313" s="32" t="str">
        <f aca="false">IF(AND(B313="",C313="",D313="",E313="",F313="",G313="",H313="",J313="",L313="",M313="",N313=""),"",Q313)</f>
        <v/>
      </c>
      <c r="B313" s="33"/>
      <c r="C313" s="33"/>
      <c r="D313" s="33"/>
      <c r="E313" s="33"/>
      <c r="F313" s="33"/>
      <c r="G313" s="33"/>
      <c r="H313" s="33"/>
      <c r="I313" s="1" t="str">
        <f aca="false">IF($A314="","",IFERROR(IF(ISBLANK(INDEX(SprintPlanning[Sprint],MATCH($A314,SprintPlanning[Requirement ID],0))),"To Plan",INDEX(SprintPlanning[Sprint],MATCH($A314,SprintPlanning[Requirement ID],0))),"To Plan"))</f>
        <v/>
      </c>
      <c r="J313" s="33"/>
      <c r="K313" s="1" t="str">
        <f aca="false">IFERROR(IF(ISBLANK(INDEX(Release[Release],MATCH($A314,Release[Requirement ID],0))),"",INDEX(Release[Release],MATCH($A314,Release[Requirement ID],0))),"")</f>
        <v/>
      </c>
      <c r="L313" s="33"/>
      <c r="M313" s="33"/>
      <c r="P313" s="1" t="n">
        <f aca="false">IFERROR(VALUE(MID($A313,5,4)),0)</f>
        <v>0</v>
      </c>
      <c r="Q313" s="1" t="str">
        <f aca="false">IF(B313="","","NEW-"&amp;TEXT(MAX($P$2:$P312,Lists!$N$2)+1,"0000"))</f>
        <v/>
      </c>
    </row>
    <row r="314" customFormat="false" ht="15" hidden="false" customHeight="true" outlineLevel="0" collapsed="false">
      <c r="A314" s="32" t="str">
        <f aca="false">IF(AND(B314="",C314="",D314="",E314="",F314="",G314="",H314="",J314="",L314="",M314="",N314=""),"",Q314)</f>
        <v/>
      </c>
      <c r="B314" s="33"/>
      <c r="C314" s="33"/>
      <c r="D314" s="33"/>
      <c r="E314" s="33"/>
      <c r="F314" s="33"/>
      <c r="G314" s="33"/>
      <c r="H314" s="33"/>
      <c r="I314" s="1" t="str">
        <f aca="false">IF($A315="","",IFERROR(IF(ISBLANK(INDEX(SprintPlanning[Sprint],MATCH($A315,SprintPlanning[Requirement ID],0))),"To Plan",INDEX(SprintPlanning[Sprint],MATCH($A315,SprintPlanning[Requirement ID],0))),"To Plan"))</f>
        <v/>
      </c>
      <c r="J314" s="33"/>
      <c r="K314" s="1" t="str">
        <f aca="false">IFERROR(IF(ISBLANK(INDEX(Release[Release],MATCH($A315,Release[Requirement ID],0))),"",INDEX(Release[Release],MATCH($A315,Release[Requirement ID],0))),"")</f>
        <v/>
      </c>
      <c r="L314" s="33"/>
      <c r="M314" s="33"/>
      <c r="P314" s="1" t="n">
        <f aca="false">IFERROR(VALUE(MID($A314,5,4)),0)</f>
        <v>0</v>
      </c>
      <c r="Q314" s="1" t="str">
        <f aca="false">IF(B314="","","NEW-"&amp;TEXT(MAX($P$2:$P313,Lists!$N$2)+1,"0000"))</f>
        <v/>
      </c>
    </row>
    <row r="315" customFormat="false" ht="15" hidden="false" customHeight="true" outlineLevel="0" collapsed="false">
      <c r="A315" s="32" t="str">
        <f aca="false">IF(AND(B315="",C315="",D315="",E315="",F315="",G315="",H315="",J315="",L315="",M315="",N315=""),"",Q315)</f>
        <v/>
      </c>
      <c r="B315" s="33"/>
      <c r="C315" s="33"/>
      <c r="D315" s="33"/>
      <c r="E315" s="33"/>
      <c r="F315" s="33"/>
      <c r="G315" s="33"/>
      <c r="H315" s="33"/>
      <c r="I315" s="1" t="str">
        <f aca="false">IF($A316="","",IFERROR(IF(ISBLANK(INDEX(SprintPlanning[Sprint],MATCH($A316,SprintPlanning[Requirement ID],0))),"To Plan",INDEX(SprintPlanning[Sprint],MATCH($A316,SprintPlanning[Requirement ID],0))),"To Plan"))</f>
        <v/>
      </c>
      <c r="J315" s="33"/>
      <c r="K315" s="1" t="str">
        <f aca="false">IFERROR(IF(ISBLANK(INDEX(Release[Release],MATCH($A316,Release[Requirement ID],0))),"",INDEX(Release[Release],MATCH($A316,Release[Requirement ID],0))),"")</f>
        <v/>
      </c>
      <c r="L315" s="33"/>
      <c r="M315" s="33"/>
      <c r="P315" s="1" t="n">
        <f aca="false">IFERROR(VALUE(MID($A315,5,4)),0)</f>
        <v>0</v>
      </c>
      <c r="Q315" s="1" t="str">
        <f aca="false">IF(B315="","","NEW-"&amp;TEXT(MAX($P$2:$P314,Lists!$N$2)+1,"0000"))</f>
        <v/>
      </c>
    </row>
    <row r="316" customFormat="false" ht="15" hidden="false" customHeight="true" outlineLevel="0" collapsed="false">
      <c r="A316" s="32" t="str">
        <f aca="false">IF(AND(B316="",C316="",D316="",E316="",F316="",G316="",H316="",J316="",L316="",M316="",N316=""),"",Q316)</f>
        <v/>
      </c>
      <c r="B316" s="33"/>
      <c r="C316" s="33"/>
      <c r="D316" s="33"/>
      <c r="E316" s="33"/>
      <c r="F316" s="33"/>
      <c r="G316" s="33"/>
      <c r="H316" s="33"/>
      <c r="I316" s="1" t="str">
        <f aca="false">IF($A317="","",IFERROR(IF(ISBLANK(INDEX(SprintPlanning[Sprint],MATCH($A317,SprintPlanning[Requirement ID],0))),"To Plan",INDEX(SprintPlanning[Sprint],MATCH($A317,SprintPlanning[Requirement ID],0))),"To Plan"))</f>
        <v/>
      </c>
      <c r="J316" s="33"/>
      <c r="K316" s="1" t="str">
        <f aca="false">IFERROR(IF(ISBLANK(INDEX(Release[Release],MATCH($A317,Release[Requirement ID],0))),"",INDEX(Release[Release],MATCH($A317,Release[Requirement ID],0))),"")</f>
        <v/>
      </c>
      <c r="L316" s="33"/>
      <c r="M316" s="33"/>
      <c r="P316" s="1" t="n">
        <f aca="false">IFERROR(VALUE(MID($A316,5,4)),0)</f>
        <v>0</v>
      </c>
      <c r="Q316" s="1" t="str">
        <f aca="false">IF(B316="","","NEW-"&amp;TEXT(MAX($P$2:$P315,Lists!$N$2)+1,"0000"))</f>
        <v/>
      </c>
    </row>
    <row r="317" customFormat="false" ht="15" hidden="false" customHeight="true" outlineLevel="0" collapsed="false">
      <c r="A317" s="32" t="str">
        <f aca="false">IF(AND(B317="",C317="",D317="",E317="",F317="",G317="",H317="",J317="",L317="",M317="",N317=""),"",Q317)</f>
        <v/>
      </c>
      <c r="B317" s="33"/>
      <c r="C317" s="33"/>
      <c r="D317" s="33"/>
      <c r="E317" s="33"/>
      <c r="F317" s="33"/>
      <c r="G317" s="33"/>
      <c r="H317" s="33"/>
      <c r="I317" s="1" t="str">
        <f aca="false">IF($A318="","",IFERROR(IF(ISBLANK(INDEX(SprintPlanning[Sprint],MATCH($A318,SprintPlanning[Requirement ID],0))),"To Plan",INDEX(SprintPlanning[Sprint],MATCH($A318,SprintPlanning[Requirement ID],0))),"To Plan"))</f>
        <v/>
      </c>
      <c r="J317" s="33"/>
      <c r="K317" s="1" t="str">
        <f aca="false">IFERROR(IF(ISBLANK(INDEX(Release[Release],MATCH($A318,Release[Requirement ID],0))),"",INDEX(Release[Release],MATCH($A318,Release[Requirement ID],0))),"")</f>
        <v/>
      </c>
      <c r="L317" s="33"/>
      <c r="M317" s="33"/>
      <c r="P317" s="1" t="n">
        <f aca="false">IFERROR(VALUE(MID($A317,5,4)),0)</f>
        <v>0</v>
      </c>
      <c r="Q317" s="1" t="str">
        <f aca="false">IF(B317="","","NEW-"&amp;TEXT(MAX($P$2:$P316,Lists!$N$2)+1,"0000"))</f>
        <v/>
      </c>
    </row>
    <row r="318" customFormat="false" ht="15" hidden="false" customHeight="true" outlineLevel="0" collapsed="false">
      <c r="A318" s="32" t="str">
        <f aca="false">IF(AND(B318="",C318="",D318="",E318="",F318="",G318="",H318="",J318="",L318="",M318="",N318=""),"",Q318)</f>
        <v/>
      </c>
      <c r="B318" s="33"/>
      <c r="C318" s="33"/>
      <c r="D318" s="33"/>
      <c r="E318" s="33"/>
      <c r="F318" s="33"/>
      <c r="G318" s="33"/>
      <c r="H318" s="33"/>
      <c r="I318" s="1" t="str">
        <f aca="false">IF($A319="","",IFERROR(IF(ISBLANK(INDEX(SprintPlanning[Sprint],MATCH($A319,SprintPlanning[Requirement ID],0))),"To Plan",INDEX(SprintPlanning[Sprint],MATCH($A319,SprintPlanning[Requirement ID],0))),"To Plan"))</f>
        <v/>
      </c>
      <c r="J318" s="33"/>
      <c r="K318" s="1" t="str">
        <f aca="false">IFERROR(IF(ISBLANK(INDEX(Release[Release],MATCH($A319,Release[Requirement ID],0))),"",INDEX(Release[Release],MATCH($A319,Release[Requirement ID],0))),"")</f>
        <v/>
      </c>
      <c r="L318" s="33"/>
      <c r="M318" s="33"/>
      <c r="P318" s="1" t="n">
        <f aca="false">IFERROR(VALUE(MID($A318,5,4)),0)</f>
        <v>0</v>
      </c>
      <c r="Q318" s="1" t="str">
        <f aca="false">IF(B318="","","NEW-"&amp;TEXT(MAX($P$2:$P317,Lists!$N$2)+1,"0000"))</f>
        <v/>
      </c>
    </row>
    <row r="319" customFormat="false" ht="15" hidden="false" customHeight="true" outlineLevel="0" collapsed="false">
      <c r="A319" s="32" t="str">
        <f aca="false">IF(AND(B319="",C319="",D319="",E319="",F319="",G319="",H319="",J319="",L319="",M319="",N319=""),"",Q319)</f>
        <v/>
      </c>
      <c r="B319" s="33"/>
      <c r="C319" s="33"/>
      <c r="D319" s="33"/>
      <c r="E319" s="33"/>
      <c r="F319" s="33"/>
      <c r="G319" s="33"/>
      <c r="H319" s="33"/>
      <c r="I319" s="1" t="str">
        <f aca="false">IF($A320="","",IFERROR(IF(ISBLANK(INDEX(SprintPlanning[Sprint],MATCH($A320,SprintPlanning[Requirement ID],0))),"To Plan",INDEX(SprintPlanning[Sprint],MATCH($A320,SprintPlanning[Requirement ID],0))),"To Plan"))</f>
        <v/>
      </c>
      <c r="J319" s="33"/>
      <c r="K319" s="1" t="str">
        <f aca="false">IFERROR(IF(ISBLANK(INDEX(Release[Release],MATCH($A320,Release[Requirement ID],0))),"",INDEX(Release[Release],MATCH($A320,Release[Requirement ID],0))),"")</f>
        <v/>
      </c>
      <c r="L319" s="33"/>
      <c r="M319" s="33"/>
      <c r="P319" s="1" t="n">
        <f aca="false">IFERROR(VALUE(MID($A319,5,4)),0)</f>
        <v>0</v>
      </c>
      <c r="Q319" s="1" t="str">
        <f aca="false">IF(B319="","","NEW-"&amp;TEXT(MAX($P$2:$P318,Lists!$N$2)+1,"0000"))</f>
        <v/>
      </c>
    </row>
    <row r="320" customFormat="false" ht="15" hidden="false" customHeight="true" outlineLevel="0" collapsed="false">
      <c r="A320" s="32" t="str">
        <f aca="false">IF(AND(B320="",C320="",D320="",E320="",F320="",G320="",H320="",J320="",L320="",M320="",N320=""),"",Q320)</f>
        <v/>
      </c>
      <c r="B320" s="33"/>
      <c r="C320" s="33"/>
      <c r="D320" s="33"/>
      <c r="E320" s="33"/>
      <c r="F320" s="33"/>
      <c r="G320" s="33"/>
      <c r="H320" s="33"/>
      <c r="I320" s="1" t="str">
        <f aca="false">IF($A321="","",IFERROR(IF(ISBLANK(INDEX(SprintPlanning[Sprint],MATCH($A321,SprintPlanning[Requirement ID],0))),"To Plan",INDEX(SprintPlanning[Sprint],MATCH($A321,SprintPlanning[Requirement ID],0))),"To Plan"))</f>
        <v/>
      </c>
      <c r="J320" s="33"/>
      <c r="K320" s="1" t="str">
        <f aca="false">IFERROR(IF(ISBLANK(INDEX(Release[Release],MATCH($A321,Release[Requirement ID],0))),"",INDEX(Release[Release],MATCH($A321,Release[Requirement ID],0))),"")</f>
        <v/>
      </c>
      <c r="L320" s="33"/>
      <c r="M320" s="33"/>
      <c r="P320" s="1" t="n">
        <f aca="false">IFERROR(VALUE(MID($A320,5,4)),0)</f>
        <v>0</v>
      </c>
      <c r="Q320" s="1" t="str">
        <f aca="false">IF(B320="","","NEW-"&amp;TEXT(MAX($P$2:$P319,Lists!$N$2)+1,"0000"))</f>
        <v/>
      </c>
    </row>
    <row r="321" customFormat="false" ht="15" hidden="false" customHeight="true" outlineLevel="0" collapsed="false">
      <c r="A321" s="32" t="str">
        <f aca="false">IF(AND(B321="",C321="",D321="",E321="",F321="",G321="",H321="",J321="",L321="",M321="",N321=""),"",Q321)</f>
        <v/>
      </c>
      <c r="B321" s="33"/>
      <c r="C321" s="33"/>
      <c r="D321" s="33"/>
      <c r="E321" s="33"/>
      <c r="F321" s="33"/>
      <c r="G321" s="33"/>
      <c r="H321" s="33"/>
      <c r="I321" s="1" t="str">
        <f aca="false">IF($A322="","",IFERROR(IF(ISBLANK(INDEX(SprintPlanning[Sprint],MATCH($A322,SprintPlanning[Requirement ID],0))),"To Plan",INDEX(SprintPlanning[Sprint],MATCH($A322,SprintPlanning[Requirement ID],0))),"To Plan"))</f>
        <v/>
      </c>
      <c r="J321" s="33"/>
      <c r="K321" s="1" t="str">
        <f aca="false">IFERROR(IF(ISBLANK(INDEX(Release[Release],MATCH($A322,Release[Requirement ID],0))),"",INDEX(Release[Release],MATCH($A322,Release[Requirement ID],0))),"")</f>
        <v/>
      </c>
      <c r="L321" s="33"/>
      <c r="M321" s="33"/>
      <c r="P321" s="1" t="n">
        <f aca="false">IFERROR(VALUE(MID($A321,5,4)),0)</f>
        <v>0</v>
      </c>
      <c r="Q321" s="1" t="str">
        <f aca="false">IF(B321="","","NEW-"&amp;TEXT(MAX($P$2:$P320,Lists!$N$2)+1,"0000"))</f>
        <v/>
      </c>
    </row>
    <row r="322" customFormat="false" ht="15" hidden="false" customHeight="true" outlineLevel="0" collapsed="false">
      <c r="A322" s="32" t="str">
        <f aca="false">IF(AND(B322="",C322="",D322="",E322="",F322="",G322="",H322="",J322="",L322="",M322="",N322=""),"",Q322)</f>
        <v/>
      </c>
      <c r="B322" s="33"/>
      <c r="C322" s="33"/>
      <c r="D322" s="33"/>
      <c r="E322" s="33"/>
      <c r="F322" s="33"/>
      <c r="G322" s="33"/>
      <c r="H322" s="33"/>
      <c r="I322" s="1" t="str">
        <f aca="false">IF($A323="","",IFERROR(IF(ISBLANK(INDEX(SprintPlanning[Sprint],MATCH($A323,SprintPlanning[Requirement ID],0))),"To Plan",INDEX(SprintPlanning[Sprint],MATCH($A323,SprintPlanning[Requirement ID],0))),"To Plan"))</f>
        <v/>
      </c>
      <c r="J322" s="33"/>
      <c r="K322" s="1" t="str">
        <f aca="false">IFERROR(IF(ISBLANK(INDEX(Release[Release],MATCH($A323,Release[Requirement ID],0))),"",INDEX(Release[Release],MATCH($A323,Release[Requirement ID],0))),"")</f>
        <v/>
      </c>
      <c r="L322" s="33"/>
      <c r="M322" s="33"/>
      <c r="P322" s="1" t="n">
        <f aca="false">IFERROR(VALUE(MID($A322,5,4)),0)</f>
        <v>0</v>
      </c>
      <c r="Q322" s="1" t="str">
        <f aca="false">IF(B322="","","NEW-"&amp;TEXT(MAX($P$2:$P321,Lists!$N$2)+1,"0000"))</f>
        <v/>
      </c>
    </row>
    <row r="323" customFormat="false" ht="15" hidden="false" customHeight="true" outlineLevel="0" collapsed="false">
      <c r="A323" s="32" t="str">
        <f aca="false">IF(AND(B323="",C323="",D323="",E323="",F323="",G323="",H323="",J323="",L323="",M323="",N323=""),"",Q323)</f>
        <v/>
      </c>
      <c r="B323" s="33"/>
      <c r="C323" s="33"/>
      <c r="D323" s="33"/>
      <c r="E323" s="33"/>
      <c r="F323" s="33"/>
      <c r="G323" s="33"/>
      <c r="H323" s="33"/>
      <c r="I323" s="1" t="str">
        <f aca="false">IF($A324="","",IFERROR(IF(ISBLANK(INDEX(SprintPlanning[Sprint],MATCH($A324,SprintPlanning[Requirement ID],0))),"To Plan",INDEX(SprintPlanning[Sprint],MATCH($A324,SprintPlanning[Requirement ID],0))),"To Plan"))</f>
        <v/>
      </c>
      <c r="J323" s="33"/>
      <c r="K323" s="1" t="str">
        <f aca="false">IFERROR(IF(ISBLANK(INDEX(Release[Release],MATCH($A324,Release[Requirement ID],0))),"",INDEX(Release[Release],MATCH($A324,Release[Requirement ID],0))),"")</f>
        <v/>
      </c>
      <c r="L323" s="33"/>
      <c r="M323" s="33"/>
      <c r="P323" s="1" t="n">
        <f aca="false">IFERROR(VALUE(MID($A323,5,4)),0)</f>
        <v>0</v>
      </c>
      <c r="Q323" s="1" t="str">
        <f aca="false">IF(B323="","","NEW-"&amp;TEXT(MAX($P$2:$P322,Lists!$N$2)+1,"0000"))</f>
        <v/>
      </c>
    </row>
    <row r="324" customFormat="false" ht="15" hidden="false" customHeight="true" outlineLevel="0" collapsed="false">
      <c r="A324" s="32" t="str">
        <f aca="false">IF(AND(B324="",C324="",D324="",E324="",F324="",G324="",H324="",J324="",L324="",M324="",N324=""),"",Q324)</f>
        <v/>
      </c>
      <c r="B324" s="33"/>
      <c r="C324" s="33"/>
      <c r="D324" s="33"/>
      <c r="E324" s="33"/>
      <c r="F324" s="33"/>
      <c r="G324" s="33"/>
      <c r="H324" s="33"/>
      <c r="I324" s="1" t="str">
        <f aca="false">IF($A325="","",IFERROR(IF(ISBLANK(INDEX(SprintPlanning[Sprint],MATCH($A325,SprintPlanning[Requirement ID],0))),"To Plan",INDEX(SprintPlanning[Sprint],MATCH($A325,SprintPlanning[Requirement ID],0))),"To Plan"))</f>
        <v/>
      </c>
      <c r="J324" s="33"/>
      <c r="K324" s="1" t="str">
        <f aca="false">IFERROR(IF(ISBLANK(INDEX(Release[Release],MATCH($A325,Release[Requirement ID],0))),"",INDEX(Release[Release],MATCH($A325,Release[Requirement ID],0))),"")</f>
        <v/>
      </c>
      <c r="L324" s="33"/>
      <c r="M324" s="33"/>
      <c r="P324" s="1" t="n">
        <f aca="false">IFERROR(VALUE(MID($A324,5,4)),0)</f>
        <v>0</v>
      </c>
      <c r="Q324" s="1" t="str">
        <f aca="false">IF(B324="","","NEW-"&amp;TEXT(MAX($P$2:$P323,Lists!$N$2)+1,"0000"))</f>
        <v/>
      </c>
    </row>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true" customHeight="true" outlineLevel="0" collapsed="false"/>
    <row r="329" customFormat="false" ht="15" hidden="true" customHeight="true" outlineLevel="0" collapsed="false"/>
    <row r="330" customFormat="false" ht="15" hidden="true" customHeight="true" outlineLevel="0" collapsed="false"/>
    <row r="331" customFormat="false" ht="15" hidden="true" customHeight="true" outlineLevel="0" collapsed="false"/>
    <row r="332" customFormat="false" ht="15" hidden="true" customHeight="true" outlineLevel="0" collapsed="false"/>
    <row r="333" customFormat="false" ht="15" hidden="true" customHeight="true" outlineLevel="0" collapsed="false"/>
    <row r="334" customFormat="false" ht="15" hidden="true" customHeight="true" outlineLevel="0" collapsed="false"/>
    <row r="335" customFormat="false" ht="15" hidden="true" customHeight="true" outlineLevel="0" collapsed="false"/>
    <row r="336" customFormat="false" ht="15" hidden="true" customHeight="true" outlineLevel="0" collapsed="false"/>
    <row r="337" customFormat="false" ht="15" hidden="true" customHeight="true" outlineLevel="0" collapsed="false"/>
    <row r="338" customFormat="false" ht="15" hidden="true" customHeight="true" outlineLevel="0" collapsed="false"/>
    <row r="339" customFormat="false" ht="15" hidden="true" customHeight="true" outlineLevel="0" collapsed="false"/>
    <row r="340" customFormat="false" ht="15" hidden="true" customHeight="true" outlineLevel="0" collapsed="false"/>
    <row r="341" customFormat="false" ht="15" hidden="true" customHeight="true" outlineLevel="0" collapsed="false"/>
    <row r="342" customFormat="false" ht="15" hidden="true" customHeight="true" outlineLevel="0" collapsed="false"/>
    <row r="343" customFormat="false" ht="15" hidden="true" customHeight="true" outlineLevel="0" collapsed="false"/>
    <row r="344" customFormat="false" ht="15" hidden="true" customHeight="true" outlineLevel="0" collapsed="false"/>
    <row r="345" customFormat="false" ht="15" hidden="true" customHeight="true" outlineLevel="0" collapsed="false"/>
    <row r="346" customFormat="false" ht="15" hidden="true" customHeight="true" outlineLevel="0" collapsed="false"/>
    <row r="347" customFormat="false" ht="15" hidden="true" customHeight="true" outlineLevel="0" collapsed="false"/>
    <row r="348" customFormat="false" ht="15" hidden="true" customHeight="true" outlineLevel="0" collapsed="false"/>
    <row r="349" customFormat="false" ht="15" hidden="true" customHeight="true" outlineLevel="0" collapsed="false"/>
    <row r="350" customFormat="false" ht="15" hidden="true" customHeight="true" outlineLevel="0" collapsed="false"/>
    <row r="351" customFormat="false" ht="15" hidden="true" customHeight="true" outlineLevel="0" collapsed="false"/>
    <row r="352" customFormat="false" ht="15" hidden="true" customHeight="true" outlineLevel="0" collapsed="false"/>
    <row r="353" customFormat="false" ht="15" hidden="true" customHeight="true" outlineLevel="0" collapsed="false"/>
    <row r="354" customFormat="false" ht="15" hidden="true" customHeight="true" outlineLevel="0" collapsed="false"/>
    <row r="355" customFormat="false" ht="15" hidden="true" customHeight="true" outlineLevel="0" collapsed="false"/>
    <row r="356" customFormat="false" ht="15" hidden="true" customHeight="true" outlineLevel="0" collapsed="false"/>
    <row r="357" customFormat="false" ht="15" hidden="true" customHeight="true" outlineLevel="0" collapsed="false"/>
    <row r="358" customFormat="false" ht="15" hidden="true" customHeight="true" outlineLevel="0" collapsed="false"/>
    <row r="359" customFormat="false" ht="15" hidden="true" customHeight="true" outlineLevel="0" collapsed="false"/>
    <row r="360" customFormat="false" ht="15" hidden="true" customHeight="true" outlineLevel="0" collapsed="false"/>
    <row r="361" customFormat="false" ht="15" hidden="true" customHeight="true" outlineLevel="0" collapsed="false"/>
    <row r="362" customFormat="false" ht="15" hidden="true" customHeight="true" outlineLevel="0" collapsed="false"/>
    <row r="363" customFormat="false" ht="15" hidden="true" customHeight="true" outlineLevel="0" collapsed="false"/>
    <row r="364" customFormat="false" ht="15" hidden="true" customHeight="true" outlineLevel="0" collapsed="false"/>
    <row r="365" customFormat="false" ht="15" hidden="true" customHeight="true" outlineLevel="0" collapsed="false"/>
    <row r="366" customFormat="false" ht="15" hidden="true" customHeight="true" outlineLevel="0" collapsed="false"/>
    <row r="367" customFormat="false" ht="15" hidden="true" customHeight="true" outlineLevel="0" collapsed="false"/>
    <row r="368" customFormat="false" ht="15" hidden="true" customHeight="true" outlineLevel="0" collapsed="false"/>
    <row r="369" customFormat="false" ht="15" hidden="true" customHeight="true" outlineLevel="0" collapsed="false"/>
    <row r="370" customFormat="false" ht="15" hidden="true" customHeight="true" outlineLevel="0" collapsed="false"/>
    <row r="371" customFormat="false" ht="15" hidden="true" customHeight="true" outlineLevel="0" collapsed="false"/>
    <row r="372" customFormat="false" ht="15" hidden="true" customHeight="true" outlineLevel="0" collapsed="false"/>
    <row r="373" customFormat="false" ht="15" hidden="true" customHeight="true" outlineLevel="0" collapsed="false"/>
    <row r="374" customFormat="false" ht="15" hidden="true" customHeight="true" outlineLevel="0" collapsed="false"/>
    <row r="375" customFormat="false" ht="15" hidden="true" customHeight="true" outlineLevel="0" collapsed="false"/>
    <row r="376" customFormat="false" ht="15" hidden="true" customHeight="true" outlineLevel="0" collapsed="false"/>
    <row r="377" customFormat="false" ht="15" hidden="true" customHeight="true" outlineLevel="0" collapsed="false"/>
    <row r="378" customFormat="false" ht="15" hidden="true" customHeight="true" outlineLevel="0" collapsed="false"/>
    <row r="379" customFormat="false" ht="15" hidden="true" customHeight="true" outlineLevel="0" collapsed="false"/>
    <row r="380" customFormat="false" ht="15" hidden="true" customHeight="true" outlineLevel="0" collapsed="false"/>
    <row r="381" customFormat="false" ht="15" hidden="true" customHeight="true" outlineLevel="0" collapsed="false"/>
    <row r="382" customFormat="false" ht="15" hidden="true" customHeight="true" outlineLevel="0" collapsed="false"/>
    <row r="383" customFormat="false" ht="15" hidden="true" customHeight="true" outlineLevel="0" collapsed="false"/>
    <row r="384" customFormat="false" ht="15" hidden="true" customHeight="true" outlineLevel="0" collapsed="false"/>
    <row r="385" customFormat="false" ht="15" hidden="true" customHeight="true" outlineLevel="0" collapsed="false"/>
    <row r="386" customFormat="false" ht="15" hidden="true" customHeight="true" outlineLevel="0" collapsed="false"/>
    <row r="387" customFormat="false" ht="15" hidden="true" customHeight="true" outlineLevel="0" collapsed="false"/>
    <row r="388" customFormat="false" ht="15" hidden="true" customHeight="true" outlineLevel="0" collapsed="false"/>
    <row r="389" customFormat="false" ht="15" hidden="true" customHeight="true" outlineLevel="0" collapsed="false"/>
    <row r="390" customFormat="false" ht="15" hidden="true" customHeight="true" outlineLevel="0" collapsed="false"/>
    <row r="391" customFormat="false" ht="15" hidden="true" customHeight="true" outlineLevel="0" collapsed="false"/>
    <row r="392" customFormat="false" ht="15" hidden="true" customHeight="true" outlineLevel="0" collapsed="false"/>
    <row r="393" customFormat="false" ht="15" hidden="true" customHeight="true" outlineLevel="0" collapsed="false"/>
    <row r="394" customFormat="false" ht="15" hidden="true" customHeight="true" outlineLevel="0" collapsed="false"/>
    <row r="395" customFormat="false" ht="15" hidden="true" customHeight="true" outlineLevel="0" collapsed="false"/>
    <row r="396" customFormat="false" ht="15" hidden="true" customHeight="true" outlineLevel="0" collapsed="false"/>
    <row r="397" customFormat="false" ht="15" hidden="true" customHeight="true" outlineLevel="0" collapsed="false"/>
    <row r="398" customFormat="false" ht="15" hidden="true" customHeight="true" outlineLevel="0" collapsed="false"/>
    <row r="399" customFormat="false" ht="15" hidden="true" customHeight="true" outlineLevel="0" collapsed="false"/>
    <row r="400" customFormat="false" ht="15" hidden="true" customHeight="true" outlineLevel="0" collapsed="false"/>
    <row r="401" customFormat="false" ht="15" hidden="true" customHeight="true" outlineLevel="0" collapsed="false"/>
    <row r="402" customFormat="false" ht="15" hidden="true" customHeight="true" outlineLevel="0" collapsed="false"/>
    <row r="403" customFormat="false" ht="15" hidden="true" customHeight="true" outlineLevel="0" collapsed="false"/>
    <row r="404" customFormat="false" ht="15" hidden="true" customHeight="true" outlineLevel="0" collapsed="false"/>
    <row r="405" customFormat="false" ht="15" hidden="true" customHeight="true" outlineLevel="0" collapsed="false"/>
    <row r="406" customFormat="false" ht="15" hidden="true" customHeight="true" outlineLevel="0" collapsed="false"/>
    <row r="407" customFormat="false" ht="15" hidden="true" customHeight="true" outlineLevel="0" collapsed="false"/>
    <row r="408" customFormat="false" ht="15" hidden="true" customHeight="true" outlineLevel="0" collapsed="false"/>
    <row r="409" customFormat="false" ht="15" hidden="true" customHeight="true" outlineLevel="0" collapsed="false"/>
    <row r="410" customFormat="false" ht="15" hidden="true" customHeight="true" outlineLevel="0" collapsed="false"/>
    <row r="411" customFormat="false" ht="15" hidden="true" customHeight="true" outlineLevel="0" collapsed="false"/>
    <row r="412" customFormat="false" ht="15" hidden="true" customHeight="true" outlineLevel="0" collapsed="false"/>
    <row r="413" customFormat="false" ht="15" hidden="true" customHeight="true" outlineLevel="0" collapsed="false"/>
    <row r="414" customFormat="false" ht="15" hidden="true" customHeight="true" outlineLevel="0" collapsed="false"/>
    <row r="415" customFormat="false" ht="15" hidden="true" customHeight="true" outlineLevel="0" collapsed="false"/>
    <row r="416" customFormat="false" ht="15" hidden="true" customHeight="true" outlineLevel="0" collapsed="false"/>
    <row r="417" customFormat="false" ht="15" hidden="true" customHeight="true" outlineLevel="0" collapsed="false"/>
    <row r="418" customFormat="false" ht="15" hidden="true" customHeight="true" outlineLevel="0" collapsed="false"/>
    <row r="419" customFormat="false" ht="15" hidden="true" customHeight="true" outlineLevel="0" collapsed="false"/>
    <row r="420" customFormat="false" ht="15" hidden="true" customHeight="true" outlineLevel="0" collapsed="false"/>
    <row r="421" customFormat="false" ht="15" hidden="true" customHeight="true" outlineLevel="0" collapsed="false"/>
    <row r="422" customFormat="false" ht="15" hidden="true" customHeight="true" outlineLevel="0" collapsed="false"/>
    <row r="423" customFormat="false" ht="15" hidden="true" customHeight="true" outlineLevel="0" collapsed="false"/>
    <row r="424" customFormat="false" ht="15" hidden="true" customHeight="true" outlineLevel="0" collapsed="false"/>
    <row r="425" customFormat="false" ht="15" hidden="true" customHeight="true" outlineLevel="0" collapsed="false"/>
    <row r="426" customFormat="false" ht="15" hidden="true" customHeight="true" outlineLevel="0" collapsed="false"/>
    <row r="427" customFormat="false" ht="15" hidden="true" customHeight="true" outlineLevel="0" collapsed="false"/>
    <row r="428" customFormat="false" ht="15" hidden="true" customHeight="true" outlineLevel="0" collapsed="false"/>
    <row r="429" customFormat="false" ht="15" hidden="true" customHeight="true" outlineLevel="0" collapsed="false"/>
    <row r="430" customFormat="false" ht="15" hidden="true" customHeight="true" outlineLevel="0" collapsed="false"/>
    <row r="431" customFormat="false" ht="15" hidden="true" customHeight="true" outlineLevel="0" collapsed="false"/>
    <row r="432" customFormat="false" ht="15" hidden="true" customHeight="true" outlineLevel="0" collapsed="false"/>
    <row r="433" customFormat="false" ht="15" hidden="true" customHeight="true" outlineLevel="0" collapsed="false"/>
    <row r="434" customFormat="false" ht="15" hidden="true" customHeight="true" outlineLevel="0" collapsed="false"/>
    <row r="435" customFormat="false" ht="15" hidden="true" customHeight="true" outlineLevel="0" collapsed="false"/>
    <row r="436" customFormat="false" ht="15" hidden="true" customHeight="true" outlineLevel="0" collapsed="false"/>
    <row r="437" customFormat="false" ht="15" hidden="true" customHeight="true" outlineLevel="0" collapsed="false"/>
    <row r="438" customFormat="false" ht="15" hidden="true" customHeight="true" outlineLevel="0" collapsed="false"/>
    <row r="439" customFormat="false" ht="15" hidden="true" customHeight="true" outlineLevel="0" collapsed="false"/>
    <row r="440" customFormat="false" ht="15" hidden="true" customHeight="true" outlineLevel="0" collapsed="false"/>
    <row r="441" customFormat="false" ht="15" hidden="true" customHeight="true" outlineLevel="0" collapsed="false"/>
    <row r="442" customFormat="false" ht="15" hidden="true" customHeight="true" outlineLevel="0" collapsed="false"/>
    <row r="443" customFormat="false" ht="15" hidden="true" customHeight="true" outlineLevel="0" collapsed="false"/>
    <row r="444" customFormat="false" ht="15" hidden="true" customHeight="true" outlineLevel="0" collapsed="false"/>
    <row r="445" customFormat="false" ht="15" hidden="true" customHeight="true" outlineLevel="0" collapsed="false"/>
    <row r="446" customFormat="false" ht="15" hidden="true" customHeight="true" outlineLevel="0" collapsed="false"/>
    <row r="447" customFormat="false" ht="15" hidden="true" customHeight="true" outlineLevel="0" collapsed="false"/>
    <row r="448" customFormat="false" ht="15" hidden="true" customHeight="true" outlineLevel="0" collapsed="false"/>
    <row r="449" customFormat="false" ht="15" hidden="true" customHeight="true" outlineLevel="0" collapsed="false"/>
    <row r="450" customFormat="false" ht="15" hidden="true" customHeight="true" outlineLevel="0" collapsed="false"/>
    <row r="451" customFormat="false" ht="15" hidden="true" customHeight="true" outlineLevel="0" collapsed="false"/>
    <row r="452" customFormat="false" ht="15" hidden="true" customHeight="true" outlineLevel="0" collapsed="false"/>
    <row r="453" customFormat="false" ht="15" hidden="true" customHeight="true" outlineLevel="0" collapsed="false"/>
    <row r="454" customFormat="false" ht="15" hidden="true" customHeight="true" outlineLevel="0" collapsed="false"/>
    <row r="455" customFormat="false" ht="15" hidden="true" customHeight="true" outlineLevel="0" collapsed="false"/>
    <row r="456" customFormat="false" ht="15" hidden="true" customHeight="true" outlineLevel="0" collapsed="false"/>
    <row r="457" customFormat="false" ht="15" hidden="true" customHeight="true" outlineLevel="0" collapsed="false"/>
    <row r="458" customFormat="false" ht="15" hidden="true" customHeight="true" outlineLevel="0" collapsed="false"/>
    <row r="459" customFormat="false" ht="15" hidden="true" customHeight="true" outlineLevel="0" collapsed="false"/>
    <row r="460" customFormat="false" ht="15" hidden="true" customHeight="true" outlineLevel="0" collapsed="false"/>
    <row r="461" customFormat="false" ht="15" hidden="true" customHeight="true" outlineLevel="0" collapsed="false"/>
    <row r="462" customFormat="false" ht="15" hidden="true" customHeight="true" outlineLevel="0" collapsed="false"/>
    <row r="463" customFormat="false" ht="15" hidden="true" customHeight="true" outlineLevel="0" collapsed="false"/>
    <row r="464" customFormat="false" ht="15" hidden="true" customHeight="true" outlineLevel="0" collapsed="false"/>
    <row r="465" customFormat="false" ht="15" hidden="true" customHeight="true" outlineLevel="0" collapsed="false"/>
    <row r="466" customFormat="false" ht="15" hidden="true" customHeight="true" outlineLevel="0" collapsed="false"/>
    <row r="467" customFormat="false" ht="15" hidden="true" customHeight="true" outlineLevel="0" collapsed="false"/>
    <row r="468" customFormat="false" ht="15" hidden="true" customHeight="true" outlineLevel="0" collapsed="false"/>
    <row r="469" customFormat="false" ht="15" hidden="true" customHeight="true" outlineLevel="0" collapsed="false"/>
    <row r="470" customFormat="false" ht="15" hidden="true" customHeight="true" outlineLevel="0" collapsed="false"/>
    <row r="471" customFormat="false" ht="15" hidden="true" customHeight="true" outlineLevel="0" collapsed="false"/>
    <row r="472" customFormat="false" ht="15" hidden="true" customHeight="true" outlineLevel="0" collapsed="false"/>
    <row r="473" customFormat="false" ht="15" hidden="true" customHeight="true" outlineLevel="0" collapsed="false"/>
    <row r="474" customFormat="false" ht="15" hidden="true" customHeight="true" outlineLevel="0" collapsed="false"/>
    <row r="475" customFormat="false" ht="15" hidden="true" customHeight="true" outlineLevel="0" collapsed="false"/>
    <row r="476" customFormat="false" ht="15" hidden="true" customHeight="true" outlineLevel="0" collapsed="false"/>
    <row r="477" customFormat="false" ht="15" hidden="true" customHeight="true" outlineLevel="0" collapsed="false"/>
    <row r="478" customFormat="false" ht="15" hidden="true" customHeight="true" outlineLevel="0" collapsed="false"/>
    <row r="479" customFormat="false" ht="15" hidden="true" customHeight="true" outlineLevel="0" collapsed="false"/>
    <row r="480" customFormat="false" ht="15" hidden="true" customHeight="true" outlineLevel="0" collapsed="false"/>
    <row r="481" customFormat="false" ht="15" hidden="true" customHeight="true" outlineLevel="0" collapsed="false"/>
    <row r="482" customFormat="false" ht="15" hidden="true" customHeight="true" outlineLevel="0" collapsed="false"/>
    <row r="483" customFormat="false" ht="15" hidden="true" customHeight="true" outlineLevel="0" collapsed="false"/>
    <row r="484" customFormat="false" ht="15" hidden="true" customHeight="true" outlineLevel="0" collapsed="false"/>
    <row r="485" customFormat="false" ht="15" hidden="true" customHeight="true" outlineLevel="0" collapsed="false"/>
    <row r="486" customFormat="false" ht="15" hidden="true" customHeight="true" outlineLevel="0" collapsed="false"/>
    <row r="487" customFormat="false" ht="15" hidden="true" customHeight="true" outlineLevel="0" collapsed="false"/>
    <row r="488" customFormat="false" ht="15" hidden="true" customHeight="true" outlineLevel="0" collapsed="false"/>
    <row r="489" customFormat="false" ht="15" hidden="true" customHeight="true" outlineLevel="0" collapsed="false"/>
    <row r="490" customFormat="false" ht="15" hidden="true" customHeight="true" outlineLevel="0" collapsed="false"/>
    <row r="491" customFormat="false" ht="15" hidden="true" customHeight="true" outlineLevel="0" collapsed="false"/>
    <row r="492" customFormat="false" ht="15" hidden="false" customHeight="true" outlineLevel="0" collapsed="false"/>
    <row r="493" customFormat="false" ht="15" hidden="false" customHeight="true" outlineLevel="0" collapsed="false"/>
    <row r="494" customFormat="false" ht="15" hidden="true" customHeight="true" outlineLevel="0" collapsed="false"/>
    <row r="495" customFormat="false" ht="15" hidden="tru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sheetData>
  <conditionalFormatting sqref="A2:Q999">
    <cfRule type="expression" priority="2" aboveAverage="0" equalAverage="0" bottom="0" percent="0" rank="0" text="" dxfId="10">
      <formula>$D2="US"</formula>
    </cfRule>
    <cfRule type="expression" priority="3" aboveAverage="0" equalAverage="0" bottom="0" percent="0" rank="0" text="" dxfId="11">
      <formula>$D2="MyMSC"</formula>
    </cfRule>
    <cfRule type="expression" priority="4" aboveAverage="0" equalAverage="0" bottom="0" percent="0" rank="0" text="" dxfId="12">
      <formula>$D2="Rollout"</formula>
    </cfRule>
    <cfRule type="expression" priority="5" aboveAverage="0" equalAverage="0" bottom="0" percent="0" rank="0" text="" dxfId="12">
      <formula>$D2="MVP Rollout"</formula>
    </cfRule>
    <cfRule type="expression" priority="6" aboveAverage="0" equalAverage="0" bottom="0" percent="0" rank="0" text="" dxfId="13">
      <formula>$D2="Backlog"</formula>
    </cfRule>
    <cfRule type="expression" priority="7" aboveAverage="0" equalAverage="0" bottom="0" percent="0" rank="0" text="" dxfId="13">
      <formula>$D2="Growth"</formula>
    </cfRule>
    <cfRule type="expression" priority="8" aboveAverage="0" equalAverage="0" bottom="0" percent="0" rank="0" text="" dxfId="14">
      <formula>$D2="Tech Enhancements"</formula>
    </cfRule>
    <cfRule type="expression" priority="9" aboveAverage="0" equalAverage="0" bottom="0" percent="0" rank="0" text="" dxfId="15">
      <formula>LEFT($D2,2)="PI"</formula>
    </cfRule>
  </conditionalFormatting>
  <dataValidations count="6">
    <dataValidation allowBlank="true" errorStyle="stop" operator="between" showDropDown="false" showErrorMessage="false" showInputMessage="false" sqref="C2:C203 C205:C499" type="list">
      <formula1>"Config,CR,New,TBC,Bug,Tech Task,Tech Story"</formula1>
      <formula2>0</formula2>
    </dataValidation>
    <dataValidation allowBlank="true" errorStyle="stop" operator="between" showDropDown="false" showErrorMessage="false" showInputMessage="false" sqref="M2:M499" type="list">
      <formula1>"Yes,Created"</formula1>
      <formula2>0</formula2>
    </dataValidation>
    <dataValidation allowBlank="true" errorStyle="stop" operator="between" showDropDown="false" showErrorMessage="false" showInputMessage="false" sqref="D2:D499" type="list">
      <formula1>"US,MyMSC,Growth,MVP Rollout,Cross,PI11,PI12,Backlog,Tech Enhancements,PP,HR,PI9,PI10,M4M"</formula1>
      <formula2>0</formula2>
    </dataValidation>
    <dataValidation allowBlank="true" errorStyle="stop" operator="between" showDropDown="false" showErrorMessage="false" showInputMessage="false" sqref="E2:E499" type="list">
      <formula1>"ALL,DTS,MA,B2CW,S&amp;S,EPAM B2C,CHUB,CRMASIS,M4M"</formula1>
      <formula2>0</formula2>
    </dataValidation>
    <dataValidation allowBlank="true" errorStyle="stop" operator="between" showDropDown="false" showErrorMessage="false" showInputMessage="false" sqref="F2:F499" type="list">
      <formula1>"NEW,IN PROGRESS,DONE,ON HOLD,NA"</formula1>
      <formula2>0</formula2>
    </dataValidation>
    <dataValidation allowBlank="true" errorStyle="stop" operator="between" showDropDown="false" showErrorMessage="false" showInputMessage="false" sqref="G2:G499"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98"/>
  <sheetViews>
    <sheetView showFormulas="false" showGridLines="true" showRowColHeaders="true" showZeros="true" rightToLeft="false" tabSelected="true" showOutlineSymbols="true" defaultGridColor="true" view="normal" topLeftCell="C1" colorId="64" zoomScale="172" zoomScaleNormal="172" zoomScalePageLayoutView="100" workbookViewId="0">
      <pane xSplit="0" ySplit="1" topLeftCell="A2" activePane="bottomLeft" state="frozen"/>
      <selection pane="topLeft" activeCell="C1" activeCellId="0" sqref="C1"/>
      <selection pane="bottomLeft" activeCell="M1" activeCellId="0" sqref="M1"/>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5" width="97.83"/>
    <col collapsed="false" customWidth="true" hidden="false" outlineLevel="0" max="3" min="3" style="1" width="12"/>
    <col collapsed="false" customWidth="true" hidden="false" outlineLevel="0" max="4" min="4" style="1" width="42"/>
    <col collapsed="false" customWidth="true" hidden="false" outlineLevel="0" max="5" min="5" style="1" width="14.16"/>
    <col collapsed="false" customWidth="true" hidden="false" outlineLevel="0" max="6" min="6" style="1" width="14"/>
    <col collapsed="false" customWidth="true" hidden="false" outlineLevel="0" max="7" min="7" style="43" width="14"/>
    <col collapsed="false" customWidth="true" hidden="false" outlineLevel="0" max="8" min="8" style="43" width="17"/>
    <col collapsed="false" customWidth="true" hidden="false" outlineLevel="0" max="9" min="9" style="43" width="16"/>
    <col collapsed="false" customWidth="true" hidden="false" outlineLevel="0" max="10" min="10" style="1" width="12"/>
    <col collapsed="false" customWidth="true" hidden="false" outlineLevel="0" max="11" min="11" style="1" width="20.33"/>
    <col collapsed="false" customWidth="true" hidden="false" outlineLevel="0" max="12" min="12" style="1" width="12"/>
    <col collapsed="false" customWidth="true" hidden="false" outlineLevel="0" max="13" min="13" style="1" width="15.83"/>
  </cols>
  <sheetData>
    <row r="1" customFormat="false" ht="27.75" hidden="false" customHeight="true" outlineLevel="0" collapsed="false">
      <c r="A1" s="21" t="s">
        <v>66</v>
      </c>
      <c r="B1" s="22" t="s">
        <v>67</v>
      </c>
      <c r="C1" s="22" t="s">
        <v>69</v>
      </c>
      <c r="D1" s="22" t="s">
        <v>78</v>
      </c>
      <c r="E1" s="22" t="s">
        <v>71</v>
      </c>
      <c r="F1" s="22" t="s">
        <v>74</v>
      </c>
      <c r="G1" s="44" t="s">
        <v>374</v>
      </c>
      <c r="H1" s="44" t="s">
        <v>375</v>
      </c>
      <c r="I1" s="44" t="s">
        <v>376</v>
      </c>
      <c r="J1" s="22" t="s">
        <v>72</v>
      </c>
      <c r="K1" s="21" t="s">
        <v>377</v>
      </c>
      <c r="L1" s="21" t="s">
        <v>378</v>
      </c>
      <c r="M1" s="21" t="s">
        <v>379</v>
      </c>
      <c r="N1" s="45" t="s">
        <v>79</v>
      </c>
    </row>
    <row r="2" customFormat="false" ht="15" hidden="false" customHeight="true" outlineLevel="0" collapsed="false">
      <c r="A2" s="24" t="str">
        <f aca="false">Backlog!A2</f>
        <v>NEW-0267</v>
      </c>
      <c r="B2" s="46" t="str">
        <f aca="false">IFERROR(IF(ISBLANK(INDEX(Backlog[Requirement Name],MATCH($A2,Backlog[Requirement ID],0))),"",INDEX(Backlog[Requirement Name],MATCH($A2,Backlog[Requirement ID],0))),"")</f>
        <v>Outbound leads - Abandoned Cart - Replacement of Salescycle</v>
      </c>
      <c r="C2" s="26" t="str">
        <f aca="false">IFERROR(IF(ISBLANK(INDEX(Backlog[Stream],MATCH($A2,Backlog[Requirement ID],0))),"",INDEX(Backlog[Stream],MATCH($A2,Backlog[Requirement ID],0))),"")</f>
        <v>US</v>
      </c>
      <c r="D2" s="26" t="str">
        <f aca="false">IFERROR(IF(ISBLANK(INDEX(Backlog[Jira Link],MATCH($A2,Backlog[Requirement ID],0))),"",INDEX(Backlog[Jira Link],MATCH($A2,Backlog[Requirement ID],0))),"")</f>
        <v/>
      </c>
      <c r="E2" s="26" t="str">
        <f aca="false">IFERROR(IF(ISBLANK(INDEX(Backlog[Status],MATCH($A2,Backlog[Requirement ID],0))),"",INDEX(Backlog[Status],MATCH($A2,Backlog[Requirement ID],0))),"")</f>
        <v>ON HOLD</v>
      </c>
      <c r="F2" s="26" t="str">
        <f aca="false">IFERROR(IF(ISBLANK(INDEX(SprintPlanning[Sprint],MATCH($A2,SprintPlanning[Requirement ID],0))),"",INDEX(SprintPlanning[Sprint],MATCH($A2,SprintPlanning[Requirement ID],0))),"")</f>
        <v>To Plan</v>
      </c>
      <c r="G2" s="47"/>
      <c r="H2" s="48"/>
      <c r="I2" s="47"/>
      <c r="J2" s="26" t="str">
        <f aca="false">IFERROR(IF(ISBLANK(INDEX(Backlog[Priority],MATCH($A2,Backlog[Requirement ID],0))),"",INDEX(Backlog[Priority],MATCH($A2,Backlog[Requirement ID],0))),"")</f>
        <v>Medium</v>
      </c>
      <c r="K2" s="24" t="s">
        <v>380</v>
      </c>
      <c r="L2" s="1" t="str">
        <f aca="false">IFERROR(IF(ISBLANK(INDEX(Backlog[HLE],MATCH($A2,Backlog[Requirement ID],0))),"",IF(INDEX(Backlog[HLE],MATCH($A2,Backlog[Requirement ID],0))&lt;=5,0.5,IF(INDEX(Backlog[HLE],MATCH($A2,Backlog[Requirement ID],0))&lt;=8,1,IF(INDEX(Backlog[HLE],MATCH($A2,Backlog[Requirement ID],0))&lt;=13,2,IF(INDEX(Backlog[HLE],MATCH($A2,Backlog[Requirement ID],0))&lt;=20,3,5))))),"")</f>
        <v/>
      </c>
      <c r="M2" s="24"/>
    </row>
    <row r="3" customFormat="false" ht="15" hidden="false" customHeight="true" outlineLevel="0" collapsed="false">
      <c r="A3" s="24" t="str">
        <f aca="false">Backlog!A3</f>
        <v>NEW-0057</v>
      </c>
      <c r="B3" s="46" t="str">
        <f aca="false">IFERROR(IF(ISBLANK(INDEX(Backlog[Requirement Name],MATCH($A3,Backlog[Requirement ID],0))),"",INDEX(Backlog[Requirement Name],MATCH($A3,Backlog[Requirement ID],0))),"")</f>
        <v>API Prod Configurations - Attentive / Webforms</v>
      </c>
      <c r="C3" s="26" t="str">
        <f aca="false">IFERROR(IF(ISBLANK(INDEX(Backlog[Stream],MATCH($A3,Backlog[Requirement ID],0))),"",INDEX(Backlog[Stream],MATCH($A3,Backlog[Requirement ID],0))),"")</f>
        <v>US</v>
      </c>
      <c r="D3" s="26" t="str">
        <f aca="false">IFERROR(IF(ISBLANK(INDEX(Backlog[Jira Link],MATCH($A3,Backlog[Requirement ID],0))),"",INDEX(Backlog[Jira Link],MATCH($A3,Backlog[Requirement ID],0))),"")</f>
        <v>https://smartship.atlassian.net/browse/MDTTPU-14019</v>
      </c>
      <c r="E3" s="26" t="str">
        <f aca="false">IFERROR(IF(ISBLANK(INDEX(Backlog[Status],MATCH($A3,Backlog[Requirement ID],0))),"",INDEX(Backlog[Status],MATCH($A3,Backlog[Requirement ID],0))),"")</f>
        <v>IN PROGRESS</v>
      </c>
      <c r="F3" s="26" t="str">
        <f aca="false">IFERROR(IF(ISBLANK(INDEX(SprintPlanning[Sprint],MATCH($A3,SprintPlanning[Requirement ID],0))),"",INDEX(SprintPlanning[Sprint],MATCH($A3,SprintPlanning[Requirement ID],0))),"")</f>
        <v>Sprint 10</v>
      </c>
      <c r="G3" s="47"/>
      <c r="H3" s="48"/>
      <c r="I3" s="47"/>
      <c r="J3" s="26" t="str">
        <f aca="false">IFERROR(IF(ISBLANK(INDEX(Backlog[Priority],MATCH($A3,Backlog[Requirement ID],0))),"",INDEX(Backlog[Priority],MATCH($A3,Backlog[Requirement ID],0))),"")</f>
        <v>High</v>
      </c>
      <c r="K3" s="24" t="s">
        <v>381</v>
      </c>
      <c r="L3" s="1" t="n">
        <f aca="false">IFERROR(IF(ISBLANK(INDEX(Backlog[HLE],MATCH($A3,Backlog[Requirement ID],0))),"",IF(INDEX(Backlog[HLE],MATCH($A3,Backlog[Requirement ID],0))&lt;=5,0.5,IF(INDEX(Backlog[HLE],MATCH($A3,Backlog[Requirement ID],0))&lt;=8,1,IF(INDEX(Backlog[HLE],MATCH($A3,Backlog[Requirement ID],0))&lt;=13,2,IF(INDEX(Backlog[HLE],MATCH($A3,Backlog[Requirement ID],0))&lt;=20,3,5))))),"")</f>
        <v>1</v>
      </c>
      <c r="M3" s="24"/>
    </row>
    <row r="4" customFormat="false" ht="15" hidden="false" customHeight="true" outlineLevel="0" collapsed="false">
      <c r="A4" s="24" t="str">
        <f aca="false">Backlog!A4</f>
        <v>NEW-0058</v>
      </c>
      <c r="B4" s="46" t="str">
        <f aca="false">IFERROR(IF(ISBLANK(INDEX(Backlog[Requirement Name],MATCH($A4,Backlog[Requirement ID],0))),"",INDEX(Backlog[Requirement Name],MATCH($A4,Backlog[Requirement ID],0))),"")</f>
        <v>CR - Attentive Error Scenarios INT 175</v>
      </c>
      <c r="C4" s="26" t="str">
        <f aca="false">IFERROR(IF(ISBLANK(INDEX(Backlog[Stream],MATCH($A4,Backlog[Requirement ID],0))),"",INDEX(Backlog[Stream],MATCH($A4,Backlog[Requirement ID],0))),"")</f>
        <v>US</v>
      </c>
      <c r="D4" s="26" t="str">
        <f aca="false">IFERROR(IF(ISBLANK(INDEX(Backlog[Jira Link],MATCH($A4,Backlog[Requirement ID],0))),"",INDEX(Backlog[Jira Link],MATCH($A4,Backlog[Requirement ID],0))),"")</f>
        <v>https://smartship.atlassian.net/browse/MDTTPU-13413</v>
      </c>
      <c r="E4" s="26" t="str">
        <f aca="false">IFERROR(IF(ISBLANK(INDEX(Backlog[Status],MATCH($A4,Backlog[Requirement ID],0))),"",INDEX(Backlog[Status],MATCH($A4,Backlog[Requirement ID],0))),"")</f>
        <v>IN PROGRESS</v>
      </c>
      <c r="F4" s="26" t="str">
        <f aca="false">IFERROR(IF(ISBLANK(INDEX(SprintPlanning[Sprint],MATCH($A4,SprintPlanning[Requirement ID],0))),"",INDEX(SprintPlanning[Sprint],MATCH($A4,SprintPlanning[Requirement ID],0))),"")</f>
        <v>Sprint 10</v>
      </c>
      <c r="G4" s="47"/>
      <c r="H4" s="48"/>
      <c r="I4" s="47"/>
      <c r="J4" s="26" t="str">
        <f aca="false">IFERROR(IF(ISBLANK(INDEX(Backlog[Priority],MATCH($A4,Backlog[Requirement ID],0))),"",INDEX(Backlog[Priority],MATCH($A4,Backlog[Requirement ID],0))),"")</f>
        <v>Medium</v>
      </c>
      <c r="K4" s="24" t="s">
        <v>382</v>
      </c>
      <c r="L4" s="1" t="n">
        <f aca="false">IFERROR(IF(ISBLANK(INDEX(Backlog[HLE],MATCH($A4,Backlog[Requirement ID],0))),"",IF(INDEX(Backlog[HLE],MATCH($A4,Backlog[Requirement ID],0))&lt;=5,0.5,IF(INDEX(Backlog[HLE],MATCH($A4,Backlog[Requirement ID],0))&lt;=8,1,IF(INDEX(Backlog[HLE],MATCH($A4,Backlog[Requirement ID],0))&lt;=13,2,IF(INDEX(Backlog[HLE],MATCH($A4,Backlog[Requirement ID],0))&lt;=20,3,5))))),"")</f>
        <v>0.5</v>
      </c>
      <c r="M4" s="24"/>
    </row>
    <row r="5" customFormat="false" ht="15" hidden="false" customHeight="true" outlineLevel="0" collapsed="false">
      <c r="A5" s="24" t="str">
        <f aca="false">Backlog!A5</f>
        <v>NEW-0060</v>
      </c>
      <c r="B5" s="46" t="str">
        <f aca="false">IFERROR(IF(ISBLANK(INDEX(Backlog[Requirement Name],MATCH($A5,Backlog[Requirement ID],0))),"",INDEX(Backlog[Requirement Name],MATCH($A5,Backlog[Requirement ID],0))),"")</f>
        <v>US Configuration myMSC - Production</v>
      </c>
      <c r="C5" s="26" t="str">
        <f aca="false">IFERROR(IF(ISBLANK(INDEX(Backlog[Stream],MATCH($A5,Backlog[Requirement ID],0))),"",INDEX(Backlog[Stream],MATCH($A5,Backlog[Requirement ID],0))),"")</f>
        <v>US</v>
      </c>
      <c r="D5" s="26" t="str">
        <f aca="false">IFERROR(IF(ISBLANK(INDEX(Backlog[Jira Link],MATCH($A5,Backlog[Requirement ID],0))),"",INDEX(Backlog[Jira Link],MATCH($A5,Backlog[Requirement ID],0))),"")</f>
        <v>https://smartship.atlassian.net/browse/MDTTPU-14018</v>
      </c>
      <c r="E5" s="26" t="str">
        <f aca="false">IFERROR(IF(ISBLANK(INDEX(Backlog[Status],MATCH($A5,Backlog[Requirement ID],0))),"",INDEX(Backlog[Status],MATCH($A5,Backlog[Requirement ID],0))),"")</f>
        <v>IN PROGRESS</v>
      </c>
      <c r="F5" s="26" t="str">
        <f aca="false">IFERROR(IF(ISBLANK(INDEX(SprintPlanning[Sprint],MATCH($A5,SprintPlanning[Requirement ID],0))),"",INDEX(SprintPlanning[Sprint],MATCH($A5,SprintPlanning[Requirement ID],0))),"")</f>
        <v>Sprint 10</v>
      </c>
      <c r="G5" s="47"/>
      <c r="H5" s="48"/>
      <c r="I5" s="47"/>
      <c r="J5" s="26" t="str">
        <f aca="false">IFERROR(IF(ISBLANK(INDEX(Backlog[Priority],MATCH($A5,Backlog[Requirement ID],0))),"",INDEX(Backlog[Priority],MATCH($A5,Backlog[Requirement ID],0))),"")</f>
        <v>High</v>
      </c>
      <c r="K5" s="24" t="s">
        <v>381</v>
      </c>
      <c r="L5" s="1" t="n">
        <f aca="false">IFERROR(IF(ISBLANK(INDEX(Backlog[HLE],MATCH($A5,Backlog[Requirement ID],0))),"",IF(INDEX(Backlog[HLE],MATCH($A5,Backlog[Requirement ID],0))&lt;=5,0.5,IF(INDEX(Backlog[HLE],MATCH($A5,Backlog[Requirement ID],0))&lt;=8,1,IF(INDEX(Backlog[HLE],MATCH($A5,Backlog[Requirement ID],0))&lt;=13,2,IF(INDEX(Backlog[HLE],MATCH($A5,Backlog[Requirement ID],0))&lt;=20,3,5))))),"")</f>
        <v>1</v>
      </c>
      <c r="M5" s="24"/>
    </row>
    <row r="6" customFormat="false" ht="15" hidden="false" customHeight="true" outlineLevel="0" collapsed="false">
      <c r="A6" s="24" t="str">
        <f aca="false">Backlog!A6</f>
        <v>NEW-0061</v>
      </c>
      <c r="B6" s="46" t="str">
        <f aca="false">IFERROR(IF(ISBLANK(INDEX(Backlog[Requirement Name],MATCH($A6,Backlog[Requirement ID],0))),"",INDEX(Backlog[Requirement Name],MATCH($A6,Backlog[Requirement ID],0))),"")</f>
        <v>Load Test + Performance Enhancements - Part 1</v>
      </c>
      <c r="C6" s="26" t="str">
        <f aca="false">IFERROR(IF(ISBLANK(INDEX(Backlog[Stream],MATCH($A6,Backlog[Requirement ID],0))),"",INDEX(Backlog[Stream],MATCH($A6,Backlog[Requirement ID],0))),"")</f>
        <v>US</v>
      </c>
      <c r="D6" s="26" t="str">
        <f aca="false">IFERROR(IF(ISBLANK(INDEX(Backlog[Jira Link],MATCH($A6,Backlog[Requirement ID],0))),"",INDEX(Backlog[Jira Link],MATCH($A6,Backlog[Requirement ID],0))),"")</f>
        <v>https://smartship.atlassian.net/browse/MDTTPU-15260</v>
      </c>
      <c r="E6" s="26" t="str">
        <f aca="false">IFERROR(IF(ISBLANK(INDEX(Backlog[Status],MATCH($A6,Backlog[Requirement ID],0))),"",INDEX(Backlog[Status],MATCH($A6,Backlog[Requirement ID],0))),"")</f>
        <v>IN PROGRESS</v>
      </c>
      <c r="F6" s="26" t="str">
        <f aca="false">IFERROR(IF(ISBLANK(INDEX(SprintPlanning[Sprint],MATCH($A6,SprintPlanning[Requirement ID],0))),"",INDEX(SprintPlanning[Sprint],MATCH($A6,SprintPlanning[Requirement ID],0))),"")</f>
        <v>Sprint 10</v>
      </c>
      <c r="G6" s="47"/>
      <c r="H6" s="48"/>
      <c r="I6" s="47"/>
      <c r="J6" s="26" t="str">
        <f aca="false">IFERROR(IF(ISBLANK(INDEX(Backlog[Priority],MATCH($A6,Backlog[Requirement ID],0))),"",INDEX(Backlog[Priority],MATCH($A6,Backlog[Requirement ID],0))),"")</f>
        <v>High</v>
      </c>
      <c r="K6" s="24" t="s">
        <v>381</v>
      </c>
      <c r="L6" s="1" t="n">
        <f aca="false">IFERROR(IF(ISBLANK(INDEX(Backlog[HLE],MATCH($A6,Backlog[Requirement ID],0))),"",IF(INDEX(Backlog[HLE],MATCH($A6,Backlog[Requirement ID],0))&lt;=5,0.5,IF(INDEX(Backlog[HLE],MATCH($A6,Backlog[Requirement ID],0))&lt;=8,1,IF(INDEX(Backlog[HLE],MATCH($A6,Backlog[Requirement ID],0))&lt;=13,2,IF(INDEX(Backlog[HLE],MATCH($A6,Backlog[Requirement ID],0))&lt;=20,3,5))))),"")</f>
        <v>5</v>
      </c>
      <c r="M6" s="24"/>
    </row>
    <row r="7" customFormat="false" ht="15" hidden="false" customHeight="true" outlineLevel="0" collapsed="false">
      <c r="A7" s="24" t="str">
        <f aca="false">Backlog!A7</f>
        <v>NEW-0071</v>
      </c>
      <c r="B7" s="46" t="str">
        <f aca="false">IFERROR(IF(ISBLANK(INDEX(Backlog[Requirement Name],MATCH($A7,Backlog[Requirement ID],0))),"",INDEX(Backlog[Requirement Name],MATCH($A7,Backlog[Requirement ID],0))),"")</f>
        <v>E2E Ticket Support - FAT and Canary Tests</v>
      </c>
      <c r="C7" s="26" t="str">
        <f aca="false">IFERROR(IF(ISBLANK(INDEX(Backlog[Stream],MATCH($A7,Backlog[Requirement ID],0))),"",INDEX(Backlog[Stream],MATCH($A7,Backlog[Requirement ID],0))),"")</f>
        <v>US</v>
      </c>
      <c r="D7" s="26" t="str">
        <f aca="false">IFERROR(IF(ISBLANK(INDEX(Backlog[Jira Link],MATCH($A7,Backlog[Requirement ID],0))),"",INDEX(Backlog[Jira Link],MATCH($A7,Backlog[Requirement ID],0))),"")</f>
        <v>https://smartship.atlassian.net/browse/DTTP25-41779</v>
      </c>
      <c r="E7" s="26" t="str">
        <f aca="false">IFERROR(IF(ISBLANK(INDEX(Backlog[Status],MATCH($A7,Backlog[Requirement ID],0))),"",INDEX(Backlog[Status],MATCH($A7,Backlog[Requirement ID],0))),"")</f>
        <v>IN PROGRESS</v>
      </c>
      <c r="F7" s="26" t="str">
        <f aca="false">IFERROR(IF(ISBLANK(INDEX(SprintPlanning[Sprint],MATCH($A7,SprintPlanning[Requirement ID],0))),"",INDEX(SprintPlanning[Sprint],MATCH($A7,SprintPlanning[Requirement ID],0))),"")</f>
        <v>Sprint 10</v>
      </c>
      <c r="G7" s="47"/>
      <c r="H7" s="48"/>
      <c r="I7" s="47"/>
      <c r="J7" s="26" t="str">
        <f aca="false">IFERROR(IF(ISBLANK(INDEX(Backlog[Priority],MATCH($A7,Backlog[Requirement ID],0))),"",INDEX(Backlog[Priority],MATCH($A7,Backlog[Requirement ID],0))),"")</f>
        <v>High</v>
      </c>
      <c r="K7" s="24" t="s">
        <v>381</v>
      </c>
      <c r="L7" s="1" t="n">
        <f aca="false">IFERROR(IF(ISBLANK(INDEX(Backlog[HLE],MATCH($A7,Backlog[Requirement ID],0))),"",IF(INDEX(Backlog[HLE],MATCH($A7,Backlog[Requirement ID],0))&lt;=5,0.5,IF(INDEX(Backlog[HLE],MATCH($A7,Backlog[Requirement ID],0))&lt;=8,1,IF(INDEX(Backlog[HLE],MATCH($A7,Backlog[Requirement ID],0))&lt;=13,2,IF(INDEX(Backlog[HLE],MATCH($A7,Backlog[Requirement ID],0))&lt;=20,3,5))))),"")</f>
        <v>2</v>
      </c>
      <c r="M7" s="24"/>
    </row>
    <row r="8" customFormat="false" ht="15" hidden="false" customHeight="true" outlineLevel="0" collapsed="false">
      <c r="A8" s="24" t="str">
        <f aca="false">Backlog!A8</f>
        <v>NEW-0275</v>
      </c>
      <c r="B8" s="46" t="str">
        <f aca="false">IFERROR(IF(ISBLANK(INDEX(Backlog[Requirement Name],MATCH($A8,Backlog[Requirement ID],0))),"",INDEX(Backlog[Requirement Name],MATCH($A8,Backlog[Requirement ID],0))),"")</f>
        <v>[EINT] [Tech Task] INT172 INT174 - Attentive Error Scenarios</v>
      </c>
      <c r="C8" s="26" t="str">
        <f aca="false">IFERROR(IF(ISBLANK(INDEX(Backlog[Stream],MATCH($A8,Backlog[Requirement ID],0))),"",INDEX(Backlog[Stream],MATCH($A8,Backlog[Requirement ID],0))),"")</f>
        <v>US</v>
      </c>
      <c r="D8" s="26" t="str">
        <f aca="false">IFERROR(IF(ISBLANK(INDEX(Backlog[Jira Link],MATCH($A8,Backlog[Requirement ID],0))),"",INDEX(Backlog[Jira Link],MATCH($A8,Backlog[Requirement ID],0))),"")</f>
        <v>https://smartship.atlassian.net/browse/MDTTPU-13796</v>
      </c>
      <c r="E8" s="26" t="str">
        <f aca="false">IFERROR(IF(ISBLANK(INDEX(Backlog[Status],MATCH($A8,Backlog[Requirement ID],0))),"",INDEX(Backlog[Status],MATCH($A8,Backlog[Requirement ID],0))),"")</f>
        <v>IN PROGRESS</v>
      </c>
      <c r="F8" s="26" t="str">
        <f aca="false">IFERROR(IF(ISBLANK(INDEX(SprintPlanning[Sprint],MATCH($A8,SprintPlanning[Requirement ID],0))),"",INDEX(SprintPlanning[Sprint],MATCH($A8,SprintPlanning[Requirement ID],0))),"")</f>
        <v>Sprint 10</v>
      </c>
      <c r="G8" s="47"/>
      <c r="H8" s="48"/>
      <c r="I8" s="47"/>
      <c r="J8" s="26" t="str">
        <f aca="false">IFERROR(IF(ISBLANK(INDEX(Backlog[Priority],MATCH($A8,Backlog[Requirement ID],0))),"",INDEX(Backlog[Priority],MATCH($A8,Backlog[Requirement ID],0))),"")</f>
        <v>Medium</v>
      </c>
      <c r="K8" s="24" t="s">
        <v>382</v>
      </c>
      <c r="L8" s="1" t="n">
        <f aca="false">IFERROR(IF(ISBLANK(INDEX(Backlog[HLE],MATCH($A8,Backlog[Requirement ID],0))),"",IF(INDEX(Backlog[HLE],MATCH($A8,Backlog[Requirement ID],0))&lt;=5,0.5,IF(INDEX(Backlog[HLE],MATCH($A8,Backlog[Requirement ID],0))&lt;=8,1,IF(INDEX(Backlog[HLE],MATCH($A8,Backlog[Requirement ID],0))&lt;=13,2,IF(INDEX(Backlog[HLE],MATCH($A8,Backlog[Requirement ID],0))&lt;=20,3,5))))),"")</f>
        <v>0.5</v>
      </c>
      <c r="M8" s="24" t="s">
        <v>383</v>
      </c>
    </row>
    <row r="9" customFormat="false" ht="28.5" hidden="false" customHeight="true" outlineLevel="0" collapsed="false">
      <c r="A9" s="24" t="str">
        <f aca="false">Backlog!A9</f>
        <v>NEW-0368</v>
      </c>
      <c r="B9" s="46" t="str">
        <f aca="false">IFERROR(IF(ISBLANK(INDEX(Backlog[Requirement Name],MATCH($A9,Backlog[Requirement ID],0))),"",INDEX(Backlog[Requirement Name],MATCH($A9,Backlog[Requirement ID],0))),"")</f>
        <v>MyMSC US | [INT112][INT137][INT140][INT146][INT153][INT154][INT188] Add per-country/language MyMSC campaign config check to skip optional marketing automation calls</v>
      </c>
      <c r="C9" s="26" t="str">
        <f aca="false">IFERROR(IF(ISBLANK(INDEX(Backlog[Stream],MATCH($A9,Backlog[Requirement ID],0))),"",INDEX(Backlog[Stream],MATCH($A9,Backlog[Requirement ID],0))),"")</f>
        <v>Growth</v>
      </c>
      <c r="D9" s="26" t="str">
        <f aca="false">IFERROR(IF(ISBLANK(INDEX(Backlog[Jira Link],MATCH($A9,Backlog[Requirement ID],0))),"",INDEX(Backlog[Jira Link],MATCH($A9,Backlog[Requirement ID],0))),"")</f>
        <v>https://smartship.atlassian.net/browse/MDTTPU-14929</v>
      </c>
      <c r="E9" s="26" t="str">
        <f aca="false">IFERROR(IF(ISBLANK(INDEX(Backlog[Status],MATCH($A9,Backlog[Requirement ID],0))),"",INDEX(Backlog[Status],MATCH($A9,Backlog[Requirement ID],0))),"")</f>
        <v>IN PROGRESS</v>
      </c>
      <c r="F9" s="26" t="str">
        <f aca="false">IFERROR(IF(ISBLANK(INDEX(SprintPlanning[Sprint],MATCH($A9,SprintPlanning[Requirement ID],0))),"",INDEX(SprintPlanning[Sprint],MATCH($A9,SprintPlanning[Requirement ID],0))),"")</f>
        <v>Sprint 10</v>
      </c>
      <c r="G9" s="47"/>
      <c r="H9" s="48"/>
      <c r="I9" s="47"/>
      <c r="J9" s="26" t="str">
        <f aca="false">IFERROR(IF(ISBLANK(INDEX(Backlog[Priority],MATCH($A9,Backlog[Requirement ID],0))),"",INDEX(Backlog[Priority],MATCH($A9,Backlog[Requirement ID],0))),"")</f>
        <v>High</v>
      </c>
      <c r="K9" s="24" t="s">
        <v>382</v>
      </c>
      <c r="L9" s="1" t="n">
        <f aca="false">IFERROR(IF(ISBLANK(INDEX(Backlog[HLE],MATCH($A9,Backlog[Requirement ID],0))),"",IF(INDEX(Backlog[HLE],MATCH($A9,Backlog[Requirement ID],0))&lt;=5,0.5,IF(INDEX(Backlog[HLE],MATCH($A9,Backlog[Requirement ID],0))&lt;=8,1,IF(INDEX(Backlog[HLE],MATCH($A9,Backlog[Requirement ID],0))&lt;=13,2,IF(INDEX(Backlog[HLE],MATCH($A9,Backlog[Requirement ID],0))&lt;=20,3,5))))),"")</f>
        <v>1</v>
      </c>
      <c r="M9" s="24" t="s">
        <v>383</v>
      </c>
    </row>
    <row r="10" customFormat="false" ht="15" hidden="false" customHeight="true" outlineLevel="0" collapsed="false">
      <c r="A10" s="24" t="str">
        <f aca="false">Backlog!A10</f>
        <v>NEW-0389</v>
      </c>
      <c r="B10" s="46" t="str">
        <f aca="false">IFERROR(IF(ISBLANK(INDEX(Backlog[Requirement Name],MATCH($A10,Backlog[Requirement ID],0))),"",INDEX(Backlog[Requirement Name],MATCH($A10,Backlog[Requirement ID],0))),"")</f>
        <v>[DTTP] Implementation of Online Post-Cruise Complaint Form – Salesforce Integration_EA</v>
      </c>
      <c r="C10" s="26" t="str">
        <f aca="false">IFERROR(IF(ISBLANK(INDEX(Backlog[Stream],MATCH($A10,Backlog[Requirement ID],0))),"",INDEX(Backlog[Stream],MATCH($A10,Backlog[Requirement ID],0))),"")</f>
        <v>PI10</v>
      </c>
      <c r="D10" s="26" t="str">
        <f aca="false">IFERROR(IF(ISBLANK(INDEX(Backlog[Jira Link],MATCH($A10,Backlog[Requirement ID],0))),"",INDEX(Backlog[Jira Link],MATCH($A10,Backlog[Requirement ID],0))),"")</f>
        <v>https://smartship.atlassian.net/browse/DTTP25-40322</v>
      </c>
      <c r="E10" s="26" t="str">
        <f aca="false">IFERROR(IF(ISBLANK(INDEX(Backlog[Status],MATCH($A10,Backlog[Requirement ID],0))),"",INDEX(Backlog[Status],MATCH($A10,Backlog[Requirement ID],0))),"")</f>
        <v>IN PROGRESS</v>
      </c>
      <c r="F10" s="26" t="str">
        <f aca="false">IFERROR(IF(ISBLANK(INDEX(SprintPlanning[Sprint],MATCH($A10,SprintPlanning[Requirement ID],0))),"",INDEX(SprintPlanning[Sprint],MATCH($A10,SprintPlanning[Requirement ID],0))),"")</f>
        <v>Sprint 10</v>
      </c>
      <c r="G10" s="47"/>
      <c r="H10" s="48"/>
      <c r="I10" s="47"/>
      <c r="J10" s="26" t="str">
        <f aca="false">IFERROR(IF(ISBLANK(INDEX(Backlog[Priority],MATCH($A10,Backlog[Requirement ID],0))),"",INDEX(Backlog[Priority],MATCH($A10,Backlog[Requirement ID],0))),"")</f>
        <v>Medium</v>
      </c>
      <c r="K10" s="24" t="s">
        <v>382</v>
      </c>
      <c r="L10" s="1" t="n">
        <f aca="false">IFERROR(IF(ISBLANK(INDEX(Backlog[HLE],MATCH($A10,Backlog[Requirement ID],0))),"",IF(INDEX(Backlog[HLE],MATCH($A10,Backlog[Requirement ID],0))&lt;=5,0.5,IF(INDEX(Backlog[HLE],MATCH($A10,Backlog[Requirement ID],0))&lt;=8,1,IF(INDEX(Backlog[HLE],MATCH($A10,Backlog[Requirement ID],0))&lt;=13,2,IF(INDEX(Backlog[HLE],MATCH($A10,Backlog[Requirement ID],0))&lt;=20,3,5))))),"")</f>
        <v>1</v>
      </c>
      <c r="M10" s="24" t="s">
        <v>383</v>
      </c>
    </row>
    <row r="11" customFormat="false" ht="15" hidden="false" customHeight="true" outlineLevel="0" collapsed="false">
      <c r="A11" s="24" t="str">
        <f aca="false">Backlog!A11</f>
        <v>NEW-0408</v>
      </c>
      <c r="B11" s="46" t="str">
        <f aca="false">IFERROR(IF(ISBLANK(INDEX(Backlog[Requirement Name],MATCH($A11,Backlog[Requirement ID],0))),"",INDEX(Backlog[Requirement Name],MATCH($A11,Backlog[Requirement ID],0))),"")</f>
        <v>US Growth - B2CW Payment billing data/ US Release ACS Check - Part 1 (Adding the new fields to INT007, INT140, INT146)</v>
      </c>
      <c r="C11" s="26" t="str">
        <f aca="false">IFERROR(IF(ISBLANK(INDEX(Backlog[Stream],MATCH($A11,Backlog[Requirement ID],0))),"",INDEX(Backlog[Stream],MATCH($A11,Backlog[Requirement ID],0))),"")</f>
        <v>Growth</v>
      </c>
      <c r="D11" s="26" t="str">
        <f aca="false">IFERROR(IF(ISBLANK(INDEX(Backlog[Jira Link],MATCH($A11,Backlog[Requirement ID],0))),"",INDEX(Backlog[Jira Link],MATCH($A11,Backlog[Requirement ID],0))),"")</f>
        <v>https://smartship.atlassian.net/browse/MDTTPU-15252</v>
      </c>
      <c r="E11" s="26" t="str">
        <f aca="false">IFERROR(IF(ISBLANK(INDEX(Backlog[Status],MATCH($A11,Backlog[Requirement ID],0))),"",INDEX(Backlog[Status],MATCH($A11,Backlog[Requirement ID],0))),"")</f>
        <v>NEW</v>
      </c>
      <c r="F11" s="26" t="str">
        <f aca="false">IFERROR(IF(ISBLANK(INDEX(SprintPlanning[Sprint],MATCH($A11,SprintPlanning[Requirement ID],0))),"",INDEX(SprintPlanning[Sprint],MATCH($A11,SprintPlanning[Requirement ID],0))),"")</f>
        <v>Sprint 10</v>
      </c>
      <c r="G11" s="47"/>
      <c r="H11" s="48"/>
      <c r="I11" s="47"/>
      <c r="J11" s="26" t="str">
        <f aca="false">IFERROR(IF(ISBLANK(INDEX(Backlog[Priority],MATCH($A11,Backlog[Requirement ID],0))),"",INDEX(Backlog[Priority],MATCH($A11,Backlog[Requirement ID],0))),"")</f>
        <v>High</v>
      </c>
      <c r="K11" s="24" t="s">
        <v>382</v>
      </c>
      <c r="L11" s="1" t="n">
        <f aca="false">IFERROR(IF(ISBLANK(INDEX(Backlog[HLE],MATCH($A11,Backlog[Requirement ID],0))),"",IF(INDEX(Backlog[HLE],MATCH($A11,Backlog[Requirement ID],0))&lt;=5,0.5,IF(INDEX(Backlog[HLE],MATCH($A11,Backlog[Requirement ID],0))&lt;=8,1,IF(INDEX(Backlog[HLE],MATCH($A11,Backlog[Requirement ID],0))&lt;=13,2,IF(INDEX(Backlog[HLE],MATCH($A11,Backlog[Requirement ID],0))&lt;=20,3,5))))),"")</f>
        <v>0.5</v>
      </c>
      <c r="M11" s="24" t="s">
        <v>383</v>
      </c>
    </row>
    <row r="12" customFormat="false" ht="15" hidden="false" customHeight="true" outlineLevel="0" collapsed="false">
      <c r="A12" s="24" t="str">
        <f aca="false">Backlog!A12</f>
        <v>NEW-0411</v>
      </c>
      <c r="B12" s="46" t="str">
        <f aca="false">IFERROR(IF(ISBLANK(INDEX(Backlog[Requirement Name],MATCH($A12,Backlog[Requirement ID],0))),"",INDEX(Backlog[Requirement Name],MATCH($A12,Backlog[Requirement ID],0))),"")</f>
        <v>Load Test Perf - Support &amp; Analysis</v>
      </c>
      <c r="C12" s="26" t="str">
        <f aca="false">IFERROR(IF(ISBLANK(INDEX(Backlog[Stream],MATCH($A12,Backlog[Requirement ID],0))),"",INDEX(Backlog[Stream],MATCH($A12,Backlog[Requirement ID],0))),"")</f>
        <v>US</v>
      </c>
      <c r="D12" s="26" t="str">
        <f aca="false">IFERROR(IF(ISBLANK(INDEX(Backlog[Jira Link],MATCH($A12,Backlog[Requirement ID],0))),"",INDEX(Backlog[Jira Link],MATCH($A12,Backlog[Requirement ID],0))),"")</f>
        <v>https://smartship.atlassian.net/browse/MDTTPU-15252</v>
      </c>
      <c r="E12" s="26" t="str">
        <f aca="false">IFERROR(IF(ISBLANK(INDEX(Backlog[Status],MATCH($A12,Backlog[Requirement ID],0))),"",INDEX(Backlog[Status],MATCH($A12,Backlog[Requirement ID],0))),"")</f>
        <v>IN PROGRESS</v>
      </c>
      <c r="F12" s="26" t="str">
        <f aca="false">IFERROR(IF(ISBLANK(INDEX(SprintPlanning[Sprint],MATCH($A12,SprintPlanning[Requirement ID],0))),"",INDEX(SprintPlanning[Sprint],MATCH($A12,SprintPlanning[Requirement ID],0))),"")</f>
        <v>Sprint 10</v>
      </c>
      <c r="G12" s="47"/>
      <c r="H12" s="48"/>
      <c r="I12" s="47"/>
      <c r="J12" s="26" t="str">
        <f aca="false">IFERROR(IF(ISBLANK(INDEX(Backlog[Priority],MATCH($A12,Backlog[Requirement ID],0))),"",INDEX(Backlog[Priority],MATCH($A12,Backlog[Requirement ID],0))),"")</f>
        <v>High</v>
      </c>
      <c r="K12" s="24" t="s">
        <v>381</v>
      </c>
      <c r="L12" s="1" t="n">
        <f aca="false">IFERROR(IF(ISBLANK(INDEX(Backlog[HLE],MATCH($A12,Backlog[Requirement ID],0))),"",IF(INDEX(Backlog[HLE],MATCH($A12,Backlog[Requirement ID],0))&lt;=5,0.5,IF(INDEX(Backlog[HLE],MATCH($A12,Backlog[Requirement ID],0))&lt;=8,1,IF(INDEX(Backlog[HLE],MATCH($A12,Backlog[Requirement ID],0))&lt;=13,2,IF(INDEX(Backlog[HLE],MATCH($A12,Backlog[Requirement ID],0))&lt;=20,3,5))))),"")</f>
        <v>5</v>
      </c>
      <c r="M12" s="24"/>
    </row>
    <row r="13" customFormat="false" ht="15" hidden="false" customHeight="true" outlineLevel="0" collapsed="false">
      <c r="A13" s="37" t="str">
        <f aca="false">Backlog!A13</f>
        <v>NEW-0412</v>
      </c>
      <c r="B13" s="49" t="str">
        <f aca="false">IFERROR(IF(ISBLANK(INDEX(Backlog[Requirement Name],MATCH($A13,Backlog[Requirement ID],0))),"",INDEX(Backlog[Requirement Name],MATCH($A13,Backlog[Requirement ID],0))),"")</f>
        <v>US 0.1 Release Preparation - Aug 24</v>
      </c>
      <c r="C13" s="37" t="str">
        <f aca="false">IFERROR(IF(ISBLANK(INDEX(Backlog[Stream],MATCH($A13,Backlog[Requirement ID],0))),"",INDEX(Backlog[Stream],MATCH($A13,Backlog[Requirement ID],0))),"")</f>
        <v>Cross</v>
      </c>
      <c r="D13" s="37" t="str">
        <f aca="false">IFERROR(IF(ISBLANK(INDEX(Backlog[Jira Link],MATCH($A13,Backlog[Requirement ID],0))),"",INDEX(Backlog[Jira Link],MATCH($A13,Backlog[Requirement ID],0))),"")</f>
        <v>https://smartship.atlassian.net/browse/MDTTPU-15262</v>
      </c>
      <c r="E13" s="37" t="str">
        <f aca="false">IFERROR(IF(ISBLANK(INDEX(Backlog[Status],MATCH($A13,Backlog[Requirement ID],0))),"",INDEX(Backlog[Status],MATCH($A13,Backlog[Requirement ID],0))),"")</f>
        <v>IN PROGRESS</v>
      </c>
      <c r="F13" s="37" t="str">
        <f aca="false">IFERROR(IF(ISBLANK(INDEX(SprintPlanning[Sprint],MATCH($A13,SprintPlanning[Requirement ID],0))),"",INDEX(SprintPlanning[Sprint],MATCH($A13,SprintPlanning[Requirement ID],0))),"")</f>
        <v>Sprint 10</v>
      </c>
      <c r="G13" s="50"/>
      <c r="H13" s="51"/>
      <c r="I13" s="52" t="s">
        <v>384</v>
      </c>
      <c r="J13" s="37" t="str">
        <f aca="false">IFERROR(IF(ISBLANK(INDEX(Backlog[Priority],MATCH($A13,Backlog[Requirement ID],0))),"",INDEX(Backlog[Priority],MATCH($A13,Backlog[Requirement ID],0))),"")</f>
        <v>High</v>
      </c>
      <c r="K13" s="53" t="s">
        <v>385</v>
      </c>
      <c r="L13" s="1" t="n">
        <f aca="false">IFERROR(IF(ISBLANK(INDEX(Backlog[HLE],MATCH($A13,Backlog[Requirement ID],0))),"",IF(INDEX(Backlog[HLE],MATCH($A13,Backlog[Requirement ID],0))&lt;=5,0.5,IF(INDEX(Backlog[HLE],MATCH($A13,Backlog[Requirement ID],0))&lt;=8,1,IF(INDEX(Backlog[HLE],MATCH($A13,Backlog[Requirement ID],0))&lt;=13,2,IF(INDEX(Backlog[HLE],MATCH($A13,Backlog[Requirement ID],0))&lt;=20,3,5))))),"")</f>
        <v>2</v>
      </c>
      <c r="M13" s="37"/>
      <c r="N13" s="1" t="s">
        <v>386</v>
      </c>
    </row>
    <row r="14" customFormat="false" ht="15" hidden="false" customHeight="true" outlineLevel="0" collapsed="false">
      <c r="A14" s="37" t="str">
        <f aca="false">Backlog!A14</f>
        <v>NEW-0064</v>
      </c>
      <c r="B14" s="49" t="str">
        <f aca="false">IFERROR(IF(ISBLANK(INDEX(Backlog[Requirement Name],MATCH($A14,Backlog[Requirement ID],0))),"",INDEX(Backlog[Requirement Name],MATCH($A14,Backlog[Requirement ID],0))),"")</f>
        <v>ZAF Rollout - Market Configurations in CHAIN1 &amp; CHAIN2 and PROD</v>
      </c>
      <c r="C14" s="37" t="str">
        <f aca="false">IFERROR(IF(ISBLANK(INDEX(Backlog[Stream],MATCH($A14,Backlog[Requirement ID],0))),"",INDEX(Backlog[Stream],MATCH($A14,Backlog[Requirement ID],0))),"")</f>
        <v>MVP Rollout</v>
      </c>
      <c r="D14" s="37" t="str">
        <f aca="false">IFERROR(IF(ISBLANK(INDEX(Backlog[Jira Link],MATCH($A14,Backlog[Requirement ID],0))),"",INDEX(Backlog[Jira Link],MATCH($A14,Backlog[Requirement ID],0))),"")</f>
        <v>https://smartship.atlassian.net/browse/DTTP25-41351</v>
      </c>
      <c r="E14" s="37" t="str">
        <f aca="false">IFERROR(IF(ISBLANK(INDEX(Backlog[Status],MATCH($A14,Backlog[Requirement ID],0))),"",INDEX(Backlog[Status],MATCH($A14,Backlog[Requirement ID],0))),"")</f>
        <v>NEW</v>
      </c>
      <c r="F14" s="37" t="str">
        <f aca="false">IFERROR(IF(ISBLANK(INDEX(SprintPlanning[Sprint],MATCH($A14,SprintPlanning[Requirement ID],0))),"",INDEX(SprintPlanning[Sprint],MATCH($A14,SprintPlanning[Requirement ID],0))),"")</f>
        <v>Sprint 11</v>
      </c>
      <c r="G14" s="50" t="s">
        <v>387</v>
      </c>
      <c r="H14" s="51"/>
      <c r="I14" s="52"/>
      <c r="J14" s="37" t="str">
        <f aca="false">IFERROR(IF(ISBLANK(INDEX(Backlog[Priority],MATCH($A14,Backlog[Requirement ID],0))),"",INDEX(Backlog[Priority],MATCH($A14,Backlog[Requirement ID],0))),"")</f>
        <v>Medium</v>
      </c>
      <c r="K14" s="53" t="s">
        <v>381</v>
      </c>
      <c r="L14" s="1" t="n">
        <f aca="false">IFERROR(IF(ISBLANK(INDEX(Backlog[HLE],MATCH($A14,Backlog[Requirement ID],0))),"",IF(INDEX(Backlog[HLE],MATCH($A14,Backlog[Requirement ID],0))&lt;=5,0.5,IF(INDEX(Backlog[HLE],MATCH($A14,Backlog[Requirement ID],0))&lt;=8,1,IF(INDEX(Backlog[HLE],MATCH($A14,Backlog[Requirement ID],0))&lt;=13,2,IF(INDEX(Backlog[HLE],MATCH($A14,Backlog[Requirement ID],0))&lt;=20,3,5))))),"")</f>
        <v>1</v>
      </c>
      <c r="M14" s="37"/>
    </row>
    <row r="15" customFormat="false" ht="15" hidden="false" customHeight="true" outlineLevel="0" collapsed="false">
      <c r="A15" s="37" t="str">
        <f aca="false">Backlog!A15</f>
        <v>NEW-0065</v>
      </c>
      <c r="B15" s="49" t="str">
        <f aca="false">IFERROR(IF(ISBLANK(INDEX(Backlog[Requirement Name],MATCH($A15,Backlog[Requirement ID],0))),"",INDEX(Backlog[Requirement Name],MATCH($A15,Backlog[Requirement ID],0))),"")</f>
        <v>ZAFRollout - Market Configurations in Production</v>
      </c>
      <c r="C15" s="37" t="str">
        <f aca="false">IFERROR(IF(ISBLANK(INDEX(Backlog[Stream],MATCH($A15,Backlog[Requirement ID],0))),"",INDEX(Backlog[Stream],MATCH($A15,Backlog[Requirement ID],0))),"")</f>
        <v>MVP Rollout</v>
      </c>
      <c r="D15" s="37" t="str">
        <f aca="false">IFERROR(IF(ISBLANK(INDEX(Backlog[Jira Link],MATCH($A15,Backlog[Requirement ID],0))),"",INDEX(Backlog[Jira Link],MATCH($A15,Backlog[Requirement ID],0))),"")</f>
        <v>https://smartship.atlassian.net/browse/DTTP25-41351</v>
      </c>
      <c r="E15" s="37" t="str">
        <f aca="false">IFERROR(IF(ISBLANK(INDEX(Backlog[Status],MATCH($A15,Backlog[Requirement ID],0))),"",INDEX(Backlog[Status],MATCH($A15,Backlog[Requirement ID],0))),"")</f>
        <v>NA</v>
      </c>
      <c r="F15" s="37" t="str">
        <f aca="false">IFERROR(IF(ISBLANK(INDEX(SprintPlanning[Sprint],MATCH($A15,SprintPlanning[Requirement ID],0))),"",INDEX(SprintPlanning[Sprint],MATCH($A15,SprintPlanning[Requirement ID],0))),"")</f>
        <v>To Plan</v>
      </c>
      <c r="G15" s="50" t="s">
        <v>387</v>
      </c>
      <c r="H15" s="51"/>
      <c r="I15" s="52"/>
      <c r="J15" s="37" t="str">
        <f aca="false">IFERROR(IF(ISBLANK(INDEX(Backlog[Priority],MATCH($A15,Backlog[Requirement ID],0))),"",INDEX(Backlog[Priority],MATCH($A15,Backlog[Requirement ID],0))),"")</f>
        <v>Medium</v>
      </c>
      <c r="K15" s="53" t="s">
        <v>381</v>
      </c>
      <c r="L15" s="1" t="n">
        <f aca="false">IFERROR(IF(ISBLANK(INDEX(Backlog[HLE],MATCH($A15,Backlog[Requirement ID],0))),"",IF(INDEX(Backlog[HLE],MATCH($A15,Backlog[Requirement ID],0))&lt;=5,0.5,IF(INDEX(Backlog[HLE],MATCH($A15,Backlog[Requirement ID],0))&lt;=8,1,IF(INDEX(Backlog[HLE],MATCH($A15,Backlog[Requirement ID],0))&lt;=13,2,IF(INDEX(Backlog[HLE],MATCH($A15,Backlog[Requirement ID],0))&lt;=20,3,5))))),"")</f>
        <v>1</v>
      </c>
      <c r="M15" s="37"/>
    </row>
    <row r="16" customFormat="false" ht="15" hidden="false" customHeight="true" outlineLevel="0" collapsed="false">
      <c r="A16" s="24" t="str">
        <f aca="false">Backlog!A16</f>
        <v>NEW-0075</v>
      </c>
      <c r="B16" s="46" t="str">
        <f aca="false">IFERROR(IF(ISBLANK(INDEX(Backlog[Requirement Name],MATCH($A16,Backlog[Requirement ID],0))),"",INDEX(Backlog[Requirement Name],MATCH($A16,Backlog[Requirement ID],0))),"")</f>
        <v>PI11-13 [CRM] [INTP-25] CRM Dependency - Marketing Automation - Calculated fields Booking B2B/B2C</v>
      </c>
      <c r="C16" s="26" t="str">
        <f aca="false">IFERROR(IF(ISBLANK(INDEX(Backlog[Stream],MATCH($A16,Backlog[Requirement ID],0))),"",INDEX(Backlog[Stream],MATCH($A16,Backlog[Requirement ID],0))),"")</f>
        <v>PI11</v>
      </c>
      <c r="D16" s="26" t="str">
        <f aca="false">IFERROR(IF(ISBLANK(INDEX(Backlog[Jira Link],MATCH($A16,Backlog[Requirement ID],0))),"",INDEX(Backlog[Jira Link],MATCH($A16,Backlog[Requirement ID],0))),"")</f>
        <v>https://smartship.atlassian.net/browse/DTTP25-41935</v>
      </c>
      <c r="E16" s="26" t="str">
        <f aca="false">IFERROR(IF(ISBLANK(INDEX(Backlog[Status],MATCH($A16,Backlog[Requirement ID],0))),"",INDEX(Backlog[Status],MATCH($A16,Backlog[Requirement ID],0))),"")</f>
        <v>NEW</v>
      </c>
      <c r="F16" s="26" t="str">
        <f aca="false">IFERROR(IF(ISBLANK(INDEX(SprintPlanning[Sprint],MATCH($A16,SprintPlanning[Requirement ID],0))),"",INDEX(SprintPlanning[Sprint],MATCH($A16,SprintPlanning[Requirement ID],0))),"")</f>
        <v>Sprint 12</v>
      </c>
      <c r="G16" s="47" t="s">
        <v>383</v>
      </c>
      <c r="H16" s="48"/>
      <c r="I16" s="47"/>
      <c r="J16" s="26" t="str">
        <f aca="false">IFERROR(IF(ISBLANK(INDEX(Backlog[Priority],MATCH($A16,Backlog[Requirement ID],0))),"",INDEX(Backlog[Priority],MATCH($A16,Backlog[Requirement ID],0))),"")</f>
        <v>Medium</v>
      </c>
      <c r="K16" s="24"/>
      <c r="L16" s="1" t="n">
        <f aca="false">IFERROR(IF(ISBLANK(INDEX(Backlog[HLE],MATCH($A16,Backlog[Requirement ID],0))),"",IF(INDEX(Backlog[HLE],MATCH($A16,Backlog[Requirement ID],0))&lt;=5,0.5,IF(INDEX(Backlog[HLE],MATCH($A16,Backlog[Requirement ID],0))&lt;=8,1,IF(INDEX(Backlog[HLE],MATCH($A16,Backlog[Requirement ID],0))&lt;=13,2,IF(INDEX(Backlog[HLE],MATCH($A16,Backlog[Requirement ID],0))&lt;=20,3,5))))),"")</f>
        <v>2</v>
      </c>
      <c r="M16" s="24"/>
    </row>
    <row r="17" customFormat="false" ht="15" hidden="false" customHeight="true" outlineLevel="0" collapsed="false">
      <c r="A17" s="24" t="str">
        <f aca="false">Backlog!A17</f>
        <v>NEW-0076</v>
      </c>
      <c r="B17" s="46" t="str">
        <f aca="false">IFERROR(IF(ISBLANK(INDEX(Backlog[Requirement Name],MATCH($A17,Backlog[Requirement ID],0))),"",INDEX(Backlog[Requirement Name],MATCH($A17,Backlog[Requirement ID],0))),"")</f>
        <v>PI11-15 [CRM] [EA-1662] CRM Dependency - Lead Management - Hold option additional event fields in CDP</v>
      </c>
      <c r="C17" s="26" t="str">
        <f aca="false">IFERROR(IF(ISBLANK(INDEX(Backlog[Stream],MATCH($A17,Backlog[Requirement ID],0))),"",INDEX(Backlog[Stream],MATCH($A17,Backlog[Requirement ID],0))),"")</f>
        <v>PI11</v>
      </c>
      <c r="D17" s="26" t="str">
        <f aca="false">IFERROR(IF(ISBLANK(INDEX(Backlog[Jira Link],MATCH($A17,Backlog[Requirement ID],0))),"",INDEX(Backlog[Jira Link],MATCH($A17,Backlog[Requirement ID],0))),"")</f>
        <v>https://smartship.atlassian.net/browse/DTTP25-41936</v>
      </c>
      <c r="E17" s="26" t="str">
        <f aca="false">IFERROR(IF(ISBLANK(INDEX(Backlog[Status],MATCH($A17,Backlog[Requirement ID],0))),"",INDEX(Backlog[Status],MATCH($A17,Backlog[Requirement ID],0))),"")</f>
        <v>NEW</v>
      </c>
      <c r="F17" s="26" t="str">
        <f aca="false">IFERROR(IF(ISBLANK(INDEX(SprintPlanning[Sprint],MATCH($A17,SprintPlanning[Requirement ID],0))),"",INDEX(SprintPlanning[Sprint],MATCH($A17,SprintPlanning[Requirement ID],0))),"")</f>
        <v>Sprint 12</v>
      </c>
      <c r="G17" s="47" t="s">
        <v>383</v>
      </c>
      <c r="H17" s="48"/>
      <c r="I17" s="47"/>
      <c r="J17" s="26" t="str">
        <f aca="false">IFERROR(IF(ISBLANK(INDEX(Backlog[Priority],MATCH($A17,Backlog[Requirement ID],0))),"",INDEX(Backlog[Priority],MATCH($A17,Backlog[Requirement ID],0))),"")</f>
        <v>Medium</v>
      </c>
      <c r="K17" s="24"/>
      <c r="L17" s="1" t="n">
        <f aca="false">IFERROR(IF(ISBLANK(INDEX(Backlog[HLE],MATCH($A17,Backlog[Requirement ID],0))),"",IF(INDEX(Backlog[HLE],MATCH($A17,Backlog[Requirement ID],0))&lt;=5,0.5,IF(INDEX(Backlog[HLE],MATCH($A17,Backlog[Requirement ID],0))&lt;=8,1,IF(INDEX(Backlog[HLE],MATCH($A17,Backlog[Requirement ID],0))&lt;=13,2,IF(INDEX(Backlog[HLE],MATCH($A17,Backlog[Requirement ID],0))&lt;=20,3,5))))),"")</f>
        <v>2</v>
      </c>
      <c r="M17" s="24"/>
    </row>
    <row r="18" customFormat="false" ht="15" hidden="false" customHeight="true" outlineLevel="0" collapsed="false">
      <c r="A18" s="24" t="str">
        <f aca="false">Backlog!A18</f>
        <v>NEW-0077</v>
      </c>
      <c r="B18" s="46" t="str">
        <f aca="false">IFERROR(IF(ISBLANK(INDEX(Backlog[Requirement Name],MATCH($A18,Backlog[Requirement ID],0))),"",INDEX(Backlog[Requirement Name],MATCH($A18,Backlog[Requirement ID],0))),"")</f>
        <v>Nordics SWE, DEN, NOR, FIN Rollout - Market Configurations in CHAIN1 &amp; CHAIN2</v>
      </c>
      <c r="C18" s="26" t="str">
        <f aca="false">IFERROR(IF(ISBLANK(INDEX(Backlog[Stream],MATCH($A18,Backlog[Requirement ID],0))),"",INDEX(Backlog[Stream],MATCH($A18,Backlog[Requirement ID],0))),"")</f>
        <v>MVP Rollout</v>
      </c>
      <c r="D18" s="26" t="str">
        <f aca="false">IFERROR(IF(ISBLANK(INDEX(Backlog[Jira Link],MATCH($A18,Backlog[Requirement ID],0))),"",INDEX(Backlog[Jira Link],MATCH($A18,Backlog[Requirement ID],0))),"")</f>
        <v>https://smartship.atlassian.net/browse/DTTP25-37831</v>
      </c>
      <c r="E18" s="26" t="str">
        <f aca="false">IFERROR(IF(ISBLANK(INDEX(Backlog[Status],MATCH($A18,Backlog[Requirement ID],0))),"",INDEX(Backlog[Status],MATCH($A18,Backlog[Requirement ID],0))),"")</f>
        <v>NEW</v>
      </c>
      <c r="F18" s="26" t="str">
        <f aca="false">IFERROR(IF(ISBLANK(INDEX(SprintPlanning[Sprint],MATCH($A18,SprintPlanning[Requirement ID],0))),"",INDEX(SprintPlanning[Sprint],MATCH($A18,SprintPlanning[Requirement ID],0))),"")</f>
        <v>To Plan</v>
      </c>
      <c r="G18" s="47" t="s">
        <v>387</v>
      </c>
      <c r="H18" s="48"/>
      <c r="I18" s="47"/>
      <c r="J18" s="26" t="str">
        <f aca="false">IFERROR(IF(ISBLANK(INDEX(Backlog[Priority],MATCH($A18,Backlog[Requirement ID],0))),"",INDEX(Backlog[Priority],MATCH($A18,Backlog[Requirement ID],0))),"")</f>
        <v>Medium</v>
      </c>
      <c r="K18" s="24" t="s">
        <v>381</v>
      </c>
      <c r="L18" s="1" t="n">
        <f aca="false">IFERROR(IF(ISBLANK(INDEX(Backlog[HLE],MATCH($A18,Backlog[Requirement ID],0))),"",IF(INDEX(Backlog[HLE],MATCH($A18,Backlog[Requirement ID],0))&lt;=5,0.5,IF(INDEX(Backlog[HLE],MATCH($A18,Backlog[Requirement ID],0))&lt;=8,1,IF(INDEX(Backlog[HLE],MATCH($A18,Backlog[Requirement ID],0))&lt;=13,2,IF(INDEX(Backlog[HLE],MATCH($A18,Backlog[Requirement ID],0))&lt;=20,3,5))))),"")</f>
        <v>1</v>
      </c>
      <c r="M18" s="24"/>
    </row>
    <row r="19" customFormat="false" ht="15" hidden="false" customHeight="true" outlineLevel="0" collapsed="false">
      <c r="A19" s="24" t="str">
        <f aca="false">Backlog!A19</f>
        <v>NEW-0078</v>
      </c>
      <c r="B19" s="46" t="str">
        <f aca="false">IFERROR(IF(ISBLANK(INDEX(Backlog[Requirement Name],MATCH($A19,Backlog[Requirement ID],0))),"",INDEX(Backlog[Requirement Name],MATCH($A19,Backlog[Requirement ID],0))),"")</f>
        <v>Nordics SWE, DEN, NOR, FIN Rollout - Market Configurations in Production</v>
      </c>
      <c r="C19" s="26" t="str">
        <f aca="false">IFERROR(IF(ISBLANK(INDEX(Backlog[Stream],MATCH($A19,Backlog[Requirement ID],0))),"",INDEX(Backlog[Stream],MATCH($A19,Backlog[Requirement ID],0))),"")</f>
        <v>MVP Rollout</v>
      </c>
      <c r="D19" s="26" t="str">
        <f aca="false">IFERROR(IF(ISBLANK(INDEX(Backlog[Jira Link],MATCH($A19,Backlog[Requirement ID],0))),"",INDEX(Backlog[Jira Link],MATCH($A19,Backlog[Requirement ID],0))),"")</f>
        <v>https://smartship.atlassian.net/browse/DTTP25-37831</v>
      </c>
      <c r="E19" s="26" t="str">
        <f aca="false">IFERROR(IF(ISBLANK(INDEX(Backlog[Status],MATCH($A19,Backlog[Requirement ID],0))),"",INDEX(Backlog[Status],MATCH($A19,Backlog[Requirement ID],0))),"")</f>
        <v>NEW</v>
      </c>
      <c r="F19" s="26" t="str">
        <f aca="false">IFERROR(IF(ISBLANK(INDEX(SprintPlanning[Sprint],MATCH($A19,SprintPlanning[Requirement ID],0))),"",INDEX(SprintPlanning[Sprint],MATCH($A19,SprintPlanning[Requirement ID],0))),"")</f>
        <v>To Plan</v>
      </c>
      <c r="G19" s="47" t="s">
        <v>387</v>
      </c>
      <c r="H19" s="48"/>
      <c r="I19" s="47"/>
      <c r="J19" s="26" t="str">
        <f aca="false">IFERROR(IF(ISBLANK(INDEX(Backlog[Priority],MATCH($A19,Backlog[Requirement ID],0))),"",INDEX(Backlog[Priority],MATCH($A19,Backlog[Requirement ID],0))),"")</f>
        <v>Medium</v>
      </c>
      <c r="K19" s="24" t="s">
        <v>381</v>
      </c>
      <c r="L19" s="1" t="n">
        <f aca="false">IFERROR(IF(ISBLANK(INDEX(Backlog[HLE],MATCH($A19,Backlog[Requirement ID],0))),"",IF(INDEX(Backlog[HLE],MATCH($A19,Backlog[Requirement ID],0))&lt;=5,0.5,IF(INDEX(Backlog[HLE],MATCH($A19,Backlog[Requirement ID],0))&lt;=8,1,IF(INDEX(Backlog[HLE],MATCH($A19,Backlog[Requirement ID],0))&lt;=13,2,IF(INDEX(Backlog[HLE],MATCH($A19,Backlog[Requirement ID],0))&lt;=20,3,5))))),"")</f>
        <v>1</v>
      </c>
      <c r="M19" s="24"/>
    </row>
    <row r="20" customFormat="false" ht="28.5" hidden="false" customHeight="true" outlineLevel="0" collapsed="false">
      <c r="A20" s="24" t="str">
        <f aca="false">Backlog!A20</f>
        <v>NEW-0409</v>
      </c>
      <c r="B20" s="46" t="str">
        <f aca="false">IFERROR(IF(ISBLANK(INDEX(Backlog[Requirement Name],MATCH($A20,Backlog[Requirement ID],0))),"",INDEX(Backlog[Requirement Name],MATCH($A20,Backlog[Requirement ID],0))),"")</f>
        <v>US Growth - B2CW Payment billing data/ US Release AVS Check - Part 2 (Wiring the new fields to Datatrans in INT007, INT140, INT146)</v>
      </c>
      <c r="C20" s="26" t="str">
        <f aca="false">IFERROR(IF(ISBLANK(INDEX(Backlog[Stream],MATCH($A20,Backlog[Requirement ID],0))),"",INDEX(Backlog[Stream],MATCH($A20,Backlog[Requirement ID],0))),"")</f>
        <v>Growth</v>
      </c>
      <c r="D20" s="26" t="str">
        <f aca="false">IFERROR(IF(ISBLANK(INDEX(Backlog[Jira Link],MATCH($A20,Backlog[Requirement ID],0))),"",INDEX(Backlog[Jira Link],MATCH($A20,Backlog[Requirement ID],0))),"")</f>
        <v>https://smartship.atlassian.net/browse/MDTTPU-15253</v>
      </c>
      <c r="E20" s="26" t="str">
        <f aca="false">IFERROR(IF(ISBLANK(INDEX(Backlog[Status],MATCH($A20,Backlog[Requirement ID],0))),"",INDEX(Backlog[Status],MATCH($A20,Backlog[Requirement ID],0))),"")</f>
        <v>NEW</v>
      </c>
      <c r="F20" s="26" t="str">
        <f aca="false">IFERROR(IF(ISBLANK(INDEX(SprintPlanning[Sprint],MATCH($A20,SprintPlanning[Requirement ID],0))),"",INDEX(SprintPlanning[Sprint],MATCH($A20,SprintPlanning[Requirement ID],0))),"")</f>
        <v>Sprint 11</v>
      </c>
      <c r="G20" s="47" t="s">
        <v>383</v>
      </c>
      <c r="H20" s="48" t="n">
        <v>46255</v>
      </c>
      <c r="I20" s="47"/>
      <c r="J20" s="26" t="str">
        <f aca="false">IFERROR(IF(ISBLANK(INDEX(Backlog[Priority],MATCH($A20,Backlog[Requirement ID],0))),"",INDEX(Backlog[Priority],MATCH($A20,Backlog[Requirement ID],0))),"")</f>
        <v>High</v>
      </c>
      <c r="K20" s="24" t="s">
        <v>382</v>
      </c>
      <c r="L20" s="1" t="n">
        <f aca="false">IFERROR(IF(ISBLANK(INDEX(Backlog[HLE],MATCH($A20,Backlog[Requirement ID],0))),"",IF(INDEX(Backlog[HLE],MATCH($A20,Backlog[Requirement ID],0))&lt;=5,0.5,IF(INDEX(Backlog[HLE],MATCH($A20,Backlog[Requirement ID],0))&lt;=8,1,IF(INDEX(Backlog[HLE],MATCH($A20,Backlog[Requirement ID],0))&lt;=13,2,IF(INDEX(Backlog[HLE],MATCH($A20,Backlog[Requirement ID],0))&lt;=20,3,5))))),"")</f>
        <v>2</v>
      </c>
      <c r="M20" s="24"/>
    </row>
    <row r="21" customFormat="false" ht="15" hidden="false" customHeight="true" outlineLevel="0" collapsed="false">
      <c r="A21" s="24" t="str">
        <f aca="false">Backlog!A21</f>
        <v>NEW-0410</v>
      </c>
      <c r="B21" s="46" t="str">
        <f aca="false">IFERROR(IF(ISBLANK(INDEX(Backlog[Requirement Name],MATCH($A21,Backlog[Requirement ID],0))),"",INDEX(Backlog[Requirement Name],MATCH($A21,Backlog[Requirement ID],0))),"")</f>
        <v>US Growth - M4M Payment billing data/ US Release AVS Check (Adding the fields in M4M transaction init)</v>
      </c>
      <c r="C21" s="26" t="str">
        <f aca="false">IFERROR(IF(ISBLANK(INDEX(Backlog[Stream],MATCH($A21,Backlog[Requirement ID],0))),"",INDEX(Backlog[Stream],MATCH($A21,Backlog[Requirement ID],0))),"")</f>
        <v>Growth</v>
      </c>
      <c r="D21" s="26" t="str">
        <f aca="false">IFERROR(IF(ISBLANK(INDEX(Backlog[Jira Link],MATCH($A21,Backlog[Requirement ID],0))),"",INDEX(Backlog[Jira Link],MATCH($A21,Backlog[Requirement ID],0))),"")</f>
        <v>https://smartship.atlassian.net/browse/MDTTPU-15254</v>
      </c>
      <c r="E21" s="26" t="str">
        <f aca="false">IFERROR(IF(ISBLANK(INDEX(Backlog[Status],MATCH($A21,Backlog[Requirement ID],0))),"",INDEX(Backlog[Status],MATCH($A21,Backlog[Requirement ID],0))),"")</f>
        <v>ON HOLD</v>
      </c>
      <c r="F21" s="26" t="str">
        <f aca="false">IFERROR(IF(ISBLANK(INDEX(SprintPlanning[Sprint],MATCH($A21,SprintPlanning[Requirement ID],0))),"",INDEX(SprintPlanning[Sprint],MATCH($A21,SprintPlanning[Requirement ID],0))),"")</f>
        <v>Sprint 12</v>
      </c>
      <c r="G21" s="47" t="s">
        <v>383</v>
      </c>
      <c r="H21" s="48"/>
      <c r="I21" s="47"/>
      <c r="J21" s="26" t="str">
        <f aca="false">IFERROR(IF(ISBLANK(INDEX(Backlog[Priority],MATCH($A21,Backlog[Requirement ID],0))),"",INDEX(Backlog[Priority],MATCH($A21,Backlog[Requirement ID],0))),"")</f>
        <v>High</v>
      </c>
      <c r="K21" s="24"/>
      <c r="L21" s="1" t="n">
        <f aca="false">IFERROR(IF(ISBLANK(INDEX(Backlog[HLE],MATCH($A21,Backlog[Requirement ID],0))),"",IF(INDEX(Backlog[HLE],MATCH($A21,Backlog[Requirement ID],0))&lt;=5,0.5,IF(INDEX(Backlog[HLE],MATCH($A21,Backlog[Requirement ID],0))&lt;=8,1,IF(INDEX(Backlog[HLE],MATCH($A21,Backlog[Requirement ID],0))&lt;=13,2,IF(INDEX(Backlog[HLE],MATCH($A21,Backlog[Requirement ID],0))&lt;=20,3,5))))),"")</f>
        <v>1</v>
      </c>
      <c r="M21" s="24"/>
    </row>
    <row r="22" customFormat="false" ht="15.75" hidden="false" customHeight="true" outlineLevel="0" collapsed="false">
      <c r="A22" s="37" t="str">
        <f aca="false">Backlog!A22</f>
        <v>NEW-0001</v>
      </c>
      <c r="B22" s="49" t="str">
        <f aca="false">IFERROR(IF(ISBLANK(INDEX(Backlog[Requirement Name],MATCH($A22,Backlog[Requirement ID],0))),"",INDEX(Backlog[Requirement Name],MATCH($A22,Backlog[Requirement ID],0))),"")</f>
        <v>Whatsapp Subscription (Phase 1)</v>
      </c>
      <c r="C22" s="37" t="str">
        <f aca="false">IFERROR(IF(ISBLANK(INDEX(Backlog[Stream],MATCH($A22,Backlog[Requirement ID],0))),"",INDEX(Backlog[Stream],MATCH($A22,Backlog[Requirement ID],0))),"")</f>
        <v>Backlog</v>
      </c>
      <c r="D22" s="37" t="str">
        <f aca="false">IFERROR(IF(ISBLANK(INDEX(Backlog[Jira Link],MATCH($A22,Backlog[Requirement ID],0))),"",INDEX(Backlog[Jira Link],MATCH($A22,Backlog[Requirement ID],0))),"")</f>
        <v>https://smartship.atlassian.net/browse/DTTP25-36678</v>
      </c>
      <c r="E22" s="37" t="str">
        <f aca="false">IFERROR(IF(ISBLANK(INDEX(Backlog[Status],MATCH($A22,Backlog[Requirement ID],0))),"",INDEX(Backlog[Status],MATCH($A22,Backlog[Requirement ID],0))),"")</f>
        <v>NEW</v>
      </c>
      <c r="F22" s="37" t="str">
        <f aca="false">IFERROR(IF(ISBLANK(INDEX(SprintPlanning[Sprint],MATCH($A22,SprintPlanning[Requirement ID],0))),"",INDEX(SprintPlanning[Sprint],MATCH($A22,SprintPlanning[Requirement ID],0))),"")</f>
        <v>Sprint 12</v>
      </c>
      <c r="G22" s="50"/>
      <c r="H22" s="51"/>
      <c r="I22" s="52"/>
      <c r="J22" s="37" t="str">
        <f aca="false">IFERROR(IF(ISBLANK(INDEX(Backlog[Priority],MATCH($A22,Backlog[Requirement ID],0))),"",INDEX(Backlog[Priority],MATCH($A22,Backlog[Requirement ID],0))),"")</f>
        <v>Medium</v>
      </c>
      <c r="K22" s="53"/>
      <c r="L22" s="1" t="n">
        <f aca="false">IFERROR(IF(ISBLANK(INDEX(Backlog[HLE],MATCH($A22,Backlog[Requirement ID],0))),"",IF(INDEX(Backlog[HLE],MATCH($A22,Backlog[Requirement ID],0))&lt;=5,0.5,IF(INDEX(Backlog[HLE],MATCH($A22,Backlog[Requirement ID],0))&lt;=8,1,IF(INDEX(Backlog[HLE],MATCH($A22,Backlog[Requirement ID],0))&lt;=13,2,IF(INDEX(Backlog[HLE],MATCH($A22,Backlog[Requirement ID],0))&lt;=20,3,5))))),"")</f>
        <v>2</v>
      </c>
      <c r="M22" s="37"/>
    </row>
    <row r="23" customFormat="false" ht="15" hidden="false" customHeight="true" outlineLevel="0" collapsed="false">
      <c r="A23" s="37" t="str">
        <f aca="false">Backlog!A23</f>
        <v>NEW-0003</v>
      </c>
      <c r="B23" s="49" t="str">
        <f aca="false">IFERROR(IF(ISBLANK(INDEX(Backlog[Requirement Name],MATCH($A23,Backlog[Requirement ID],0))),"",INDEX(Backlog[Requirement Name],MATCH($A23,Backlog[Requirement ID],0))),"")</f>
        <v>Friends and Family INT 157</v>
      </c>
      <c r="C23" s="37" t="str">
        <f aca="false">IFERROR(IF(ISBLANK(INDEX(Backlog[Stream],MATCH($A23,Backlog[Requirement ID],0))),"",INDEX(Backlog[Stream],MATCH($A23,Backlog[Requirement ID],0))),"")</f>
        <v>Backlog</v>
      </c>
      <c r="D23" s="37" t="str">
        <f aca="false">IFERROR(IF(ISBLANK(INDEX(Backlog[Jira Link],MATCH($A23,Backlog[Requirement ID],0))),"",INDEX(Backlog[Jira Link],MATCH($A23,Backlog[Requirement ID],0))),"")</f>
        <v>https://smartship.atlassian.net/browse/DTTP25-36959</v>
      </c>
      <c r="E23" s="37" t="str">
        <f aca="false">IFERROR(IF(ISBLANK(INDEX(Backlog[Status],MATCH($A23,Backlog[Requirement ID],0))),"",INDEX(Backlog[Status],MATCH($A23,Backlog[Requirement ID],0))),"")</f>
        <v>NEW</v>
      </c>
      <c r="F23" s="37" t="str">
        <f aca="false">IFERROR(IF(ISBLANK(INDEX(SprintPlanning[Sprint],MATCH($A23,SprintPlanning[Requirement ID],0))),"",INDEX(SprintPlanning[Sprint],MATCH($A23,SprintPlanning[Requirement ID],0))),"")</f>
        <v>Sprint 12</v>
      </c>
      <c r="G23" s="50"/>
      <c r="H23" s="51"/>
      <c r="I23" s="52"/>
      <c r="J23" s="37" t="str">
        <f aca="false">IFERROR(IF(ISBLANK(INDEX(Backlog[Priority],MATCH($A23,Backlog[Requirement ID],0))),"",INDEX(Backlog[Priority],MATCH($A23,Backlog[Requirement ID],0))),"")</f>
        <v>Medium</v>
      </c>
      <c r="K23" s="53"/>
      <c r="L23" s="1" t="n">
        <f aca="false">IFERROR(IF(ISBLANK(INDEX(Backlog[HLE],MATCH($A23,Backlog[Requirement ID],0))),"",IF(INDEX(Backlog[HLE],MATCH($A23,Backlog[Requirement ID],0))&lt;=5,0.5,IF(INDEX(Backlog[HLE],MATCH($A23,Backlog[Requirement ID],0))&lt;=8,1,IF(INDEX(Backlog[HLE],MATCH($A23,Backlog[Requirement ID],0))&lt;=13,2,IF(INDEX(Backlog[HLE],MATCH($A23,Backlog[Requirement ID],0))&lt;=20,3,5))))),"")</f>
        <v>2</v>
      </c>
      <c r="M23" s="37"/>
    </row>
    <row r="24" customFormat="false" ht="15" hidden="false" customHeight="true" outlineLevel="0" collapsed="false">
      <c r="A24" s="24" t="str">
        <f aca="false">Backlog!A24</f>
        <v>NEW-0029</v>
      </c>
      <c r="B24" s="46" t="str">
        <f aca="false">IFERROR(IF(ISBLANK(INDEX(Backlog[Requirement Name],MATCH($A24,Backlog[Requirement ID],0))),"",INDEX(Backlog[Requirement Name],MATCH($A24,Backlog[Requirement ID],0))),"")</f>
        <v>MYMSC All inc CR remove logic from AEM</v>
      </c>
      <c r="C24" s="26" t="str">
        <f aca="false">IFERROR(IF(ISBLANK(INDEX(Backlog[Stream],MATCH($A24,Backlog[Requirement ID],0))),"",INDEX(Backlog[Stream],MATCH($A24,Backlog[Requirement ID],0))),"")</f>
        <v>MyMSC</v>
      </c>
      <c r="D24" s="26" t="str">
        <f aca="false">IFERROR(IF(ISBLANK(INDEX(Backlog[Jira Link],MATCH($A24,Backlog[Requirement ID],0))),"",INDEX(Backlog[Jira Link],MATCH($A24,Backlog[Requirement ID],0))),"")</f>
        <v>https://smartship.atlassian.net/browse/DTTP25-38250</v>
      </c>
      <c r="E24" s="26" t="str">
        <f aca="false">IFERROR(IF(ISBLANK(INDEX(Backlog[Status],MATCH($A24,Backlog[Requirement ID],0))),"",INDEX(Backlog[Status],MATCH($A24,Backlog[Requirement ID],0))),"")</f>
        <v>NEW</v>
      </c>
      <c r="F24" s="26" t="str">
        <f aca="false">IFERROR(IF(ISBLANK(INDEX(SprintPlanning[Sprint],MATCH($A24,SprintPlanning[Requirement ID],0))),"",INDEX(SprintPlanning[Sprint],MATCH($A24,SprintPlanning[Requirement ID],0))),"")</f>
        <v>Sprint 11</v>
      </c>
      <c r="G24" s="47" t="s">
        <v>383</v>
      </c>
      <c r="H24" s="48"/>
      <c r="I24" s="47" t="s">
        <v>384</v>
      </c>
      <c r="J24" s="26" t="str">
        <f aca="false">IFERROR(IF(ISBLANK(INDEX(Backlog[Priority],MATCH($A24,Backlog[Requirement ID],0))),"",INDEX(Backlog[Priority],MATCH($A24,Backlog[Requirement ID],0))),"")</f>
        <v>Medium</v>
      </c>
      <c r="K24" s="24" t="s">
        <v>388</v>
      </c>
      <c r="L24" s="1" t="n">
        <f aca="false">IFERROR(IF(ISBLANK(INDEX(Backlog[HLE],MATCH($A24,Backlog[Requirement ID],0))),"",IF(INDEX(Backlog[HLE],MATCH($A24,Backlog[Requirement ID],0))&lt;=5,0.5,IF(INDEX(Backlog[HLE],MATCH($A24,Backlog[Requirement ID],0))&lt;=8,1,IF(INDEX(Backlog[HLE],MATCH($A24,Backlog[Requirement ID],0))&lt;=13,2,IF(INDEX(Backlog[HLE],MATCH($A24,Backlog[Requirement ID],0))&lt;=20,3,5))))),"")</f>
        <v>5</v>
      </c>
      <c r="M24" s="24"/>
      <c r="N24" s="1" t="s">
        <v>389</v>
      </c>
    </row>
    <row r="25" customFormat="false" ht="15" hidden="false" customHeight="true" outlineLevel="0" collapsed="false">
      <c r="A25" s="24" t="str">
        <f aca="false">Backlog!A25</f>
        <v>NEW-0030</v>
      </c>
      <c r="B25" s="46" t="str">
        <f aca="false">IFERROR(IF(ISBLANK(INDEX(Backlog[Requirement Name],MATCH($A25,Backlog[Requirement ID],0))),"",INDEX(Backlog[Requirement Name],MATCH($A25,Backlog[Requirement ID],0))),"")</f>
        <v>Handling of additional errors INT 139/ INT 140</v>
      </c>
      <c r="C25" s="26" t="str">
        <f aca="false">IFERROR(IF(ISBLANK(INDEX(Backlog[Stream],MATCH($A25,Backlog[Requirement ID],0))),"",INDEX(Backlog[Stream],MATCH($A25,Backlog[Requirement ID],0))),"")</f>
        <v>MyMSC</v>
      </c>
      <c r="D25" s="26" t="str">
        <f aca="false">IFERROR(IF(ISBLANK(INDEX(Backlog[Jira Link],MATCH($A25,Backlog[Requirement ID],0))),"",INDEX(Backlog[Jira Link],MATCH($A25,Backlog[Requirement ID],0))),"")</f>
        <v>https://smartship.atlassian.net/browse/DTTP25-40357</v>
      </c>
      <c r="E25" s="26" t="str">
        <f aca="false">IFERROR(IF(ISBLANK(INDEX(Backlog[Status],MATCH($A25,Backlog[Requirement ID],0))),"",INDEX(Backlog[Status],MATCH($A25,Backlog[Requirement ID],0))),"")</f>
        <v>NEW</v>
      </c>
      <c r="F25" s="26" t="str">
        <f aca="false">IFERROR(IF(ISBLANK(INDEX(SprintPlanning[Sprint],MATCH($A25,SprintPlanning[Requirement ID],0))),"",INDEX(SprintPlanning[Sprint],MATCH($A25,SprintPlanning[Requirement ID],0))),"")</f>
        <v>Sprint 12</v>
      </c>
      <c r="G25" s="47" t="s">
        <v>387</v>
      </c>
      <c r="H25" s="48"/>
      <c r="I25" s="47"/>
      <c r="J25" s="26" t="str">
        <f aca="false">IFERROR(IF(ISBLANK(INDEX(Backlog[Priority],MATCH($A25,Backlog[Requirement ID],0))),"",INDEX(Backlog[Priority],MATCH($A25,Backlog[Requirement ID],0))),"")</f>
        <v>Medium</v>
      </c>
      <c r="K25" s="24" t="s">
        <v>380</v>
      </c>
      <c r="L25" s="1" t="n">
        <f aca="false">IFERROR(IF(ISBLANK(INDEX(Backlog[HLE],MATCH($A25,Backlog[Requirement ID],0))),"",IF(INDEX(Backlog[HLE],MATCH($A25,Backlog[Requirement ID],0))&lt;=5,0.5,IF(INDEX(Backlog[HLE],MATCH($A25,Backlog[Requirement ID],0))&lt;=8,1,IF(INDEX(Backlog[HLE],MATCH($A25,Backlog[Requirement ID],0))&lt;=13,2,IF(INDEX(Backlog[HLE],MATCH($A25,Backlog[Requirement ID],0))&lt;=20,3,5))))),"")</f>
        <v>1</v>
      </c>
      <c r="M25" s="24"/>
    </row>
    <row r="26" customFormat="false" ht="15" hidden="false" customHeight="true" outlineLevel="0" collapsed="false">
      <c r="A26" s="24" t="str">
        <f aca="false">Backlog!A26</f>
        <v>NEW-0080</v>
      </c>
      <c r="B26" s="46" t="str">
        <f aca="false">IFERROR(IF(ISBLANK(INDEX(Backlog[Requirement Name],MATCH($A26,Backlog[Requirement ID],0))),"",INDEX(Backlog[Requirement Name],MATCH($A26,Backlog[Requirement ID],0))),"")</f>
        <v>Hypercare</v>
      </c>
      <c r="C26" s="26" t="str">
        <f aca="false">IFERROR(IF(ISBLANK(INDEX(Backlog[Stream],MATCH($A26,Backlog[Requirement ID],0))),"",INDEX(Backlog[Stream],MATCH($A26,Backlog[Requirement ID],0))),"")</f>
        <v>US</v>
      </c>
      <c r="D26" s="26" t="str">
        <f aca="false">IFERROR(IF(ISBLANK(INDEX(Backlog[Jira Link],MATCH($A26,Backlog[Requirement ID],0))),"",INDEX(Backlog[Jira Link],MATCH($A26,Backlog[Requirement ID],0))),"")</f>
        <v/>
      </c>
      <c r="E26" s="26" t="str">
        <f aca="false">IFERROR(IF(ISBLANK(INDEX(Backlog[Status],MATCH($A26,Backlog[Requirement ID],0))),"",INDEX(Backlog[Status],MATCH($A26,Backlog[Requirement ID],0))),"")</f>
        <v>NEW</v>
      </c>
      <c r="F26" s="26" t="str">
        <f aca="false">IFERROR(IF(ISBLANK(INDEX(SprintPlanning[Sprint],MATCH($A26,SprintPlanning[Requirement ID],0))),"",INDEX(SprintPlanning[Sprint],MATCH($A26,SprintPlanning[Requirement ID],0))),"")</f>
        <v>Sprint 12</v>
      </c>
      <c r="G26" s="47" t="s">
        <v>387</v>
      </c>
      <c r="H26" s="48"/>
      <c r="I26" s="47"/>
      <c r="J26" s="26" t="str">
        <f aca="false">IFERROR(IF(ISBLANK(INDEX(Backlog[Priority],MATCH($A26,Backlog[Requirement ID],0))),"",INDEX(Backlog[Priority],MATCH($A26,Backlog[Requirement ID],0))),"")</f>
        <v>High</v>
      </c>
      <c r="K26" s="24" t="s">
        <v>381</v>
      </c>
      <c r="L26" s="1" t="str">
        <f aca="false">IFERROR(IF(ISBLANK(INDEX(Backlog[HLE],MATCH($A26,Backlog[Requirement ID],0))),"",IF(INDEX(Backlog[HLE],MATCH($A26,Backlog[Requirement ID],0))&lt;=5,0.5,IF(INDEX(Backlog[HLE],MATCH($A26,Backlog[Requirement ID],0))&lt;=8,1,IF(INDEX(Backlog[HLE],MATCH($A26,Backlog[Requirement ID],0))&lt;=13,2,IF(INDEX(Backlog[HLE],MATCH($A26,Backlog[Requirement ID],0))&lt;=20,3,5))))),"")</f>
        <v/>
      </c>
      <c r="M26" s="24"/>
    </row>
    <row r="27" customFormat="false" ht="15" hidden="false" customHeight="true" outlineLevel="0" collapsed="false">
      <c r="A27" s="24" t="str">
        <f aca="false">Backlog!A27</f>
        <v>NEW-0085</v>
      </c>
      <c r="B27" s="46" t="str">
        <f aca="false">IFERROR(IF(ISBLANK(INDEX(Backlog[Requirement Name],MATCH($A27,Backlog[Requirement ID],0))),"",INDEX(Backlog[Requirement Name],MATCH($A27,Backlog[Requirement ID],0))),"")</f>
        <v>PI11-08 [CDP] [INTP-21] Lead Management - Option event creation in CDP</v>
      </c>
      <c r="C27" s="26" t="str">
        <f aca="false">IFERROR(IF(ISBLANK(INDEX(Backlog[Stream],MATCH($A27,Backlog[Requirement ID],0))),"",INDEX(Backlog[Stream],MATCH($A27,Backlog[Requirement ID],0))),"")</f>
        <v>PI11</v>
      </c>
      <c r="D27" s="26" t="str">
        <f aca="false">IFERROR(IF(ISBLANK(INDEX(Backlog[Jira Link],MATCH($A27,Backlog[Requirement ID],0))),"",INDEX(Backlog[Jira Link],MATCH($A27,Backlog[Requirement ID],0))),"")</f>
        <v>https://smartship.atlassian.net/browse/DTTP25-41937</v>
      </c>
      <c r="E27" s="26" t="str">
        <f aca="false">IFERROR(IF(ISBLANK(INDEX(Backlog[Status],MATCH($A27,Backlog[Requirement ID],0))),"",INDEX(Backlog[Status],MATCH($A27,Backlog[Requirement ID],0))),"")</f>
        <v>NEW</v>
      </c>
      <c r="F27" s="26" t="str">
        <f aca="false">IFERROR(IF(ISBLANK(INDEX(SprintPlanning[Sprint],MATCH($A27,SprintPlanning[Requirement ID],0))),"",INDEX(SprintPlanning[Sprint],MATCH($A27,SprintPlanning[Requirement ID],0))),"")</f>
        <v>Sprint 12</v>
      </c>
      <c r="G27" s="47" t="s">
        <v>83</v>
      </c>
      <c r="H27" s="48"/>
      <c r="I27" s="47"/>
      <c r="J27" s="26" t="str">
        <f aca="false">IFERROR(IF(ISBLANK(INDEX(Backlog[Priority],MATCH($A27,Backlog[Requirement ID],0))),"",INDEX(Backlog[Priority],MATCH($A27,Backlog[Requirement ID],0))),"")</f>
        <v>Medium</v>
      </c>
      <c r="K27" s="24"/>
      <c r="L27" s="1" t="n">
        <f aca="false">IFERROR(IF(ISBLANK(INDEX(Backlog[HLE],MATCH($A27,Backlog[Requirement ID],0))),"",IF(INDEX(Backlog[HLE],MATCH($A27,Backlog[Requirement ID],0))&lt;=5,0.5,IF(INDEX(Backlog[HLE],MATCH($A27,Backlog[Requirement ID],0))&lt;=8,1,IF(INDEX(Backlog[HLE],MATCH($A27,Backlog[Requirement ID],0))&lt;=13,2,IF(INDEX(Backlog[HLE],MATCH($A27,Backlog[Requirement ID],0))&lt;=20,3,5))))),"")</f>
        <v>0.5</v>
      </c>
      <c r="M27" s="24"/>
    </row>
    <row r="28" customFormat="false" ht="15" hidden="false" customHeight="true" outlineLevel="0" collapsed="false">
      <c r="A28" s="24" t="str">
        <f aca="false">Backlog!A28</f>
        <v>NEW-0086</v>
      </c>
      <c r="B28" s="46" t="str">
        <f aca="false">IFERROR(IF(ISBLANK(INDEX(Backlog[Requirement Name],MATCH($A28,Backlog[Requirement ID],0))),"",INDEX(Backlog[Requirement Name],MATCH($A28,Backlog[Requirement ID],0))),"")</f>
        <v>PI11-11 [CRM] [EA-1008] DTTP - Lead Management - FCC new outbound sources</v>
      </c>
      <c r="C28" s="26" t="str">
        <f aca="false">IFERROR(IF(ISBLANK(INDEX(Backlog[Stream],MATCH($A28,Backlog[Requirement ID],0))),"",INDEX(Backlog[Stream],MATCH($A28,Backlog[Requirement ID],0))),"")</f>
        <v>PI11</v>
      </c>
      <c r="D28" s="26" t="str">
        <f aca="false">IFERROR(IF(ISBLANK(INDEX(Backlog[Jira Link],MATCH($A28,Backlog[Requirement ID],0))),"",INDEX(Backlog[Jira Link],MATCH($A28,Backlog[Requirement ID],0))),"")</f>
        <v>https://smartship.atlassian.net/browse/DTTP25-41939</v>
      </c>
      <c r="E28" s="26" t="str">
        <f aca="false">IFERROR(IF(ISBLANK(INDEX(Backlog[Status],MATCH($A28,Backlog[Requirement ID],0))),"",INDEX(Backlog[Status],MATCH($A28,Backlog[Requirement ID],0))),"")</f>
        <v>NEW</v>
      </c>
      <c r="F28" s="26" t="str">
        <f aca="false">IFERROR(IF(ISBLANK(INDEX(SprintPlanning[Sprint],MATCH($A28,SprintPlanning[Requirement ID],0))),"",INDEX(SprintPlanning[Sprint],MATCH($A28,SprintPlanning[Requirement ID],0))),"")</f>
        <v>Sprint 12</v>
      </c>
      <c r="G28" s="47" t="s">
        <v>83</v>
      </c>
      <c r="H28" s="48"/>
      <c r="I28" s="47"/>
      <c r="J28" s="26" t="str">
        <f aca="false">IFERROR(IF(ISBLANK(INDEX(Backlog[Priority],MATCH($A28,Backlog[Requirement ID],0))),"",INDEX(Backlog[Priority],MATCH($A28,Backlog[Requirement ID],0))),"")</f>
        <v>Medium</v>
      </c>
      <c r="K28" s="24"/>
      <c r="L28" s="1" t="n">
        <f aca="false">IFERROR(IF(ISBLANK(INDEX(Backlog[HLE],MATCH($A28,Backlog[Requirement ID],0))),"",IF(INDEX(Backlog[HLE],MATCH($A28,Backlog[Requirement ID],0))&lt;=5,0.5,IF(INDEX(Backlog[HLE],MATCH($A28,Backlog[Requirement ID],0))&lt;=8,1,IF(INDEX(Backlog[HLE],MATCH($A28,Backlog[Requirement ID],0))&lt;=13,2,IF(INDEX(Backlog[HLE],MATCH($A28,Backlog[Requirement ID],0))&lt;=20,3,5))))),"")</f>
        <v>1</v>
      </c>
      <c r="M28" s="24"/>
    </row>
    <row r="29" customFormat="false" ht="15" hidden="false" customHeight="true" outlineLevel="0" collapsed="false">
      <c r="A29" s="24" t="str">
        <f aca="false">Backlog!A29</f>
        <v>NEW-0087</v>
      </c>
      <c r="B29" s="46" t="str">
        <f aca="false">IFERROR(IF(ISBLANK(INDEX(Backlog[Requirement Name],MATCH($A29,Backlog[Requirement ID],0))),"",INDEX(Backlog[Requirement Name],MATCH($A29,Backlog[Requirement ID],0))),"")</f>
        <v>PI11-12 [CDP/CRM] CRM2-11097 / [INTP-20] Lead Management - IRL Outbound Sources Activation &amp; Form Creation</v>
      </c>
      <c r="C29" s="26" t="str">
        <f aca="false">IFERROR(IF(ISBLANK(INDEX(Backlog[Stream],MATCH($A29,Backlog[Requirement ID],0))),"",INDEX(Backlog[Stream],MATCH($A29,Backlog[Requirement ID],0))),"")</f>
        <v>PI11</v>
      </c>
      <c r="D29" s="26" t="str">
        <f aca="false">IFERROR(IF(ISBLANK(INDEX(Backlog[Jira Link],MATCH($A29,Backlog[Requirement ID],0))),"",INDEX(Backlog[Jira Link],MATCH($A29,Backlog[Requirement ID],0))),"")</f>
        <v>https://smartship.atlassian.net/browse/DTTP25-41940</v>
      </c>
      <c r="E29" s="26" t="str">
        <f aca="false">IFERROR(IF(ISBLANK(INDEX(Backlog[Status],MATCH($A29,Backlog[Requirement ID],0))),"",INDEX(Backlog[Status],MATCH($A29,Backlog[Requirement ID],0))),"")</f>
        <v>NEW</v>
      </c>
      <c r="F29" s="26" t="str">
        <f aca="false">IFERROR(IF(ISBLANK(INDEX(SprintPlanning[Sprint],MATCH($A29,SprintPlanning[Requirement ID],0))),"",INDEX(SprintPlanning[Sprint],MATCH($A29,SprintPlanning[Requirement ID],0))),"")</f>
        <v>Sprint 12</v>
      </c>
      <c r="G29" s="47" t="s">
        <v>83</v>
      </c>
      <c r="H29" s="48"/>
      <c r="I29" s="47"/>
      <c r="J29" s="26" t="str">
        <f aca="false">IFERROR(IF(ISBLANK(INDEX(Backlog[Priority],MATCH($A29,Backlog[Requirement ID],0))),"",INDEX(Backlog[Priority],MATCH($A29,Backlog[Requirement ID],0))),"")</f>
        <v>Medium</v>
      </c>
      <c r="K29" s="24"/>
      <c r="L29" s="1" t="n">
        <f aca="false">IFERROR(IF(ISBLANK(INDEX(Backlog[HLE],MATCH($A29,Backlog[Requirement ID],0))),"",IF(INDEX(Backlog[HLE],MATCH($A29,Backlog[Requirement ID],0))&lt;=5,0.5,IF(INDEX(Backlog[HLE],MATCH($A29,Backlog[Requirement ID],0))&lt;=8,1,IF(INDEX(Backlog[HLE],MATCH($A29,Backlog[Requirement ID],0))&lt;=13,2,IF(INDEX(Backlog[HLE],MATCH($A29,Backlog[Requirement ID],0))&lt;=20,3,5))))),"")</f>
        <v>0.5</v>
      </c>
      <c r="M29" s="24"/>
    </row>
    <row r="30" customFormat="false" ht="15" hidden="false" customHeight="true" outlineLevel="0" collapsed="false">
      <c r="A30" s="24" t="str">
        <f aca="false">Backlog!A30</f>
        <v>NEW-0316</v>
      </c>
      <c r="B30" s="46" t="str">
        <f aca="false">IFERROR(IF(ISBLANK(INDEX(Backlog[Requirement Name],MATCH($A30,Backlog[Requirement ID],0))),"",INDEX(Backlog[Requirement Name],MATCH($A30,Backlog[Requirement ID],0))),"")</f>
        <v>INT139 / INT140 - speciality restaurants CR to handle dining inventory errors</v>
      </c>
      <c r="C30" s="26" t="str">
        <f aca="false">IFERROR(IF(ISBLANK(INDEX(Backlog[Stream],MATCH($A30,Backlog[Requirement ID],0))),"",INDEX(Backlog[Stream],MATCH($A30,Backlog[Requirement ID],0))),"")</f>
        <v>MyMSC</v>
      </c>
      <c r="D30" s="26" t="str">
        <f aca="false">IFERROR(IF(ISBLANK(INDEX(Backlog[Jira Link],MATCH($A30,Backlog[Requirement ID],0))),"",INDEX(Backlog[Jira Link],MATCH($A30,Backlog[Requirement ID],0))),"")</f>
        <v>https://smartship.atlassian.net/browse/DTTP25-40356</v>
      </c>
      <c r="E30" s="26" t="str">
        <f aca="false">IFERROR(IF(ISBLANK(INDEX(Backlog[Status],MATCH($A30,Backlog[Requirement ID],0))),"",INDEX(Backlog[Status],MATCH($A30,Backlog[Requirement ID],0))),"")</f>
        <v>NEW</v>
      </c>
      <c r="F30" s="26" t="str">
        <f aca="false">IFERROR(IF(ISBLANK(INDEX(SprintPlanning[Sprint],MATCH($A30,SprintPlanning[Requirement ID],0))),"",INDEX(SprintPlanning[Sprint],MATCH($A30,SprintPlanning[Requirement ID],0))),"")</f>
        <v>Sprint 12</v>
      </c>
      <c r="G30" s="47" t="s">
        <v>83</v>
      </c>
      <c r="H30" s="48"/>
      <c r="I30" s="47"/>
      <c r="J30" s="26" t="str">
        <f aca="false">IFERROR(IF(ISBLANK(INDEX(Backlog[Priority],MATCH($A30,Backlog[Requirement ID],0))),"",INDEX(Backlog[Priority],MATCH($A30,Backlog[Requirement ID],0))),"")</f>
        <v>Medium</v>
      </c>
      <c r="K30" s="24" t="s">
        <v>380</v>
      </c>
      <c r="L30" s="1" t="n">
        <f aca="false">IFERROR(IF(ISBLANK(INDEX(Backlog[HLE],MATCH($A30,Backlog[Requirement ID],0))),"",IF(INDEX(Backlog[HLE],MATCH($A30,Backlog[Requirement ID],0))&lt;=5,0.5,IF(INDEX(Backlog[HLE],MATCH($A30,Backlog[Requirement ID],0))&lt;=8,1,IF(INDEX(Backlog[HLE],MATCH($A30,Backlog[Requirement ID],0))&lt;=13,2,IF(INDEX(Backlog[HLE],MATCH($A30,Backlog[Requirement ID],0))&lt;=20,3,5))))),"")</f>
        <v>1</v>
      </c>
      <c r="M30" s="24"/>
    </row>
    <row r="31" customFormat="false" ht="15" hidden="false" customHeight="true" outlineLevel="0" collapsed="false">
      <c r="A31" s="24" t="str">
        <f aca="false">Backlog!A31</f>
        <v>NEW-0066</v>
      </c>
      <c r="B31" s="46" t="str">
        <f aca="false">IFERROR(IF(ISBLANK(INDEX(Backlog[Requirement Name],MATCH($A31,Backlog[Requirement ID],0))),"",INDEX(Backlog[Requirement Name],MATCH($A31,Backlog[Requirement ID],0))),"")</f>
        <v>PI11-03 [B2C] Flight Enhancement - DTTP25-38915</v>
      </c>
      <c r="C31" s="26" t="str">
        <f aca="false">IFERROR(IF(ISBLANK(INDEX(Backlog[Stream],MATCH($A31,Backlog[Requirement ID],0))),"",INDEX(Backlog[Stream],MATCH($A31,Backlog[Requirement ID],0))),"")</f>
        <v>PI11</v>
      </c>
      <c r="D31" s="26" t="str">
        <f aca="false">IFERROR(IF(ISBLANK(INDEX(Backlog[Jira Link],MATCH($A31,Backlog[Requirement ID],0))),"",INDEX(Backlog[Jira Link],MATCH($A31,Backlog[Requirement ID],0))),"")</f>
        <v>https://smartship.atlassian.net/browse/DTTP25-41930</v>
      </c>
      <c r="E31" s="26" t="str">
        <f aca="false">IFERROR(IF(ISBLANK(INDEX(Backlog[Status],MATCH($A31,Backlog[Requirement ID],0))),"",INDEX(Backlog[Status],MATCH($A31,Backlog[Requirement ID],0))),"")</f>
        <v>NEW</v>
      </c>
      <c r="F31" s="26" t="str">
        <f aca="false">IFERROR(IF(ISBLANK(INDEX(SprintPlanning[Sprint],MATCH($A31,SprintPlanning[Requirement ID],0))),"",INDEX(SprintPlanning[Sprint],MATCH($A31,SprintPlanning[Requirement ID],0))),"")</f>
        <v>Sprint 12</v>
      </c>
      <c r="G31" s="47" t="s">
        <v>83</v>
      </c>
      <c r="H31" s="48"/>
      <c r="I31" s="47"/>
      <c r="J31" s="26" t="str">
        <f aca="false">IFERROR(IF(ISBLANK(INDEX(Backlog[Priority],MATCH($A31,Backlog[Requirement ID],0))),"",INDEX(Backlog[Priority],MATCH($A31,Backlog[Requirement ID],0))),"")</f>
        <v>Medium</v>
      </c>
      <c r="K31" s="24"/>
      <c r="L31" s="1" t="n">
        <f aca="false">IFERROR(IF(ISBLANK(INDEX(Backlog[HLE],MATCH($A31,Backlog[Requirement ID],0))),"",IF(INDEX(Backlog[HLE],MATCH($A31,Backlog[Requirement ID],0))&lt;=5,0.5,IF(INDEX(Backlog[HLE],MATCH($A31,Backlog[Requirement ID],0))&lt;=8,1,IF(INDEX(Backlog[HLE],MATCH($A31,Backlog[Requirement ID],0))&lt;=13,2,IF(INDEX(Backlog[HLE],MATCH($A31,Backlog[Requirement ID],0))&lt;=20,3,5))))),"")</f>
        <v>0.5</v>
      </c>
      <c r="M31" s="24"/>
    </row>
    <row r="32" customFormat="false" ht="15" hidden="false" customHeight="true" outlineLevel="0" collapsed="false">
      <c r="A32" s="24" t="str">
        <f aca="false">Backlog!A32</f>
        <v>NEW-0067</v>
      </c>
      <c r="B32" s="46" t="str">
        <f aca="false">IFERROR(IF(ISBLANK(INDEX(Backlog[Requirement Name],MATCH($A32,Backlog[Requirement ID],0))),"",INDEX(Backlog[Requirement Name],MATCH($A32,Backlog[Requirement ID],0))),"")</f>
        <v>PI11-14 [CRM] [EA-1722] CRM Dependency - Lead Management - Price Description info in CDP</v>
      </c>
      <c r="C32" s="26" t="str">
        <f aca="false">IFERROR(IF(ISBLANK(INDEX(Backlog[Stream],MATCH($A32,Backlog[Requirement ID],0))),"",INDEX(Backlog[Stream],MATCH($A32,Backlog[Requirement ID],0))),"")</f>
        <v>PI11</v>
      </c>
      <c r="D32" s="26" t="str">
        <f aca="false">IFERROR(IF(ISBLANK(INDEX(Backlog[Jira Link],MATCH($A32,Backlog[Requirement ID],0))),"",INDEX(Backlog[Jira Link],MATCH($A32,Backlog[Requirement ID],0))),"")</f>
        <v>https://smartship.atlassian.net/browse/DTTP25-41931</v>
      </c>
      <c r="E32" s="26" t="str">
        <f aca="false">IFERROR(IF(ISBLANK(INDEX(Backlog[Status],MATCH($A32,Backlog[Requirement ID],0))),"",INDEX(Backlog[Status],MATCH($A32,Backlog[Requirement ID],0))),"")</f>
        <v>NEW</v>
      </c>
      <c r="F32" s="26" t="str">
        <f aca="false">IFERROR(IF(ISBLANK(INDEX(SprintPlanning[Sprint],MATCH($A32,SprintPlanning[Requirement ID],0))),"",INDEX(SprintPlanning[Sprint],MATCH($A32,SprintPlanning[Requirement ID],0))),"")</f>
        <v>Sprint 12</v>
      </c>
      <c r="G32" s="47" t="s">
        <v>83</v>
      </c>
      <c r="H32" s="48"/>
      <c r="I32" s="47"/>
      <c r="J32" s="26" t="str">
        <f aca="false">IFERROR(IF(ISBLANK(INDEX(Backlog[Priority],MATCH($A32,Backlog[Requirement ID],0))),"",INDEX(Backlog[Priority],MATCH($A32,Backlog[Requirement ID],0))),"")</f>
        <v>Medium</v>
      </c>
      <c r="K32" s="24"/>
      <c r="L32" s="1" t="n">
        <f aca="false">IFERROR(IF(ISBLANK(INDEX(Backlog[HLE],MATCH($A32,Backlog[Requirement ID],0))),"",IF(INDEX(Backlog[HLE],MATCH($A32,Backlog[Requirement ID],0))&lt;=5,0.5,IF(INDEX(Backlog[HLE],MATCH($A32,Backlog[Requirement ID],0))&lt;=8,1,IF(INDEX(Backlog[HLE],MATCH($A32,Backlog[Requirement ID],0))&lt;=13,2,IF(INDEX(Backlog[HLE],MATCH($A32,Backlog[Requirement ID],0))&lt;=20,3,5))))),"")</f>
        <v>1</v>
      </c>
      <c r="M32" s="24"/>
    </row>
    <row r="33" customFormat="false" ht="15" hidden="false" customHeight="true" outlineLevel="0" collapsed="false">
      <c r="A33" s="24" t="str">
        <f aca="false">Backlog!A33</f>
        <v>NEW-0002</v>
      </c>
      <c r="B33" s="46" t="str">
        <f aca="false">IFERROR(IF(ISBLANK(INDEX(Backlog[Requirement Name],MATCH($A33,Backlog[Requirement ID],0))),"",INDEX(Backlog[Requirement Name],MATCH($A33,Backlog[Requirement ID],0))),"")</f>
        <v>Whatsapp Subscription (Phase 2)</v>
      </c>
      <c r="C33" s="26" t="str">
        <f aca="false">IFERROR(IF(ISBLANK(INDEX(Backlog[Stream],MATCH($A33,Backlog[Requirement ID],0))),"",INDEX(Backlog[Stream],MATCH($A33,Backlog[Requirement ID],0))),"")</f>
        <v>Backlog</v>
      </c>
      <c r="D33" s="26" t="str">
        <f aca="false">IFERROR(IF(ISBLANK(INDEX(Backlog[Jira Link],MATCH($A33,Backlog[Requirement ID],0))),"",INDEX(Backlog[Jira Link],MATCH($A33,Backlog[Requirement ID],0))),"")</f>
        <v/>
      </c>
      <c r="E33" s="26" t="str">
        <f aca="false">IFERROR(IF(ISBLANK(INDEX(Backlog[Status],MATCH($A33,Backlog[Requirement ID],0))),"",INDEX(Backlog[Status],MATCH($A33,Backlog[Requirement ID],0))),"")</f>
        <v>ON HOLD</v>
      </c>
      <c r="F33" s="26" t="str">
        <f aca="false">IFERROR(IF(ISBLANK(INDEX(SprintPlanning[Sprint],MATCH($A33,SprintPlanning[Requirement ID],0))),"",INDEX(SprintPlanning[Sprint],MATCH($A33,SprintPlanning[Requirement ID],0))),"")</f>
        <v>To Plan</v>
      </c>
      <c r="G33" s="47"/>
      <c r="H33" s="48"/>
      <c r="I33" s="47"/>
      <c r="J33" s="26" t="str">
        <f aca="false">IFERROR(IF(ISBLANK(INDEX(Backlog[Priority],MATCH($A33,Backlog[Requirement ID],0))),"",INDEX(Backlog[Priority],MATCH($A33,Backlog[Requirement ID],0))),"")</f>
        <v>Medium</v>
      </c>
      <c r="K33" s="24"/>
      <c r="L33" s="1" t="str">
        <f aca="false">IFERROR(IF(ISBLANK(INDEX(Backlog[HLE],MATCH($A33,Backlog[Requirement ID],0))),"",IF(INDEX(Backlog[HLE],MATCH($A33,Backlog[Requirement ID],0))&lt;=5,0.5,IF(INDEX(Backlog[HLE],MATCH($A33,Backlog[Requirement ID],0))&lt;=8,1,IF(INDEX(Backlog[HLE],MATCH($A33,Backlog[Requirement ID],0))&lt;=13,2,IF(INDEX(Backlog[HLE],MATCH($A33,Backlog[Requirement ID],0))&lt;=20,3,5))))),"")</f>
        <v/>
      </c>
      <c r="M33" s="24"/>
    </row>
    <row r="34" customFormat="false" ht="15" hidden="false" customHeight="true" outlineLevel="0" collapsed="false">
      <c r="A34" s="24" t="str">
        <f aca="false">Backlog!A34</f>
        <v>NEW-0005</v>
      </c>
      <c r="B34" s="46" t="str">
        <f aca="false">IFERROR(IF(ISBLANK(INDEX(Backlog[Requirement Name],MATCH($A34,Backlog[Requirement ID],0))),"",INDEX(Backlog[Requirement Name],MATCH($A34,Backlog[Requirement ID],0))),"")</f>
        <v>Handling multicabin booking</v>
      </c>
      <c r="C34" s="26" t="str">
        <f aca="false">IFERROR(IF(ISBLANK(INDEX(Backlog[Stream],MATCH($A34,Backlog[Requirement ID],0))),"",INDEX(Backlog[Stream],MATCH($A34,Backlog[Requirement ID],0))),"")</f>
        <v>Growth</v>
      </c>
      <c r="D34" s="26" t="str">
        <f aca="false">IFERROR(IF(ISBLANK(INDEX(Backlog[Jira Link],MATCH($A34,Backlog[Requirement ID],0))),"",INDEX(Backlog[Jira Link],MATCH($A34,Backlog[Requirement ID],0))),"")</f>
        <v/>
      </c>
      <c r="E34" s="26" t="str">
        <f aca="false">IFERROR(IF(ISBLANK(INDEX(Backlog[Status],MATCH($A34,Backlog[Requirement ID],0))),"",INDEX(Backlog[Status],MATCH($A34,Backlog[Requirement ID],0))),"")</f>
        <v>NEW</v>
      </c>
      <c r="F34" s="26" t="str">
        <f aca="false">IFERROR(IF(ISBLANK(INDEX(SprintPlanning[Sprint],MATCH($A34,SprintPlanning[Requirement ID],0))),"",INDEX(SprintPlanning[Sprint],MATCH($A34,SprintPlanning[Requirement ID],0))),"")</f>
        <v>To Plan</v>
      </c>
      <c r="G34" s="47"/>
      <c r="H34" s="48"/>
      <c r="I34" s="47"/>
      <c r="J34" s="26" t="str">
        <f aca="false">IFERROR(IF(ISBLANK(INDEX(Backlog[Priority],MATCH($A34,Backlog[Requirement ID],0))),"",INDEX(Backlog[Priority],MATCH($A34,Backlog[Requirement ID],0))),"")</f>
        <v>Medium</v>
      </c>
      <c r="K34" s="24"/>
      <c r="L34" s="1" t="n">
        <f aca="false">IFERROR(IF(ISBLANK(INDEX(Backlog[HLE],MATCH($A34,Backlog[Requirement ID],0))),"",IF(INDEX(Backlog[HLE],MATCH($A34,Backlog[Requirement ID],0))&lt;=5,0.5,IF(INDEX(Backlog[HLE],MATCH($A34,Backlog[Requirement ID],0))&lt;=8,1,IF(INDEX(Backlog[HLE],MATCH($A34,Backlog[Requirement ID],0))&lt;=13,2,IF(INDEX(Backlog[HLE],MATCH($A34,Backlog[Requirement ID],0))&lt;=20,3,5))))),"")</f>
        <v>5</v>
      </c>
      <c r="M34" s="24"/>
    </row>
    <row r="35" customFormat="false" ht="15" hidden="false" customHeight="true" outlineLevel="0" collapsed="false">
      <c r="A35" s="24" t="str">
        <f aca="false">Backlog!A35</f>
        <v>NEW-0006</v>
      </c>
      <c r="B35" s="46" t="str">
        <f aca="false">IFERROR(IF(ISBLANK(INDEX(Backlog[Requirement Name],MATCH($A35,Backlog[Requirement ID],0))),"",INDEX(Backlog[Requirement Name],MATCH($A35,Backlog[Requirement ID],0))),"")</f>
        <v>New UWO Interface (decoupling) </v>
      </c>
      <c r="C35" s="26" t="str">
        <f aca="false">IFERROR(IF(ISBLANK(INDEX(Backlog[Stream],MATCH($A35,Backlog[Requirement ID],0))),"",INDEX(Backlog[Stream],MATCH($A35,Backlog[Requirement ID],0))),"")</f>
        <v>Growth</v>
      </c>
      <c r="D35" s="26" t="str">
        <f aca="false">IFERROR(IF(ISBLANK(INDEX(Backlog[Jira Link],MATCH($A35,Backlog[Requirement ID],0))),"",INDEX(Backlog[Jira Link],MATCH($A35,Backlog[Requirement ID],0))),"")</f>
        <v/>
      </c>
      <c r="E35" s="26" t="str">
        <f aca="false">IFERROR(IF(ISBLANK(INDEX(Backlog[Status],MATCH($A35,Backlog[Requirement ID],0))),"",INDEX(Backlog[Status],MATCH($A35,Backlog[Requirement ID],0))),"")</f>
        <v>NEW</v>
      </c>
      <c r="F35" s="26" t="str">
        <f aca="false">IFERROR(IF(ISBLANK(INDEX(SprintPlanning[Sprint],MATCH($A35,SprintPlanning[Requirement ID],0))),"",INDEX(SprintPlanning[Sprint],MATCH($A35,SprintPlanning[Requirement ID],0))),"")</f>
        <v>To Plan</v>
      </c>
      <c r="G35" s="47"/>
      <c r="H35" s="48"/>
      <c r="I35" s="47"/>
      <c r="J35" s="26" t="str">
        <f aca="false">IFERROR(IF(ISBLANK(INDEX(Backlog[Priority],MATCH($A35,Backlog[Requirement ID],0))),"",INDEX(Backlog[Priority],MATCH($A35,Backlog[Requirement ID],0))),"")</f>
        <v>Medium</v>
      </c>
      <c r="K35" s="24"/>
      <c r="L35" s="1" t="n">
        <f aca="false">IFERROR(IF(ISBLANK(INDEX(Backlog[HLE],MATCH($A35,Backlog[Requirement ID],0))),"",IF(INDEX(Backlog[HLE],MATCH($A35,Backlog[Requirement ID],0))&lt;=5,0.5,IF(INDEX(Backlog[HLE],MATCH($A35,Backlog[Requirement ID],0))&lt;=8,1,IF(INDEX(Backlog[HLE],MATCH($A35,Backlog[Requirement ID],0))&lt;=13,2,IF(INDEX(Backlog[HLE],MATCH($A35,Backlog[Requirement ID],0))&lt;=20,3,5))))),"")</f>
        <v>0.5</v>
      </c>
      <c r="M35" s="24"/>
    </row>
    <row r="36" customFormat="false" ht="15" hidden="false" customHeight="true" outlineLevel="0" collapsed="false">
      <c r="A36" s="24" t="str">
        <f aca="false">Backlog!A36</f>
        <v>NEW-0007</v>
      </c>
      <c r="B36" s="46" t="str">
        <f aca="false">IFERROR(IF(ISBLANK(INDEX(Backlog[Requirement Name],MATCH($A36,Backlog[Requirement ID],0))),"",INDEX(Backlog[Requirement Name],MATCH($A36,Backlog[Requirement ID],0))),"")</f>
        <v>Update Hold option (decoupling)</v>
      </c>
      <c r="C36" s="26" t="str">
        <f aca="false">IFERROR(IF(ISBLANK(INDEX(Backlog[Stream],MATCH($A36,Backlog[Requirement ID],0))),"",INDEX(Backlog[Stream],MATCH($A36,Backlog[Requirement ID],0))),"")</f>
        <v>Growth</v>
      </c>
      <c r="D36" s="26" t="str">
        <f aca="false">IFERROR(IF(ISBLANK(INDEX(Backlog[Jira Link],MATCH($A36,Backlog[Requirement ID],0))),"",INDEX(Backlog[Jira Link],MATCH($A36,Backlog[Requirement ID],0))),"")</f>
        <v/>
      </c>
      <c r="E36" s="26" t="str">
        <f aca="false">IFERROR(IF(ISBLANK(INDEX(Backlog[Status],MATCH($A36,Backlog[Requirement ID],0))),"",INDEX(Backlog[Status],MATCH($A36,Backlog[Requirement ID],0))),"")</f>
        <v>NEW</v>
      </c>
      <c r="F36" s="26" t="str">
        <f aca="false">IFERROR(IF(ISBLANK(INDEX(SprintPlanning[Sprint],MATCH($A36,SprintPlanning[Requirement ID],0))),"",INDEX(SprintPlanning[Sprint],MATCH($A36,SprintPlanning[Requirement ID],0))),"")</f>
        <v>To Plan</v>
      </c>
      <c r="G36" s="47"/>
      <c r="H36" s="48"/>
      <c r="I36" s="47"/>
      <c r="J36" s="26" t="str">
        <f aca="false">IFERROR(IF(ISBLANK(INDEX(Backlog[Priority],MATCH($A36,Backlog[Requirement ID],0))),"",INDEX(Backlog[Priority],MATCH($A36,Backlog[Requirement ID],0))),"")</f>
        <v>Medium</v>
      </c>
      <c r="K36" s="24"/>
      <c r="L36" s="1" t="n">
        <f aca="false">IFERROR(IF(ISBLANK(INDEX(Backlog[HLE],MATCH($A36,Backlog[Requirement ID],0))),"",IF(INDEX(Backlog[HLE],MATCH($A36,Backlog[Requirement ID],0))&lt;=5,0.5,IF(INDEX(Backlog[HLE],MATCH($A36,Backlog[Requirement ID],0))&lt;=8,1,IF(INDEX(Backlog[HLE],MATCH($A36,Backlog[Requirement ID],0))&lt;=13,2,IF(INDEX(Backlog[HLE],MATCH($A36,Backlog[Requirement ID],0))&lt;=20,3,5))))),"")</f>
        <v>0.5</v>
      </c>
      <c r="M36" s="24"/>
    </row>
    <row r="37" customFormat="false" ht="15" hidden="false" customHeight="true" outlineLevel="0" collapsed="false">
      <c r="A37" s="24" t="str">
        <f aca="false">Backlog!A37</f>
        <v>NEW-0011</v>
      </c>
      <c r="B37" s="46" t="str">
        <f aca="false">IFERROR(IF(ISBLANK(INDEX(Backlog[Requirement Name],MATCH($A37,Backlog[Requirement ID],0))),"",INDEX(Backlog[Requirement Name],MATCH($A37,Backlog[Requirement ID],0))),"")</f>
        <v>INT 101 - Cabin Selections (Booking Group Management) </v>
      </c>
      <c r="C37" s="26" t="str">
        <f aca="false">IFERROR(IF(ISBLANK(INDEX(Backlog[Stream],MATCH($A37,Backlog[Requirement ID],0))),"",INDEX(Backlog[Stream],MATCH($A37,Backlog[Requirement ID],0))),"")</f>
        <v>Growth</v>
      </c>
      <c r="D37" s="26" t="str">
        <f aca="false">IFERROR(IF(ISBLANK(INDEX(Backlog[Jira Link],MATCH($A37,Backlog[Requirement ID],0))),"",INDEX(Backlog[Jira Link],MATCH($A37,Backlog[Requirement ID],0))),"")</f>
        <v>https://smartship.atlassian.net/browse/MDTTPU-8135</v>
      </c>
      <c r="E37" s="26" t="str">
        <f aca="false">IFERROR(IF(ISBLANK(INDEX(Backlog[Status],MATCH($A37,Backlog[Requirement ID],0))),"",INDEX(Backlog[Status],MATCH($A37,Backlog[Requirement ID],0))),"")</f>
        <v>NEW</v>
      </c>
      <c r="F37" s="26" t="str">
        <f aca="false">IFERROR(IF(ISBLANK(INDEX(SprintPlanning[Sprint],MATCH($A37,SprintPlanning[Requirement ID],0))),"",INDEX(SprintPlanning[Sprint],MATCH($A37,SprintPlanning[Requirement ID],0))),"")</f>
        <v>To Plan</v>
      </c>
      <c r="G37" s="47"/>
      <c r="H37" s="48"/>
      <c r="I37" s="47"/>
      <c r="J37" s="26" t="str">
        <f aca="false">IFERROR(IF(ISBLANK(INDEX(Backlog[Priority],MATCH($A37,Backlog[Requirement ID],0))),"",INDEX(Backlog[Priority],MATCH($A37,Backlog[Requirement ID],0))),"")</f>
        <v>Medium</v>
      </c>
      <c r="K37" s="24"/>
      <c r="L37" s="1" t="n">
        <f aca="false">IFERROR(IF(ISBLANK(INDEX(Backlog[HLE],MATCH($A37,Backlog[Requirement ID],0))),"",IF(INDEX(Backlog[HLE],MATCH($A37,Backlog[Requirement ID],0))&lt;=5,0.5,IF(INDEX(Backlog[HLE],MATCH($A37,Backlog[Requirement ID],0))&lt;=8,1,IF(INDEX(Backlog[HLE],MATCH($A37,Backlog[Requirement ID],0))&lt;=13,2,IF(INDEX(Backlog[HLE],MATCH($A37,Backlog[Requirement ID],0))&lt;=20,3,5))))),"")</f>
        <v>1</v>
      </c>
      <c r="M37" s="24"/>
    </row>
    <row r="38" customFormat="false" ht="15" hidden="false" customHeight="true" outlineLevel="0" collapsed="false">
      <c r="A38" s="24" t="str">
        <f aca="false">Backlog!A38</f>
        <v>NEW-0016</v>
      </c>
      <c r="B38" s="46" t="str">
        <f aca="false">IFERROR(IF(ISBLANK(INDEX(Backlog[Requirement Name],MATCH($A38,Backlog[Requirement ID],0))),"",INDEX(Backlog[Requirement Name],MATCH($A38,Backlog[Requirement ID],0))),"")</f>
        <v>myMSC Add USA Market Configuration - Chain 1/ Chain 2 </v>
      </c>
      <c r="C38" s="26" t="str">
        <f aca="false">IFERROR(IF(ISBLANK(INDEX(Backlog[Stream],MATCH($A38,Backlog[Requirement ID],0))),"",INDEX(Backlog[Stream],MATCH($A38,Backlog[Requirement ID],0))),"")</f>
        <v>US</v>
      </c>
      <c r="D38" s="26" t="str">
        <f aca="false">IFERROR(IF(ISBLANK(INDEX(Backlog[Jira Link],MATCH($A38,Backlog[Requirement ID],0))),"",INDEX(Backlog[Jira Link],MATCH($A38,Backlog[Requirement ID],0))),"")</f>
        <v>https://smartship.atlassian.net/browse/MDTTPU-13662</v>
      </c>
      <c r="E38" s="26" t="str">
        <f aca="false">IFERROR(IF(ISBLANK(INDEX(Backlog[Status],MATCH($A38,Backlog[Requirement ID],0))),"",INDEX(Backlog[Status],MATCH($A38,Backlog[Requirement ID],0))),"")</f>
        <v>NEW</v>
      </c>
      <c r="F38" s="26" t="str">
        <f aca="false">IFERROR(IF(ISBLANK(INDEX(SprintPlanning[Sprint],MATCH($A38,SprintPlanning[Requirement ID],0))),"",INDEX(SprintPlanning[Sprint],MATCH($A38,SprintPlanning[Requirement ID],0))),"")</f>
        <v>To Plan</v>
      </c>
      <c r="G38" s="47"/>
      <c r="H38" s="48"/>
      <c r="I38" s="47"/>
      <c r="J38" s="26" t="str">
        <f aca="false">IFERROR(IF(ISBLANK(INDEX(Backlog[Priority],MATCH($A38,Backlog[Requirement ID],0))),"",INDEX(Backlog[Priority],MATCH($A38,Backlog[Requirement ID],0))),"")</f>
        <v>Medium</v>
      </c>
      <c r="K38" s="24"/>
      <c r="L38" s="1" t="n">
        <f aca="false">IFERROR(IF(ISBLANK(INDEX(Backlog[HLE],MATCH($A38,Backlog[Requirement ID],0))),"",IF(INDEX(Backlog[HLE],MATCH($A38,Backlog[Requirement ID],0))&lt;=5,0.5,IF(INDEX(Backlog[HLE],MATCH($A38,Backlog[Requirement ID],0))&lt;=8,1,IF(INDEX(Backlog[HLE],MATCH($A38,Backlog[Requirement ID],0))&lt;=13,2,IF(INDEX(Backlog[HLE],MATCH($A38,Backlog[Requirement ID],0))&lt;=20,3,5))))),"")</f>
        <v>1</v>
      </c>
      <c r="M38" s="24"/>
    </row>
    <row r="39" customFormat="false" ht="15" hidden="false" customHeight="true" outlineLevel="0" collapsed="false">
      <c r="A39" s="24" t="str">
        <f aca="false">Backlog!A39</f>
        <v>NEW-0017</v>
      </c>
      <c r="B39" s="46" t="str">
        <f aca="false">IFERROR(IF(ISBLANK(INDEX(Backlog[Requirement Name],MATCH($A39,Backlog[Requirement ID],0))),"",INDEX(Backlog[Requirement Name],MATCH($A39,Backlog[Requirement ID],0))),"")</f>
        <v>ARG Payment provider Pagtur</v>
      </c>
      <c r="C39" s="26" t="str">
        <f aca="false">IFERROR(IF(ISBLANK(INDEX(Backlog[Stream],MATCH($A39,Backlog[Requirement ID],0))),"",INDEX(Backlog[Stream],MATCH($A39,Backlog[Requirement ID],0))),"")</f>
        <v>MVP Rollout</v>
      </c>
      <c r="D39" s="26" t="str">
        <f aca="false">IFERROR(IF(ISBLANK(INDEX(Backlog[Jira Link],MATCH($A39,Backlog[Requirement ID],0))),"",INDEX(Backlog[Jira Link],MATCH($A39,Backlog[Requirement ID],0))),"")</f>
        <v/>
      </c>
      <c r="E39" s="26" t="str">
        <f aca="false">IFERROR(IF(ISBLANK(INDEX(Backlog[Status],MATCH($A39,Backlog[Requirement ID],0))),"",INDEX(Backlog[Status],MATCH($A39,Backlog[Requirement ID],0))),"")</f>
        <v>NEW</v>
      </c>
      <c r="F39" s="26" t="str">
        <f aca="false">IFERROR(IF(ISBLANK(INDEX(SprintPlanning[Sprint],MATCH($A39,SprintPlanning[Requirement ID],0))),"",INDEX(SprintPlanning[Sprint],MATCH($A39,SprintPlanning[Requirement ID],0))),"")</f>
        <v>To Plan</v>
      </c>
      <c r="G39" s="47"/>
      <c r="H39" s="48"/>
      <c r="I39" s="47"/>
      <c r="J39" s="26" t="str">
        <f aca="false">IFERROR(IF(ISBLANK(INDEX(Backlog[Priority],MATCH($A39,Backlog[Requirement ID],0))),"",INDEX(Backlog[Priority],MATCH($A39,Backlog[Requirement ID],0))),"")</f>
        <v>Medium</v>
      </c>
      <c r="K39" s="24"/>
      <c r="L39" s="1" t="n">
        <f aca="false">IFERROR(IF(ISBLANK(INDEX(Backlog[HLE],MATCH($A39,Backlog[Requirement ID],0))),"",IF(INDEX(Backlog[HLE],MATCH($A39,Backlog[Requirement ID],0))&lt;=5,0.5,IF(INDEX(Backlog[HLE],MATCH($A39,Backlog[Requirement ID],0))&lt;=8,1,IF(INDEX(Backlog[HLE],MATCH($A39,Backlog[Requirement ID],0))&lt;=13,2,IF(INDEX(Backlog[HLE],MATCH($A39,Backlog[Requirement ID],0))&lt;=20,3,5))))),"")</f>
        <v>5</v>
      </c>
      <c r="M39" s="24"/>
    </row>
    <row r="40" customFormat="false" ht="15" hidden="false" customHeight="true" outlineLevel="0" collapsed="false">
      <c r="A40" s="24" t="str">
        <f aca="false">Backlog!A40</f>
        <v>NEW-0018</v>
      </c>
      <c r="B40" s="46" t="str">
        <f aca="false">IFERROR(IF(ISBLANK(INDEX(Backlog[Requirement Name],MATCH($A40,Backlog[Requirement ID],0))),"",INDEX(Backlog[Requirement Name],MATCH($A40,Backlog[Requirement ID],0))),"")</f>
        <v>BR Payment providerDireçao</v>
      </c>
      <c r="C40" s="26" t="str">
        <f aca="false">IFERROR(IF(ISBLANK(INDEX(Backlog[Stream],MATCH($A40,Backlog[Requirement ID],0))),"",INDEX(Backlog[Stream],MATCH($A40,Backlog[Requirement ID],0))),"")</f>
        <v>MVP Rollout</v>
      </c>
      <c r="D40" s="26" t="str">
        <f aca="false">IFERROR(IF(ISBLANK(INDEX(Backlog[Jira Link],MATCH($A40,Backlog[Requirement ID],0))),"",INDEX(Backlog[Jira Link],MATCH($A40,Backlog[Requirement ID],0))),"")</f>
        <v/>
      </c>
      <c r="E40" s="26" t="str">
        <f aca="false">IFERROR(IF(ISBLANK(INDEX(Backlog[Status],MATCH($A40,Backlog[Requirement ID],0))),"",INDEX(Backlog[Status],MATCH($A40,Backlog[Requirement ID],0))),"")</f>
        <v>NEW</v>
      </c>
      <c r="F40" s="26" t="str">
        <f aca="false">IFERROR(IF(ISBLANK(INDEX(SprintPlanning[Sprint],MATCH($A40,SprintPlanning[Requirement ID],0))),"",INDEX(SprintPlanning[Sprint],MATCH($A40,SprintPlanning[Requirement ID],0))),"")</f>
        <v>To Plan</v>
      </c>
      <c r="G40" s="47"/>
      <c r="H40" s="48"/>
      <c r="I40" s="47"/>
      <c r="J40" s="26" t="str">
        <f aca="false">IFERROR(IF(ISBLANK(INDEX(Backlog[Priority],MATCH($A40,Backlog[Requirement ID],0))),"",INDEX(Backlog[Priority],MATCH($A40,Backlog[Requirement ID],0))),"")</f>
        <v>Medium</v>
      </c>
      <c r="K40" s="24"/>
      <c r="L40" s="1" t="n">
        <f aca="false">IFERROR(IF(ISBLANK(INDEX(Backlog[HLE],MATCH($A40,Backlog[Requirement ID],0))),"",IF(INDEX(Backlog[HLE],MATCH($A40,Backlog[Requirement ID],0))&lt;=5,0.5,IF(INDEX(Backlog[HLE],MATCH($A40,Backlog[Requirement ID],0))&lt;=8,1,IF(INDEX(Backlog[HLE],MATCH($A40,Backlog[Requirement ID],0))&lt;=13,2,IF(INDEX(Backlog[HLE],MATCH($A40,Backlog[Requirement ID],0))&lt;=20,3,5))))),"")</f>
        <v>5</v>
      </c>
      <c r="M40" s="24"/>
    </row>
    <row r="41" customFormat="false" ht="15" hidden="false" customHeight="true" outlineLevel="0" collapsed="false">
      <c r="A41" s="24" t="str">
        <f aca="false">Backlog!A41</f>
        <v>NEW-0020</v>
      </c>
      <c r="B41" s="46" t="str">
        <f aca="false">IFERROR(IF(ISBLANK(INDEX(Backlog[Requirement Name],MATCH($A41,Backlog[Requirement ID],0))),"",INDEX(Backlog[Requirement Name],MATCH($A41,Backlog[Requirement ID],0))),"")</f>
        <v>MyMSC Spa </v>
      </c>
      <c r="C41" s="26" t="str">
        <f aca="false">IFERROR(IF(ISBLANK(INDEX(Backlog[Stream],MATCH($A41,Backlog[Requirement ID],0))),"",INDEX(Backlog[Stream],MATCH($A41,Backlog[Requirement ID],0))),"")</f>
        <v>MyMSC</v>
      </c>
      <c r="D41" s="26" t="str">
        <f aca="false">IFERROR(IF(ISBLANK(INDEX(Backlog[Jira Link],MATCH($A41,Backlog[Requirement ID],0))),"",INDEX(Backlog[Jira Link],MATCH($A41,Backlog[Requirement ID],0))),"")</f>
        <v/>
      </c>
      <c r="E41" s="26" t="str">
        <f aca="false">IFERROR(IF(ISBLANK(INDEX(Backlog[Status],MATCH($A41,Backlog[Requirement ID],0))),"",INDEX(Backlog[Status],MATCH($A41,Backlog[Requirement ID],0))),"")</f>
        <v>NEW</v>
      </c>
      <c r="F41" s="26" t="str">
        <f aca="false">IFERROR(IF(ISBLANK(INDEX(SprintPlanning[Sprint],MATCH($A41,SprintPlanning[Requirement ID],0))),"",INDEX(SprintPlanning[Sprint],MATCH($A41,SprintPlanning[Requirement ID],0))),"")</f>
        <v>To Plan</v>
      </c>
      <c r="G41" s="47"/>
      <c r="H41" s="48"/>
      <c r="I41" s="47"/>
      <c r="J41" s="26" t="str">
        <f aca="false">IFERROR(IF(ISBLANK(INDEX(Backlog[Priority],MATCH($A41,Backlog[Requirement ID],0))),"",INDEX(Backlog[Priority],MATCH($A41,Backlog[Requirement ID],0))),"")</f>
        <v>Medium</v>
      </c>
      <c r="K41" s="24"/>
      <c r="L41" s="1" t="n">
        <f aca="false">IFERROR(IF(ISBLANK(INDEX(Backlog[HLE],MATCH($A41,Backlog[Requirement ID],0))),"",IF(INDEX(Backlog[HLE],MATCH($A41,Backlog[Requirement ID],0))&lt;=5,0.5,IF(INDEX(Backlog[HLE],MATCH($A41,Backlog[Requirement ID],0))&lt;=8,1,IF(INDEX(Backlog[HLE],MATCH($A41,Backlog[Requirement ID],0))&lt;=13,2,IF(INDEX(Backlog[HLE],MATCH($A41,Backlog[Requirement ID],0))&lt;=20,3,5))))),"")</f>
        <v>3</v>
      </c>
      <c r="M41" s="24"/>
    </row>
    <row r="42" customFormat="false" ht="15" hidden="false" customHeight="true" outlineLevel="0" collapsed="false">
      <c r="A42" s="24" t="str">
        <f aca="false">Backlog!A42</f>
        <v>NEW-0022</v>
      </c>
      <c r="B42" s="46" t="str">
        <f aca="false">IFERROR(IF(ISBLANK(INDEX(Backlog[Requirement Name],MATCH($A42,Backlog[Requirement ID],0))),"",INDEX(Backlog[Requirement Name],MATCH($A42,Backlog[Requirement ID],0))),"")</f>
        <v>Super Agency Access</v>
      </c>
      <c r="C42" s="26" t="str">
        <f aca="false">IFERROR(IF(ISBLANK(INDEX(Backlog[Stream],MATCH($A42,Backlog[Requirement ID],0))),"",INDEX(Backlog[Stream],MATCH($A42,Backlog[Requirement ID],0))),"")</f>
        <v>MyMSC</v>
      </c>
      <c r="D42" s="26" t="str">
        <f aca="false">IFERROR(IF(ISBLANK(INDEX(Backlog[Jira Link],MATCH($A42,Backlog[Requirement ID],0))),"",INDEX(Backlog[Jira Link],MATCH($A42,Backlog[Requirement ID],0))),"")</f>
        <v/>
      </c>
      <c r="E42" s="26" t="str">
        <f aca="false">IFERROR(IF(ISBLANK(INDEX(Backlog[Status],MATCH($A42,Backlog[Requirement ID],0))),"",INDEX(Backlog[Status],MATCH($A42,Backlog[Requirement ID],0))),"")</f>
        <v>NEW</v>
      </c>
      <c r="F42" s="26" t="str">
        <f aca="false">IFERROR(IF(ISBLANK(INDEX(SprintPlanning[Sprint],MATCH($A42,SprintPlanning[Requirement ID],0))),"",INDEX(SprintPlanning[Sprint],MATCH($A42,SprintPlanning[Requirement ID],0))),"")</f>
        <v>To Plan</v>
      </c>
      <c r="G42" s="47"/>
      <c r="H42" s="48"/>
      <c r="I42" s="47"/>
      <c r="J42" s="26" t="str">
        <f aca="false">IFERROR(IF(ISBLANK(INDEX(Backlog[Priority],MATCH($A42,Backlog[Requirement ID],0))),"",INDEX(Backlog[Priority],MATCH($A42,Backlog[Requirement ID],0))),"")</f>
        <v>Medium</v>
      </c>
      <c r="K42" s="24"/>
      <c r="L42" s="1" t="n">
        <f aca="false">IFERROR(IF(ISBLANK(INDEX(Backlog[HLE],MATCH($A42,Backlog[Requirement ID],0))),"",IF(INDEX(Backlog[HLE],MATCH($A42,Backlog[Requirement ID],0))&lt;=5,0.5,IF(INDEX(Backlog[HLE],MATCH($A42,Backlog[Requirement ID],0))&lt;=8,1,IF(INDEX(Backlog[HLE],MATCH($A42,Backlog[Requirement ID],0))&lt;=13,2,IF(INDEX(Backlog[HLE],MATCH($A42,Backlog[Requirement ID],0))&lt;=20,3,5))))),"")</f>
        <v>1</v>
      </c>
      <c r="M42" s="24"/>
    </row>
    <row r="43" customFormat="false" ht="15" hidden="false" customHeight="true" outlineLevel="0" collapsed="false">
      <c r="A43" s="24" t="str">
        <f aca="false">Backlog!A43</f>
        <v>NEW-0033</v>
      </c>
      <c r="B43" s="46" t="str">
        <f aca="false">IFERROR(IF(ISBLANK(INDEX(Backlog[Requirement Name],MATCH($A43,Backlog[Requirement ID],0))),"",INDEX(Backlog[Requirement Name],MATCH($A43,Backlog[Requirement ID],0))),"")</f>
        <v>Pending Configurations for DACH, MED, LATAM</v>
      </c>
      <c r="C43" s="26" t="str">
        <f aca="false">IFERROR(IF(ISBLANK(INDEX(Backlog[Stream],MATCH($A43,Backlog[Requirement ID],0))),"",INDEX(Backlog[Stream],MATCH($A43,Backlog[Requirement ID],0))),"")</f>
        <v>MyMSC</v>
      </c>
      <c r="D43" s="26" t="str">
        <f aca="false">IFERROR(IF(ISBLANK(INDEX(Backlog[Jira Link],MATCH($A43,Backlog[Requirement ID],0))),"",INDEX(Backlog[Jira Link],MATCH($A43,Backlog[Requirement ID],0))),"")</f>
        <v>https://smartship.atlassian.net/browse/DTTP25-21230</v>
      </c>
      <c r="E43" s="26" t="str">
        <f aca="false">IFERROR(IF(ISBLANK(INDEX(Backlog[Status],MATCH($A43,Backlog[Requirement ID],0))),"",INDEX(Backlog[Status],MATCH($A43,Backlog[Requirement ID],0))),"")</f>
        <v>NEW</v>
      </c>
      <c r="F43" s="26" t="str">
        <f aca="false">IFERROR(IF(ISBLANK(INDEX(SprintPlanning[Sprint],MATCH($A43,SprintPlanning[Requirement ID],0))),"",INDEX(SprintPlanning[Sprint],MATCH($A43,SprintPlanning[Requirement ID],0))),"")</f>
        <v>To Plan</v>
      </c>
      <c r="G43" s="47"/>
      <c r="H43" s="48"/>
      <c r="I43" s="47"/>
      <c r="J43" s="26" t="str">
        <f aca="false">IFERROR(IF(ISBLANK(INDEX(Backlog[Priority],MATCH($A43,Backlog[Requirement ID],0))),"",INDEX(Backlog[Priority],MATCH($A43,Backlog[Requirement ID],0))),"")</f>
        <v>Medium</v>
      </c>
      <c r="K43" s="24"/>
      <c r="L43" s="1" t="n">
        <f aca="false">IFERROR(IF(ISBLANK(INDEX(Backlog[HLE],MATCH($A43,Backlog[Requirement ID],0))),"",IF(INDEX(Backlog[HLE],MATCH($A43,Backlog[Requirement ID],0))&lt;=5,0.5,IF(INDEX(Backlog[HLE],MATCH($A43,Backlog[Requirement ID],0))&lt;=8,1,IF(INDEX(Backlog[HLE],MATCH($A43,Backlog[Requirement ID],0))&lt;=13,2,IF(INDEX(Backlog[HLE],MATCH($A43,Backlog[Requirement ID],0))&lt;=20,3,5))))),"")</f>
        <v>0.5</v>
      </c>
      <c r="M43" s="24"/>
    </row>
    <row r="44" customFormat="false" ht="15" hidden="false" customHeight="true" outlineLevel="0" collapsed="false">
      <c r="A44" s="24" t="str">
        <f aca="false">Backlog!A44</f>
        <v>NEW-0068</v>
      </c>
      <c r="B44" s="46" t="str">
        <f aca="false">IFERROR(IF(ISBLANK(INDEX(Backlog[Requirement Name],MATCH($A44,Backlog[Requirement ID],0))),"",INDEX(Backlog[Requirement Name],MATCH($A44,Backlog[Requirement ID],0))),"")</f>
        <v>[EAINT] [CR][INT026][INT133][INT130] Split calls to CMS for excursion/OBS data into chunks</v>
      </c>
      <c r="C44" s="26" t="str">
        <f aca="false">IFERROR(IF(ISBLANK(INDEX(Backlog[Stream],MATCH($A44,Backlog[Requirement ID],0))),"",INDEX(Backlog[Stream],MATCH($A44,Backlog[Requirement ID],0))),"")</f>
        <v>MyMSC</v>
      </c>
      <c r="D44" s="26" t="str">
        <f aca="false">IFERROR(IF(ISBLANK(INDEX(Backlog[Jira Link],MATCH($A44,Backlog[Requirement ID],0))),"",INDEX(Backlog[Jira Link],MATCH($A44,Backlog[Requirement ID],0))),"")</f>
        <v/>
      </c>
      <c r="E44" s="26" t="str">
        <f aca="false">IFERROR(IF(ISBLANK(INDEX(Backlog[Status],MATCH($A44,Backlog[Requirement ID],0))),"",INDEX(Backlog[Status],MATCH($A44,Backlog[Requirement ID],0))),"")</f>
        <v>NEW</v>
      </c>
      <c r="F44" s="26" t="str">
        <f aca="false">IFERROR(IF(ISBLANK(INDEX(SprintPlanning[Sprint],MATCH($A44,SprintPlanning[Requirement ID],0))),"",INDEX(SprintPlanning[Sprint],MATCH($A44,SprintPlanning[Requirement ID],0))),"")</f>
        <v>To Plan</v>
      </c>
      <c r="G44" s="47"/>
      <c r="H44" s="48"/>
      <c r="I44" s="47"/>
      <c r="J44" s="26" t="str">
        <f aca="false">IFERROR(IF(ISBLANK(INDEX(Backlog[Priority],MATCH($A44,Backlog[Requirement ID],0))),"",INDEX(Backlog[Priority],MATCH($A44,Backlog[Requirement ID],0))),"")</f>
        <v>Medium</v>
      </c>
      <c r="K44" s="24"/>
      <c r="L44" s="1" t="n">
        <f aca="false">IFERROR(IF(ISBLANK(INDEX(Backlog[HLE],MATCH($A44,Backlog[Requirement ID],0))),"",IF(INDEX(Backlog[HLE],MATCH($A44,Backlog[Requirement ID],0))&lt;=5,0.5,IF(INDEX(Backlog[HLE],MATCH($A44,Backlog[Requirement ID],0))&lt;=8,1,IF(INDEX(Backlog[HLE],MATCH($A44,Backlog[Requirement ID],0))&lt;=13,2,IF(INDEX(Backlog[HLE],MATCH($A44,Backlog[Requirement ID],0))&lt;=20,3,5))))),"")</f>
        <v>1</v>
      </c>
      <c r="M44" s="24"/>
    </row>
    <row r="45" customFormat="false" ht="15" hidden="false" customHeight="true" outlineLevel="0" collapsed="false">
      <c r="A45" s="24" t="str">
        <f aca="false">Backlog!A45</f>
        <v>NEW-0265</v>
      </c>
      <c r="B45" s="46" t="str">
        <f aca="false">IFERROR(IF(ISBLANK(INDEX(Backlog[Requirement Name],MATCH($A45,Backlog[Requirement ID],0))),"",INDEX(Backlog[Requirement Name],MATCH($A45,Backlog[Requirement ID],0))),"")</f>
        <v>TLI 99.1</v>
      </c>
      <c r="C45" s="26" t="str">
        <f aca="false">IFERROR(IF(ISBLANK(INDEX(Backlog[Stream],MATCH($A45,Backlog[Requirement ID],0))),"",INDEX(Backlog[Stream],MATCH($A45,Backlog[Requirement ID],0))),"")</f>
        <v>US</v>
      </c>
      <c r="D45" s="26" t="str">
        <f aca="false">IFERROR(IF(ISBLANK(INDEX(Backlog[Jira Link],MATCH($A45,Backlog[Requirement ID],0))),"",INDEX(Backlog[Jira Link],MATCH($A45,Backlog[Requirement ID],0))),"")</f>
        <v/>
      </c>
      <c r="E45" s="26" t="str">
        <f aca="false">IFERROR(IF(ISBLANK(INDEX(Backlog[Status],MATCH($A45,Backlog[Requirement ID],0))),"",INDEX(Backlog[Status],MATCH($A45,Backlog[Requirement ID],0))),"")</f>
        <v>DONE</v>
      </c>
      <c r="F45" s="26" t="str">
        <f aca="false">IFERROR(IF(ISBLANK(INDEX(SprintPlanning[Sprint],MATCH($A45,SprintPlanning[Requirement ID],0))),"",INDEX(SprintPlanning[Sprint],MATCH($A45,SprintPlanning[Requirement ID],0))),"")</f>
        <v/>
      </c>
      <c r="G45" s="47"/>
      <c r="H45" s="48"/>
      <c r="I45" s="47"/>
      <c r="J45" s="26" t="str">
        <f aca="false">IFERROR(IF(ISBLANK(INDEX(Backlog[Priority],MATCH($A45,Backlog[Requirement ID],0))),"",INDEX(Backlog[Priority],MATCH($A45,Backlog[Requirement ID],0))),"")</f>
        <v>Medium</v>
      </c>
      <c r="K45" s="24" t="s">
        <v>380</v>
      </c>
      <c r="L45" s="1" t="str">
        <f aca="false">IFERROR(IF(ISBLANK(INDEX(Backlog[HLE],MATCH($A45,Backlog[Requirement ID],0))),"",IF(INDEX(Backlog[HLE],MATCH($A45,Backlog[Requirement ID],0))&lt;=5,0.5,IF(INDEX(Backlog[HLE],MATCH($A45,Backlog[Requirement ID],0))&lt;=8,1,IF(INDEX(Backlog[HLE],MATCH($A45,Backlog[Requirement ID],0))&lt;=13,2,IF(INDEX(Backlog[HLE],MATCH($A45,Backlog[Requirement ID],0))&lt;=20,3,5))))),"")</f>
        <v/>
      </c>
      <c r="M45" s="24"/>
    </row>
    <row r="46" customFormat="false" ht="15" hidden="false" customHeight="true" outlineLevel="0" collapsed="false">
      <c r="A46" s="24" t="str">
        <f aca="false">Backlog!A46</f>
        <v>NEW-0266</v>
      </c>
      <c r="B46" s="46" t="str">
        <f aca="false">IFERROR(IF(ISBLANK(INDEX(Backlog[Requirement Name],MATCH($A46,Backlog[Requirement ID],0))),"",INDEX(Backlog[Requirement Name],MATCH($A46,Backlog[Requirement ID],0))),"")</f>
        <v>Campaigns for loyalty program management</v>
      </c>
      <c r="C46" s="26" t="str">
        <f aca="false">IFERROR(IF(ISBLANK(INDEX(Backlog[Stream],MATCH($A46,Backlog[Requirement ID],0))),"",INDEX(Backlog[Stream],MATCH($A46,Backlog[Requirement ID],0))),"")</f>
        <v>US</v>
      </c>
      <c r="D46" s="26" t="str">
        <f aca="false">IFERROR(IF(ISBLANK(INDEX(Backlog[Jira Link],MATCH($A46,Backlog[Requirement ID],0))),"",INDEX(Backlog[Jira Link],MATCH($A46,Backlog[Requirement ID],0))),"")</f>
        <v/>
      </c>
      <c r="E46" s="26" t="str">
        <f aca="false">IFERROR(IF(ISBLANK(INDEX(Backlog[Status],MATCH($A46,Backlog[Requirement ID],0))),"",INDEX(Backlog[Status],MATCH($A46,Backlog[Requirement ID],0))),"")</f>
        <v>DONE</v>
      </c>
      <c r="F46" s="26" t="str">
        <f aca="false">IFERROR(IF(ISBLANK(INDEX(SprintPlanning[Sprint],MATCH($A46,SprintPlanning[Requirement ID],0))),"",INDEX(SprintPlanning[Sprint],MATCH($A46,SprintPlanning[Requirement ID],0))),"")</f>
        <v/>
      </c>
      <c r="G46" s="47"/>
      <c r="H46" s="48"/>
      <c r="I46" s="47"/>
      <c r="J46" s="26" t="str">
        <f aca="false">IFERROR(IF(ISBLANK(INDEX(Backlog[Priority],MATCH($A46,Backlog[Requirement ID],0))),"",INDEX(Backlog[Priority],MATCH($A46,Backlog[Requirement ID],0))),"")</f>
        <v>Medium</v>
      </c>
      <c r="K46" s="24" t="s">
        <v>380</v>
      </c>
      <c r="L46" s="1" t="str">
        <f aca="false">IFERROR(IF(ISBLANK(INDEX(Backlog[HLE],MATCH($A46,Backlog[Requirement ID],0))),"",IF(INDEX(Backlog[HLE],MATCH($A46,Backlog[Requirement ID],0))&lt;=5,0.5,IF(INDEX(Backlog[HLE],MATCH($A46,Backlog[Requirement ID],0))&lt;=8,1,IF(INDEX(Backlog[HLE],MATCH($A46,Backlog[Requirement ID],0))&lt;=13,2,IF(INDEX(Backlog[HLE],MATCH($A46,Backlog[Requirement ID],0))&lt;=20,3,5))))),"")</f>
        <v/>
      </c>
      <c r="M46" s="24"/>
    </row>
    <row r="47" customFormat="false" ht="15" hidden="false" customHeight="true" outlineLevel="0" collapsed="false">
      <c r="A47" s="24" t="str">
        <f aca="false">Backlog!A47</f>
        <v>NEW-0270</v>
      </c>
      <c r="B47" s="46" t="str">
        <f aca="false">IFERROR(IF(ISBLANK(INDEX(Backlog[Requirement Name],MATCH($A47,Backlog[Requirement ID],0))),"",INDEX(Backlog[Requirement Name],MATCH($A47,Backlog[Requirement ID],0))),"")</f>
        <v>Booking Group Management Cabin Selections</v>
      </c>
      <c r="C47" s="26" t="str">
        <f aca="false">IFERROR(IF(ISBLANK(INDEX(Backlog[Stream],MATCH($A47,Backlog[Requirement ID],0))),"",INDEX(Backlog[Stream],MATCH($A47,Backlog[Requirement ID],0))),"")</f>
        <v>US</v>
      </c>
      <c r="D47" s="26" t="str">
        <f aca="false">IFERROR(IF(ISBLANK(INDEX(Backlog[Jira Link],MATCH($A47,Backlog[Requirement ID],0))),"",INDEX(Backlog[Jira Link],MATCH($A47,Backlog[Requirement ID],0))),"")</f>
        <v/>
      </c>
      <c r="E47" s="26" t="str">
        <f aca="false">IFERROR(IF(ISBLANK(INDEX(Backlog[Status],MATCH($A47,Backlog[Requirement ID],0))),"",INDEX(Backlog[Status],MATCH($A47,Backlog[Requirement ID],0))),"")</f>
        <v>NEW</v>
      </c>
      <c r="F47" s="26" t="str">
        <f aca="false">IFERROR(IF(ISBLANK(INDEX(SprintPlanning[Sprint],MATCH($A47,SprintPlanning[Requirement ID],0))),"",INDEX(SprintPlanning[Sprint],MATCH($A47,SprintPlanning[Requirement ID],0))),"")</f>
        <v>To Plan</v>
      </c>
      <c r="G47" s="47"/>
      <c r="H47" s="48"/>
      <c r="I47" s="47"/>
      <c r="J47" s="26" t="str">
        <f aca="false">IFERROR(IF(ISBLANK(INDEX(Backlog[Priority],MATCH($A47,Backlog[Requirement ID],0))),"",INDEX(Backlog[Priority],MATCH($A47,Backlog[Requirement ID],0))),"")</f>
        <v>Medium</v>
      </c>
      <c r="K47" s="24" t="s">
        <v>380</v>
      </c>
      <c r="L47" s="1" t="n">
        <f aca="false">IFERROR(IF(ISBLANK(INDEX(Backlog[HLE],MATCH($A47,Backlog[Requirement ID],0))),"",IF(INDEX(Backlog[HLE],MATCH($A47,Backlog[Requirement ID],0))&lt;=5,0.5,IF(INDEX(Backlog[HLE],MATCH($A47,Backlog[Requirement ID],0))&lt;=8,1,IF(INDEX(Backlog[HLE],MATCH($A47,Backlog[Requirement ID],0))&lt;=13,2,IF(INDEX(Backlog[HLE],MATCH($A47,Backlog[Requirement ID],0))&lt;=20,3,5))))),"")</f>
        <v>0.5</v>
      </c>
      <c r="M47" s="24"/>
    </row>
    <row r="48" customFormat="false" ht="15" hidden="false" customHeight="true" outlineLevel="0" collapsed="false">
      <c r="A48" s="24" t="str">
        <f aca="false">Backlog!A48</f>
        <v>NEW-0274</v>
      </c>
      <c r="B48" s="46" t="str">
        <f aca="false">IFERROR(IF(ISBLANK(INDEX(Backlog[Requirement Name],MATCH($A48,Backlog[Requirement ID],0))),"",INDEX(Backlog[Requirement Name],MATCH($A48,Backlog[Requirement ID],0))),"")</f>
        <v>INT024.2 - Addition of “Disembarkation Date” and “Pay By” fields</v>
      </c>
      <c r="C48" s="26" t="str">
        <f aca="false">IFERROR(IF(ISBLANK(INDEX(Backlog[Stream],MATCH($A48,Backlog[Requirement ID],0))),"",INDEX(Backlog[Stream],MATCH($A48,Backlog[Requirement ID],0))),"")</f>
        <v>Growth</v>
      </c>
      <c r="D48" s="26" t="str">
        <f aca="false">IFERROR(IF(ISBLANK(INDEX(Backlog[Jira Link],MATCH($A48,Backlog[Requirement ID],0))),"",INDEX(Backlog[Jira Link],MATCH($A48,Backlog[Requirement ID],0))),"")</f>
        <v/>
      </c>
      <c r="E48" s="26" t="str">
        <f aca="false">IFERROR(IF(ISBLANK(INDEX(Backlog[Status],MATCH($A48,Backlog[Requirement ID],0))),"",INDEX(Backlog[Status],MATCH($A48,Backlog[Requirement ID],0))),"")</f>
        <v>NEW</v>
      </c>
      <c r="F48" s="26" t="str">
        <f aca="false">IFERROR(IF(ISBLANK(INDEX(SprintPlanning[Sprint],MATCH($A48,SprintPlanning[Requirement ID],0))),"",INDEX(SprintPlanning[Sprint],MATCH($A48,SprintPlanning[Requirement ID],0))),"")</f>
        <v>To Plan</v>
      </c>
      <c r="G48" s="47"/>
      <c r="H48" s="48"/>
      <c r="I48" s="47"/>
      <c r="J48" s="26" t="str">
        <f aca="false">IFERROR(IF(ISBLANK(INDEX(Backlog[Priority],MATCH($A48,Backlog[Requirement ID],0))),"",INDEX(Backlog[Priority],MATCH($A48,Backlog[Requirement ID],0))),"")</f>
        <v>Medium</v>
      </c>
      <c r="K48" s="24" t="s">
        <v>385</v>
      </c>
      <c r="L48" s="1" t="n">
        <f aca="false">IFERROR(IF(ISBLANK(INDEX(Backlog[HLE],MATCH($A48,Backlog[Requirement ID],0))),"",IF(INDEX(Backlog[HLE],MATCH($A48,Backlog[Requirement ID],0))&lt;=5,0.5,IF(INDEX(Backlog[HLE],MATCH($A48,Backlog[Requirement ID],0))&lt;=8,1,IF(INDEX(Backlog[HLE],MATCH($A48,Backlog[Requirement ID],0))&lt;=13,2,IF(INDEX(Backlog[HLE],MATCH($A48,Backlog[Requirement ID],0))&lt;=20,3,5))))),"")</f>
        <v>0.5</v>
      </c>
      <c r="M48" s="24" t="s">
        <v>383</v>
      </c>
    </row>
    <row r="49" customFormat="false" ht="15" hidden="false" customHeight="true" outlineLevel="0" collapsed="false">
      <c r="A49" s="24" t="str">
        <f aca="false">Backlog!A49</f>
        <v>NEW-0284</v>
      </c>
      <c r="B49" s="46" t="str">
        <f aca="false">IFERROR(IF(ISBLANK(INDEX(Backlog[Requirement Name],MATCH($A49,Backlog[Requirement ID],0))),"",INDEX(Backlog[Requirement Name],MATCH($A49,Backlog[Requirement ID],0))),"")</f>
        <v>DACH, MED, LATAM Configurations</v>
      </c>
      <c r="C49" s="26" t="str">
        <f aca="false">IFERROR(IF(ISBLANK(INDEX(Backlog[Stream],MATCH($A49,Backlog[Requirement ID],0))),"",INDEX(Backlog[Stream],MATCH($A49,Backlog[Requirement ID],0))),"")</f>
        <v>MyMSC</v>
      </c>
      <c r="D49" s="26" t="str">
        <f aca="false">IFERROR(IF(ISBLANK(INDEX(Backlog[Jira Link],MATCH($A49,Backlog[Requirement ID],0))),"",INDEX(Backlog[Jira Link],MATCH($A49,Backlog[Requirement ID],0))),"")</f>
        <v/>
      </c>
      <c r="E49" s="26" t="str">
        <f aca="false">IFERROR(IF(ISBLANK(INDEX(Backlog[Status],MATCH($A49,Backlog[Requirement ID],0))),"",INDEX(Backlog[Status],MATCH($A49,Backlog[Requirement ID],0))),"")</f>
        <v>NEW</v>
      </c>
      <c r="F49" s="26" t="str">
        <f aca="false">IFERROR(IF(ISBLANK(INDEX(SprintPlanning[Sprint],MATCH($A49,SprintPlanning[Requirement ID],0))),"",INDEX(SprintPlanning[Sprint],MATCH($A49,SprintPlanning[Requirement ID],0))),"")</f>
        <v>To Plan</v>
      </c>
      <c r="G49" s="47"/>
      <c r="H49" s="48"/>
      <c r="I49" s="47"/>
      <c r="J49" s="26" t="str">
        <f aca="false">IFERROR(IF(ISBLANK(INDEX(Backlog[Priority],MATCH($A49,Backlog[Requirement ID],0))),"",INDEX(Backlog[Priority],MATCH($A49,Backlog[Requirement ID],0))),"")</f>
        <v>Medium</v>
      </c>
      <c r="K49" s="24" t="s">
        <v>382</v>
      </c>
      <c r="L49" s="1" t="str">
        <f aca="false">IFERROR(IF(ISBLANK(INDEX(Backlog[HLE],MATCH($A49,Backlog[Requirement ID],0))),"",IF(INDEX(Backlog[HLE],MATCH($A49,Backlog[Requirement ID],0))&lt;=5,0.5,IF(INDEX(Backlog[HLE],MATCH($A49,Backlog[Requirement ID],0))&lt;=8,1,IF(INDEX(Backlog[HLE],MATCH($A49,Backlog[Requirement ID],0))&lt;=13,2,IF(INDEX(Backlog[HLE],MATCH($A49,Backlog[Requirement ID],0))&lt;=20,3,5))))),"")</f>
        <v/>
      </c>
      <c r="M49" s="24"/>
    </row>
    <row r="50" customFormat="false" ht="15" hidden="false" customHeight="true" outlineLevel="0" collapsed="false">
      <c r="A50" s="24" t="str">
        <f aca="false">Backlog!A50</f>
        <v>NEW-0288</v>
      </c>
      <c r="B50" s="46" t="str">
        <f aca="false">IFERROR(IF(ISBLANK(INDEX(Backlog[Requirement Name],MATCH($A50,Backlog[Requirement ID],0))),"",INDEX(Backlog[Requirement Name],MATCH($A50,Backlog[Requirement ID],0))),"")</f>
        <v>Remove of login endpoints from MyMSC EAPI</v>
      </c>
      <c r="C50" s="26" t="str">
        <f aca="false">IFERROR(IF(ISBLANK(INDEX(Backlog[Stream],MATCH($A50,Backlog[Requirement ID],0))),"",INDEX(Backlog[Stream],MATCH($A50,Backlog[Requirement ID],0))),"")</f>
        <v>MyMSC</v>
      </c>
      <c r="D50" s="26" t="str">
        <f aca="false">IFERROR(IF(ISBLANK(INDEX(Backlog[Jira Link],MATCH($A50,Backlog[Requirement ID],0))),"",INDEX(Backlog[Jira Link],MATCH($A50,Backlog[Requirement ID],0))),"")</f>
        <v/>
      </c>
      <c r="E50" s="26" t="str">
        <f aca="false">IFERROR(IF(ISBLANK(INDEX(Backlog[Status],MATCH($A50,Backlog[Requirement ID],0))),"",INDEX(Backlog[Status],MATCH($A50,Backlog[Requirement ID],0))),"")</f>
        <v>NEW</v>
      </c>
      <c r="F50" s="26" t="str">
        <f aca="false">IFERROR(IF(ISBLANK(INDEX(SprintPlanning[Sprint],MATCH($A50,SprintPlanning[Requirement ID],0))),"",INDEX(SprintPlanning[Sprint],MATCH($A50,SprintPlanning[Requirement ID],0))),"")</f>
        <v>To Plan</v>
      </c>
      <c r="G50" s="47"/>
      <c r="H50" s="48"/>
      <c r="I50" s="47"/>
      <c r="J50" s="26" t="str">
        <f aca="false">IFERROR(IF(ISBLANK(INDEX(Backlog[Priority],MATCH($A50,Backlog[Requirement ID],0))),"",INDEX(Backlog[Priority],MATCH($A50,Backlog[Requirement ID],0))),"")</f>
        <v>Medium</v>
      </c>
      <c r="K50" s="24" t="s">
        <v>382</v>
      </c>
      <c r="L50" s="1" t="n">
        <f aca="false">IFERROR(IF(ISBLANK(INDEX(Backlog[HLE],MATCH($A50,Backlog[Requirement ID],0))),"",IF(INDEX(Backlog[HLE],MATCH($A50,Backlog[Requirement ID],0))&lt;=5,0.5,IF(INDEX(Backlog[HLE],MATCH($A50,Backlog[Requirement ID],0))&lt;=8,1,IF(INDEX(Backlog[HLE],MATCH($A50,Backlog[Requirement ID],0))&lt;=13,2,IF(INDEX(Backlog[HLE],MATCH($A50,Backlog[Requirement ID],0))&lt;=20,3,5))))),"")</f>
        <v>1</v>
      </c>
      <c r="M50" s="24" t="s">
        <v>383</v>
      </c>
    </row>
    <row r="51" customFormat="false" ht="15" hidden="false" customHeight="true" outlineLevel="0" collapsed="false">
      <c r="A51" s="24" t="str">
        <f aca="false">Backlog!A51</f>
        <v>NEW-0290</v>
      </c>
      <c r="B51" s="46" t="str">
        <f aca="false">IFERROR(IF(ISBLANK(INDEX(Backlog[Requirement Name],MATCH($A51,Backlog[Requirement ID],0))),"",INDEX(Backlog[Requirement Name],MATCH($A51,Backlog[Requirement ID],0))),"")</f>
        <v>Bug fix for cabin logic in INT135.1/135.2</v>
      </c>
      <c r="C51" s="26" t="str">
        <f aca="false">IFERROR(IF(ISBLANK(INDEX(Backlog[Stream],MATCH($A51,Backlog[Requirement ID],0))),"",INDEX(Backlog[Stream],MATCH($A51,Backlog[Requirement ID],0))),"")</f>
        <v>MyMSC</v>
      </c>
      <c r="D51" s="26" t="str">
        <f aca="false">IFERROR(IF(ISBLANK(INDEX(Backlog[Jira Link],MATCH($A51,Backlog[Requirement ID],0))),"",INDEX(Backlog[Jira Link],MATCH($A51,Backlog[Requirement ID],0))),"")</f>
        <v>https://smartship.atlassian.net/browse/DTTP25-29399</v>
      </c>
      <c r="E51" s="26" t="str">
        <f aca="false">IFERROR(IF(ISBLANK(INDEX(Backlog[Status],MATCH($A51,Backlog[Requirement ID],0))),"",INDEX(Backlog[Status],MATCH($A51,Backlog[Requirement ID],0))),"")</f>
        <v>NEW</v>
      </c>
      <c r="F51" s="26" t="str">
        <f aca="false">IFERROR(IF(ISBLANK(INDEX(SprintPlanning[Sprint],MATCH($A51,SprintPlanning[Requirement ID],0))),"",INDEX(SprintPlanning[Sprint],MATCH($A51,SprintPlanning[Requirement ID],0))),"")</f>
        <v>Sprint 11</v>
      </c>
      <c r="G51" s="47" t="s">
        <v>387</v>
      </c>
      <c r="H51" s="48"/>
      <c r="I51" s="47"/>
      <c r="J51" s="26" t="str">
        <f aca="false">IFERROR(IF(ISBLANK(INDEX(Backlog[Priority],MATCH($A51,Backlog[Requirement ID],0))),"",INDEX(Backlog[Priority],MATCH($A51,Backlog[Requirement ID],0))),"")</f>
        <v>Medium</v>
      </c>
      <c r="K51" s="24" t="s">
        <v>381</v>
      </c>
      <c r="L51" s="1" t="n">
        <f aca="false">IFERROR(IF(ISBLANK(INDEX(Backlog[HLE],MATCH($A51,Backlog[Requirement ID],0))),"",IF(INDEX(Backlog[HLE],MATCH($A51,Backlog[Requirement ID],0))&lt;=5,0.5,IF(INDEX(Backlog[HLE],MATCH($A51,Backlog[Requirement ID],0))&lt;=8,1,IF(INDEX(Backlog[HLE],MATCH($A51,Backlog[Requirement ID],0))&lt;=13,2,IF(INDEX(Backlog[HLE],MATCH($A51,Backlog[Requirement ID],0))&lt;=20,3,5))))),"")</f>
        <v>0.5</v>
      </c>
      <c r="M51" s="24" t="s">
        <v>383</v>
      </c>
    </row>
    <row r="52" customFormat="false" ht="15" hidden="false" customHeight="true" outlineLevel="0" collapsed="false">
      <c r="A52" s="24" t="str">
        <f aca="false">Backlog!A52</f>
        <v>NEW-0299</v>
      </c>
      <c r="B52" s="46" t="str">
        <f aca="false">IFERROR(IF(ISBLANK(INDEX(Backlog[Requirement Name],MATCH($A52,Backlog[Requirement ID],0))),"",INDEX(Backlog[Requirement Name],MATCH($A52,Backlog[Requirement ID],0))),"")</f>
        <v>Spa</v>
      </c>
      <c r="C52" s="26" t="str">
        <f aca="false">IFERROR(IF(ISBLANK(INDEX(Backlog[Stream],MATCH($A52,Backlog[Requirement ID],0))),"",INDEX(Backlog[Stream],MATCH($A52,Backlog[Requirement ID],0))),"")</f>
        <v>MyMSC</v>
      </c>
      <c r="D52" s="26" t="str">
        <f aca="false">IFERROR(IF(ISBLANK(INDEX(Backlog[Jira Link],MATCH($A52,Backlog[Requirement ID],0))),"",INDEX(Backlog[Jira Link],MATCH($A52,Backlog[Requirement ID],0))),"")</f>
        <v/>
      </c>
      <c r="E52" s="26" t="str">
        <f aca="false">IFERROR(IF(ISBLANK(INDEX(Backlog[Status],MATCH($A52,Backlog[Requirement ID],0))),"",INDEX(Backlog[Status],MATCH($A52,Backlog[Requirement ID],0))),"")</f>
        <v>NEW</v>
      </c>
      <c r="F52" s="26" t="str">
        <f aca="false">IFERROR(IF(ISBLANK(INDEX(SprintPlanning[Sprint],MATCH($A52,SprintPlanning[Requirement ID],0))),"",INDEX(SprintPlanning[Sprint],MATCH($A52,SprintPlanning[Requirement ID],0))),"")</f>
        <v>To Plan</v>
      </c>
      <c r="G52" s="47"/>
      <c r="H52" s="48"/>
      <c r="I52" s="47"/>
      <c r="J52" s="26" t="str">
        <f aca="false">IFERROR(IF(ISBLANK(INDEX(Backlog[Priority],MATCH($A52,Backlog[Requirement ID],0))),"",INDEX(Backlog[Priority],MATCH($A52,Backlog[Requirement ID],0))),"")</f>
        <v>Medium</v>
      </c>
      <c r="K52" s="24" t="s">
        <v>380</v>
      </c>
      <c r="L52" s="1" t="n">
        <f aca="false">IFERROR(IF(ISBLANK(INDEX(Backlog[HLE],MATCH($A52,Backlog[Requirement ID],0))),"",IF(INDEX(Backlog[HLE],MATCH($A52,Backlog[Requirement ID],0))&lt;=5,0.5,IF(INDEX(Backlog[HLE],MATCH($A52,Backlog[Requirement ID],0))&lt;=8,1,IF(INDEX(Backlog[HLE],MATCH($A52,Backlog[Requirement ID],0))&lt;=13,2,IF(INDEX(Backlog[HLE],MATCH($A52,Backlog[Requirement ID],0))&lt;=20,3,5))))),"")</f>
        <v>5</v>
      </c>
      <c r="M52" s="24"/>
    </row>
    <row r="53" customFormat="false" ht="15" hidden="false" customHeight="true" outlineLevel="0" collapsed="false">
      <c r="A53" s="24" t="str">
        <f aca="false">Backlog!A53</f>
        <v>NEW-0315</v>
      </c>
      <c r="B53" s="46" t="str">
        <f aca="false">IFERROR(IF(ISBLANK(INDEX(Backlog[Requirement Name],MATCH($A53,Backlog[Requirement ID],0))),"",INDEX(Backlog[Requirement Name],MATCH($A53,Backlog[Requirement ID],0))),"")</f>
        <v>MyMSC CR to handle BKG_001 when booking retrieved</v>
      </c>
      <c r="C53" s="26" t="str">
        <f aca="false">IFERROR(IF(ISBLANK(INDEX(Backlog[Stream],MATCH($A53,Backlog[Requirement ID],0))),"",INDEX(Backlog[Stream],MATCH($A53,Backlog[Requirement ID],0))),"")</f>
        <v>MyMSC</v>
      </c>
      <c r="D53" s="26" t="str">
        <f aca="false">IFERROR(IF(ISBLANK(INDEX(Backlog[Jira Link],MATCH($A53,Backlog[Requirement ID],0))),"",INDEX(Backlog[Jira Link],MATCH($A53,Backlog[Requirement ID],0))),"")</f>
        <v/>
      </c>
      <c r="E53" s="26" t="str">
        <f aca="false">IFERROR(IF(ISBLANK(INDEX(Backlog[Status],MATCH($A53,Backlog[Requirement ID],0))),"",INDEX(Backlog[Status],MATCH($A53,Backlog[Requirement ID],0))),"")</f>
        <v>NEW</v>
      </c>
      <c r="F53" s="26" t="str">
        <f aca="false">IFERROR(IF(ISBLANK(INDEX(SprintPlanning[Sprint],MATCH($A53,SprintPlanning[Requirement ID],0))),"",INDEX(SprintPlanning[Sprint],MATCH($A53,SprintPlanning[Requirement ID],0))),"")</f>
        <v>To Plan</v>
      </c>
      <c r="G53" s="47"/>
      <c r="H53" s="48"/>
      <c r="I53" s="47"/>
      <c r="J53" s="26" t="str">
        <f aca="false">IFERROR(IF(ISBLANK(INDEX(Backlog[Priority],MATCH($A53,Backlog[Requirement ID],0))),"",INDEX(Backlog[Priority],MATCH($A53,Backlog[Requirement ID],0))),"")</f>
        <v>Medium</v>
      </c>
      <c r="K53" s="24" t="s">
        <v>380</v>
      </c>
      <c r="L53" s="1" t="n">
        <f aca="false">IFERROR(IF(ISBLANK(INDEX(Backlog[HLE],MATCH($A53,Backlog[Requirement ID],0))),"",IF(INDEX(Backlog[HLE],MATCH($A53,Backlog[Requirement ID],0))&lt;=5,0.5,IF(INDEX(Backlog[HLE],MATCH($A53,Backlog[Requirement ID],0))&lt;=8,1,IF(INDEX(Backlog[HLE],MATCH($A53,Backlog[Requirement ID],0))&lt;=13,2,IF(INDEX(Backlog[HLE],MATCH($A53,Backlog[Requirement ID],0))&lt;=20,3,5))))),"")</f>
        <v>1</v>
      </c>
      <c r="M53" s="24"/>
    </row>
    <row r="54" customFormat="false" ht="15" hidden="false" customHeight="true" outlineLevel="0" collapsed="false">
      <c r="A54" s="24" t="str">
        <f aca="false">Backlog!A54</f>
        <v>NEW-0322</v>
      </c>
      <c r="B54" s="46" t="str">
        <f aca="false">IFERROR(IF(ISBLANK(INDEX(Backlog[Requirement Name],MATCH($A54,Backlog[Requirement ID],0))),"",INDEX(Backlog[Requirement Name],MATCH($A54,Backlog[Requirement ID],0))),"")</f>
        <v>MyMSC/MA CR for enabling DEM links to light login</v>
      </c>
      <c r="C54" s="26" t="str">
        <f aca="false">IFERROR(IF(ISBLANK(INDEX(Backlog[Stream],MATCH($A54,Backlog[Requirement ID],0))),"",INDEX(Backlog[Stream],MATCH($A54,Backlog[Requirement ID],0))),"")</f>
        <v>MyMSC</v>
      </c>
      <c r="D54" s="26" t="str">
        <f aca="false">IFERROR(IF(ISBLANK(INDEX(Backlog[Jira Link],MATCH($A54,Backlog[Requirement ID],0))),"",INDEX(Backlog[Jira Link],MATCH($A54,Backlog[Requirement ID],0))),"")</f>
        <v/>
      </c>
      <c r="E54" s="26" t="str">
        <f aca="false">IFERROR(IF(ISBLANK(INDEX(Backlog[Status],MATCH($A54,Backlog[Requirement ID],0))),"",INDEX(Backlog[Status],MATCH($A54,Backlog[Requirement ID],0))),"")</f>
        <v>NEW</v>
      </c>
      <c r="F54" s="26" t="str">
        <f aca="false">IFERROR(IF(ISBLANK(INDEX(SprintPlanning[Sprint],MATCH($A54,SprintPlanning[Requirement ID],0))),"",INDEX(SprintPlanning[Sprint],MATCH($A54,SprintPlanning[Requirement ID],0))),"")</f>
        <v>To Plan</v>
      </c>
      <c r="G54" s="47"/>
      <c r="H54" s="48"/>
      <c r="I54" s="47"/>
      <c r="J54" s="26" t="str">
        <f aca="false">IFERROR(IF(ISBLANK(INDEX(Backlog[Priority],MATCH($A54,Backlog[Requirement ID],0))),"",INDEX(Backlog[Priority],MATCH($A54,Backlog[Requirement ID],0))),"")</f>
        <v>Medium</v>
      </c>
      <c r="K54" s="24" t="s">
        <v>385</v>
      </c>
      <c r="L54" s="1" t="n">
        <f aca="false">IFERROR(IF(ISBLANK(INDEX(Backlog[HLE],MATCH($A54,Backlog[Requirement ID],0))),"",IF(INDEX(Backlog[HLE],MATCH($A54,Backlog[Requirement ID],0))&lt;=5,0.5,IF(INDEX(Backlog[HLE],MATCH($A54,Backlog[Requirement ID],0))&lt;=8,1,IF(INDEX(Backlog[HLE],MATCH($A54,Backlog[Requirement ID],0))&lt;=13,2,IF(INDEX(Backlog[HLE],MATCH($A54,Backlog[Requirement ID],0))&lt;=20,3,5))))),"")</f>
        <v>2</v>
      </c>
      <c r="M54" s="24"/>
    </row>
    <row r="55" customFormat="false" ht="15" hidden="false" customHeight="true" outlineLevel="0" collapsed="false">
      <c r="A55" s="24" t="str">
        <f aca="false">Backlog!A55</f>
        <v>NEW-0324</v>
      </c>
      <c r="B55" s="46" t="str">
        <f aca="false">IFERROR(IF(ISBLANK(INDEX(Backlog[Requirement Name],MATCH($A55,Backlog[Requirement ID],0))),"",INDEX(Backlog[Requirement Name],MATCH($A55,Backlog[Requirement ID],0))),"")</f>
        <v>MSC- MyMSC PRE_CRM_002 error scenario change CR to additem</v>
      </c>
      <c r="C55" s="26" t="str">
        <f aca="false">IFERROR(IF(ISBLANK(INDEX(Backlog[Stream],MATCH($A55,Backlog[Requirement ID],0))),"",INDEX(Backlog[Stream],MATCH($A55,Backlog[Requirement ID],0))),"")</f>
        <v>MyMSC</v>
      </c>
      <c r="D55" s="26" t="str">
        <f aca="false">IFERROR(IF(ISBLANK(INDEX(Backlog[Jira Link],MATCH($A55,Backlog[Requirement ID],0))),"",INDEX(Backlog[Jira Link],MATCH($A55,Backlog[Requirement ID],0))),"")</f>
        <v/>
      </c>
      <c r="E55" s="26" t="str">
        <f aca="false">IFERROR(IF(ISBLANK(INDEX(Backlog[Status],MATCH($A55,Backlog[Requirement ID],0))),"",INDEX(Backlog[Status],MATCH($A55,Backlog[Requirement ID],0))),"")</f>
        <v>NEW</v>
      </c>
      <c r="F55" s="26" t="str">
        <f aca="false">IFERROR(IF(ISBLANK(INDEX(SprintPlanning[Sprint],MATCH($A55,SprintPlanning[Requirement ID],0))),"",INDEX(SprintPlanning[Sprint],MATCH($A55,SprintPlanning[Requirement ID],0))),"")</f>
        <v>To Plan</v>
      </c>
      <c r="G55" s="47"/>
      <c r="H55" s="48"/>
      <c r="I55" s="47"/>
      <c r="J55" s="26" t="str">
        <f aca="false">IFERROR(IF(ISBLANK(INDEX(Backlog[Priority],MATCH($A55,Backlog[Requirement ID],0))),"",INDEX(Backlog[Priority],MATCH($A55,Backlog[Requirement ID],0))),"")</f>
        <v>Medium</v>
      </c>
      <c r="K55" s="24" t="s">
        <v>380</v>
      </c>
      <c r="L55" s="1" t="str">
        <f aca="false">IFERROR(IF(ISBLANK(INDEX(Backlog[HLE],MATCH($A55,Backlog[Requirement ID],0))),"",IF(INDEX(Backlog[HLE],MATCH($A55,Backlog[Requirement ID],0))&lt;=5,0.5,IF(INDEX(Backlog[HLE],MATCH($A55,Backlog[Requirement ID],0))&lt;=8,1,IF(INDEX(Backlog[HLE],MATCH($A55,Backlog[Requirement ID],0))&lt;=13,2,IF(INDEX(Backlog[HLE],MATCH($A55,Backlog[Requirement ID],0))&lt;=20,3,5))))),"")</f>
        <v/>
      </c>
      <c r="M55" s="24"/>
    </row>
    <row r="56" customFormat="false" ht="15" hidden="false" customHeight="true" outlineLevel="0" collapsed="false">
      <c r="A56" s="24" t="str">
        <f aca="false">Backlog!A56</f>
        <v>NEW-0343</v>
      </c>
      <c r="B56" s="46" t="str">
        <f aca="false">IFERROR(IF(ISBLANK(INDEX(Backlog[Requirement Name],MATCH($A56,Backlog[Requirement ID],0))),"",INDEX(Backlog[Requirement Name],MATCH($A56,Backlog[Requirement ID],0))),"")</f>
        <v>CDP / DTS Post Booking - CR - Passenger name filter</v>
      </c>
      <c r="C56" s="26" t="str">
        <f aca="false">IFERROR(IF(ISBLANK(INDEX(Backlog[Stream],MATCH($A56,Backlog[Requirement ID],0))),"",INDEX(Backlog[Stream],MATCH($A56,Backlog[Requirement ID],0))),"")</f>
        <v>Backlog</v>
      </c>
      <c r="D56" s="26" t="str">
        <f aca="false">IFERROR(IF(ISBLANK(INDEX(Backlog[Jira Link],MATCH($A56,Backlog[Requirement ID],0))),"",INDEX(Backlog[Jira Link],MATCH($A56,Backlog[Requirement ID],0))),"")</f>
        <v/>
      </c>
      <c r="E56" s="26" t="str">
        <f aca="false">IFERROR(IF(ISBLANK(INDEX(Backlog[Status],MATCH($A56,Backlog[Requirement ID],0))),"",INDEX(Backlog[Status],MATCH($A56,Backlog[Requirement ID],0))),"")</f>
        <v>ON HOLD</v>
      </c>
      <c r="F56" s="26" t="str">
        <f aca="false">IFERROR(IF(ISBLANK(INDEX(SprintPlanning[Sprint],MATCH($A56,SprintPlanning[Requirement ID],0))),"",INDEX(SprintPlanning[Sprint],MATCH($A56,SprintPlanning[Requirement ID],0))),"")</f>
        <v>To Plan</v>
      </c>
      <c r="G56" s="47"/>
      <c r="H56" s="48"/>
      <c r="I56" s="47"/>
      <c r="J56" s="26" t="str">
        <f aca="false">IFERROR(IF(ISBLANK(INDEX(Backlog[Priority],MATCH($A56,Backlog[Requirement ID],0))),"",INDEX(Backlog[Priority],MATCH($A56,Backlog[Requirement ID],0))),"")</f>
        <v>Medium</v>
      </c>
      <c r="K56" s="24"/>
      <c r="L56" s="1" t="str">
        <f aca="false">IFERROR(IF(ISBLANK(INDEX(Backlog[HLE],MATCH($A56,Backlog[Requirement ID],0))),"",IF(INDEX(Backlog[HLE],MATCH($A56,Backlog[Requirement ID],0))&lt;=5,0.5,IF(INDEX(Backlog[HLE],MATCH($A56,Backlog[Requirement ID],0))&lt;=8,1,IF(INDEX(Backlog[HLE],MATCH($A56,Backlog[Requirement ID],0))&lt;=13,2,IF(INDEX(Backlog[HLE],MATCH($A56,Backlog[Requirement ID],0))&lt;=20,3,5))))),"")</f>
        <v/>
      </c>
      <c r="M56" s="24"/>
    </row>
    <row r="57" customFormat="false" ht="15" hidden="false" customHeight="true" outlineLevel="0" collapsed="false">
      <c r="A57" s="24" t="str">
        <f aca="false">Backlog!A57</f>
        <v>NEW-0344</v>
      </c>
      <c r="B57" s="46" t="str">
        <f aca="false">IFERROR(IF(ISBLANK(INDEX(Backlog[Requirement Name],MATCH($A57,Backlog[Requirement ID],0))),"",INDEX(Backlog[Requirement Name],MATCH($A57,Backlog[Requirement ID],0))),"")</f>
        <v>CDP / DTS Post Booking - CR  - INT024.1 Improve data quality handling and optimise customer  search</v>
      </c>
      <c r="C57" s="26" t="str">
        <f aca="false">IFERROR(IF(ISBLANK(INDEX(Backlog[Stream],MATCH($A57,Backlog[Requirement ID],0))),"",INDEX(Backlog[Stream],MATCH($A57,Backlog[Requirement ID],0))),"")</f>
        <v>Backlog</v>
      </c>
      <c r="D57" s="26" t="str">
        <f aca="false">IFERROR(IF(ISBLANK(INDEX(Backlog[Jira Link],MATCH($A57,Backlog[Requirement ID],0))),"",INDEX(Backlog[Jira Link],MATCH($A57,Backlog[Requirement ID],0))),"")</f>
        <v/>
      </c>
      <c r="E57" s="26" t="str">
        <f aca="false">IFERROR(IF(ISBLANK(INDEX(Backlog[Status],MATCH($A57,Backlog[Requirement ID],0))),"",INDEX(Backlog[Status],MATCH($A57,Backlog[Requirement ID],0))),"")</f>
        <v>NEW</v>
      </c>
      <c r="F57" s="26" t="str">
        <f aca="false">IFERROR(IF(ISBLANK(INDEX(SprintPlanning[Sprint],MATCH($A57,SprintPlanning[Requirement ID],0))),"",INDEX(SprintPlanning[Sprint],MATCH($A57,SprintPlanning[Requirement ID],0))),"")</f>
        <v>To Plan</v>
      </c>
      <c r="G57" s="47"/>
      <c r="H57" s="48"/>
      <c r="I57" s="47"/>
      <c r="J57" s="26" t="str">
        <f aca="false">IFERROR(IF(ISBLANK(INDEX(Backlog[Priority],MATCH($A57,Backlog[Requirement ID],0))),"",INDEX(Backlog[Priority],MATCH($A57,Backlog[Requirement ID],0))),"")</f>
        <v>Medium</v>
      </c>
      <c r="K57" s="24" t="s">
        <v>380</v>
      </c>
      <c r="L57" s="1" t="str">
        <f aca="false">IFERROR(IF(ISBLANK(INDEX(Backlog[HLE],MATCH($A57,Backlog[Requirement ID],0))),"",IF(INDEX(Backlog[HLE],MATCH($A57,Backlog[Requirement ID],0))&lt;=5,0.5,IF(INDEX(Backlog[HLE],MATCH($A57,Backlog[Requirement ID],0))&lt;=8,1,IF(INDEX(Backlog[HLE],MATCH($A57,Backlog[Requirement ID],0))&lt;=13,2,IF(INDEX(Backlog[HLE],MATCH($A57,Backlog[Requirement ID],0))&lt;=20,3,5))))),"")</f>
        <v/>
      </c>
      <c r="M57" s="24"/>
    </row>
    <row r="58" customFormat="false" ht="15" hidden="false" customHeight="true" outlineLevel="0" collapsed="false">
      <c r="A58" s="24" t="str">
        <f aca="false">Backlog!A58</f>
        <v>NEW-0345</v>
      </c>
      <c r="B58" s="46" t="str">
        <f aca="false">IFERROR(IF(ISBLANK(INDEX(Backlog[Requirement Name],MATCH($A58,Backlog[Requirement ID],0))),"",INDEX(Backlog[Requirement Name],MATCH($A58,Backlog[Requirement ID],0))),"")</f>
        <v>CDP / DTS Post Booking - CR - INT024.1 Long term Improved data quality handling</v>
      </c>
      <c r="C58" s="26" t="str">
        <f aca="false">IFERROR(IF(ISBLANK(INDEX(Backlog[Stream],MATCH($A58,Backlog[Requirement ID],0))),"",INDEX(Backlog[Stream],MATCH($A58,Backlog[Requirement ID],0))),"")</f>
        <v>Backlog</v>
      </c>
      <c r="D58" s="26" t="str">
        <f aca="false">IFERROR(IF(ISBLANK(INDEX(Backlog[Jira Link],MATCH($A58,Backlog[Requirement ID],0))),"",INDEX(Backlog[Jira Link],MATCH($A58,Backlog[Requirement ID],0))),"")</f>
        <v/>
      </c>
      <c r="E58" s="26" t="str">
        <f aca="false">IFERROR(IF(ISBLANK(INDEX(Backlog[Status],MATCH($A58,Backlog[Requirement ID],0))),"",INDEX(Backlog[Status],MATCH($A58,Backlog[Requirement ID],0))),"")</f>
        <v>NEW</v>
      </c>
      <c r="F58" s="26" t="str">
        <f aca="false">IFERROR(IF(ISBLANK(INDEX(SprintPlanning[Sprint],MATCH($A58,SprintPlanning[Requirement ID],0))),"",INDEX(SprintPlanning[Sprint],MATCH($A58,SprintPlanning[Requirement ID],0))),"")</f>
        <v>To Plan</v>
      </c>
      <c r="G58" s="47"/>
      <c r="H58" s="48"/>
      <c r="I58" s="47"/>
      <c r="J58" s="26" t="str">
        <f aca="false">IFERROR(IF(ISBLANK(INDEX(Backlog[Priority],MATCH($A58,Backlog[Requirement ID],0))),"",INDEX(Backlog[Priority],MATCH($A58,Backlog[Requirement ID],0))),"")</f>
        <v>Medium</v>
      </c>
      <c r="K58" s="24" t="s">
        <v>380</v>
      </c>
      <c r="L58" s="1" t="str">
        <f aca="false">IFERROR(IF(ISBLANK(INDEX(Backlog[HLE],MATCH($A58,Backlog[Requirement ID],0))),"",IF(INDEX(Backlog[HLE],MATCH($A58,Backlog[Requirement ID],0))&lt;=5,0.5,IF(INDEX(Backlog[HLE],MATCH($A58,Backlog[Requirement ID],0))&lt;=8,1,IF(INDEX(Backlog[HLE],MATCH($A58,Backlog[Requirement ID],0))&lt;=13,2,IF(INDEX(Backlog[HLE],MATCH($A58,Backlog[Requirement ID],0))&lt;=20,3,5))))),"")</f>
        <v/>
      </c>
      <c r="M58" s="24"/>
    </row>
    <row r="59" customFormat="false" ht="15" hidden="false" customHeight="true" outlineLevel="0" collapsed="false">
      <c r="A59" s="24" t="str">
        <f aca="false">Backlog!A59</f>
        <v>NEW-0346</v>
      </c>
      <c r="B59" s="46" t="str">
        <f aca="false">IFERROR(IF(ISBLANK(INDEX(Backlog[Requirement Name],MATCH($A59,Backlog[Requirement ID],0))),"",INDEX(Backlog[Requirement Name],MATCH($A59,Backlog[Requirement ID],0))),"")</f>
        <v>CR - Improved data quality handling optimise customer search page size across other integrations</v>
      </c>
      <c r="C59" s="26" t="str">
        <f aca="false">IFERROR(IF(ISBLANK(INDEX(Backlog[Stream],MATCH($A59,Backlog[Requirement ID],0))),"",INDEX(Backlog[Stream],MATCH($A59,Backlog[Requirement ID],0))),"")</f>
        <v>Backlog</v>
      </c>
      <c r="D59" s="26" t="str">
        <f aca="false">IFERROR(IF(ISBLANK(INDEX(Backlog[Jira Link],MATCH($A59,Backlog[Requirement ID],0))),"",INDEX(Backlog[Jira Link],MATCH($A59,Backlog[Requirement ID],0))),"")</f>
        <v/>
      </c>
      <c r="E59" s="26" t="str">
        <f aca="false">IFERROR(IF(ISBLANK(INDEX(Backlog[Status],MATCH($A59,Backlog[Requirement ID],0))),"",INDEX(Backlog[Status],MATCH($A59,Backlog[Requirement ID],0))),"")</f>
        <v>NEW</v>
      </c>
      <c r="F59" s="26" t="str">
        <f aca="false">IFERROR(IF(ISBLANK(INDEX(SprintPlanning[Sprint],MATCH($A59,SprintPlanning[Requirement ID],0))),"",INDEX(SprintPlanning[Sprint],MATCH($A59,SprintPlanning[Requirement ID],0))),"")</f>
        <v>To Plan</v>
      </c>
      <c r="G59" s="47"/>
      <c r="H59" s="48"/>
      <c r="I59" s="47"/>
      <c r="J59" s="26" t="str">
        <f aca="false">IFERROR(IF(ISBLANK(INDEX(Backlog[Priority],MATCH($A59,Backlog[Requirement ID],0))),"",INDEX(Backlog[Priority],MATCH($A59,Backlog[Requirement ID],0))),"")</f>
        <v>Medium</v>
      </c>
      <c r="K59" s="24" t="s">
        <v>380</v>
      </c>
      <c r="L59" s="1" t="str">
        <f aca="false">IFERROR(IF(ISBLANK(INDEX(Backlog[HLE],MATCH($A59,Backlog[Requirement ID],0))),"",IF(INDEX(Backlog[HLE],MATCH($A59,Backlog[Requirement ID],0))&lt;=5,0.5,IF(INDEX(Backlog[HLE],MATCH($A59,Backlog[Requirement ID],0))&lt;=8,1,IF(INDEX(Backlog[HLE],MATCH($A59,Backlog[Requirement ID],0))&lt;=13,2,IF(INDEX(Backlog[HLE],MATCH($A59,Backlog[Requirement ID],0))&lt;=20,3,5))))),"")</f>
        <v/>
      </c>
      <c r="M59" s="24"/>
    </row>
    <row r="60" customFormat="false" ht="15" hidden="false" customHeight="true" outlineLevel="0" collapsed="false">
      <c r="A60" s="24" t="str">
        <f aca="false">Backlog!A60</f>
        <v>NEW-0356</v>
      </c>
      <c r="B60" s="46" t="str">
        <f aca="false">IFERROR(IF(ISBLANK(INDEX(Backlog[Requirement Name],MATCH($A60,Backlog[Requirement ID],0))),"",INDEX(Backlog[Requirement Name],MATCH($A60,Backlog[Requirement ID],0))),"")</f>
        <v>MED Insurance - Do not sell any insurance if CoR differ across pax</v>
      </c>
      <c r="C60" s="26" t="str">
        <f aca="false">IFERROR(IF(ISBLANK(INDEX(Backlog[Stream],MATCH($A60,Backlog[Requirement ID],0))),"",INDEX(Backlog[Stream],MATCH($A60,Backlog[Requirement ID],0))),"")</f>
        <v>Growth</v>
      </c>
      <c r="D60" s="26" t="str">
        <f aca="false">IFERROR(IF(ISBLANK(INDEX(Backlog[Jira Link],MATCH($A60,Backlog[Requirement ID],0))),"",INDEX(Backlog[Jira Link],MATCH($A60,Backlog[Requirement ID],0))),"")</f>
        <v/>
      </c>
      <c r="E60" s="26" t="str">
        <f aca="false">IFERROR(IF(ISBLANK(INDEX(Backlog[Status],MATCH($A60,Backlog[Requirement ID],0))),"",INDEX(Backlog[Status],MATCH($A60,Backlog[Requirement ID],0))),"")</f>
        <v>ON HOLD</v>
      </c>
      <c r="F60" s="26" t="str">
        <f aca="false">IFERROR(IF(ISBLANK(INDEX(SprintPlanning[Sprint],MATCH($A60,SprintPlanning[Requirement ID],0))),"",INDEX(SprintPlanning[Sprint],MATCH($A60,SprintPlanning[Requirement ID],0))),"")</f>
        <v>To Plan</v>
      </c>
      <c r="G60" s="47"/>
      <c r="H60" s="48"/>
      <c r="I60" s="47"/>
      <c r="J60" s="26" t="str">
        <f aca="false">IFERROR(IF(ISBLANK(INDEX(Backlog[Priority],MATCH($A60,Backlog[Requirement ID],0))),"",INDEX(Backlog[Priority],MATCH($A60,Backlog[Requirement ID],0))),"")</f>
        <v>Medium</v>
      </c>
      <c r="K60" s="24"/>
      <c r="L60" s="1" t="n">
        <f aca="false">IFERROR(IF(ISBLANK(INDEX(Backlog[HLE],MATCH($A60,Backlog[Requirement ID],0))),"",IF(INDEX(Backlog[HLE],MATCH($A60,Backlog[Requirement ID],0))&lt;=5,0.5,IF(INDEX(Backlog[HLE],MATCH($A60,Backlog[Requirement ID],0))&lt;=8,1,IF(INDEX(Backlog[HLE],MATCH($A60,Backlog[Requirement ID],0))&lt;=13,2,IF(INDEX(Backlog[HLE],MATCH($A60,Backlog[Requirement ID],0))&lt;=20,3,5))))),"")</f>
        <v>1</v>
      </c>
      <c r="M60" s="24"/>
    </row>
    <row r="61" customFormat="false" ht="15" hidden="false" customHeight="true" outlineLevel="0" collapsed="false">
      <c r="A61" s="24" t="str">
        <f aca="false">Backlog!A61</f>
        <v>NEW-0358</v>
      </c>
      <c r="B61" s="46" t="str">
        <f aca="false">IFERROR(IF(ISBLANK(INDEX(Backlog[Requirement Name],MATCH($A61,Backlog[Requirement ID],0))),"",INDEX(Backlog[Requirement Name],MATCH($A61,Backlog[Requirement ID],0))),"")</f>
        <v>CMS Configuration for Airports in B2CW Booking Funnel</v>
      </c>
      <c r="C61" s="26" t="str">
        <f aca="false">IFERROR(IF(ISBLANK(INDEX(Backlog[Stream],MATCH($A61,Backlog[Requirement ID],0))),"",INDEX(Backlog[Stream],MATCH($A61,Backlog[Requirement ID],0))),"")</f>
        <v>Growth</v>
      </c>
      <c r="D61" s="26" t="str">
        <f aca="false">IFERROR(IF(ISBLANK(INDEX(Backlog[Jira Link],MATCH($A61,Backlog[Requirement ID],0))),"",INDEX(Backlog[Jira Link],MATCH($A61,Backlog[Requirement ID],0))),"")</f>
        <v/>
      </c>
      <c r="E61" s="26" t="str">
        <f aca="false">IFERROR(IF(ISBLANK(INDEX(Backlog[Status],MATCH($A61,Backlog[Requirement ID],0))),"",INDEX(Backlog[Status],MATCH($A61,Backlog[Requirement ID],0))),"")</f>
        <v>ON HOLD</v>
      </c>
      <c r="F61" s="26" t="str">
        <f aca="false">IFERROR(IF(ISBLANK(INDEX(SprintPlanning[Sprint],MATCH($A61,SprintPlanning[Requirement ID],0))),"",INDEX(SprintPlanning[Sprint],MATCH($A61,SprintPlanning[Requirement ID],0))),"")</f>
        <v>To Plan</v>
      </c>
      <c r="G61" s="47"/>
      <c r="H61" s="48"/>
      <c r="I61" s="47"/>
      <c r="J61" s="26" t="str">
        <f aca="false">IFERROR(IF(ISBLANK(INDEX(Backlog[Priority],MATCH($A61,Backlog[Requirement ID],0))),"",INDEX(Backlog[Priority],MATCH($A61,Backlog[Requirement ID],0))),"")</f>
        <v>Medium</v>
      </c>
      <c r="K61" s="24"/>
      <c r="L61" s="1" t="str">
        <f aca="false">IFERROR(IF(ISBLANK(INDEX(Backlog[HLE],MATCH($A61,Backlog[Requirement ID],0))),"",IF(INDEX(Backlog[HLE],MATCH($A61,Backlog[Requirement ID],0))&lt;=5,0.5,IF(INDEX(Backlog[HLE],MATCH($A61,Backlog[Requirement ID],0))&lt;=8,1,IF(INDEX(Backlog[HLE],MATCH($A61,Backlog[Requirement ID],0))&lt;=13,2,IF(INDEX(Backlog[HLE],MATCH($A61,Backlog[Requirement ID],0))&lt;=20,3,5))))),"")</f>
        <v/>
      </c>
      <c r="M61" s="24"/>
    </row>
    <row r="62" customFormat="false" ht="15" hidden="false" customHeight="true" outlineLevel="0" collapsed="false">
      <c r="A62" s="24" t="str">
        <f aca="false">Backlog!A62</f>
        <v>NEW-0360</v>
      </c>
      <c r="B62" s="46" t="str">
        <f aca="false">IFERROR(IF(ISBLANK(INDEX(Backlog[Requirement Name],MATCH($A62,Backlog[Requirement ID],0))),"",INDEX(Backlog[Requirement Name],MATCH($A62,Backlog[Requirement ID],0))),"")</f>
        <v>Paypal Reconciliation for prepaid</v>
      </c>
      <c r="C62" s="26" t="str">
        <f aca="false">IFERROR(IF(ISBLANK(INDEX(Backlog[Stream],MATCH($A62,Backlog[Requirement ID],0))),"",INDEX(Backlog[Stream],MATCH($A62,Backlog[Requirement ID],0))),"")</f>
        <v>Growth</v>
      </c>
      <c r="D62" s="26" t="str">
        <f aca="false">IFERROR(IF(ISBLANK(INDEX(Backlog[Jira Link],MATCH($A62,Backlog[Requirement ID],0))),"",INDEX(Backlog[Jira Link],MATCH($A62,Backlog[Requirement ID],0))),"")</f>
        <v/>
      </c>
      <c r="E62" s="26" t="str">
        <f aca="false">IFERROR(IF(ISBLANK(INDEX(Backlog[Status],MATCH($A62,Backlog[Requirement ID],0))),"",INDEX(Backlog[Status],MATCH($A62,Backlog[Requirement ID],0))),"")</f>
        <v>NEW</v>
      </c>
      <c r="F62" s="26" t="str">
        <f aca="false">IFERROR(IF(ISBLANK(INDEX(SprintPlanning[Sprint],MATCH($A62,SprintPlanning[Requirement ID],0))),"",INDEX(SprintPlanning[Sprint],MATCH($A62,SprintPlanning[Requirement ID],0))),"")</f>
        <v>To Plan</v>
      </c>
      <c r="G62" s="47"/>
      <c r="H62" s="48"/>
      <c r="I62" s="47"/>
      <c r="J62" s="26" t="str">
        <f aca="false">IFERROR(IF(ISBLANK(INDEX(Backlog[Priority],MATCH($A62,Backlog[Requirement ID],0))),"",INDEX(Backlog[Priority],MATCH($A62,Backlog[Requirement ID],0))),"")</f>
        <v>Medium</v>
      </c>
      <c r="K62" s="24" t="s">
        <v>380</v>
      </c>
      <c r="L62" s="1" t="n">
        <f aca="false">IFERROR(IF(ISBLANK(INDEX(Backlog[HLE],MATCH($A62,Backlog[Requirement ID],0))),"",IF(INDEX(Backlog[HLE],MATCH($A62,Backlog[Requirement ID],0))&lt;=5,0.5,IF(INDEX(Backlog[HLE],MATCH($A62,Backlog[Requirement ID],0))&lt;=8,1,IF(INDEX(Backlog[HLE],MATCH($A62,Backlog[Requirement ID],0))&lt;=13,2,IF(INDEX(Backlog[HLE],MATCH($A62,Backlog[Requirement ID],0))&lt;=20,3,5))))),"")</f>
        <v>0.5</v>
      </c>
      <c r="M62" s="24"/>
    </row>
    <row r="63" customFormat="false" ht="15" hidden="false" customHeight="true" outlineLevel="0" collapsed="false">
      <c r="A63" s="24" t="str">
        <f aca="false">Backlog!A63</f>
        <v>NEW-0361</v>
      </c>
      <c r="B63" s="46" t="str">
        <f aca="false">IFERROR(IF(ISBLANK(INDEX(Backlog[Requirement Name],MATCH($A63,Backlog[Requirement ID],0))),"",INDEX(Backlog[Requirement Name],MATCH($A63,Backlog[Requirement ID],0))),"")</f>
        <v>US - adding of fields to Hold option orchestration in call to AJO  -cabincode, embarkation date, cruise area</v>
      </c>
      <c r="C63" s="26" t="str">
        <f aca="false">IFERROR(IF(ISBLANK(INDEX(Backlog[Stream],MATCH($A63,Backlog[Requirement ID],0))),"",INDEX(Backlog[Stream],MATCH($A63,Backlog[Requirement ID],0))),"")</f>
        <v>Growth</v>
      </c>
      <c r="D63" s="26" t="str">
        <f aca="false">IFERROR(IF(ISBLANK(INDEX(Backlog[Jira Link],MATCH($A63,Backlog[Requirement ID],0))),"",INDEX(Backlog[Jira Link],MATCH($A63,Backlog[Requirement ID],0))),"")</f>
        <v/>
      </c>
      <c r="E63" s="26" t="str">
        <f aca="false">IFERROR(IF(ISBLANK(INDEX(Backlog[Status],MATCH($A63,Backlog[Requirement ID],0))),"",INDEX(Backlog[Status],MATCH($A63,Backlog[Requirement ID],0))),"")</f>
        <v>NEW</v>
      </c>
      <c r="F63" s="26" t="str">
        <f aca="false">IFERROR(IF(ISBLANK(INDEX(SprintPlanning[Sprint],MATCH($A63,SprintPlanning[Requirement ID],0))),"",INDEX(SprintPlanning[Sprint],MATCH($A63,SprintPlanning[Requirement ID],0))),"")</f>
        <v>To Plan</v>
      </c>
      <c r="G63" s="47"/>
      <c r="H63" s="48"/>
      <c r="I63" s="47"/>
      <c r="J63" s="26" t="str">
        <f aca="false">IFERROR(IF(ISBLANK(INDEX(Backlog[Priority],MATCH($A63,Backlog[Requirement ID],0))),"",INDEX(Backlog[Priority],MATCH($A63,Backlog[Requirement ID],0))),"")</f>
        <v>Medium</v>
      </c>
      <c r="K63" s="24" t="s">
        <v>380</v>
      </c>
      <c r="L63" s="1" t="str">
        <f aca="false">IFERROR(IF(ISBLANK(INDEX(Backlog[HLE],MATCH($A63,Backlog[Requirement ID],0))),"",IF(INDEX(Backlog[HLE],MATCH($A63,Backlog[Requirement ID],0))&lt;=5,0.5,IF(INDEX(Backlog[HLE],MATCH($A63,Backlog[Requirement ID],0))&lt;=8,1,IF(INDEX(Backlog[HLE],MATCH($A63,Backlog[Requirement ID],0))&lt;=13,2,IF(INDEX(Backlog[HLE],MATCH($A63,Backlog[Requirement ID],0))&lt;=20,3,5))))),"")</f>
        <v/>
      </c>
      <c r="M63" s="24"/>
    </row>
    <row r="64" customFormat="false" ht="15" hidden="false" customHeight="true" outlineLevel="0" collapsed="false">
      <c r="A64" s="24" t="str">
        <f aca="false">Backlog!A64</f>
        <v>NEW-0362</v>
      </c>
      <c r="B64" s="46" t="str">
        <f aca="false">IFERROR(IF(ISBLANK(INDEX(Backlog[Requirement Name],MATCH($A64,Backlog[Requirement ID],0))),"",INDEX(Backlog[Requirement Name],MATCH($A64,Backlog[Requirement ID],0))),"")</f>
        <v>US - Known and Unknown management analysis for US (CDP/AJO)</v>
      </c>
      <c r="C64" s="26" t="str">
        <f aca="false">IFERROR(IF(ISBLANK(INDEX(Backlog[Stream],MATCH($A64,Backlog[Requirement ID],0))),"",INDEX(Backlog[Stream],MATCH($A64,Backlog[Requirement ID],0))),"")</f>
        <v>Growth</v>
      </c>
      <c r="D64" s="26" t="str">
        <f aca="false">IFERROR(IF(ISBLANK(INDEX(Backlog[Jira Link],MATCH($A64,Backlog[Requirement ID],0))),"",INDEX(Backlog[Jira Link],MATCH($A64,Backlog[Requirement ID],0))),"")</f>
        <v/>
      </c>
      <c r="E64" s="26" t="str">
        <f aca="false">IFERROR(IF(ISBLANK(INDEX(Backlog[Status],MATCH($A64,Backlog[Requirement ID],0))),"",INDEX(Backlog[Status],MATCH($A64,Backlog[Requirement ID],0))),"")</f>
        <v>NEW</v>
      </c>
      <c r="F64" s="26" t="str">
        <f aca="false">IFERROR(IF(ISBLANK(INDEX(SprintPlanning[Sprint],MATCH($A64,SprintPlanning[Requirement ID],0))),"",INDEX(SprintPlanning[Sprint],MATCH($A64,SprintPlanning[Requirement ID],0))),"")</f>
        <v>To Plan</v>
      </c>
      <c r="G64" s="47"/>
      <c r="H64" s="48"/>
      <c r="I64" s="47"/>
      <c r="J64" s="26" t="str">
        <f aca="false">IFERROR(IF(ISBLANK(INDEX(Backlog[Priority],MATCH($A64,Backlog[Requirement ID],0))),"",INDEX(Backlog[Priority],MATCH($A64,Backlog[Requirement ID],0))),"")</f>
        <v>Medium</v>
      </c>
      <c r="K64" s="24" t="s">
        <v>380</v>
      </c>
      <c r="L64" s="1" t="str">
        <f aca="false">IFERROR(IF(ISBLANK(INDEX(Backlog[HLE],MATCH($A64,Backlog[Requirement ID],0))),"",IF(INDEX(Backlog[HLE],MATCH($A64,Backlog[Requirement ID],0))&lt;=5,0.5,IF(INDEX(Backlog[HLE],MATCH($A64,Backlog[Requirement ID],0))&lt;=8,1,IF(INDEX(Backlog[HLE],MATCH($A64,Backlog[Requirement ID],0))&lt;=13,2,IF(INDEX(Backlog[HLE],MATCH($A64,Backlog[Requirement ID],0))&lt;=20,3,5))))),"")</f>
        <v/>
      </c>
      <c r="M64" s="24"/>
    </row>
    <row r="65" customFormat="false" ht="15" hidden="false" customHeight="true" outlineLevel="0" collapsed="false">
      <c r="A65" s="24" t="str">
        <f aca="false">Backlog!A65</f>
        <v>NEW-0363</v>
      </c>
      <c r="B65" s="46" t="str">
        <f aca="false">IFERROR(IF(ISBLANK(INDEX(Backlog[Requirement Name],MATCH($A65,Backlog[Requirement ID],0))),"",INDEX(Backlog[Requirement Name],MATCH($A65,Backlog[Requirement ID],0))),"")</f>
        <v>US - Outbound Leads - Light Login for Leads Moving Option Expiring</v>
      </c>
      <c r="C65" s="26" t="str">
        <f aca="false">IFERROR(IF(ISBLANK(INDEX(Backlog[Stream],MATCH($A65,Backlog[Requirement ID],0))),"",INDEX(Backlog[Stream],MATCH($A65,Backlog[Requirement ID],0))),"")</f>
        <v>Growth</v>
      </c>
      <c r="D65" s="26" t="str">
        <f aca="false">IFERROR(IF(ISBLANK(INDEX(Backlog[Jira Link],MATCH($A65,Backlog[Requirement ID],0))),"",INDEX(Backlog[Jira Link],MATCH($A65,Backlog[Requirement ID],0))),"")</f>
        <v/>
      </c>
      <c r="E65" s="26" t="str">
        <f aca="false">IFERROR(IF(ISBLANK(INDEX(Backlog[Status],MATCH($A65,Backlog[Requirement ID],0))),"",INDEX(Backlog[Status],MATCH($A65,Backlog[Requirement ID],0))),"")</f>
        <v>NEW</v>
      </c>
      <c r="F65" s="26" t="str">
        <f aca="false">IFERROR(IF(ISBLANK(INDEX(SprintPlanning[Sprint],MATCH($A65,SprintPlanning[Requirement ID],0))),"",INDEX(SprintPlanning[Sprint],MATCH($A65,SprintPlanning[Requirement ID],0))),"")</f>
        <v>To Plan</v>
      </c>
      <c r="G65" s="47"/>
      <c r="H65" s="48"/>
      <c r="I65" s="47"/>
      <c r="J65" s="26" t="str">
        <f aca="false">IFERROR(IF(ISBLANK(INDEX(Backlog[Priority],MATCH($A65,Backlog[Requirement ID],0))),"",INDEX(Backlog[Priority],MATCH($A65,Backlog[Requirement ID],0))),"")</f>
        <v>Medium</v>
      </c>
      <c r="K65" s="24"/>
      <c r="L65" s="1" t="str">
        <f aca="false">IFERROR(IF(ISBLANK(INDEX(Backlog[HLE],MATCH($A65,Backlog[Requirement ID],0))),"",IF(INDEX(Backlog[HLE],MATCH($A65,Backlog[Requirement ID],0))&lt;=5,0.5,IF(INDEX(Backlog[HLE],MATCH($A65,Backlog[Requirement ID],0))&lt;=8,1,IF(INDEX(Backlog[HLE],MATCH($A65,Backlog[Requirement ID],0))&lt;=13,2,IF(INDEX(Backlog[HLE],MATCH($A65,Backlog[Requirement ID],0))&lt;=20,3,5))))),"")</f>
        <v/>
      </c>
      <c r="M65" s="24"/>
    </row>
    <row r="66" customFormat="false" ht="15" hidden="false" customHeight="true" outlineLevel="0" collapsed="false">
      <c r="A66" s="24" t="str">
        <f aca="false">Backlog!A66</f>
        <v>NEW-0364</v>
      </c>
      <c r="B66" s="46" t="str">
        <f aca="false">IFERROR(IF(ISBLANK(INDEX(Backlog[Requirement Name],MATCH($A66,Backlog[Requirement ID],0))),"",INDEX(Backlog[Requirement Name],MATCH($A66,Backlog[Requirement ID],0))),"")</f>
        <v>B2CW Booking Funnel - TRF and Pricing Structure Assessment – ESP Market</v>
      </c>
      <c r="C66" s="26" t="str">
        <f aca="false">IFERROR(IF(ISBLANK(INDEX(Backlog[Stream],MATCH($A66,Backlog[Requirement ID],0))),"",INDEX(Backlog[Stream],MATCH($A66,Backlog[Requirement ID],0))),"")</f>
        <v>Growth</v>
      </c>
      <c r="D66" s="26" t="str">
        <f aca="false">IFERROR(IF(ISBLANK(INDEX(Backlog[Jira Link],MATCH($A66,Backlog[Requirement ID],0))),"",INDEX(Backlog[Jira Link],MATCH($A66,Backlog[Requirement ID],0))),"")</f>
        <v/>
      </c>
      <c r="E66" s="26" t="str">
        <f aca="false">IFERROR(IF(ISBLANK(INDEX(Backlog[Status],MATCH($A66,Backlog[Requirement ID],0))),"",INDEX(Backlog[Status],MATCH($A66,Backlog[Requirement ID],0))),"")</f>
        <v>NEW</v>
      </c>
      <c r="F66" s="26" t="str">
        <f aca="false">IFERROR(IF(ISBLANK(INDEX(SprintPlanning[Sprint],MATCH($A66,SprintPlanning[Requirement ID],0))),"",INDEX(SprintPlanning[Sprint],MATCH($A66,SprintPlanning[Requirement ID],0))),"")</f>
        <v>To Plan</v>
      </c>
      <c r="G66" s="47"/>
      <c r="H66" s="48"/>
      <c r="I66" s="47"/>
      <c r="J66" s="26" t="str">
        <f aca="false">IFERROR(IF(ISBLANK(INDEX(Backlog[Priority],MATCH($A66,Backlog[Requirement ID],0))),"",INDEX(Backlog[Priority],MATCH($A66,Backlog[Requirement ID],0))),"")</f>
        <v>Medium</v>
      </c>
      <c r="K66" s="24"/>
      <c r="L66" s="1" t="str">
        <f aca="false">IFERROR(IF(ISBLANK(INDEX(Backlog[HLE],MATCH($A66,Backlog[Requirement ID],0))),"",IF(INDEX(Backlog[HLE],MATCH($A66,Backlog[Requirement ID],0))&lt;=5,0.5,IF(INDEX(Backlog[HLE],MATCH($A66,Backlog[Requirement ID],0))&lt;=8,1,IF(INDEX(Backlog[HLE],MATCH($A66,Backlog[Requirement ID],0))&lt;=13,2,IF(INDEX(Backlog[HLE],MATCH($A66,Backlog[Requirement ID],0))&lt;=20,3,5))))),"")</f>
        <v/>
      </c>
      <c r="M66" s="24"/>
    </row>
    <row r="67" customFormat="false" ht="15" hidden="false" customHeight="true" outlineLevel="0" collapsed="false">
      <c r="A67" s="24" t="str">
        <f aca="false">Backlog!A67</f>
        <v>NEW-0366</v>
      </c>
      <c r="B67" s="46" t="str">
        <f aca="false">IFERROR(IF(ISBLANK(INDEX(Backlog[Requirement Name],MATCH($A67,Backlog[Requirement ID],0))),"",INDEX(Backlog[Requirement Name],MATCH($A67,Backlog[Requirement ID],0))),"")</f>
        <v>B2CW Accessibility &amp; Medical Webform Business Rules for booking</v>
      </c>
      <c r="C67" s="26" t="str">
        <f aca="false">IFERROR(IF(ISBLANK(INDEX(Backlog[Stream],MATCH($A67,Backlog[Requirement ID],0))),"",INDEX(Backlog[Stream],MATCH($A67,Backlog[Requirement ID],0))),"")</f>
        <v>Growth</v>
      </c>
      <c r="D67" s="26" t="str">
        <f aca="false">IFERROR(IF(ISBLANK(INDEX(Backlog[Jira Link],MATCH($A67,Backlog[Requirement ID],0))),"",INDEX(Backlog[Jira Link],MATCH($A67,Backlog[Requirement ID],0))),"")</f>
        <v/>
      </c>
      <c r="E67" s="26" t="str">
        <f aca="false">IFERROR(IF(ISBLANK(INDEX(Backlog[Status],MATCH($A67,Backlog[Requirement ID],0))),"",INDEX(Backlog[Status],MATCH($A67,Backlog[Requirement ID],0))),"")</f>
        <v>NEW</v>
      </c>
      <c r="F67" s="26" t="str">
        <f aca="false">IFERROR(IF(ISBLANK(INDEX(SprintPlanning[Sprint],MATCH($A67,SprintPlanning[Requirement ID],0))),"",INDEX(SprintPlanning[Sprint],MATCH($A67,SprintPlanning[Requirement ID],0))),"")</f>
        <v>To Plan</v>
      </c>
      <c r="G67" s="47"/>
      <c r="H67" s="48"/>
      <c r="I67" s="47"/>
      <c r="J67" s="26" t="str">
        <f aca="false">IFERROR(IF(ISBLANK(INDEX(Backlog[Priority],MATCH($A67,Backlog[Requirement ID],0))),"",INDEX(Backlog[Priority],MATCH($A67,Backlog[Requirement ID],0))),"")</f>
        <v>Medium</v>
      </c>
      <c r="K67" s="24" t="s">
        <v>380</v>
      </c>
      <c r="L67" s="1" t="str">
        <f aca="false">IFERROR(IF(ISBLANK(INDEX(Backlog[HLE],MATCH($A67,Backlog[Requirement ID],0))),"",IF(INDEX(Backlog[HLE],MATCH($A67,Backlog[Requirement ID],0))&lt;=5,0.5,IF(INDEX(Backlog[HLE],MATCH($A67,Backlog[Requirement ID],0))&lt;=8,1,IF(INDEX(Backlog[HLE],MATCH($A67,Backlog[Requirement ID],0))&lt;=13,2,IF(INDEX(Backlog[HLE],MATCH($A67,Backlog[Requirement ID],0))&lt;=20,3,5))))),"")</f>
        <v/>
      </c>
      <c r="M67" s="24"/>
    </row>
    <row r="68" customFormat="false" ht="15" hidden="false" customHeight="true" outlineLevel="0" collapsed="false">
      <c r="A68" s="24" t="str">
        <f aca="false">Backlog!A68</f>
        <v>NEW-0367</v>
      </c>
      <c r="B68" s="46" t="str">
        <f aca="false">IFERROR(IF(ISBLANK(INDEX(Backlog[Requirement Name],MATCH($A68,Backlog[Requirement ID],0))),"",INDEX(Backlog[Requirement Name],MATCH($A68,Backlog[Requirement ID],0))),"")</f>
        <v>MyMSC US | Extend JWT expiry</v>
      </c>
      <c r="C68" s="26" t="str">
        <f aca="false">IFERROR(IF(ISBLANK(INDEX(Backlog[Stream],MATCH($A68,Backlog[Requirement ID],0))),"",INDEX(Backlog[Stream],MATCH($A68,Backlog[Requirement ID],0))),"")</f>
        <v>Growth</v>
      </c>
      <c r="D68" s="26" t="str">
        <f aca="false">IFERROR(IF(ISBLANK(INDEX(Backlog[Jira Link],MATCH($A68,Backlog[Requirement ID],0))),"",INDEX(Backlog[Jira Link],MATCH($A68,Backlog[Requirement ID],0))),"")</f>
        <v/>
      </c>
      <c r="E68" s="26" t="str">
        <f aca="false">IFERROR(IF(ISBLANK(INDEX(Backlog[Status],MATCH($A68,Backlog[Requirement ID],0))),"",INDEX(Backlog[Status],MATCH($A68,Backlog[Requirement ID],0))),"")</f>
        <v>NEW</v>
      </c>
      <c r="F68" s="26" t="str">
        <f aca="false">IFERROR(IF(ISBLANK(INDEX(SprintPlanning[Sprint],MATCH($A68,SprintPlanning[Requirement ID],0))),"",INDEX(SprintPlanning[Sprint],MATCH($A68,SprintPlanning[Requirement ID],0))),"")</f>
        <v>To Plan</v>
      </c>
      <c r="G68" s="47"/>
      <c r="H68" s="48"/>
      <c r="I68" s="47"/>
      <c r="J68" s="26" t="str">
        <f aca="false">IFERROR(IF(ISBLANK(INDEX(Backlog[Priority],MATCH($A68,Backlog[Requirement ID],0))),"",INDEX(Backlog[Priority],MATCH($A68,Backlog[Requirement ID],0))),"")</f>
        <v>Medium</v>
      </c>
      <c r="K68" s="24" t="s">
        <v>380</v>
      </c>
      <c r="L68" s="1" t="n">
        <f aca="false">IFERROR(IF(ISBLANK(INDEX(Backlog[HLE],MATCH($A68,Backlog[Requirement ID],0))),"",IF(INDEX(Backlog[HLE],MATCH($A68,Backlog[Requirement ID],0))&lt;=5,0.5,IF(INDEX(Backlog[HLE],MATCH($A68,Backlog[Requirement ID],0))&lt;=8,1,IF(INDEX(Backlog[HLE],MATCH($A68,Backlog[Requirement ID],0))&lt;=13,2,IF(INDEX(Backlog[HLE],MATCH($A68,Backlog[Requirement ID],0))&lt;=20,3,5))))),"")</f>
        <v>0.5</v>
      </c>
      <c r="M68" s="24"/>
    </row>
    <row r="69" customFormat="false" ht="15" hidden="false" customHeight="true" outlineLevel="0" collapsed="false">
      <c r="A69" s="24" t="str">
        <f aca="false">Backlog!A69</f>
        <v>NEW-0370</v>
      </c>
      <c r="B69" s="46" t="str">
        <f aca="false">IFERROR(IF(ISBLANK(INDEX(Backlog[Requirement Name],MATCH($A69,Backlog[Requirement ID],0))),"",INDEX(Backlog[Requirement Name],MATCH($A69,Backlog[Requirement ID],0))),"")</f>
        <v>Handling DSC_076 scenario in booking funnel</v>
      </c>
      <c r="C69" s="26" t="str">
        <f aca="false">IFERROR(IF(ISBLANK(INDEX(Backlog[Stream],MATCH($A69,Backlog[Requirement ID],0))),"",INDEX(Backlog[Stream],MATCH($A69,Backlog[Requirement ID],0))),"")</f>
        <v>Growth</v>
      </c>
      <c r="D69" s="26" t="str">
        <f aca="false">IFERROR(IF(ISBLANK(INDEX(Backlog[Jira Link],MATCH($A69,Backlog[Requirement ID],0))),"",INDEX(Backlog[Jira Link],MATCH($A69,Backlog[Requirement ID],0))),"")</f>
        <v/>
      </c>
      <c r="E69" s="26" t="str">
        <f aca="false">IFERROR(IF(ISBLANK(INDEX(Backlog[Status],MATCH($A69,Backlog[Requirement ID],0))),"",INDEX(Backlog[Status],MATCH($A69,Backlog[Requirement ID],0))),"")</f>
        <v/>
      </c>
      <c r="F69" s="26" t="str">
        <f aca="false">IFERROR(IF(ISBLANK(INDEX(SprintPlanning[Sprint],MATCH($A69,SprintPlanning[Requirement ID],0))),"",INDEX(SprintPlanning[Sprint],MATCH($A69,SprintPlanning[Requirement ID],0))),"")</f>
        <v>To Plan</v>
      </c>
      <c r="G69" s="47"/>
      <c r="H69" s="48"/>
      <c r="I69" s="47"/>
      <c r="J69" s="26" t="str">
        <f aca="false">IFERROR(IF(ISBLANK(INDEX(Backlog[Priority],MATCH($A69,Backlog[Requirement ID],0))),"",INDEX(Backlog[Priority],MATCH($A69,Backlog[Requirement ID],0))),"")</f>
        <v>Medium</v>
      </c>
      <c r="K69" s="24"/>
      <c r="L69" s="1" t="str">
        <f aca="false">IFERROR(IF(ISBLANK(INDEX(Backlog[HLE],MATCH($A69,Backlog[Requirement ID],0))),"",IF(INDEX(Backlog[HLE],MATCH($A69,Backlog[Requirement ID],0))&lt;=5,0.5,IF(INDEX(Backlog[HLE],MATCH($A69,Backlog[Requirement ID],0))&lt;=8,1,IF(INDEX(Backlog[HLE],MATCH($A69,Backlog[Requirement ID],0))&lt;=13,2,IF(INDEX(Backlog[HLE],MATCH($A69,Backlog[Requirement ID],0))&lt;=20,3,5))))),"")</f>
        <v/>
      </c>
      <c r="M69" s="24"/>
    </row>
    <row r="70" customFormat="false" ht="15" hidden="false" customHeight="true" outlineLevel="0" collapsed="false">
      <c r="A70" s="24" t="str">
        <f aca="false">Backlog!A70</f>
        <v>NEW-0371</v>
      </c>
      <c r="B70" s="46" t="str">
        <f aca="false">IFERROR(IF(ISBLANK(INDEX(Backlog[Requirement Name],MATCH($A70,Backlog[Requirement ID],0))),"",INDEX(Backlog[Requirement Name],MATCH($A70,Backlog[Requirement ID],0))),"")</f>
        <v>B2CW Prospect Onsite Quotation</v>
      </c>
      <c r="C70" s="26" t="str">
        <f aca="false">IFERROR(IF(ISBLANK(INDEX(Backlog[Stream],MATCH($A70,Backlog[Requirement ID],0))),"",INDEX(Backlog[Stream],MATCH($A70,Backlog[Requirement ID],0))),"")</f>
        <v>Growth</v>
      </c>
      <c r="D70" s="26" t="str">
        <f aca="false">IFERROR(IF(ISBLANK(INDEX(Backlog[Jira Link],MATCH($A70,Backlog[Requirement ID],0))),"",INDEX(Backlog[Jira Link],MATCH($A70,Backlog[Requirement ID],0))),"")</f>
        <v/>
      </c>
      <c r="E70" s="26" t="str">
        <f aca="false">IFERROR(IF(ISBLANK(INDEX(Backlog[Status],MATCH($A70,Backlog[Requirement ID],0))),"",INDEX(Backlog[Status],MATCH($A70,Backlog[Requirement ID],0))),"")</f>
        <v>NEW</v>
      </c>
      <c r="F70" s="26" t="str">
        <f aca="false">IFERROR(IF(ISBLANK(INDEX(SprintPlanning[Sprint],MATCH($A70,SprintPlanning[Requirement ID],0))),"",INDEX(SprintPlanning[Sprint],MATCH($A70,SprintPlanning[Requirement ID],0))),"")</f>
        <v>To Plan</v>
      </c>
      <c r="G70" s="47"/>
      <c r="H70" s="48"/>
      <c r="I70" s="47"/>
      <c r="J70" s="26" t="str">
        <f aca="false">IFERROR(IF(ISBLANK(INDEX(Backlog[Priority],MATCH($A70,Backlog[Requirement ID],0))),"",INDEX(Backlog[Priority],MATCH($A70,Backlog[Requirement ID],0))),"")</f>
        <v>Medium</v>
      </c>
      <c r="K70" s="24" t="s">
        <v>380</v>
      </c>
      <c r="L70" s="1" t="n">
        <f aca="false">IFERROR(IF(ISBLANK(INDEX(Backlog[HLE],MATCH($A70,Backlog[Requirement ID],0))),"",IF(INDEX(Backlog[HLE],MATCH($A70,Backlog[Requirement ID],0))&lt;=5,0.5,IF(INDEX(Backlog[HLE],MATCH($A70,Backlog[Requirement ID],0))&lt;=8,1,IF(INDEX(Backlog[HLE],MATCH($A70,Backlog[Requirement ID],0))&lt;=13,2,IF(INDEX(Backlog[HLE],MATCH($A70,Backlog[Requirement ID],0))&lt;=20,3,5))))),"")</f>
        <v>0.5</v>
      </c>
      <c r="M70" s="24"/>
    </row>
    <row r="71" customFormat="false" ht="15" hidden="false" customHeight="true" outlineLevel="0" collapsed="false">
      <c r="A71" s="24" t="str">
        <f aca="false">Backlog!A71</f>
        <v>NEW-0373</v>
      </c>
      <c r="B71" s="46" t="str">
        <f aca="false">IFERROR(IF(ISBLANK(INDEX(Backlog[Requirement Name],MATCH($A71,Backlog[Requirement ID],0))),"",INDEX(Backlog[Requirement Name],MATCH($A71,Backlog[Requirement ID],0))),"")</f>
        <v>Booking Funnel - AI Optimisation</v>
      </c>
      <c r="C71" s="26" t="str">
        <f aca="false">IFERROR(IF(ISBLANK(INDEX(Backlog[Stream],MATCH($A71,Backlog[Requirement ID],0))),"",INDEX(Backlog[Stream],MATCH($A71,Backlog[Requirement ID],0))),"")</f>
        <v>Backlog / Tech Enh</v>
      </c>
      <c r="D71" s="26" t="str">
        <f aca="false">IFERROR(IF(ISBLANK(INDEX(Backlog[Jira Link],MATCH($A71,Backlog[Requirement ID],0))),"",INDEX(Backlog[Jira Link],MATCH($A71,Backlog[Requirement ID],0))),"")</f>
        <v/>
      </c>
      <c r="E71" s="26" t="str">
        <f aca="false">IFERROR(IF(ISBLANK(INDEX(Backlog[Status],MATCH($A71,Backlog[Requirement ID],0))),"",INDEX(Backlog[Status],MATCH($A71,Backlog[Requirement ID],0))),"")</f>
        <v>NEW</v>
      </c>
      <c r="F71" s="26" t="str">
        <f aca="false">IFERROR(IF(ISBLANK(INDEX(SprintPlanning[Sprint],MATCH($A71,SprintPlanning[Requirement ID],0))),"",INDEX(SprintPlanning[Sprint],MATCH($A71,SprintPlanning[Requirement ID],0))),"")</f>
        <v>To Plan</v>
      </c>
      <c r="G71" s="47"/>
      <c r="H71" s="48"/>
      <c r="I71" s="47"/>
      <c r="J71" s="26" t="str">
        <f aca="false">IFERROR(IF(ISBLANK(INDEX(Backlog[Priority],MATCH($A71,Backlog[Requirement ID],0))),"",INDEX(Backlog[Priority],MATCH($A71,Backlog[Requirement ID],0))),"")</f>
        <v>Medium</v>
      </c>
      <c r="K71" s="24" t="s">
        <v>382</v>
      </c>
      <c r="L71" s="1" t="str">
        <f aca="false">IFERROR(IF(ISBLANK(INDEX(Backlog[HLE],MATCH($A71,Backlog[Requirement ID],0))),"",IF(INDEX(Backlog[HLE],MATCH($A71,Backlog[Requirement ID],0))&lt;=5,0.5,IF(INDEX(Backlog[HLE],MATCH($A71,Backlog[Requirement ID],0))&lt;=8,1,IF(INDEX(Backlog[HLE],MATCH($A71,Backlog[Requirement ID],0))&lt;=13,2,IF(INDEX(Backlog[HLE],MATCH($A71,Backlog[Requirement ID],0))&lt;=20,3,5))))),"")</f>
        <v/>
      </c>
      <c r="M71" s="24"/>
    </row>
    <row r="72" customFormat="false" ht="15" hidden="false" customHeight="true" outlineLevel="0" collapsed="false">
      <c r="A72" s="24" t="str">
        <f aca="false">Backlog!A72</f>
        <v>NEW-0375</v>
      </c>
      <c r="B72" s="46" t="str">
        <f aca="false">IFERROR(IF(ISBLANK(INDEX(Backlog[Requirement Name],MATCH($A72,Backlog[Requirement ID],0))),"",INDEX(Backlog[Requirement Name],MATCH($A72,Backlog[Requirement ID],0))),"")</f>
        <v>Booking Funnel - OTEL</v>
      </c>
      <c r="C72" s="26" t="str">
        <f aca="false">IFERROR(IF(ISBLANK(INDEX(Backlog[Stream],MATCH($A72,Backlog[Requirement ID],0))),"",INDEX(Backlog[Stream],MATCH($A72,Backlog[Requirement ID],0))),"")</f>
        <v>Backlog / Tech Enh</v>
      </c>
      <c r="D72" s="26" t="str">
        <f aca="false">IFERROR(IF(ISBLANK(INDEX(Backlog[Jira Link],MATCH($A72,Backlog[Requirement ID],0))),"",INDEX(Backlog[Jira Link],MATCH($A72,Backlog[Requirement ID],0))),"")</f>
        <v/>
      </c>
      <c r="E72" s="26" t="str">
        <f aca="false">IFERROR(IF(ISBLANK(INDEX(Backlog[Status],MATCH($A72,Backlog[Requirement ID],0))),"",INDEX(Backlog[Status],MATCH($A72,Backlog[Requirement ID],0))),"")</f>
        <v>IN PROGRESS</v>
      </c>
      <c r="F72" s="26" t="str">
        <f aca="false">IFERROR(IF(ISBLANK(INDEX(SprintPlanning[Sprint],MATCH($A72,SprintPlanning[Requirement ID],0))),"",INDEX(SprintPlanning[Sprint],MATCH($A72,SprintPlanning[Requirement ID],0))),"")</f>
        <v>To Plan</v>
      </c>
      <c r="G72" s="47"/>
      <c r="H72" s="48"/>
      <c r="I72" s="47"/>
      <c r="J72" s="26" t="str">
        <f aca="false">IFERROR(IF(ISBLANK(INDEX(Backlog[Priority],MATCH($A72,Backlog[Requirement ID],0))),"",INDEX(Backlog[Priority],MATCH($A72,Backlog[Requirement ID],0))),"")</f>
        <v>Medium</v>
      </c>
      <c r="K72" s="24"/>
      <c r="L72" s="1" t="str">
        <f aca="false">IFERROR(IF(ISBLANK(INDEX(Backlog[HLE],MATCH($A72,Backlog[Requirement ID],0))),"",IF(INDEX(Backlog[HLE],MATCH($A72,Backlog[Requirement ID],0))&lt;=5,0.5,IF(INDEX(Backlog[HLE],MATCH($A72,Backlog[Requirement ID],0))&lt;=8,1,IF(INDEX(Backlog[HLE],MATCH($A72,Backlog[Requirement ID],0))&lt;=13,2,IF(INDEX(Backlog[HLE],MATCH($A72,Backlog[Requirement ID],0))&lt;=20,3,5))))),"")</f>
        <v/>
      </c>
      <c r="M72" s="24"/>
    </row>
    <row r="73" customFormat="false" ht="15" hidden="false" customHeight="true" outlineLevel="0" collapsed="false">
      <c r="A73" s="24" t="str">
        <f aca="false">Backlog!A73</f>
        <v>NEW-0376</v>
      </c>
      <c r="B73" s="46" t="str">
        <f aca="false">IFERROR(IF(ISBLANK(INDEX(Backlog[Requirement Name],MATCH($A73,Backlog[Requirement ID],0))),"",INDEX(Backlog[Requirement Name],MATCH($A73,Backlog[Requirement ID],0))),"")</f>
        <v>Improve error handling in booking creation</v>
      </c>
      <c r="C73" s="26" t="str">
        <f aca="false">IFERROR(IF(ISBLANK(INDEX(Backlog[Stream],MATCH($A73,Backlog[Requirement ID],0))),"",INDEX(Backlog[Stream],MATCH($A73,Backlog[Requirement ID],0))),"")</f>
        <v>Backlog / Tech Enh</v>
      </c>
      <c r="D73" s="26" t="str">
        <f aca="false">IFERROR(IF(ISBLANK(INDEX(Backlog[Jira Link],MATCH($A73,Backlog[Requirement ID],0))),"",INDEX(Backlog[Jira Link],MATCH($A73,Backlog[Requirement ID],0))),"")</f>
        <v/>
      </c>
      <c r="E73" s="26" t="str">
        <f aca="false">IFERROR(IF(ISBLANK(INDEX(Backlog[Status],MATCH($A73,Backlog[Requirement ID],0))),"",INDEX(Backlog[Status],MATCH($A73,Backlog[Requirement ID],0))),"")</f>
        <v>NEW</v>
      </c>
      <c r="F73" s="26" t="str">
        <f aca="false">IFERROR(IF(ISBLANK(INDEX(SprintPlanning[Sprint],MATCH($A73,SprintPlanning[Requirement ID],0))),"",INDEX(SprintPlanning[Sprint],MATCH($A73,SprintPlanning[Requirement ID],0))),"")</f>
        <v>To Plan</v>
      </c>
      <c r="G73" s="47"/>
      <c r="H73" s="48"/>
      <c r="I73" s="47"/>
      <c r="J73" s="26" t="str">
        <f aca="false">IFERROR(IF(ISBLANK(INDEX(Backlog[Priority],MATCH($A73,Backlog[Requirement ID],0))),"",INDEX(Backlog[Priority],MATCH($A73,Backlog[Requirement ID],0))),"")</f>
        <v>Medium</v>
      </c>
      <c r="K73" s="24" t="s">
        <v>380</v>
      </c>
      <c r="L73" s="1" t="str">
        <f aca="false">IFERROR(IF(ISBLANK(INDEX(Backlog[HLE],MATCH($A73,Backlog[Requirement ID],0))),"",IF(INDEX(Backlog[HLE],MATCH($A73,Backlog[Requirement ID],0))&lt;=5,0.5,IF(INDEX(Backlog[HLE],MATCH($A73,Backlog[Requirement ID],0))&lt;=8,1,IF(INDEX(Backlog[HLE],MATCH($A73,Backlog[Requirement ID],0))&lt;=13,2,IF(INDEX(Backlog[HLE],MATCH($A73,Backlog[Requirement ID],0))&lt;=20,3,5))))),"")</f>
        <v/>
      </c>
      <c r="M73" s="24"/>
    </row>
    <row r="74" customFormat="false" ht="15" hidden="false" customHeight="true" outlineLevel="0" collapsed="false">
      <c r="A74" s="24" t="str">
        <f aca="false">Backlog!A74</f>
        <v>NEW-0377</v>
      </c>
      <c r="B74" s="46" t="str">
        <f aca="false">IFERROR(IF(ISBLANK(INDEX(Backlog[Requirement Name],MATCH($A74,Backlog[Requirement ID],0))),"",INDEX(Backlog[Requirement Name],MATCH($A74,Backlog[Requirement ID],0))),"")</f>
        <v>DTTP25-27161 Change payment and newsletter redirection URL logic</v>
      </c>
      <c r="C74" s="26" t="str">
        <f aca="false">IFERROR(IF(ISBLANK(INDEX(Backlog[Stream],MATCH($A74,Backlog[Requirement ID],0))),"",INDEX(Backlog[Stream],MATCH($A74,Backlog[Requirement ID],0))),"")</f>
        <v>Backlog / Tech Enh</v>
      </c>
      <c r="D74" s="26" t="str">
        <f aca="false">IFERROR(IF(ISBLANK(INDEX(Backlog[Jira Link],MATCH($A74,Backlog[Requirement ID],0))),"",INDEX(Backlog[Jira Link],MATCH($A74,Backlog[Requirement ID],0))),"")</f>
        <v/>
      </c>
      <c r="E74" s="26" t="str">
        <f aca="false">IFERROR(IF(ISBLANK(INDEX(Backlog[Status],MATCH($A74,Backlog[Requirement ID],0))),"",INDEX(Backlog[Status],MATCH($A74,Backlog[Requirement ID],0))),"")</f>
        <v>NEW</v>
      </c>
      <c r="F74" s="26" t="str">
        <f aca="false">IFERROR(IF(ISBLANK(INDEX(SprintPlanning[Sprint],MATCH($A74,SprintPlanning[Requirement ID],0))),"",INDEX(SprintPlanning[Sprint],MATCH($A74,SprintPlanning[Requirement ID],0))),"")</f>
        <v>To Plan</v>
      </c>
      <c r="G74" s="47"/>
      <c r="H74" s="48"/>
      <c r="I74" s="47"/>
      <c r="J74" s="26" t="str">
        <f aca="false">IFERROR(IF(ISBLANK(INDEX(Backlog[Priority],MATCH($A74,Backlog[Requirement ID],0))),"",INDEX(Backlog[Priority],MATCH($A74,Backlog[Requirement ID],0))),"")</f>
        <v>Medium</v>
      </c>
      <c r="K74" s="24"/>
      <c r="L74" s="1" t="str">
        <f aca="false">IFERROR(IF(ISBLANK(INDEX(Backlog[HLE],MATCH($A74,Backlog[Requirement ID],0))),"",IF(INDEX(Backlog[HLE],MATCH($A74,Backlog[Requirement ID],0))&lt;=5,0.5,IF(INDEX(Backlog[HLE],MATCH($A74,Backlog[Requirement ID],0))&lt;=8,1,IF(INDEX(Backlog[HLE],MATCH($A74,Backlog[Requirement ID],0))&lt;=13,2,IF(INDEX(Backlog[HLE],MATCH($A74,Backlog[Requirement ID],0))&lt;=20,3,5))))),"")</f>
        <v/>
      </c>
      <c r="M74" s="24"/>
    </row>
    <row r="75" customFormat="false" ht="15" hidden="false" customHeight="true" outlineLevel="0" collapsed="false">
      <c r="A75" s="24" t="str">
        <f aca="false">Backlog!A75</f>
        <v>NEW-0384</v>
      </c>
      <c r="B75" s="46" t="str">
        <f aca="false">IFERROR(IF(ISBLANK(INDEX(Backlog[Requirement Name],MATCH($A75,Backlog[Requirement ID],0))),"",INDEX(Backlog[Requirement Name],MATCH($A75,Backlog[Requirement ID],0))),"")</f>
        <v>New Security Remediation - DTTP Stack to CRM ASIS_EA</v>
      </c>
      <c r="C75" s="26" t="str">
        <f aca="false">IFERROR(IF(ISBLANK(INDEX(Backlog[Stream],MATCH($A75,Backlog[Requirement ID],0))),"",INDEX(Backlog[Stream],MATCH($A75,Backlog[Requirement ID],0))),"")</f>
        <v>PI10</v>
      </c>
      <c r="D75" s="26" t="str">
        <f aca="false">IFERROR(IF(ISBLANK(INDEX(Backlog[Jira Link],MATCH($A75,Backlog[Requirement ID],0))),"",INDEX(Backlog[Jira Link],MATCH($A75,Backlog[Requirement ID],0))),"")</f>
        <v/>
      </c>
      <c r="E75" s="26" t="str">
        <f aca="false">IFERROR(IF(ISBLANK(INDEX(Backlog[Status],MATCH($A75,Backlog[Requirement ID],0))),"",INDEX(Backlog[Status],MATCH($A75,Backlog[Requirement ID],0))),"")</f>
        <v>DONE</v>
      </c>
      <c r="F75" s="26" t="str">
        <f aca="false">IFERROR(IF(ISBLANK(INDEX(SprintPlanning[Sprint],MATCH($A75,SprintPlanning[Requirement ID],0))),"",INDEX(SprintPlanning[Sprint],MATCH($A75,SprintPlanning[Requirement ID],0))),"")</f>
        <v/>
      </c>
      <c r="G75" s="47"/>
      <c r="H75" s="48"/>
      <c r="I75" s="47"/>
      <c r="J75" s="26" t="str">
        <f aca="false">IFERROR(IF(ISBLANK(INDEX(Backlog[Priority],MATCH($A75,Backlog[Requirement ID],0))),"",INDEX(Backlog[Priority],MATCH($A75,Backlog[Requirement ID],0))),"")</f>
        <v>Medium</v>
      </c>
      <c r="K75" s="24"/>
      <c r="L75" s="1" t="str">
        <f aca="false">IFERROR(IF(ISBLANK(INDEX(Backlog[HLE],MATCH($A75,Backlog[Requirement ID],0))),"",IF(INDEX(Backlog[HLE],MATCH($A75,Backlog[Requirement ID],0))&lt;=5,0.5,IF(INDEX(Backlog[HLE],MATCH($A75,Backlog[Requirement ID],0))&lt;=8,1,IF(INDEX(Backlog[HLE],MATCH($A75,Backlog[Requirement ID],0))&lt;=13,2,IF(INDEX(Backlog[HLE],MATCH($A75,Backlog[Requirement ID],0))&lt;=20,3,5))))),"")</f>
        <v/>
      </c>
      <c r="M75" s="24"/>
    </row>
    <row r="76" customFormat="false" ht="15" hidden="false" customHeight="true" outlineLevel="0" collapsed="false">
      <c r="A76" s="24" t="str">
        <f aca="false">Backlog!A76</f>
        <v>NEW-0395</v>
      </c>
      <c r="B76" s="46" t="str">
        <f aca="false">IFERROR(IF(ISBLANK(INDEX(Backlog[Requirement Name],MATCH($A76,Backlog[Requirement ID],0))),"",INDEX(Backlog[Requirement Name],MATCH($A76,Backlog[Requirement ID],0))),"")</f>
        <v>PDF: age restrictions management</v>
      </c>
      <c r="C76" s="26" t="str">
        <f aca="false">IFERROR(IF(ISBLANK(INDEX(Backlog[Stream],MATCH($A76,Backlog[Requirement ID],0))),"",INDEX(Backlog[Stream],MATCH($A76,Backlog[Requirement ID],0))),"")</f>
        <v>MyMSC</v>
      </c>
      <c r="D76" s="26" t="str">
        <f aca="false">IFERROR(IF(ISBLANK(INDEX(Backlog[Jira Link],MATCH($A76,Backlog[Requirement ID],0))),"",INDEX(Backlog[Jira Link],MATCH($A76,Backlog[Requirement ID],0))),"")</f>
        <v/>
      </c>
      <c r="E76" s="26" t="str">
        <f aca="false">IFERROR(IF(ISBLANK(INDEX(Backlog[Status],MATCH($A76,Backlog[Requirement ID],0))),"",INDEX(Backlog[Status],MATCH($A76,Backlog[Requirement ID],0))),"")</f>
        <v>NEW</v>
      </c>
      <c r="F76" s="26" t="str">
        <f aca="false">IFERROR(IF(ISBLANK(INDEX(SprintPlanning[Sprint],MATCH($A76,SprintPlanning[Requirement ID],0))),"",INDEX(SprintPlanning[Sprint],MATCH($A76,SprintPlanning[Requirement ID],0))),"")</f>
        <v>To Plan</v>
      </c>
      <c r="G76" s="47"/>
      <c r="H76" s="48"/>
      <c r="I76" s="47"/>
      <c r="J76" s="26" t="str">
        <f aca="false">IFERROR(IF(ISBLANK(INDEX(Backlog[Priority],MATCH($A76,Backlog[Requirement ID],0))),"",INDEX(Backlog[Priority],MATCH($A76,Backlog[Requirement ID],0))),"")</f>
        <v>Medium</v>
      </c>
      <c r="K76" s="24"/>
      <c r="L76" s="1" t="n">
        <f aca="false">IFERROR(IF(ISBLANK(INDEX(Backlog[HLE],MATCH($A76,Backlog[Requirement ID],0))),"",IF(INDEX(Backlog[HLE],MATCH($A76,Backlog[Requirement ID],0))&lt;=5,0.5,IF(INDEX(Backlog[HLE],MATCH($A76,Backlog[Requirement ID],0))&lt;=8,1,IF(INDEX(Backlog[HLE],MATCH($A76,Backlog[Requirement ID],0))&lt;=13,2,IF(INDEX(Backlog[HLE],MATCH($A76,Backlog[Requirement ID],0))&lt;=20,3,5))))),"")</f>
        <v>0.5</v>
      </c>
      <c r="M76" s="24"/>
    </row>
    <row r="77" customFormat="false" ht="15" hidden="false" customHeight="true" outlineLevel="0" collapsed="false">
      <c r="A77" s="24" t="str">
        <f aca="false">Backlog!A77</f>
        <v>NEW-0397</v>
      </c>
      <c r="B77" s="46" t="str">
        <f aca="false">IFERROR(IF(ISBLANK(INDEX(Backlog[Requirement Name],MATCH($A77,Backlog[Requirement ID],0))),"",INDEX(Backlog[Requirement Name],MATCH($A77,Backlog[Requirement ID],0))),"")</f>
        <v>MSC Voyagers Club subscription block for pending Status Match request for the same user</v>
      </c>
      <c r="C77" s="26" t="str">
        <f aca="false">IFERROR(IF(ISBLANK(INDEX(Backlog[Stream],MATCH($A77,Backlog[Requirement ID],0))),"",INDEX(Backlog[Stream],MATCH($A77,Backlog[Requirement ID],0))),"")</f>
        <v>MyMSC</v>
      </c>
      <c r="D77" s="26" t="str">
        <f aca="false">IFERROR(IF(ISBLANK(INDEX(Backlog[Jira Link],MATCH($A77,Backlog[Requirement ID],0))),"",INDEX(Backlog[Jira Link],MATCH($A77,Backlog[Requirement ID],0))),"")</f>
        <v/>
      </c>
      <c r="E77" s="26" t="str">
        <f aca="false">IFERROR(IF(ISBLANK(INDEX(Backlog[Status],MATCH($A77,Backlog[Requirement ID],0))),"",INDEX(Backlog[Status],MATCH($A77,Backlog[Requirement ID],0))),"")</f>
        <v>NEW</v>
      </c>
      <c r="F77" s="26" t="str">
        <f aca="false">IFERROR(IF(ISBLANK(INDEX(SprintPlanning[Sprint],MATCH($A77,SprintPlanning[Requirement ID],0))),"",INDEX(SprintPlanning[Sprint],MATCH($A77,SprintPlanning[Requirement ID],0))),"")</f>
        <v>To Plan</v>
      </c>
      <c r="G77" s="47"/>
      <c r="H77" s="48"/>
      <c r="I77" s="47"/>
      <c r="J77" s="26" t="str">
        <f aca="false">IFERROR(IF(ISBLANK(INDEX(Backlog[Priority],MATCH($A77,Backlog[Requirement ID],0))),"",INDEX(Backlog[Priority],MATCH($A77,Backlog[Requirement ID],0))),"")</f>
        <v>Medium</v>
      </c>
      <c r="K77" s="24"/>
      <c r="L77" s="1" t="n">
        <f aca="false">IFERROR(IF(ISBLANK(INDEX(Backlog[HLE],MATCH($A77,Backlog[Requirement ID],0))),"",IF(INDEX(Backlog[HLE],MATCH($A77,Backlog[Requirement ID],0))&lt;=5,0.5,IF(INDEX(Backlog[HLE],MATCH($A77,Backlog[Requirement ID],0))&lt;=8,1,IF(INDEX(Backlog[HLE],MATCH($A77,Backlog[Requirement ID],0))&lt;=13,2,IF(INDEX(Backlog[HLE],MATCH($A77,Backlog[Requirement ID],0))&lt;=20,3,5))))),"")</f>
        <v>1</v>
      </c>
      <c r="M77" s="24"/>
    </row>
    <row r="78" customFormat="false" ht="15" hidden="false" customHeight="true" outlineLevel="0" collapsed="false">
      <c r="A78" s="24" t="str">
        <f aca="false">Backlog!A78</f>
        <v>NEW-0398</v>
      </c>
      <c r="B78" s="46" t="str">
        <f aca="false">IFERROR(IF(ISBLANK(INDEX(Backlog[Requirement Name],MATCH($A78,Backlog[Requirement ID],0))),"",INDEX(Backlog[Requirement Name],MATCH($A78,Backlog[Requirement ID],0))),"")</f>
        <v>MSC Voyagers Club children association</v>
      </c>
      <c r="C78" s="26" t="str">
        <f aca="false">IFERROR(IF(ISBLANK(INDEX(Backlog[Stream],MATCH($A78,Backlog[Requirement ID],0))),"",INDEX(Backlog[Stream],MATCH($A78,Backlog[Requirement ID],0))),"")</f>
        <v>MyMSC</v>
      </c>
      <c r="D78" s="26" t="str">
        <f aca="false">IFERROR(IF(ISBLANK(INDEX(Backlog[Jira Link],MATCH($A78,Backlog[Requirement ID],0))),"",INDEX(Backlog[Jira Link],MATCH($A78,Backlog[Requirement ID],0))),"")</f>
        <v/>
      </c>
      <c r="E78" s="26" t="str">
        <f aca="false">IFERROR(IF(ISBLANK(INDEX(Backlog[Status],MATCH($A78,Backlog[Requirement ID],0))),"",INDEX(Backlog[Status],MATCH($A78,Backlog[Requirement ID],0))),"")</f>
        <v>NEW</v>
      </c>
      <c r="F78" s="26" t="str">
        <f aca="false">IFERROR(IF(ISBLANK(INDEX(SprintPlanning[Sprint],MATCH($A78,SprintPlanning[Requirement ID],0))),"",INDEX(SprintPlanning[Sprint],MATCH($A78,SprintPlanning[Requirement ID],0))),"")</f>
        <v>To Plan</v>
      </c>
      <c r="G78" s="47"/>
      <c r="H78" s="48"/>
      <c r="I78" s="47"/>
      <c r="J78" s="26" t="str">
        <f aca="false">IFERROR(IF(ISBLANK(INDEX(Backlog[Priority],MATCH($A78,Backlog[Requirement ID],0))),"",INDEX(Backlog[Priority],MATCH($A78,Backlog[Requirement ID],0))),"")</f>
        <v>Medium</v>
      </c>
      <c r="K78" s="24"/>
      <c r="L78" s="1" t="n">
        <f aca="false">IFERROR(IF(ISBLANK(INDEX(Backlog[HLE],MATCH($A78,Backlog[Requirement ID],0))),"",IF(INDEX(Backlog[HLE],MATCH($A78,Backlog[Requirement ID],0))&lt;=5,0.5,IF(INDEX(Backlog[HLE],MATCH($A78,Backlog[Requirement ID],0))&lt;=8,1,IF(INDEX(Backlog[HLE],MATCH($A78,Backlog[Requirement ID],0))&lt;=13,2,IF(INDEX(Backlog[HLE],MATCH($A78,Backlog[Requirement ID],0))&lt;=20,3,5))))),"")</f>
        <v>2</v>
      </c>
      <c r="M78" s="24"/>
    </row>
    <row r="79" customFormat="false" ht="15" hidden="false" customHeight="true" outlineLevel="0" collapsed="false">
      <c r="A79" s="24" t="str">
        <f aca="false">Backlog!A79</f>
        <v>NEW-0399</v>
      </c>
      <c r="B79" s="46" t="str">
        <f aca="false">IFERROR(IF(ISBLANK(INDEX(Backlog[Requirement Name],MATCH($A79,Backlog[Requirement ID],0))),"",INDEX(Backlog[Requirement Name],MATCH($A79,Backlog[Requirement ID],0))),"")</f>
        <v>Managing the possibility of multiple categories for the same EXC item</v>
      </c>
      <c r="C79" s="26" t="str">
        <f aca="false">IFERROR(IF(ISBLANK(INDEX(Backlog[Stream],MATCH($A79,Backlog[Requirement ID],0))),"",INDEX(Backlog[Stream],MATCH($A79,Backlog[Requirement ID],0))),"")</f>
        <v>MyMSC</v>
      </c>
      <c r="D79" s="26" t="str">
        <f aca="false">IFERROR(IF(ISBLANK(INDEX(Backlog[Jira Link],MATCH($A79,Backlog[Requirement ID],0))),"",INDEX(Backlog[Jira Link],MATCH($A79,Backlog[Requirement ID],0))),"")</f>
        <v/>
      </c>
      <c r="E79" s="26" t="str">
        <f aca="false">IFERROR(IF(ISBLANK(INDEX(Backlog[Status],MATCH($A79,Backlog[Requirement ID],0))),"",INDEX(Backlog[Status],MATCH($A79,Backlog[Requirement ID],0))),"")</f>
        <v>NEW</v>
      </c>
      <c r="F79" s="26" t="str">
        <f aca="false">IFERROR(IF(ISBLANK(INDEX(SprintPlanning[Sprint],MATCH($A79,SprintPlanning[Requirement ID],0))),"",INDEX(SprintPlanning[Sprint],MATCH($A79,SprintPlanning[Requirement ID],0))),"")</f>
        <v>To Plan</v>
      </c>
      <c r="G79" s="47"/>
      <c r="H79" s="48"/>
      <c r="I79" s="47"/>
      <c r="J79" s="26" t="str">
        <f aca="false">IFERROR(IF(ISBLANK(INDEX(Backlog[Priority],MATCH($A79,Backlog[Requirement ID],0))),"",INDEX(Backlog[Priority],MATCH($A79,Backlog[Requirement ID],0))),"")</f>
        <v>Medium</v>
      </c>
      <c r="K79" s="24"/>
      <c r="L79" s="1" t="n">
        <f aca="false">IFERROR(IF(ISBLANK(INDEX(Backlog[HLE],MATCH($A79,Backlog[Requirement ID],0))),"",IF(INDEX(Backlog[HLE],MATCH($A79,Backlog[Requirement ID],0))&lt;=5,0.5,IF(INDEX(Backlog[HLE],MATCH($A79,Backlog[Requirement ID],0))&lt;=8,1,IF(INDEX(Backlog[HLE],MATCH($A79,Backlog[Requirement ID],0))&lt;=13,2,IF(INDEX(Backlog[HLE],MATCH($A79,Backlog[Requirement ID],0))&lt;=20,3,5))))),"")</f>
        <v>1</v>
      </c>
      <c r="M79" s="24"/>
    </row>
    <row r="80" customFormat="false" ht="15" hidden="false" customHeight="true" outlineLevel="0" collapsed="false">
      <c r="A80" s="24" t="str">
        <f aca="false">Backlog!A80</f>
        <v>NEW-0400</v>
      </c>
      <c r="B80" s="46" t="str">
        <f aca="false">IFERROR(IF(ISBLANK(INDEX(Backlog[Requirement Name],MATCH($A80,Backlog[Requirement ID],0))),"",INDEX(Backlog[Requirement Name],MATCH($A80,Backlog[Requirement ID],0))),"")</f>
        <v>Card Points History Reliability Enhancement - B2C</v>
      </c>
      <c r="C80" s="26" t="str">
        <f aca="false">IFERROR(IF(ISBLANK(INDEX(Backlog[Stream],MATCH($A80,Backlog[Requirement ID],0))),"",INDEX(Backlog[Stream],MATCH($A80,Backlog[Requirement ID],0))),"")</f>
        <v>MyMSC</v>
      </c>
      <c r="D80" s="26" t="str">
        <f aca="false">IFERROR(IF(ISBLANK(INDEX(Backlog[Jira Link],MATCH($A80,Backlog[Requirement ID],0))),"",INDEX(Backlog[Jira Link],MATCH($A80,Backlog[Requirement ID],0))),"")</f>
        <v/>
      </c>
      <c r="E80" s="26" t="str">
        <f aca="false">IFERROR(IF(ISBLANK(INDEX(Backlog[Status],MATCH($A80,Backlog[Requirement ID],0))),"",INDEX(Backlog[Status],MATCH($A80,Backlog[Requirement ID],0))),"")</f>
        <v>NEW</v>
      </c>
      <c r="F80" s="26" t="str">
        <f aca="false">IFERROR(IF(ISBLANK(INDEX(SprintPlanning[Sprint],MATCH($A80,SprintPlanning[Requirement ID],0))),"",INDEX(SprintPlanning[Sprint],MATCH($A80,SprintPlanning[Requirement ID],0))),"")</f>
        <v>To Plan</v>
      </c>
      <c r="G80" s="47"/>
      <c r="H80" s="48"/>
      <c r="I80" s="47"/>
      <c r="J80" s="26" t="str">
        <f aca="false">IFERROR(IF(ISBLANK(INDEX(Backlog[Priority],MATCH($A80,Backlog[Requirement ID],0))),"",INDEX(Backlog[Priority],MATCH($A80,Backlog[Requirement ID],0))),"")</f>
        <v>Medium</v>
      </c>
      <c r="K80" s="24"/>
      <c r="L80" s="1" t="n">
        <f aca="false">IFERROR(IF(ISBLANK(INDEX(Backlog[HLE],MATCH($A80,Backlog[Requirement ID],0))),"",IF(INDEX(Backlog[HLE],MATCH($A80,Backlog[Requirement ID],0))&lt;=5,0.5,IF(INDEX(Backlog[HLE],MATCH($A80,Backlog[Requirement ID],0))&lt;=8,1,IF(INDEX(Backlog[HLE],MATCH($A80,Backlog[Requirement ID],0))&lt;=13,2,IF(INDEX(Backlog[HLE],MATCH($A80,Backlog[Requirement ID],0))&lt;=20,3,5))))),"")</f>
        <v>1</v>
      </c>
      <c r="M80" s="24"/>
    </row>
    <row r="81" customFormat="false" ht="15" hidden="false" customHeight="true" outlineLevel="0" collapsed="false">
      <c r="A81" s="24" t="str">
        <f aca="false">Backlog!A81</f>
        <v>NEW-0401</v>
      </c>
      <c r="B81" s="46" t="str">
        <f aca="false">IFERROR(IF(ISBLANK(INDEX(Backlog[Requirement Name],MATCH($A81,Backlog[Requirement ID],0))),"",INDEX(Backlog[Requirement Name],MATCH($A81,Backlog[Requirement ID],0))),"")</f>
        <v>Excursions' category not visible, neither in the catalogue nor in the modal</v>
      </c>
      <c r="C81" s="26" t="str">
        <f aca="false">IFERROR(IF(ISBLANK(INDEX(Backlog[Stream],MATCH($A81,Backlog[Requirement ID],0))),"",INDEX(Backlog[Stream],MATCH($A81,Backlog[Requirement ID],0))),"")</f>
        <v>MyMSC</v>
      </c>
      <c r="D81" s="26" t="str">
        <f aca="false">IFERROR(IF(ISBLANK(INDEX(Backlog[Jira Link],MATCH($A81,Backlog[Requirement ID],0))),"",INDEX(Backlog[Jira Link],MATCH($A81,Backlog[Requirement ID],0))),"")</f>
        <v/>
      </c>
      <c r="E81" s="26" t="str">
        <f aca="false">IFERROR(IF(ISBLANK(INDEX(Backlog[Status],MATCH($A81,Backlog[Requirement ID],0))),"",INDEX(Backlog[Status],MATCH($A81,Backlog[Requirement ID],0))),"")</f>
        <v>NEW</v>
      </c>
      <c r="F81" s="26" t="str">
        <f aca="false">IFERROR(IF(ISBLANK(INDEX(SprintPlanning[Sprint],MATCH($A81,SprintPlanning[Requirement ID],0))),"",INDEX(SprintPlanning[Sprint],MATCH($A81,SprintPlanning[Requirement ID],0))),"")</f>
        <v>To Plan</v>
      </c>
      <c r="G81" s="47"/>
      <c r="H81" s="48"/>
      <c r="I81" s="47"/>
      <c r="J81" s="26" t="str">
        <f aca="false">IFERROR(IF(ISBLANK(INDEX(Backlog[Priority],MATCH($A81,Backlog[Requirement ID],0))),"",INDEX(Backlog[Priority],MATCH($A81,Backlog[Requirement ID],0))),"")</f>
        <v>Medium</v>
      </c>
      <c r="K81" s="24"/>
      <c r="L81" s="1" t="n">
        <f aca="false">IFERROR(IF(ISBLANK(INDEX(Backlog[HLE],MATCH($A81,Backlog[Requirement ID],0))),"",IF(INDEX(Backlog[HLE],MATCH($A81,Backlog[Requirement ID],0))&lt;=5,0.5,IF(INDEX(Backlog[HLE],MATCH($A81,Backlog[Requirement ID],0))&lt;=8,1,IF(INDEX(Backlog[HLE],MATCH($A81,Backlog[Requirement ID],0))&lt;=13,2,IF(INDEX(Backlog[HLE],MATCH($A81,Backlog[Requirement ID],0))&lt;=20,3,5))))),"")</f>
        <v>1</v>
      </c>
      <c r="M81" s="24"/>
    </row>
    <row r="82" customFormat="false" ht="15" hidden="false" customHeight="true" outlineLevel="0" collapsed="false">
      <c r="A82" s="24" t="str">
        <f aca="false">Backlog!A82</f>
        <v>NEW-0402</v>
      </c>
      <c r="B82" s="46" t="str">
        <f aca="false">IFERROR(IF(ISBLANK(INDEX(Backlog[Requirement Name],MATCH($A82,Backlog[Requirement ID],0))),"",INDEX(Backlog[Requirement Name],MATCH($A82,Backlog[Requirement ID],0))),"")</f>
        <v>Cross Device &gt; Plan my cruise: Cart &gt; Impossible to apply a coupon on a NON-Discounted item</v>
      </c>
      <c r="C82" s="26" t="str">
        <f aca="false">IFERROR(IF(ISBLANK(INDEX(Backlog[Stream],MATCH($A82,Backlog[Requirement ID],0))),"",INDEX(Backlog[Stream],MATCH($A82,Backlog[Requirement ID],0))),"")</f>
        <v>MyMSC</v>
      </c>
      <c r="D82" s="26" t="str">
        <f aca="false">IFERROR(IF(ISBLANK(INDEX(Backlog[Jira Link],MATCH($A82,Backlog[Requirement ID],0))),"",INDEX(Backlog[Jira Link],MATCH($A82,Backlog[Requirement ID],0))),"")</f>
        <v/>
      </c>
      <c r="E82" s="26" t="str">
        <f aca="false">IFERROR(IF(ISBLANK(INDEX(Backlog[Status],MATCH($A82,Backlog[Requirement ID],0))),"",INDEX(Backlog[Status],MATCH($A82,Backlog[Requirement ID],0))),"")</f>
        <v>NEW</v>
      </c>
      <c r="F82" s="26" t="str">
        <f aca="false">IFERROR(IF(ISBLANK(INDEX(SprintPlanning[Sprint],MATCH($A82,SprintPlanning[Requirement ID],0))),"",INDEX(SprintPlanning[Sprint],MATCH($A82,SprintPlanning[Requirement ID],0))),"")</f>
        <v>To Plan</v>
      </c>
      <c r="G82" s="47"/>
      <c r="H82" s="48"/>
      <c r="I82" s="47"/>
      <c r="J82" s="26" t="str">
        <f aca="false">IFERROR(IF(ISBLANK(INDEX(Backlog[Priority],MATCH($A82,Backlog[Requirement ID],0))),"",INDEX(Backlog[Priority],MATCH($A82,Backlog[Requirement ID],0))),"")</f>
        <v>Medium</v>
      </c>
      <c r="K82" s="24"/>
      <c r="L82" s="1" t="n">
        <f aca="false">IFERROR(IF(ISBLANK(INDEX(Backlog[HLE],MATCH($A82,Backlog[Requirement ID],0))),"",IF(INDEX(Backlog[HLE],MATCH($A82,Backlog[Requirement ID],0))&lt;=5,0.5,IF(INDEX(Backlog[HLE],MATCH($A82,Backlog[Requirement ID],0))&lt;=8,1,IF(INDEX(Backlog[HLE],MATCH($A82,Backlog[Requirement ID],0))&lt;=13,2,IF(INDEX(Backlog[HLE],MATCH($A82,Backlog[Requirement ID],0))&lt;=20,3,5))))),"")</f>
        <v>1</v>
      </c>
      <c r="M82" s="24"/>
    </row>
    <row r="83" customFormat="false" ht="15" hidden="false" customHeight="true" outlineLevel="0" collapsed="false">
      <c r="A83" s="24" t="str">
        <f aca="false">Backlog!A83</f>
        <v>NEW-0403</v>
      </c>
      <c r="B83" s="46" t="str">
        <f aca="false">IFERROR(IF(ISBLANK(INDEX(Backlog[Requirement Name],MATCH($A83,Backlog[Requirement ID],0))),"",INDEX(Backlog[Requirement Name],MATCH($A83,Backlog[Requirement ID],0))),"")</f>
        <v>Wider management of label</v>
      </c>
      <c r="C83" s="26" t="str">
        <f aca="false">IFERROR(IF(ISBLANK(INDEX(Backlog[Stream],MATCH($A83,Backlog[Requirement ID],0))),"",INDEX(Backlog[Stream],MATCH($A83,Backlog[Requirement ID],0))),"")</f>
        <v>MyMSC</v>
      </c>
      <c r="D83" s="26" t="str">
        <f aca="false">IFERROR(IF(ISBLANK(INDEX(Backlog[Jira Link],MATCH($A83,Backlog[Requirement ID],0))),"",INDEX(Backlog[Jira Link],MATCH($A83,Backlog[Requirement ID],0))),"")</f>
        <v/>
      </c>
      <c r="E83" s="26" t="str">
        <f aca="false">IFERROR(IF(ISBLANK(INDEX(Backlog[Status],MATCH($A83,Backlog[Requirement ID],0))),"",INDEX(Backlog[Status],MATCH($A83,Backlog[Requirement ID],0))),"")</f>
        <v>NEW</v>
      </c>
      <c r="F83" s="26" t="str">
        <f aca="false">IFERROR(IF(ISBLANK(INDEX(SprintPlanning[Sprint],MATCH($A83,SprintPlanning[Requirement ID],0))),"",INDEX(SprintPlanning[Sprint],MATCH($A83,SprintPlanning[Requirement ID],0))),"")</f>
        <v>To Plan</v>
      </c>
      <c r="G83" s="47"/>
      <c r="H83" s="48"/>
      <c r="I83" s="47"/>
      <c r="J83" s="26" t="str">
        <f aca="false">IFERROR(IF(ISBLANK(INDEX(Backlog[Priority],MATCH($A83,Backlog[Requirement ID],0))),"",INDEX(Backlog[Priority],MATCH($A83,Backlog[Requirement ID],0))),"")</f>
        <v>Medium</v>
      </c>
      <c r="K83" s="24"/>
      <c r="L83" s="1" t="str">
        <f aca="false">IFERROR(IF(ISBLANK(INDEX(Backlog[HLE],MATCH($A83,Backlog[Requirement ID],0))),"",IF(INDEX(Backlog[HLE],MATCH($A83,Backlog[Requirement ID],0))&lt;=5,0.5,IF(INDEX(Backlog[HLE],MATCH($A83,Backlog[Requirement ID],0))&lt;=8,1,IF(INDEX(Backlog[HLE],MATCH($A83,Backlog[Requirement ID],0))&lt;=13,2,IF(INDEX(Backlog[HLE],MATCH($A83,Backlog[Requirement ID],0))&lt;=20,3,5))))),"")</f>
        <v/>
      </c>
      <c r="M83" s="24"/>
    </row>
    <row r="84" customFormat="false" ht="15" hidden="false" customHeight="true" outlineLevel="0" collapsed="false">
      <c r="A84" s="30" t="str">
        <f aca="false">Backlog!A84</f>
        <v>NEW-0404</v>
      </c>
      <c r="B84" s="54" t="str">
        <f aca="false">IFERROR(IF(ISBLANK(INDEX(Backlog[Requirement Name],MATCH($A84,Backlog[Requirement ID],0))),"",INDEX(Backlog[Requirement Name],MATCH($A84,Backlog[Requirement ID],0))),"")</f>
        <v>Cross Device &gt; Plan My Cruise &gt; OBS/ACT 'Add passenger' CTA shown even if only non-eligible pax</v>
      </c>
      <c r="C84" s="29" t="str">
        <f aca="false">IFERROR(IF(ISBLANK(INDEX(Backlog[Stream],MATCH($A84,Backlog[Requirement ID],0))),"",INDEX(Backlog[Stream],MATCH($A84,Backlog[Requirement ID],0))),"")</f>
        <v>MyMSC</v>
      </c>
      <c r="D84" s="29" t="str">
        <f aca="false">IFERROR(IF(ISBLANK(INDEX(Backlog[Jira Link],MATCH($A84,Backlog[Requirement ID],0))),"",INDEX(Backlog[Jira Link],MATCH($A84,Backlog[Requirement ID],0))),"")</f>
        <v/>
      </c>
      <c r="E84" s="29" t="str">
        <f aca="false">IFERROR(IF(ISBLANK(INDEX(Backlog[Status],MATCH($A84,Backlog[Requirement ID],0))),"",INDEX(Backlog[Status],MATCH($A84,Backlog[Requirement ID],0))),"")</f>
        <v>NEW</v>
      </c>
      <c r="F84" s="29" t="str">
        <f aca="false">IFERROR(IF(ISBLANK(INDEX(SprintPlanning[Sprint],MATCH($A84,SprintPlanning[Requirement ID],0))),"",INDEX(SprintPlanning[Sprint],MATCH($A84,SprintPlanning[Requirement ID],0))),"")</f>
        <v>To Plan</v>
      </c>
      <c r="G84" s="55"/>
      <c r="H84" s="56"/>
      <c r="I84" s="55"/>
      <c r="J84" s="29" t="str">
        <f aca="false">IFERROR(IF(ISBLANK(INDEX(Backlog[Priority],MATCH($A84,Backlog[Requirement ID],0))),"",INDEX(Backlog[Priority],MATCH($A84,Backlog[Requirement ID],0))),"")</f>
        <v>Medium</v>
      </c>
      <c r="K84" s="30"/>
      <c r="L84" s="1" t="str">
        <f aca="false">IFERROR(IF(ISBLANK(INDEX(Backlog[HLE],MATCH($A84,Backlog[Requirement ID],0))),"",IF(INDEX(Backlog[HLE],MATCH($A84,Backlog[Requirement ID],0))&lt;=5,0.5,IF(INDEX(Backlog[HLE],MATCH($A84,Backlog[Requirement ID],0))&lt;=8,1,IF(INDEX(Backlog[HLE],MATCH($A84,Backlog[Requirement ID],0))&lt;=13,2,IF(INDEX(Backlog[HLE],MATCH($A84,Backlog[Requirement ID],0))&lt;=20,3,5))))),"")</f>
        <v/>
      </c>
      <c r="M84" s="30"/>
    </row>
    <row r="85" customFormat="false" ht="15" hidden="false" customHeight="true" outlineLevel="0" collapsed="false">
      <c r="A85" s="30" t="str">
        <f aca="false">Backlog!A85</f>
        <v>NEW-0405</v>
      </c>
      <c r="B85" s="54" t="str">
        <f aca="false">IFERROR(IF(ISBLANK(INDEX(Backlog[Requirement Name],MATCH($A85,Backlog[Requirement ID],0))),"",INDEX(Backlog[Requirement Name],MATCH($A85,Backlog[Requirement ID],0))),"")</f>
        <v>Whatsapp Subscription (Phase 3)</v>
      </c>
      <c r="C85" s="29" t="str">
        <f aca="false">IFERROR(IF(ISBLANK(INDEX(Backlog[Stream],MATCH($A85,Backlog[Requirement ID],0))),"",INDEX(Backlog[Stream],MATCH($A85,Backlog[Requirement ID],0))),"")</f>
        <v>Backlog</v>
      </c>
      <c r="D85" s="29" t="str">
        <f aca="false">IFERROR(IF(ISBLANK(INDEX(Backlog[Jira Link],MATCH($A85,Backlog[Requirement ID],0))),"",INDEX(Backlog[Jira Link],MATCH($A85,Backlog[Requirement ID],0))),"")</f>
        <v/>
      </c>
      <c r="E85" s="29" t="str">
        <f aca="false">IFERROR(IF(ISBLANK(INDEX(Backlog[Status],MATCH($A85,Backlog[Requirement ID],0))),"",INDEX(Backlog[Status],MATCH($A85,Backlog[Requirement ID],0))),"")</f>
        <v>NEW</v>
      </c>
      <c r="F85" s="29" t="str">
        <f aca="false">IFERROR(IF(ISBLANK(INDEX(SprintPlanning[Sprint],MATCH($A85,SprintPlanning[Requirement ID],0))),"",INDEX(SprintPlanning[Sprint],MATCH($A85,SprintPlanning[Requirement ID],0))),"")</f>
        <v>To Plan</v>
      </c>
      <c r="G85" s="55"/>
      <c r="H85" s="56"/>
      <c r="I85" s="55"/>
      <c r="J85" s="29" t="str">
        <f aca="false">IFERROR(IF(ISBLANK(INDEX(Backlog[Priority],MATCH($A85,Backlog[Requirement ID],0))),"",INDEX(Backlog[Priority],MATCH($A85,Backlog[Requirement ID],0))),"")</f>
        <v>Medium</v>
      </c>
      <c r="K85" s="30"/>
      <c r="L85" s="1" t="n">
        <f aca="false">IFERROR(IF(ISBLANK(INDEX(Backlog[HLE],MATCH($A85,Backlog[Requirement ID],0))),"",IF(INDEX(Backlog[HLE],MATCH($A85,Backlog[Requirement ID],0))&lt;=5,0.5,IF(INDEX(Backlog[HLE],MATCH($A85,Backlog[Requirement ID],0))&lt;=8,1,IF(INDEX(Backlog[HLE],MATCH($A85,Backlog[Requirement ID],0))&lt;=13,2,IF(INDEX(Backlog[HLE],MATCH($A85,Backlog[Requirement ID],0))&lt;=20,3,5))))),"")</f>
        <v>3</v>
      </c>
      <c r="M85" s="30"/>
    </row>
    <row r="86" customFormat="false" ht="15" hidden="false" customHeight="true" outlineLevel="0" collapsed="false">
      <c r="A86" s="30" t="str">
        <f aca="false">Backlog!A86</f>
        <v>NEW-0407</v>
      </c>
      <c r="B86" s="54" t="str">
        <f aca="false">IFERROR(IF(ISBLANK(INDEX(Backlog[Requirement Name],MATCH($A86,Backlog[Requirement ID],0))),"",INDEX(Backlog[Requirement Name],MATCH($A86,Backlog[Requirement ID],0))),"")</f>
        <v>Puerto Rico on US site Status Match (INT010.3)</v>
      </c>
      <c r="C86" s="29" t="str">
        <f aca="false">IFERROR(IF(ISBLANK(INDEX(Backlog[Stream],MATCH($A86,Backlog[Requirement ID],0))),"",INDEX(Backlog[Stream],MATCH($A86,Backlog[Requirement ID],0))),"")</f>
        <v>US</v>
      </c>
      <c r="D86" s="29" t="str">
        <f aca="false">IFERROR(IF(ISBLANK(INDEX(Backlog[Jira Link],MATCH($A86,Backlog[Requirement ID],0))),"",INDEX(Backlog[Jira Link],MATCH($A86,Backlog[Requirement ID],0))),"")</f>
        <v>https://smartship.atlassian.net/browse/MDTTPU-15251</v>
      </c>
      <c r="E86" s="29" t="str">
        <f aca="false">IFERROR(IF(ISBLANK(INDEX(Backlog[Status],MATCH($A86,Backlog[Requirement ID],0))),"",INDEX(Backlog[Status],MATCH($A86,Backlog[Requirement ID],0))),"")</f>
        <v>NEW</v>
      </c>
      <c r="F86" s="29" t="str">
        <f aca="false">IFERROR(IF(ISBLANK(INDEX(SprintPlanning[Sprint],MATCH($A86,SprintPlanning[Requirement ID],0))),"",INDEX(SprintPlanning[Sprint],MATCH($A86,SprintPlanning[Requirement ID],0))),"")</f>
        <v>To Plan</v>
      </c>
      <c r="G86" s="55"/>
      <c r="H86" s="56"/>
      <c r="I86" s="55"/>
      <c r="J86" s="29" t="str">
        <f aca="false">IFERROR(IF(ISBLANK(INDEX(Backlog[Priority],MATCH($A86,Backlog[Requirement ID],0))),"",INDEX(Backlog[Priority],MATCH($A86,Backlog[Requirement ID],0))),"")</f>
        <v>High</v>
      </c>
      <c r="K86" s="30"/>
      <c r="L86" s="1" t="n">
        <f aca="false">IFERROR(IF(ISBLANK(INDEX(Backlog[HLE],MATCH($A86,Backlog[Requirement ID],0))),"",IF(INDEX(Backlog[HLE],MATCH($A86,Backlog[Requirement ID],0))&lt;=5,0.5,IF(INDEX(Backlog[HLE],MATCH($A86,Backlog[Requirement ID],0))&lt;=8,1,IF(INDEX(Backlog[HLE],MATCH($A86,Backlog[Requirement ID],0))&lt;=13,2,IF(INDEX(Backlog[HLE],MATCH($A86,Backlog[Requirement ID],0))&lt;=20,3,5))))),"")</f>
        <v>0.5</v>
      </c>
      <c r="M86" s="30"/>
    </row>
    <row r="87" customFormat="false" ht="15" hidden="false" customHeight="true" outlineLevel="0" collapsed="false">
      <c r="A87" s="30" t="str">
        <f aca="false">Backlog!A87</f>
        <v>NEW-0413</v>
      </c>
      <c r="B87" s="54" t="str">
        <f aca="false">IFERROR(IF(ISBLANK(INDEX(Backlog[Requirement Name],MATCH($A87,Backlog[Requirement ID],0))),"",INDEX(Backlog[Requirement Name],MATCH($A87,Backlog[Requirement ID],0))),"")</f>
        <v>[EINT][INT187][INT139][INT145] - Remove phone number mapping from Datatrans transaction creation</v>
      </c>
      <c r="C87" s="29" t="str">
        <f aca="false">IFERROR(IF(ISBLANK(INDEX(Backlog[Stream],MATCH($A87,Backlog[Requirement ID],0))),"",INDEX(Backlog[Stream],MATCH($A87,Backlog[Requirement ID],0))),"")</f>
        <v>PI10</v>
      </c>
      <c r="D87" s="29" t="str">
        <f aca="false">IFERROR(IF(ISBLANK(INDEX(Backlog[Jira Link],MATCH($A87,Backlog[Requirement ID],0))),"",INDEX(Backlog[Jira Link],MATCH($A87,Backlog[Requirement ID],0))),"")</f>
        <v>https://smartship.atlassian.net/browse/DTTP25-41728</v>
      </c>
      <c r="E87" s="29" t="str">
        <f aca="false">IFERROR(IF(ISBLANK(INDEX(Backlog[Status],MATCH($A87,Backlog[Requirement ID],0))),"",INDEX(Backlog[Status],MATCH($A87,Backlog[Requirement ID],0))),"")</f>
        <v>NEW</v>
      </c>
      <c r="F87" s="29" t="str">
        <f aca="false">IFERROR(IF(ISBLANK(INDEX(SprintPlanning[Sprint],MATCH($A87,SprintPlanning[Requirement ID],0))),"",INDEX(SprintPlanning[Sprint],MATCH($A87,SprintPlanning[Requirement ID],0))),"")</f>
        <v>To Plan</v>
      </c>
      <c r="G87" s="55"/>
      <c r="H87" s="56"/>
      <c r="I87" s="55"/>
      <c r="J87" s="29" t="str">
        <f aca="false">IFERROR(IF(ISBLANK(INDEX(Backlog[Priority],MATCH($A87,Backlog[Requirement ID],0))),"",INDEX(Backlog[Priority],MATCH($A87,Backlog[Requirement ID],0))),"")</f>
        <v>Medium</v>
      </c>
      <c r="K87" s="30"/>
      <c r="L87" s="1" t="str">
        <f aca="false">IFERROR(IF(ISBLANK(INDEX(Backlog[HLE],MATCH($A87,Backlog[Requirement ID],0))),"",IF(INDEX(Backlog[HLE],MATCH($A87,Backlog[Requirement ID],0))&lt;=5,0.5,IF(INDEX(Backlog[HLE],MATCH($A87,Backlog[Requirement ID],0))&lt;=8,1,IF(INDEX(Backlog[HLE],MATCH($A87,Backlog[Requirement ID],0))&lt;=13,2,IF(INDEX(Backlog[HLE],MATCH($A87,Backlog[Requirement ID],0))&lt;=20,3,5))))),"")</f>
        <v/>
      </c>
      <c r="M87" s="30"/>
    </row>
    <row r="88" customFormat="false" ht="15" hidden="false" customHeight="true" outlineLevel="0" collapsed="false">
      <c r="A88" s="30" t="str">
        <f aca="false">Backlog!A88</f>
        <v>NEW-0414</v>
      </c>
      <c r="B88" s="54" t="str">
        <f aca="false">IFERROR(IF(ISBLANK(INDEX(Backlog[Requirement Name],MATCH($A88,Backlog[Requirement ID],0))),"",INDEX(Backlog[Requirement Name],MATCH($A88,Backlog[Requirement ID],0))),"")</f>
        <v>[EINT][INT139][INT140][INT187][INT188] - Fix PromoCodeData coupon/discount code field mapping</v>
      </c>
      <c r="C88" s="29" t="str">
        <f aca="false">IFERROR(IF(ISBLANK(INDEX(Backlog[Stream],MATCH($A88,Backlog[Requirement ID],0))),"",INDEX(Backlog[Stream],MATCH($A88,Backlog[Requirement ID],0))),"")</f>
        <v>PI10</v>
      </c>
      <c r="D88" s="29" t="str">
        <f aca="false">IFERROR(IF(ISBLANK(INDEX(Backlog[Jira Link],MATCH($A88,Backlog[Requirement ID],0))),"",INDEX(Backlog[Jira Link],MATCH($A88,Backlog[Requirement ID],0))),"")</f>
        <v>https://smartship.atlassian.net/browse/DTTP25-41730</v>
      </c>
      <c r="E88" s="29" t="str">
        <f aca="false">IFERROR(IF(ISBLANK(INDEX(Backlog[Status],MATCH($A88,Backlog[Requirement ID],0))),"",INDEX(Backlog[Status],MATCH($A88,Backlog[Requirement ID],0))),"")</f>
        <v>NEW</v>
      </c>
      <c r="F88" s="29" t="str">
        <f aca="false">IFERROR(IF(ISBLANK(INDEX(SprintPlanning[Sprint],MATCH($A88,SprintPlanning[Requirement ID],0))),"",INDEX(SprintPlanning[Sprint],MATCH($A88,SprintPlanning[Requirement ID],0))),"")</f>
        <v>To Plan</v>
      </c>
      <c r="G88" s="55"/>
      <c r="H88" s="56"/>
      <c r="I88" s="55"/>
      <c r="J88" s="29" t="str">
        <f aca="false">IFERROR(IF(ISBLANK(INDEX(Backlog[Priority],MATCH($A88,Backlog[Requirement ID],0))),"",INDEX(Backlog[Priority],MATCH($A88,Backlog[Requirement ID],0))),"")</f>
        <v>Medium</v>
      </c>
      <c r="K88" s="30"/>
      <c r="L88" s="1" t="str">
        <f aca="false">IFERROR(IF(ISBLANK(INDEX(Backlog[HLE],MATCH($A88,Backlog[Requirement ID],0))),"",IF(INDEX(Backlog[HLE],MATCH($A88,Backlog[Requirement ID],0))&lt;=5,0.5,IF(INDEX(Backlog[HLE],MATCH($A88,Backlog[Requirement ID],0))&lt;=8,1,IF(INDEX(Backlog[HLE],MATCH($A88,Backlog[Requirement ID],0))&lt;=13,2,IF(INDEX(Backlog[HLE],MATCH($A88,Backlog[Requirement ID],0))&lt;=20,3,5))))),"")</f>
        <v/>
      </c>
      <c r="M88" s="30"/>
    </row>
    <row r="89" customFormat="false" ht="15" hidden="false" customHeight="true" outlineLevel="0" collapsed="false">
      <c r="A89" s="30" t="str">
        <f aca="false">Backlog!A89</f>
        <v>NEW-0415</v>
      </c>
      <c r="B89" s="54" t="str">
        <f aca="false">IFERROR(IF(ISBLANK(INDEX(Backlog[Requirement Name],MATCH($A89,Backlog[Requirement ID],0))),"",INDEX(Backlog[Requirement Name],MATCH($A89,Backlog[Requirement ID],0))),"")</f>
        <v>[EINT][INT139][INT187][INT140][INT188] - Improve error handling: BKGREQ_098, BKGREQ_050, PPI_DRIPR_11</v>
      </c>
      <c r="C89" s="29" t="str">
        <f aca="false">IFERROR(IF(ISBLANK(INDEX(Backlog[Stream],MATCH($A89,Backlog[Requirement ID],0))),"",INDEX(Backlog[Stream],MATCH($A89,Backlog[Requirement ID],0))),"")</f>
        <v>PI10</v>
      </c>
      <c r="D89" s="29" t="str">
        <f aca="false">IFERROR(IF(ISBLANK(INDEX(Backlog[Jira Link],MATCH($A89,Backlog[Requirement ID],0))),"",INDEX(Backlog[Jira Link],MATCH($A89,Backlog[Requirement ID],0))),"")</f>
        <v>https://smartship.atlassian.net/browse/DTTP25-41725</v>
      </c>
      <c r="E89" s="29" t="str">
        <f aca="false">IFERROR(IF(ISBLANK(INDEX(Backlog[Status],MATCH($A89,Backlog[Requirement ID],0))),"",INDEX(Backlog[Status],MATCH($A89,Backlog[Requirement ID],0))),"")</f>
        <v>NEW</v>
      </c>
      <c r="F89" s="29" t="str">
        <f aca="false">IFERROR(IF(ISBLANK(INDEX(SprintPlanning[Sprint],MATCH($A89,SprintPlanning[Requirement ID],0))),"",INDEX(SprintPlanning[Sprint],MATCH($A89,SprintPlanning[Requirement ID],0))),"")</f>
        <v>To Plan</v>
      </c>
      <c r="G89" s="55"/>
      <c r="H89" s="56"/>
      <c r="I89" s="55"/>
      <c r="J89" s="29" t="str">
        <f aca="false">IFERROR(IF(ISBLANK(INDEX(Backlog[Priority],MATCH($A89,Backlog[Requirement ID],0))),"",INDEX(Backlog[Priority],MATCH($A89,Backlog[Requirement ID],0))),"")</f>
        <v>Medium</v>
      </c>
      <c r="K89" s="30"/>
      <c r="L89" s="1" t="str">
        <f aca="false">IFERROR(IF(ISBLANK(INDEX(Backlog[HLE],MATCH($A89,Backlog[Requirement ID],0))),"",IF(INDEX(Backlog[HLE],MATCH($A89,Backlog[Requirement ID],0))&lt;=5,0.5,IF(INDEX(Backlog[HLE],MATCH($A89,Backlog[Requirement ID],0))&lt;=8,1,IF(INDEX(Backlog[HLE],MATCH($A89,Backlog[Requirement ID],0))&lt;=13,2,IF(INDEX(Backlog[HLE],MATCH($A89,Backlog[Requirement ID],0))&lt;=20,3,5))))),"")</f>
        <v/>
      </c>
      <c r="M89" s="30"/>
    </row>
    <row r="90" customFormat="false" ht="15" hidden="false" customHeight="true" outlineLevel="0" collapsed="false">
      <c r="A90" s="1" t="str">
        <f aca="false">Backlog!A90</f>
        <v>NEW-0084</v>
      </c>
      <c r="B90" s="57" t="str">
        <f aca="false">IFERROR(IF(ISBLANK(INDEX(Backlog[Requirement Name],MATCH($A90,Backlog[Requirement ID],0))),"",INDEX(Backlog[Requirement Name],MATCH($A90,Backlog[Requirement ID],0))),"")</f>
        <v>PI11-07 [B2C] Hold Option (Placeholder - MuleSoft should not be involved)</v>
      </c>
      <c r="C90" s="1" t="str">
        <f aca="false">IFERROR(IF(ISBLANK(INDEX(Backlog[Stream],MATCH($A90,Backlog[Requirement ID],0))),"",INDEX(Backlog[Stream],MATCH($A90,Backlog[Requirement ID],0))),"")</f>
        <v>PI11</v>
      </c>
      <c r="D90" s="1" t="str">
        <f aca="false">IFERROR(IF(ISBLANK(INDEX(Backlog[Jira Link],MATCH($A90,Backlog[Requirement ID],0))),"",INDEX(Backlog[Jira Link],MATCH($A90,Backlog[Requirement ID],0))),"")</f>
        <v/>
      </c>
      <c r="E90" s="1" t="str">
        <f aca="false">IFERROR(IF(ISBLANK(INDEX(Backlog[Status],MATCH($A90,Backlog[Requirement ID],0))),"",INDEX(Backlog[Status],MATCH($A90,Backlog[Requirement ID],0))),"")</f>
        <v>NEW</v>
      </c>
      <c r="F90" s="1" t="str">
        <f aca="false">IFERROR(IF(ISBLANK(INDEX(SprintPlanning[Sprint],MATCH($A90,SprintPlanning[Requirement ID],0))),"",INDEX(SprintPlanning[Sprint],MATCH($A90,SprintPlanning[Requirement ID],0))),"")</f>
        <v>To Plan</v>
      </c>
      <c r="H90" s="58"/>
      <c r="J90" s="1" t="str">
        <f aca="false">IFERROR(IF(ISBLANK(INDEX(Backlog[Priority],MATCH($A90,Backlog[Requirement ID],0))),"",INDEX(Backlog[Priority],MATCH($A90,Backlog[Requirement ID],0))),"")</f>
        <v>Medium</v>
      </c>
      <c r="L90" s="1" t="str">
        <f aca="false">IFERROR(IF(ISBLANK(INDEX(Backlog[HLE],MATCH($A90,Backlog[Requirement ID],0))),"",IF(INDEX(Backlog[HLE],MATCH($A90,Backlog[Requirement ID],0))&lt;=5,0.5,IF(INDEX(Backlog[HLE],MATCH($A90,Backlog[Requirement ID],0))&lt;=8,1,IF(INDEX(Backlog[HLE],MATCH($A90,Backlog[Requirement ID],0))&lt;=13,2,IF(INDEX(Backlog[HLE],MATCH($A90,Backlog[Requirement ID],0))&lt;=20,3,5))))),"")</f>
        <v/>
      </c>
    </row>
    <row r="91" customFormat="false" ht="15" hidden="false" customHeight="true" outlineLevel="0" collapsed="false">
      <c r="A91" s="1" t="str">
        <f aca="false">Backlog!A91</f>
        <v>NEW-0072</v>
      </c>
      <c r="B91" s="57" t="str">
        <f aca="false">IFERROR(IF(ISBLANK(INDEX(Backlog[Requirement Name],MATCH($A91,Backlog[Requirement ID],0))),"",INDEX(Backlog[Requirement Name],MATCH($A91,Backlog[Requirement ID],0))),"")</f>
        <v>PI11-04 [B2C] Post Cruise Complaint Form Part 2 (Multiple Attachment) - DTTP25-38913</v>
      </c>
      <c r="C91" s="1" t="str">
        <f aca="false">IFERROR(IF(ISBLANK(INDEX(Backlog[Stream],MATCH($A91,Backlog[Requirement ID],0))),"",INDEX(Backlog[Stream],MATCH($A91,Backlog[Requirement ID],0))),"")</f>
        <v>PI11</v>
      </c>
      <c r="D91" s="1" t="str">
        <f aca="false">IFERROR(IF(ISBLANK(INDEX(Backlog[Jira Link],MATCH($A91,Backlog[Requirement ID],0))),"",INDEX(Backlog[Jira Link],MATCH($A91,Backlog[Requirement ID],0))),"")</f>
        <v>https://smartship.atlassian.net/browse/DTTP25-41932</v>
      </c>
      <c r="E91" s="1" t="str">
        <f aca="false">IFERROR(IF(ISBLANK(INDEX(Backlog[Status],MATCH($A91,Backlog[Requirement ID],0))),"",INDEX(Backlog[Status],MATCH($A91,Backlog[Requirement ID],0))),"")</f>
        <v>NEW</v>
      </c>
      <c r="F91" s="1" t="str">
        <f aca="false">IFERROR(IF(ISBLANK(INDEX(SprintPlanning[Sprint],MATCH($A91,SprintPlanning[Requirement ID],0))),"",INDEX(SprintPlanning[Sprint],MATCH($A91,SprintPlanning[Requirement ID],0))),"")</f>
        <v>To Plan</v>
      </c>
      <c r="H91" s="58"/>
      <c r="J91" s="1" t="str">
        <f aca="false">IFERROR(IF(ISBLANK(INDEX(Backlog[Priority],MATCH($A91,Backlog[Requirement ID],0))),"",INDEX(Backlog[Priority],MATCH($A91,Backlog[Requirement ID],0))),"")</f>
        <v>Medium</v>
      </c>
      <c r="L91" s="1" t="n">
        <f aca="false">IFERROR(IF(ISBLANK(INDEX(Backlog[HLE],MATCH($A91,Backlog[Requirement ID],0))),"",IF(INDEX(Backlog[HLE],MATCH($A91,Backlog[Requirement ID],0))&lt;=5,0.5,IF(INDEX(Backlog[HLE],MATCH($A91,Backlog[Requirement ID],0))&lt;=8,1,IF(INDEX(Backlog[HLE],MATCH($A91,Backlog[Requirement ID],0))&lt;=13,2,IF(INDEX(Backlog[HLE],MATCH($A91,Backlog[Requirement ID],0))&lt;=20,3,5))))),"")</f>
        <v>5</v>
      </c>
    </row>
    <row r="92" customFormat="false" ht="15" hidden="false" customHeight="true" outlineLevel="0" collapsed="false">
      <c r="A92" s="1" t="str">
        <f aca="false">Backlog!A92</f>
        <v>NEW-0073</v>
      </c>
      <c r="B92" s="57" t="str">
        <f aca="false">IFERROR(IF(ISBLANK(INDEX(Backlog[Requirement Name],MATCH($A92,Backlog[Requirement ID],0))),"",INDEX(Backlog[Requirement Name],MATCH($A92,Backlog[Requirement ID],0))),"")</f>
        <v>PI11-05 [B2C] Accessibility Form - DTTP25-38914</v>
      </c>
      <c r="C92" s="1" t="str">
        <f aca="false">IFERROR(IF(ISBLANK(INDEX(Backlog[Stream],MATCH($A92,Backlog[Requirement ID],0))),"",INDEX(Backlog[Stream],MATCH($A92,Backlog[Requirement ID],0))),"")</f>
        <v>PI11</v>
      </c>
      <c r="D92" s="1" t="str">
        <f aca="false">IFERROR(IF(ISBLANK(INDEX(Backlog[Jira Link],MATCH($A92,Backlog[Requirement ID],0))),"",INDEX(Backlog[Jira Link],MATCH($A92,Backlog[Requirement ID],0))),"")</f>
        <v>https://smartship.atlassian.net/browse/DTTP25-41933</v>
      </c>
      <c r="E92" s="1" t="str">
        <f aca="false">IFERROR(IF(ISBLANK(INDEX(Backlog[Status],MATCH($A92,Backlog[Requirement ID],0))),"",INDEX(Backlog[Status],MATCH($A92,Backlog[Requirement ID],0))),"")</f>
        <v>NEW</v>
      </c>
      <c r="F92" s="1" t="str">
        <f aca="false">IFERROR(IF(ISBLANK(INDEX(SprintPlanning[Sprint],MATCH($A92,SprintPlanning[Requirement ID],0))),"",INDEX(SprintPlanning[Sprint],MATCH($A92,SprintPlanning[Requirement ID],0))),"")</f>
        <v>To Plan</v>
      </c>
      <c r="H92" s="58"/>
      <c r="J92" s="1" t="str">
        <f aca="false">IFERROR(IF(ISBLANK(INDEX(Backlog[Priority],MATCH($A92,Backlog[Requirement ID],0))),"",INDEX(Backlog[Priority],MATCH($A92,Backlog[Requirement ID],0))),"")</f>
        <v>Medium</v>
      </c>
      <c r="L92" s="1" t="str">
        <f aca="false">IFERROR(IF(ISBLANK(INDEX(Backlog[HLE],MATCH($A92,Backlog[Requirement ID],0))),"",IF(INDEX(Backlog[HLE],MATCH($A92,Backlog[Requirement ID],0))&lt;=5,0.5,IF(INDEX(Backlog[HLE],MATCH($A92,Backlog[Requirement ID],0))&lt;=8,1,IF(INDEX(Backlog[HLE],MATCH($A92,Backlog[Requirement ID],0))&lt;=13,2,IF(INDEX(Backlog[HLE],MATCH($A92,Backlog[Requirement ID],0))&lt;=20,3,5))))),"")</f>
        <v/>
      </c>
    </row>
    <row r="93" customFormat="false" ht="15" hidden="false" customHeight="true" outlineLevel="0" collapsed="false">
      <c r="A93" s="1" t="str">
        <f aca="false">Backlog!A93</f>
        <v>NEW-0074</v>
      </c>
      <c r="B93" s="57" t="str">
        <f aca="false">IFERROR(IF(ISBLANK(INDEX(Backlog[Requirement Name],MATCH($A93,Backlog[Requirement ID],0))),"",INDEX(Backlog[Requirement Name],MATCH($A93,Backlog[Requirement ID],0))),"")</f>
        <v>PI11-06 [B2C] Cabin Position - DTTP25-40042</v>
      </c>
      <c r="C93" s="1" t="str">
        <f aca="false">IFERROR(IF(ISBLANK(INDEX(Backlog[Stream],MATCH($A93,Backlog[Requirement ID],0))),"",INDEX(Backlog[Stream],MATCH($A93,Backlog[Requirement ID],0))),"")</f>
        <v>PI11</v>
      </c>
      <c r="D93" s="1" t="str">
        <f aca="false">IFERROR(IF(ISBLANK(INDEX(Backlog[Jira Link],MATCH($A93,Backlog[Requirement ID],0))),"",INDEX(Backlog[Jira Link],MATCH($A93,Backlog[Requirement ID],0))),"")</f>
        <v>https://smartship.atlassian.net/browse/DTTP25-41934</v>
      </c>
      <c r="E93" s="1" t="str">
        <f aca="false">IFERROR(IF(ISBLANK(INDEX(Backlog[Status],MATCH($A93,Backlog[Requirement ID],0))),"",INDEX(Backlog[Status],MATCH($A93,Backlog[Requirement ID],0))),"")</f>
        <v>NEW</v>
      </c>
      <c r="F93" s="1" t="str">
        <f aca="false">IFERROR(IF(ISBLANK(INDEX(SprintPlanning[Sprint],MATCH($A93,SprintPlanning[Requirement ID],0))),"",INDEX(SprintPlanning[Sprint],MATCH($A93,SprintPlanning[Requirement ID],0))),"")</f>
        <v>To Plan</v>
      </c>
      <c r="H93" s="58"/>
      <c r="J93" s="1" t="str">
        <f aca="false">IFERROR(IF(ISBLANK(INDEX(Backlog[Priority],MATCH($A93,Backlog[Requirement ID],0))),"",INDEX(Backlog[Priority],MATCH($A93,Backlog[Requirement ID],0))),"")</f>
        <v>Medium</v>
      </c>
      <c r="L93" s="1" t="n">
        <f aca="false">IFERROR(IF(ISBLANK(INDEX(Backlog[HLE],MATCH($A93,Backlog[Requirement ID],0))),"",IF(INDEX(Backlog[HLE],MATCH($A93,Backlog[Requirement ID],0))&lt;=5,0.5,IF(INDEX(Backlog[HLE],MATCH($A93,Backlog[Requirement ID],0))&lt;=8,1,IF(INDEX(Backlog[HLE],MATCH($A93,Backlog[Requirement ID],0))&lt;=13,2,IF(INDEX(Backlog[HLE],MATCH($A93,Backlog[Requirement ID],0))&lt;=20,3,5))))),"")</f>
        <v>0.5</v>
      </c>
    </row>
    <row r="94" customFormat="false" ht="15" hidden="false" customHeight="true" outlineLevel="0" collapsed="false">
      <c r="A94" s="1" t="str">
        <f aca="false">Backlog!A94</f>
        <v>NEW-0436</v>
      </c>
      <c r="B94" s="57" t="str">
        <f aca="false">IFERROR(IF(ISBLANK(INDEX(Backlog[Requirement Name],MATCH($A94,Backlog[Requirement ID],0))),"",INDEX(Backlog[Requirement Name],MATCH($A94,Backlog[Requirement ID],0))),"")</f>
        <v>[Growth] [CR] [INT005.2][INT004.3][INT004.4][INT006][INT007] - Conditionally capture outbound/return dates for One-Way Air Packages</v>
      </c>
      <c r="C94" s="1" t="str">
        <f aca="false">IFERROR(IF(ISBLANK(INDEX(Backlog[Stream],MATCH($A94,Backlog[Requirement ID],0))),"",INDEX(Backlog[Stream],MATCH($A94,Backlog[Requirement ID],0))),"")</f>
        <v>Growth</v>
      </c>
      <c r="D94" s="1" t="str">
        <f aca="false">IFERROR(IF(ISBLANK(INDEX(Backlog[Jira Link],MATCH($A94,Backlog[Requirement ID],0))),"",INDEX(Backlog[Jira Link],MATCH($A94,Backlog[Requirement ID],0))),"")</f>
        <v>https://smartship.atlassian.net/browse/DTTP25-40435</v>
      </c>
      <c r="E94" s="1" t="str">
        <f aca="false">IFERROR(IF(ISBLANK(INDEX(Backlog[Status],MATCH($A94,Backlog[Requirement ID],0))),"",INDEX(Backlog[Status],MATCH($A94,Backlog[Requirement ID],0))),"")</f>
        <v>NEW</v>
      </c>
      <c r="F94" s="1" t="str">
        <f aca="false">IFERROR(IF(ISBLANK(INDEX(SprintPlanning[Sprint],MATCH($A94,SprintPlanning[Requirement ID],0))),"",INDEX(SprintPlanning[Sprint],MATCH($A94,SprintPlanning[Requirement ID],0))),"")</f>
        <v>Sprint 11</v>
      </c>
      <c r="H94" s="58"/>
      <c r="I94" s="43" t="s">
        <v>384</v>
      </c>
      <c r="J94" s="1" t="str">
        <f aca="false">IFERROR(IF(ISBLANK(INDEX(Backlog[Priority],MATCH($A94,Backlog[Requirement ID],0))),"",INDEX(Backlog[Priority],MATCH($A94,Backlog[Requirement ID],0))),"")</f>
        <v>Medium</v>
      </c>
      <c r="K94" s="1" t="s">
        <v>388</v>
      </c>
      <c r="L94" s="1" t="n">
        <f aca="false">IFERROR(IF(ISBLANK(INDEX(Backlog[HLE],MATCH($A94,Backlog[Requirement ID],0))),"",IF(INDEX(Backlog[HLE],MATCH($A94,Backlog[Requirement ID],0))&lt;=5,0.5,IF(INDEX(Backlog[HLE],MATCH($A94,Backlog[Requirement ID],0))&lt;=8,1,IF(INDEX(Backlog[HLE],MATCH($A94,Backlog[Requirement ID],0))&lt;=13,2,IF(INDEX(Backlog[HLE],MATCH($A94,Backlog[Requirement ID],0))&lt;=20,3,5))))),"")</f>
        <v>1</v>
      </c>
    </row>
    <row r="95" customFormat="false" ht="15" hidden="false" customHeight="true" outlineLevel="0" collapsed="false">
      <c r="A95" s="1" t="str">
        <f aca="false">Backlog!A95</f>
        <v>NEW-0437</v>
      </c>
      <c r="B95" s="57" t="str">
        <f aca="false">IFERROR(IF(ISBLANK(INDEX(Backlog[Requirement Name],MATCH($A95,Backlog[Requirement ID],0))),"",INDEX(Backlog[Requirement Name],MATCH($A95,Backlog[Requirement ID],0))),"")</f>
        <v>Frictionless secure fields payments</v>
      </c>
      <c r="C95" s="1" t="str">
        <f aca="false">IFERROR(IF(ISBLANK(INDEX(Backlog[Stream],MATCH($A95,Backlog[Requirement ID],0))),"",INDEX(Backlog[Stream],MATCH($A95,Backlog[Requirement ID],0))),"")</f>
        <v>Growth</v>
      </c>
      <c r="D95" s="1" t="str">
        <f aca="false">IFERROR(IF(ISBLANK(INDEX(Backlog[Jira Link],MATCH($A95,Backlog[Requirement ID],0))),"",INDEX(Backlog[Jira Link],MATCH($A95,Backlog[Requirement ID],0))),"")</f>
        <v>https://smartship.atlassian.net/browse/DTTP25-42079</v>
      </c>
      <c r="E95" s="1" t="str">
        <f aca="false">IFERROR(IF(ISBLANK(INDEX(Backlog[Status],MATCH($A95,Backlog[Requirement ID],0))),"",INDEX(Backlog[Status],MATCH($A95,Backlog[Requirement ID],0))),"")</f>
        <v>NEW</v>
      </c>
      <c r="F95" s="1" t="str">
        <f aca="false">IFERROR(IF(ISBLANK(INDEX(SprintPlanning[Sprint],MATCH($A95,SprintPlanning[Requirement ID],0))),"",INDEX(SprintPlanning[Sprint],MATCH($A95,SprintPlanning[Requirement ID],0))),"")</f>
        <v>Sprint 11</v>
      </c>
      <c r="G95" s="43" t="s">
        <v>383</v>
      </c>
      <c r="H95" s="58" t="n">
        <v>46251</v>
      </c>
      <c r="J95" s="1" t="str">
        <f aca="false">IFERROR(IF(ISBLANK(INDEX(Backlog[Priority],MATCH($A95,Backlog[Requirement ID],0))),"",INDEX(Backlog[Priority],MATCH($A95,Backlog[Requirement ID],0))),"")</f>
        <v>High</v>
      </c>
      <c r="K95" s="1" t="s">
        <v>382</v>
      </c>
      <c r="L95" s="1" t="n">
        <f aca="false">IFERROR(IF(ISBLANK(INDEX(Backlog[HLE],MATCH($A95,Backlog[Requirement ID],0))),"",IF(INDEX(Backlog[HLE],MATCH($A95,Backlog[Requirement ID],0))&lt;=5,0.5,IF(INDEX(Backlog[HLE],MATCH($A95,Backlog[Requirement ID],0))&lt;=8,1,IF(INDEX(Backlog[HLE],MATCH($A95,Backlog[Requirement ID],0))&lt;=13,2,IF(INDEX(Backlog[HLE],MATCH($A95,Backlog[Requirement ID],0))&lt;=20,3,5))))),"")</f>
        <v>0.5</v>
      </c>
    </row>
    <row r="96" customFormat="false" ht="15" hidden="false" customHeight="true" outlineLevel="0" collapsed="false">
      <c r="A96" s="1" t="str">
        <f aca="false">Backlog!A96</f>
        <v>NEW-0438</v>
      </c>
      <c r="B96" s="57" t="str">
        <f aca="false">IFERROR(IF(ISBLANK(INDEX(Backlog[Requirement Name],MATCH($A96,Backlog[Requirement ID],0))),"",INDEX(Backlog[Requirement Name],MATCH($A96,Backlog[Requirement ID],0))),"")</f>
        <v>US: Changes to A070/A013 mapping - refund</v>
      </c>
      <c r="C96" s="1" t="str">
        <f aca="false">IFERROR(IF(ISBLANK(INDEX(Backlog[Stream],MATCH($A96,Backlog[Requirement ID],0))),"",INDEX(Backlog[Stream],MATCH($A96,Backlog[Requirement ID],0))),"")</f>
        <v>Growth</v>
      </c>
      <c r="D96" s="1" t="str">
        <f aca="false">IFERROR(IF(ISBLANK(INDEX(Backlog[Jira Link],MATCH($A96,Backlog[Requirement ID],0))),"",INDEX(Backlog[Jira Link],MATCH($A96,Backlog[Requirement ID],0))),"")</f>
        <v/>
      </c>
      <c r="E96" s="1" t="str">
        <f aca="false">IFERROR(IF(ISBLANK(INDEX(Backlog[Status],MATCH($A96,Backlog[Requirement ID],0))),"",INDEX(Backlog[Status],MATCH($A96,Backlog[Requirement ID],0))),"")</f>
        <v>NEW</v>
      </c>
      <c r="F96" s="1" t="str">
        <f aca="false">IFERROR(IF(ISBLANK(INDEX(SprintPlanning[Sprint],MATCH($A96,SprintPlanning[Requirement ID],0))),"",INDEX(SprintPlanning[Sprint],MATCH($A96,SprintPlanning[Requirement ID],0))),"")</f>
        <v>To Plan</v>
      </c>
      <c r="H96" s="58"/>
      <c r="J96" s="1" t="str">
        <f aca="false">IFERROR(IF(ISBLANK(INDEX(Backlog[Priority],MATCH($A96,Backlog[Requirement ID],0))),"",INDEX(Backlog[Priority],MATCH($A96,Backlog[Requirement ID],0))),"")</f>
        <v>Medium</v>
      </c>
      <c r="L96" s="1" t="str">
        <f aca="false">IFERROR(IF(ISBLANK(INDEX(Backlog[HLE],MATCH($A96,Backlog[Requirement ID],0))),"",IF(INDEX(Backlog[HLE],MATCH($A96,Backlog[Requirement ID],0))&lt;=5,0.5,IF(INDEX(Backlog[HLE],MATCH($A96,Backlog[Requirement ID],0))&lt;=8,1,IF(INDEX(Backlog[HLE],MATCH($A96,Backlog[Requirement ID],0))&lt;=13,2,IF(INDEX(Backlog[HLE],MATCH($A96,Backlog[Requirement ID],0))&lt;=20,3,5))))),"")</f>
        <v/>
      </c>
    </row>
    <row r="97" customFormat="false" ht="15" hidden="false" customHeight="true" outlineLevel="0" collapsed="false">
      <c r="A97" s="1" t="str">
        <f aca="false">Backlog!A97</f>
        <v>NEW-0439</v>
      </c>
      <c r="B97" s="57" t="str">
        <f aca="false">IFERROR(IF(ISBLANK(INDEX(Backlog[Requirement Name],MATCH($A97,Backlog[Requirement ID],0))),"",INDEX(Backlog[Requirement Name],MATCH($A97,Backlog[Requirement ID],0))),"")</f>
        <v>[EINT] [CR] Map timezone in case creation in scheduled callback - US Stream</v>
      </c>
      <c r="C97" s="1" t="str">
        <f aca="false">IFERROR(IF(ISBLANK(INDEX(Backlog[Stream],MATCH($A97,Backlog[Requirement ID],0))),"",INDEX(Backlog[Stream],MATCH($A97,Backlog[Requirement ID],0))),"")</f>
        <v>US</v>
      </c>
      <c r="D97" s="1" t="str">
        <f aca="false">IFERROR(IF(ISBLANK(INDEX(Backlog[Jira Link],MATCH($A97,Backlog[Requirement ID],0))),"",INDEX(Backlog[Jira Link],MATCH($A97,Backlog[Requirement ID],0))),"")</f>
        <v>https://smartship.atlassian.net/browse/MDTTPU-16586</v>
      </c>
      <c r="E97" s="1" t="str">
        <f aca="false">IFERROR(IF(ISBLANK(INDEX(Backlog[Status],MATCH($A97,Backlog[Requirement ID],0))),"",INDEX(Backlog[Status],MATCH($A97,Backlog[Requirement ID],0))),"")</f>
        <v>NEW</v>
      </c>
      <c r="F97" s="1" t="str">
        <f aca="false">IFERROR(IF(ISBLANK(INDEX(SprintPlanning[Sprint],MATCH($A97,SprintPlanning[Requirement ID],0))),"",INDEX(SprintPlanning[Sprint],MATCH($A97,SprintPlanning[Requirement ID],0))),"")</f>
        <v>Sprint 11</v>
      </c>
      <c r="G97" s="43" t="s">
        <v>383</v>
      </c>
      <c r="H97" s="58"/>
      <c r="I97" s="43" t="s">
        <v>390</v>
      </c>
      <c r="J97" s="1" t="str">
        <f aca="false">IFERROR(IF(ISBLANK(INDEX(Backlog[Priority],MATCH($A97,Backlog[Requirement ID],0))),"",INDEX(Backlog[Priority],MATCH($A97,Backlog[Requirement ID],0))),"")</f>
        <v>Medium</v>
      </c>
      <c r="K97" s="1" t="s">
        <v>385</v>
      </c>
      <c r="L97" s="1" t="n">
        <f aca="false">IFERROR(IF(ISBLANK(INDEX(Backlog[HLE],MATCH($A97,Backlog[Requirement ID],0))),"",IF(INDEX(Backlog[HLE],MATCH($A97,Backlog[Requirement ID],0))&lt;=5,0.5,IF(INDEX(Backlog[HLE],MATCH($A97,Backlog[Requirement ID],0))&lt;=8,1,IF(INDEX(Backlog[HLE],MATCH($A97,Backlog[Requirement ID],0))&lt;=13,2,IF(INDEX(Backlog[HLE],MATCH($A97,Backlog[Requirement ID],0))&lt;=20,3,5))))),"")</f>
        <v>0.5</v>
      </c>
    </row>
    <row r="98" customFormat="false" ht="15" hidden="false" customHeight="true" outlineLevel="0" collapsed="false">
      <c r="A98" s="1" t="str">
        <f aca="false">Backlog!A98</f>
        <v>NEW-0440</v>
      </c>
      <c r="B98" s="57" t="str">
        <f aca="false">IFERROR(IF(ISBLANK(INDEX(Backlog[Requirement Name],MATCH($A98,Backlog[Requirement ID],0))),"",INDEX(Backlog[Requirement Name],MATCH($A98,Backlog[Requirement ID],0))),"")</f>
        <v>Load Test + Performance Enhancements - Part 2 (Placeholder)</v>
      </c>
      <c r="C98" s="1" t="str">
        <f aca="false">IFERROR(IF(ISBLANK(INDEX(Backlog[Stream],MATCH($A98,Backlog[Requirement ID],0))),"",INDEX(Backlog[Stream],MATCH($A98,Backlog[Requirement ID],0))),"")</f>
        <v>US</v>
      </c>
      <c r="D98" s="1" t="str">
        <f aca="false">IFERROR(IF(ISBLANK(INDEX(Backlog[Jira Link],MATCH($A98,Backlog[Requirement ID],0))),"",INDEX(Backlog[Jira Link],MATCH($A98,Backlog[Requirement ID],0))),"")</f>
        <v/>
      </c>
      <c r="E98" s="1" t="str">
        <f aca="false">IFERROR(IF(ISBLANK(INDEX(Backlog[Status],MATCH($A98,Backlog[Requirement ID],0))),"",INDEX(Backlog[Status],MATCH($A98,Backlog[Requirement ID],0))),"")</f>
        <v>NEW</v>
      </c>
      <c r="F98" s="1" t="str">
        <f aca="false">IFERROR(IF(ISBLANK(INDEX(SprintPlanning[Sprint],MATCH($A98,SprintPlanning[Requirement ID],0))),"",INDEX(SprintPlanning[Sprint],MATCH($A98,SprintPlanning[Requirement ID],0))),"")</f>
        <v>Sprint 11</v>
      </c>
      <c r="G98" s="43" t="s">
        <v>387</v>
      </c>
      <c r="H98" s="58"/>
      <c r="J98" s="1" t="str">
        <f aca="false">IFERROR(IF(ISBLANK(INDEX(Backlog[Priority],MATCH($A98,Backlog[Requirement ID],0))),"",INDEX(Backlog[Priority],MATCH($A98,Backlog[Requirement ID],0))),"")</f>
        <v>High</v>
      </c>
      <c r="K98" s="1" t="s">
        <v>381</v>
      </c>
      <c r="L98" s="1" t="n">
        <f aca="false">IFERROR(IF(ISBLANK(INDEX(Backlog[HLE],MATCH($A98,Backlog[Requirement ID],0))),"",IF(INDEX(Backlog[HLE],MATCH($A98,Backlog[Requirement ID],0))&lt;=5,0.5,IF(INDEX(Backlog[HLE],MATCH($A98,Backlog[Requirement ID],0))&lt;=8,1,IF(INDEX(Backlog[HLE],MATCH($A98,Backlog[Requirement ID],0))&lt;=13,2,IF(INDEX(Backlog[HLE],MATCH($A98,Backlog[Requirement ID],0))&lt;=20,3,5))))),"")</f>
        <v>2</v>
      </c>
    </row>
    <row r="99" customFormat="false" ht="15" hidden="false" customHeight="true" outlineLevel="0" collapsed="false">
      <c r="A99" s="1" t="str">
        <f aca="false">Backlog!A99</f>
        <v>NEW-0441</v>
      </c>
      <c r="B99" s="57" t="str">
        <f aca="false">IFERROR(IF(ISBLANK(INDEX(Backlog[Requirement Name],MATCH($A99,Backlog[Requirement ID],0))),"",INDEX(Backlog[Requirement Name],MATCH($A99,Backlog[Requirement ID],0))),"")</f>
        <v>E2E Ticket Support - FAT and Canary Tests - Sprint 11</v>
      </c>
      <c r="C99" s="1" t="str">
        <f aca="false">IFERROR(IF(ISBLANK(INDEX(Backlog[Stream],MATCH($A99,Backlog[Requirement ID],0))),"",INDEX(Backlog[Stream],MATCH($A99,Backlog[Requirement ID],0))),"")</f>
        <v>Cross</v>
      </c>
      <c r="D99" s="1" t="str">
        <f aca="false">IFERROR(IF(ISBLANK(INDEX(Backlog[Jira Link],MATCH($A99,Backlog[Requirement ID],0))),"",INDEX(Backlog[Jira Link],MATCH($A99,Backlog[Requirement ID],0))),"")</f>
        <v/>
      </c>
      <c r="E99" s="1" t="str">
        <f aca="false">IFERROR(IF(ISBLANK(INDEX(Backlog[Status],MATCH($A99,Backlog[Requirement ID],0))),"",INDEX(Backlog[Status],MATCH($A99,Backlog[Requirement ID],0))),"")</f>
        <v>NEW</v>
      </c>
      <c r="F99" s="1" t="str">
        <f aca="false">IFERROR(IF(ISBLANK(INDEX(SprintPlanning[Sprint],MATCH($A99,SprintPlanning[Requirement ID],0))),"",INDEX(SprintPlanning[Sprint],MATCH($A99,SprintPlanning[Requirement ID],0))),"")</f>
        <v>Sprint 11</v>
      </c>
      <c r="G99" s="43" t="s">
        <v>387</v>
      </c>
      <c r="H99" s="58"/>
      <c r="J99" s="1" t="str">
        <f aca="false">IFERROR(IF(ISBLANK(INDEX(Backlog[Priority],MATCH($A99,Backlog[Requirement ID],0))),"",INDEX(Backlog[Priority],MATCH($A99,Backlog[Requirement ID],0))),"")</f>
        <v>Medium</v>
      </c>
      <c r="K99" s="1" t="s">
        <v>381</v>
      </c>
      <c r="L99" s="1" t="n">
        <f aca="false">IFERROR(IF(ISBLANK(INDEX(Backlog[HLE],MATCH($A99,Backlog[Requirement ID],0))),"",IF(INDEX(Backlog[HLE],MATCH($A99,Backlog[Requirement ID],0))&lt;=5,0.5,IF(INDEX(Backlog[HLE],MATCH($A99,Backlog[Requirement ID],0))&lt;=8,1,IF(INDEX(Backlog[HLE],MATCH($A99,Backlog[Requirement ID],0))&lt;=13,2,IF(INDEX(Backlog[HLE],MATCH($A99,Backlog[Requirement ID],0))&lt;=20,3,5))))),"")</f>
        <v>2</v>
      </c>
    </row>
    <row r="100" customFormat="false" ht="15" hidden="false" customHeight="true" outlineLevel="0" collapsed="false">
      <c r="A100" s="1" t="str">
        <f aca="false">Backlog!A100</f>
        <v>NEW-0442</v>
      </c>
      <c r="B100" s="57" t="str">
        <f aca="false">IFERROR(IF(ISBLANK(INDEX(Backlog[Requirement Name],MATCH($A100,Backlog[Requirement ID],0))),"",INDEX(Backlog[Requirement Name],MATCH($A100,Backlog[Requirement ID],0))),"")</f>
        <v>2nd of September Release Prep</v>
      </c>
      <c r="C100" s="1" t="str">
        <f aca="false">IFERROR(IF(ISBLANK(INDEX(Backlog[Stream],MATCH($A100,Backlog[Requirement ID],0))),"",INDEX(Backlog[Stream],MATCH($A100,Backlog[Requirement ID],0))),"")</f>
        <v>US</v>
      </c>
      <c r="D100" s="1" t="str">
        <f aca="false">IFERROR(IF(ISBLANK(INDEX(Backlog[Jira Link],MATCH($A100,Backlog[Requirement ID],0))),"",INDEX(Backlog[Jira Link],MATCH($A100,Backlog[Requirement ID],0))),"")</f>
        <v/>
      </c>
      <c r="E100" s="1" t="str">
        <f aca="false">IFERROR(IF(ISBLANK(INDEX(Backlog[Status],MATCH($A100,Backlog[Requirement ID],0))),"",INDEX(Backlog[Status],MATCH($A100,Backlog[Requirement ID],0))),"")</f>
        <v>NEW</v>
      </c>
      <c r="F100" s="1" t="str">
        <f aca="false">IFERROR(IF(ISBLANK(INDEX(SprintPlanning[Sprint],MATCH($A100,SprintPlanning[Requirement ID],0))),"",INDEX(SprintPlanning[Sprint],MATCH($A100,SprintPlanning[Requirement ID],0))),"")</f>
        <v>Sprint 11</v>
      </c>
      <c r="G100" s="43" t="s">
        <v>387</v>
      </c>
      <c r="H100" s="58"/>
      <c r="J100" s="1" t="str">
        <f aca="false">IFERROR(IF(ISBLANK(INDEX(Backlog[Priority],MATCH($A100,Backlog[Requirement ID],0))),"",INDEX(Backlog[Priority],MATCH($A100,Backlog[Requirement ID],0))),"")</f>
        <v>High</v>
      </c>
      <c r="K100" s="1" t="s">
        <v>381</v>
      </c>
      <c r="L100" s="1" t="n">
        <f aca="false">IFERROR(IF(ISBLANK(INDEX(Backlog[HLE],MATCH($A100,Backlog[Requirement ID],0))),"",IF(INDEX(Backlog[HLE],MATCH($A100,Backlog[Requirement ID],0))&lt;=5,0.5,IF(INDEX(Backlog[HLE],MATCH($A100,Backlog[Requirement ID],0))&lt;=8,1,IF(INDEX(Backlog[HLE],MATCH($A100,Backlog[Requirement ID],0))&lt;=13,2,IF(INDEX(Backlog[HLE],MATCH($A100,Backlog[Requirement ID],0))&lt;=20,3,5))))),"")</f>
        <v>2</v>
      </c>
    </row>
    <row r="101" customFormat="false" ht="15" hidden="false" customHeight="true" outlineLevel="0" collapsed="false">
      <c r="A101" s="1" t="str">
        <f aca="false">Backlog!A101</f>
        <v>NEW-0443</v>
      </c>
      <c r="B101" s="57" t="str">
        <f aca="false">IFERROR(IF(ISBLANK(INDEX(Backlog[Requirement Name],MATCH($A101,Backlog[Requirement ID],0))),"",INDEX(Backlog[Requirement Name],MATCH($A101,Backlog[Requirement ID],0))),"")</f>
        <v>MyMSC Login after Purchase in Booking Funnel</v>
      </c>
      <c r="C101" s="1" t="str">
        <f aca="false">IFERROR(IF(ISBLANK(INDEX(Backlog[Stream],MATCH($A101,Backlog[Requirement ID],0))),"",INDEX(Backlog[Stream],MATCH($A101,Backlog[Requirement ID],0))),"")</f>
        <v>MyMSC</v>
      </c>
      <c r="D101" s="1" t="str">
        <f aca="false">IFERROR(IF(ISBLANK(INDEX(Backlog[Jira Link],MATCH($A101,Backlog[Requirement ID],0))),"",INDEX(Backlog[Jira Link],MATCH($A101,Backlog[Requirement ID],0))),"")</f>
        <v>https://smartship.atlassian.net/browse/DTTP25-42351</v>
      </c>
      <c r="E101" s="1" t="str">
        <f aca="false">IFERROR(IF(ISBLANK(INDEX(Backlog[Status],MATCH($A101,Backlog[Requirement ID],0))),"",INDEX(Backlog[Status],MATCH($A101,Backlog[Requirement ID],0))),"")</f>
        <v>NEW</v>
      </c>
      <c r="F101" s="1" t="str">
        <f aca="false">IFERROR(IF(ISBLANK(INDEX(SprintPlanning[Sprint],MATCH($A101,SprintPlanning[Requirement ID],0))),"",INDEX(SprintPlanning[Sprint],MATCH($A101,SprintPlanning[Requirement ID],0))),"")</f>
        <v/>
      </c>
      <c r="H101" s="58"/>
      <c r="J101" s="1" t="str">
        <f aca="false">IFERROR(IF(ISBLANK(INDEX(Backlog[Priority],MATCH($A101,Backlog[Requirement ID],0))),"",INDEX(Backlog[Priority],MATCH($A101,Backlog[Requirement ID],0))),"")</f>
        <v>Critical</v>
      </c>
      <c r="L101" s="1" t="n">
        <f aca="false">IFERROR(IF(ISBLANK(INDEX(Backlog[HLE],MATCH($A101,Backlog[Requirement ID],0))),"",IF(INDEX(Backlog[HLE],MATCH($A101,Backlog[Requirement ID],0))&lt;=5,0.5,IF(INDEX(Backlog[HLE],MATCH($A101,Backlog[Requirement ID],0))&lt;=8,1,IF(INDEX(Backlog[HLE],MATCH($A101,Backlog[Requirement ID],0))&lt;=13,2,IF(INDEX(Backlog[HLE],MATCH($A101,Backlog[Requirement ID],0))&lt;=20,3,5))))),"")</f>
        <v>0.5</v>
      </c>
    </row>
    <row r="102" customFormat="false" ht="15" hidden="false" customHeight="true" outlineLevel="0" collapsed="false">
      <c r="A102" s="1" t="str">
        <f aca="false">Backlog!A102</f>
        <v>NEW-0444</v>
      </c>
      <c r="B102" s="57" t="str">
        <f aca="false">IFERROR(IF(ISBLANK(INDEX(Backlog[Requirement Name],MATCH($A102,Backlog[Requirement ID],0))),"",INDEX(Backlog[Requirement Name],MATCH($A102,Backlog[Requirement ID],0))),"")</f>
        <v>M4M Configuration of AU+DE markets</v>
      </c>
      <c r="C102" s="1" t="str">
        <f aca="false">IFERROR(IF(ISBLANK(INDEX(Backlog[Stream],MATCH($A102,Backlog[Requirement ID],0))),"",INDEX(Backlog[Stream],MATCH($A102,Backlog[Requirement ID],0))),"")</f>
        <v>M4M</v>
      </c>
      <c r="D102" s="1" t="str">
        <f aca="false">IFERROR(IF(ISBLANK(INDEX(Backlog[Jira Link],MATCH($A102,Backlog[Requirement ID],0))),"",INDEX(Backlog[Jira Link],MATCH($A102,Backlog[Requirement ID],0))),"")</f>
        <v/>
      </c>
      <c r="E102" s="1" t="str">
        <f aca="false">IFERROR(IF(ISBLANK(INDEX(Backlog[Status],MATCH($A102,Backlog[Requirement ID],0))),"",INDEX(Backlog[Status],MATCH($A102,Backlog[Requirement ID],0))),"")</f>
        <v>NEW</v>
      </c>
      <c r="F102" s="1" t="str">
        <f aca="false">IFERROR(IF(ISBLANK(INDEX(SprintPlanning[Sprint],MATCH($A102,SprintPlanning[Requirement ID],0))),"",INDEX(SprintPlanning[Sprint],MATCH($A102,SprintPlanning[Requirement ID],0))),"")</f>
        <v/>
      </c>
      <c r="H102" s="58"/>
      <c r="J102" s="1" t="str">
        <f aca="false">IFERROR(IF(ISBLANK(INDEX(Backlog[Priority],MATCH($A102,Backlog[Requirement ID],0))),"",INDEX(Backlog[Priority],MATCH($A102,Backlog[Requirement ID],0))),"")</f>
        <v>High</v>
      </c>
      <c r="L102" s="1" t="str">
        <f aca="false">IFERROR(IF(ISBLANK(INDEX(Backlog[HLE],MATCH($A102,Backlog[Requirement ID],0))),"",IF(INDEX(Backlog[HLE],MATCH($A102,Backlog[Requirement ID],0))&lt;=5,0.5,IF(INDEX(Backlog[HLE],MATCH($A102,Backlog[Requirement ID],0))&lt;=8,1,IF(INDEX(Backlog[HLE],MATCH($A102,Backlog[Requirement ID],0))&lt;=13,2,IF(INDEX(Backlog[HLE],MATCH($A102,Backlog[Requirement ID],0))&lt;=20,3,5))))),"")</f>
        <v/>
      </c>
    </row>
    <row r="103" customFormat="false" ht="15" hidden="false" customHeight="true" outlineLevel="0" collapsed="false">
      <c r="A103" s="1" t="str">
        <f aca="false">Backlog!A103</f>
        <v>NEW-0445</v>
      </c>
      <c r="B103" s="57" t="str">
        <f aca="false">IFERROR(IF(ISBLANK(INDEX(Backlog[Requirement Name],MATCH($A103,Backlog[Requirement ID],0))),"",INDEX(Backlog[Requirement Name],MATCH($A103,Backlog[Requirement ID],0))),"")</f>
        <v>M4M New Fields on INT181</v>
      </c>
      <c r="C103" s="1" t="str">
        <f aca="false">IFERROR(IF(ISBLANK(INDEX(Backlog[Stream],MATCH($A103,Backlog[Requirement ID],0))),"",INDEX(Backlog[Stream],MATCH($A103,Backlog[Requirement ID],0))),"")</f>
        <v>M4M</v>
      </c>
      <c r="D103" s="1" t="str">
        <f aca="false">IFERROR(IF(ISBLANK(INDEX(Backlog[Jira Link],MATCH($A103,Backlog[Requirement ID],0))),"",INDEX(Backlog[Jira Link],MATCH($A103,Backlog[Requirement ID],0))),"")</f>
        <v/>
      </c>
      <c r="E103" s="1" t="str">
        <f aca="false">IFERROR(IF(ISBLANK(INDEX(Backlog[Status],MATCH($A103,Backlog[Requirement ID],0))),"",INDEX(Backlog[Status],MATCH($A103,Backlog[Requirement ID],0))),"")</f>
        <v>NEW</v>
      </c>
      <c r="F103" s="1" t="str">
        <f aca="false">IFERROR(IF(ISBLANK(INDEX(SprintPlanning[Sprint],MATCH($A103,SprintPlanning[Requirement ID],0))),"",INDEX(SprintPlanning[Sprint],MATCH($A103,SprintPlanning[Requirement ID],0))),"")</f>
        <v/>
      </c>
      <c r="H103" s="58"/>
      <c r="J103" s="1" t="str">
        <f aca="false">IFERROR(IF(ISBLANK(INDEX(Backlog[Priority],MATCH($A103,Backlog[Requirement ID],0))),"",INDEX(Backlog[Priority],MATCH($A103,Backlog[Requirement ID],0))),"")</f>
        <v>Medium</v>
      </c>
      <c r="L103" s="1" t="str">
        <f aca="false">IFERROR(IF(ISBLANK(INDEX(Backlog[HLE],MATCH($A103,Backlog[Requirement ID],0))),"",IF(INDEX(Backlog[HLE],MATCH($A103,Backlog[Requirement ID],0))&lt;=5,0.5,IF(INDEX(Backlog[HLE],MATCH($A103,Backlog[Requirement ID],0))&lt;=8,1,IF(INDEX(Backlog[HLE],MATCH($A103,Backlog[Requirement ID],0))&lt;=13,2,IF(INDEX(Backlog[HLE],MATCH($A103,Backlog[Requirement ID],0))&lt;=20,3,5))))),"")</f>
        <v/>
      </c>
    </row>
    <row r="104" customFormat="false" ht="15" hidden="false" customHeight="true" outlineLevel="0" collapsed="false">
      <c r="A104" s="1" t="str">
        <f aca="false">Backlog!A104</f>
        <v>NEW-0446</v>
      </c>
      <c r="B104" s="57" t="str">
        <f aca="false">IFERROR(IF(ISBLANK(INDEX(Backlog[Requirement Name],MATCH($A104,Backlog[Requirement ID],0))),"",INDEX(Backlog[Requirement Name],MATCH($A104,Backlog[Requirement ID],0))),"")</f>
        <v>M4M Gender in Marketing email in INT188</v>
      </c>
      <c r="C104" s="1" t="str">
        <f aca="false">IFERROR(IF(ISBLANK(INDEX(Backlog[Stream],MATCH($A104,Backlog[Requirement ID],0))),"",INDEX(Backlog[Stream],MATCH($A104,Backlog[Requirement ID],0))),"")</f>
        <v>M4M</v>
      </c>
      <c r="D104" s="1" t="str">
        <f aca="false">IFERROR(IF(ISBLANK(INDEX(Backlog[Jira Link],MATCH($A104,Backlog[Requirement ID],0))),"",INDEX(Backlog[Jira Link],MATCH($A104,Backlog[Requirement ID],0))),"")</f>
        <v/>
      </c>
      <c r="E104" s="1" t="str">
        <f aca="false">IFERROR(IF(ISBLANK(INDEX(Backlog[Status],MATCH($A104,Backlog[Requirement ID],0))),"",INDEX(Backlog[Status],MATCH($A104,Backlog[Requirement ID],0))),"")</f>
        <v>NEW</v>
      </c>
      <c r="F104" s="1" t="str">
        <f aca="false">IFERROR(IF(ISBLANK(INDEX(SprintPlanning[Sprint],MATCH($A104,SprintPlanning[Requirement ID],0))),"",INDEX(SprintPlanning[Sprint],MATCH($A104,SprintPlanning[Requirement ID],0))),"")</f>
        <v/>
      </c>
      <c r="H104" s="58"/>
      <c r="J104" s="1" t="str">
        <f aca="false">IFERROR(IF(ISBLANK(INDEX(Backlog[Priority],MATCH($A104,Backlog[Requirement ID],0))),"",INDEX(Backlog[Priority],MATCH($A104,Backlog[Requirement ID],0))),"")</f>
        <v>Medium</v>
      </c>
      <c r="L104" s="1" t="str">
        <f aca="false">IFERROR(IF(ISBLANK(INDEX(Backlog[HLE],MATCH($A104,Backlog[Requirement ID],0))),"",IF(INDEX(Backlog[HLE],MATCH($A104,Backlog[Requirement ID],0))&lt;=5,0.5,IF(INDEX(Backlog[HLE],MATCH($A104,Backlog[Requirement ID],0))&lt;=8,1,IF(INDEX(Backlog[HLE],MATCH($A104,Backlog[Requirement ID],0))&lt;=13,2,IF(INDEX(Backlog[HLE],MATCH($A104,Backlog[Requirement ID],0))&lt;=20,3,5))))),"")</f>
        <v/>
      </c>
    </row>
    <row r="105" customFormat="false" ht="15" hidden="false" customHeight="true" outlineLevel="0" collapsed="false">
      <c r="A105" s="1" t="str">
        <f aca="false">Backlog!A105</f>
        <v>NEW-0447</v>
      </c>
      <c r="B105" s="57" t="str">
        <f aca="false">IFERROR(IF(ISBLANK(INDEX(Backlog[Requirement Name],MATCH($A105,Backlog[Requirement ID],0))),"",INDEX(Backlog[Requirement Name],MATCH($A105,Backlog[Requirement ID],0))),"")</f>
        <v>M4M Datatrans information in INT188 response</v>
      </c>
      <c r="C105" s="1" t="str">
        <f aca="false">IFERROR(IF(ISBLANK(INDEX(Backlog[Stream],MATCH($A105,Backlog[Requirement ID],0))),"",INDEX(Backlog[Stream],MATCH($A105,Backlog[Requirement ID],0))),"")</f>
        <v>M4M</v>
      </c>
      <c r="D105" s="1" t="str">
        <f aca="false">IFERROR(IF(ISBLANK(INDEX(Backlog[Jira Link],MATCH($A105,Backlog[Requirement ID],0))),"",INDEX(Backlog[Jira Link],MATCH($A105,Backlog[Requirement ID],0))),"")</f>
        <v/>
      </c>
      <c r="E105" s="1" t="str">
        <f aca="false">IFERROR(IF(ISBLANK(INDEX(Backlog[Status],MATCH($A105,Backlog[Requirement ID],0))),"",INDEX(Backlog[Status],MATCH($A105,Backlog[Requirement ID],0))),"")</f>
        <v>NEW</v>
      </c>
      <c r="F105" s="1" t="str">
        <f aca="false">IFERROR(IF(ISBLANK(INDEX(SprintPlanning[Sprint],MATCH($A105,SprintPlanning[Requirement ID],0))),"",INDEX(SprintPlanning[Sprint],MATCH($A105,SprintPlanning[Requirement ID],0))),"")</f>
        <v/>
      </c>
      <c r="H105" s="58"/>
      <c r="J105" s="1" t="str">
        <f aca="false">IFERROR(IF(ISBLANK(INDEX(Backlog[Priority],MATCH($A105,Backlog[Requirement ID],0))),"",INDEX(Backlog[Priority],MATCH($A105,Backlog[Requirement ID],0))),"")</f>
        <v>Medium</v>
      </c>
      <c r="L105" s="1" t="str">
        <f aca="false">IFERROR(IF(ISBLANK(INDEX(Backlog[HLE],MATCH($A105,Backlog[Requirement ID],0))),"",IF(INDEX(Backlog[HLE],MATCH($A105,Backlog[Requirement ID],0))&lt;=5,0.5,IF(INDEX(Backlog[HLE],MATCH($A105,Backlog[Requirement ID],0))&lt;=8,1,IF(INDEX(Backlog[HLE],MATCH($A105,Backlog[Requirement ID],0))&lt;=13,2,IF(INDEX(Backlog[HLE],MATCH($A105,Backlog[Requirement ID],0))&lt;=20,3,5))))),"")</f>
        <v/>
      </c>
    </row>
    <row r="106" customFormat="false" ht="15" hidden="false" customHeight="true" outlineLevel="0" collapsed="false">
      <c r="A106" s="1" t="str">
        <f aca="false">Backlog!A106</f>
        <v>NEW-0448</v>
      </c>
      <c r="B106" s="57" t="str">
        <f aca="false">IFERROR(IF(ISBLANK(INDEX(Backlog[Requirement Name],MATCH($A106,Backlog[Requirement ID],0))),"",INDEX(Backlog[Requirement Name],MATCH($A106,Backlog[Requirement ID],0))),"")</f>
        <v>MYMSC | Club enrollment template checkpoint</v>
      </c>
      <c r="C106" s="1" t="str">
        <f aca="false">IFERROR(IF(ISBLANK(INDEX(Backlog[Stream],MATCH($A106,Backlog[Requirement ID],0))),"",INDEX(Backlog[Stream],MATCH($A106,Backlog[Requirement ID],0))),"")</f>
        <v>MyMSC</v>
      </c>
      <c r="D106" s="1" t="str">
        <f aca="false">IFERROR(IF(ISBLANK(INDEX(Backlog[Jira Link],MATCH($A106,Backlog[Requirement ID],0))),"",INDEX(Backlog[Jira Link],MATCH($A106,Backlog[Requirement ID],0))),"")</f>
        <v/>
      </c>
      <c r="E106" s="1" t="str">
        <f aca="false">IFERROR(IF(ISBLANK(INDEX(Backlog[Status],MATCH($A106,Backlog[Requirement ID],0))),"",INDEX(Backlog[Status],MATCH($A106,Backlog[Requirement ID],0))),"")</f>
        <v>NEW</v>
      </c>
      <c r="F106" s="1" t="str">
        <f aca="false">IFERROR(IF(ISBLANK(INDEX(SprintPlanning[Sprint],MATCH($A106,SprintPlanning[Requirement ID],0))),"",INDEX(SprintPlanning[Sprint],MATCH($A106,SprintPlanning[Requirement ID],0))),"")</f>
        <v/>
      </c>
      <c r="H106" s="58"/>
      <c r="J106" s="1" t="str">
        <f aca="false">IFERROR(IF(ISBLANK(INDEX(Backlog[Priority],MATCH($A106,Backlog[Requirement ID],0))),"",INDEX(Backlog[Priority],MATCH($A106,Backlog[Requirement ID],0))),"")</f>
        <v>High</v>
      </c>
      <c r="L106" s="1" t="n">
        <f aca="false">IFERROR(IF(ISBLANK(INDEX(Backlog[HLE],MATCH($A106,Backlog[Requirement ID],0))),"",IF(INDEX(Backlog[HLE],MATCH($A106,Backlog[Requirement ID],0))&lt;=5,0.5,IF(INDEX(Backlog[HLE],MATCH($A106,Backlog[Requirement ID],0))&lt;=8,1,IF(INDEX(Backlog[HLE],MATCH($A106,Backlog[Requirement ID],0))&lt;=13,2,IF(INDEX(Backlog[HLE],MATCH($A106,Backlog[Requirement ID],0))&lt;=20,3,5))))),"")</f>
        <v>2</v>
      </c>
    </row>
    <row r="107" customFormat="false" ht="15" hidden="false" customHeight="true" outlineLevel="0" collapsed="false">
      <c r="A107" s="1" t="str">
        <f aca="false">Backlog!A107</f>
        <v>NEW-0449</v>
      </c>
      <c r="B107" s="57" t="str">
        <f aca="false">IFERROR(IF(ISBLANK(INDEX(Backlog[Requirement Name],MATCH($A107,Backlog[Requirement ID],0))),"",INDEX(Backlog[Requirement Name],MATCH($A107,Backlog[Requirement ID],0))),"")</f>
        <v>Restructure the orchestration of INT188</v>
      </c>
      <c r="C107" s="1" t="str">
        <f aca="false">IFERROR(IF(ISBLANK(INDEX(Backlog[Stream],MATCH($A107,Backlog[Requirement ID],0))),"",INDEX(Backlog[Stream],MATCH($A107,Backlog[Requirement ID],0))),"")</f>
        <v>M4M</v>
      </c>
      <c r="D107" s="1" t="str">
        <f aca="false">IFERROR(IF(ISBLANK(INDEX(Backlog[Jira Link],MATCH($A107,Backlog[Requirement ID],0))),"",INDEX(Backlog[Jira Link],MATCH($A107,Backlog[Requirement ID],0))),"")</f>
        <v>https://smartship.atlassian.net/browse/DTTP25-42277</v>
      </c>
      <c r="E107" s="1" t="str">
        <f aca="false">IFERROR(IF(ISBLANK(INDEX(Backlog[Status],MATCH($A107,Backlog[Requirement ID],0))),"",INDEX(Backlog[Status],MATCH($A107,Backlog[Requirement ID],0))),"")</f>
        <v>NEW</v>
      </c>
      <c r="F107" s="1" t="str">
        <f aca="false">IFERROR(IF(ISBLANK(INDEX(SprintPlanning[Sprint],MATCH($A107,SprintPlanning[Requirement ID],0))),"",INDEX(SprintPlanning[Sprint],MATCH($A107,SprintPlanning[Requirement ID],0))),"")</f>
        <v>Sprint 12</v>
      </c>
      <c r="G107" s="43" t="s">
        <v>387</v>
      </c>
      <c r="H107" s="58"/>
      <c r="J107" s="1" t="str">
        <f aca="false">IFERROR(IF(ISBLANK(INDEX(Backlog[Priority],MATCH($A107,Backlog[Requirement ID],0))),"",INDEX(Backlog[Priority],MATCH($A107,Backlog[Requirement ID],0))),"")</f>
        <v>High</v>
      </c>
      <c r="K107" s="1" t="s">
        <v>382</v>
      </c>
      <c r="L107" s="1" t="n">
        <f aca="false">IFERROR(IF(ISBLANK(INDEX(Backlog[HLE],MATCH($A107,Backlog[Requirement ID],0))),"",IF(INDEX(Backlog[HLE],MATCH($A107,Backlog[Requirement ID],0))&lt;=5,0.5,IF(INDEX(Backlog[HLE],MATCH($A107,Backlog[Requirement ID],0))&lt;=8,1,IF(INDEX(Backlog[HLE],MATCH($A107,Backlog[Requirement ID],0))&lt;=13,2,IF(INDEX(Backlog[HLE],MATCH($A107,Backlog[Requirement ID],0))&lt;=20,3,5))))),"")</f>
        <v>0.5</v>
      </c>
    </row>
    <row r="108" customFormat="false" ht="15" hidden="false" customHeight="true" outlineLevel="0" collapsed="false">
      <c r="A108" s="1" t="str">
        <f aca="false">Backlog!A108</f>
        <v>NEW-0451</v>
      </c>
      <c r="B108" s="57" t="str">
        <f aca="false">IFERROR(IF(ISBLANK(INDEX(Backlog[Requirement Name],MATCH($A108,Backlog[Requirement ID],0))),"",INDEX(Backlog[Requirement Name],MATCH($A108,Backlog[Requirement ID],0))),"")</f>
        <v>[INT188] EAPI incorrectly calling CHUB</v>
      </c>
      <c r="C108" s="1" t="str">
        <f aca="false">IFERROR(IF(ISBLANK(INDEX(Backlog[Stream],MATCH($A108,Backlog[Requirement ID],0))),"",INDEX(Backlog[Stream],MATCH($A108,Backlog[Requirement ID],0))),"")</f>
        <v>M4M</v>
      </c>
      <c r="D108" s="1" t="str">
        <f aca="false">IFERROR(IF(ISBLANK(INDEX(Backlog[Jira Link],MATCH($A108,Backlog[Requirement ID],0))),"",INDEX(Backlog[Jira Link],MATCH($A108,Backlog[Requirement ID],0))),"")</f>
        <v/>
      </c>
      <c r="E108" s="1" t="str">
        <f aca="false">IFERROR(IF(ISBLANK(INDEX(Backlog[Status],MATCH($A108,Backlog[Requirement ID],0))),"",INDEX(Backlog[Status],MATCH($A108,Backlog[Requirement ID],0))),"")</f>
        <v>NEW</v>
      </c>
      <c r="F108" s="1" t="str">
        <f aca="false">IFERROR(IF(ISBLANK(INDEX(SprintPlanning[Sprint],MATCH($A108,SprintPlanning[Requirement ID],0))),"",INDEX(SprintPlanning[Sprint],MATCH($A108,SprintPlanning[Requirement ID],0))),"")</f>
        <v>Sprint 11</v>
      </c>
      <c r="G108" s="43" t="s">
        <v>387</v>
      </c>
      <c r="H108" s="58"/>
      <c r="J108" s="1" t="str">
        <f aca="false">IFERROR(IF(ISBLANK(INDEX(Backlog[Priority],MATCH($A108,Backlog[Requirement ID],0))),"",INDEX(Backlog[Priority],MATCH($A108,Backlog[Requirement ID],0))),"")</f>
        <v>High</v>
      </c>
      <c r="K108" s="1" t="s">
        <v>382</v>
      </c>
      <c r="L108" s="1" t="n">
        <f aca="false">IFERROR(IF(ISBLANK(INDEX(Backlog[HLE],MATCH($A108,Backlog[Requirement ID],0))),"",IF(INDEX(Backlog[HLE],MATCH($A108,Backlog[Requirement ID],0))&lt;=5,0.5,IF(INDEX(Backlog[HLE],MATCH($A108,Backlog[Requirement ID],0))&lt;=8,1,IF(INDEX(Backlog[HLE],MATCH($A108,Backlog[Requirement ID],0))&lt;=13,2,IF(INDEX(Backlog[HLE],MATCH($A108,Backlog[Requirement ID],0))&lt;=20,3,5))))),"")</f>
        <v>0.5</v>
      </c>
    </row>
    <row r="109" customFormat="false" ht="15" hidden="false" customHeight="true" outlineLevel="0" collapsed="false">
      <c r="A109" s="1" t="str">
        <f aca="false">Backlog!A109</f>
        <v>NEW-0452</v>
      </c>
      <c r="B109" s="57" t="str">
        <f aca="false">IFERROR(IF(ISBLANK(INDEX(Backlog[Requirement Name],MATCH($A109,Backlog[Requirement ID],0))),"",INDEX(Backlog[Requirement Name],MATCH($A109,Backlog[Requirement ID],0))),"")</f>
        <v>MSC-US | Homeless Email Flexibility - Additional Requirement</v>
      </c>
      <c r="C109" s="1" t="str">
        <f aca="false">IFERROR(IF(ISBLANK(INDEX(Backlog[Stream],MATCH($A109,Backlog[Requirement ID],0))),"",INDEX(Backlog[Stream],MATCH($A109,Backlog[Requirement ID],0))),"")</f>
        <v>US</v>
      </c>
      <c r="D109" s="1" t="str">
        <f aca="false">IFERROR(IF(ISBLANK(INDEX(Backlog[Jira Link],MATCH($A109,Backlog[Requirement ID],0))),"",INDEX(Backlog[Jira Link],MATCH($A109,Backlog[Requirement ID],0))),"")</f>
        <v/>
      </c>
      <c r="E109" s="1" t="str">
        <f aca="false">IFERROR(IF(ISBLANK(INDEX(Backlog[Status],MATCH($A109,Backlog[Requirement ID],0))),"",INDEX(Backlog[Status],MATCH($A109,Backlog[Requirement ID],0))),"")</f>
        <v>NA</v>
      </c>
      <c r="F109" s="1" t="str">
        <f aca="false">IFERROR(IF(ISBLANK(INDEX(SprintPlanning[Sprint],MATCH($A109,SprintPlanning[Requirement ID],0))),"",INDEX(SprintPlanning[Sprint],MATCH($A109,SprintPlanning[Requirement ID],0))),"")</f>
        <v/>
      </c>
      <c r="H109" s="58"/>
      <c r="J109" s="1" t="str">
        <f aca="false">IFERROR(IF(ISBLANK(INDEX(Backlog[Priority],MATCH($A109,Backlog[Requirement ID],0))),"",INDEX(Backlog[Priority],MATCH($A109,Backlog[Requirement ID],0))),"")</f>
        <v>Medium</v>
      </c>
      <c r="L109" s="1" t="str">
        <f aca="false">IFERROR(IF(ISBLANK(INDEX(Backlog[HLE],MATCH($A109,Backlog[Requirement ID],0))),"",IF(INDEX(Backlog[HLE],MATCH($A109,Backlog[Requirement ID],0))&lt;=5,0.5,IF(INDEX(Backlog[HLE],MATCH($A109,Backlog[Requirement ID],0))&lt;=8,1,IF(INDEX(Backlog[HLE],MATCH($A109,Backlog[Requirement ID],0))&lt;=13,2,IF(INDEX(Backlog[HLE],MATCH($A109,Backlog[Requirement ID],0))&lt;=20,3,5))))),"")</f>
        <v/>
      </c>
    </row>
    <row r="110" customFormat="false" ht="15" hidden="false" customHeight="true" outlineLevel="0" collapsed="false">
      <c r="A110" s="1" t="str">
        <f aca="false">Backlog!A110</f>
        <v/>
      </c>
      <c r="B110" s="57" t="str">
        <f aca="false">IFERROR(IF(ISBLANK(INDEX(Backlog[Requirement Name],MATCH($A110,Backlog[Requirement ID],0))),"",INDEX(Backlog[Requirement Name],MATCH($A110,Backlog[Requirement ID],0))),"")</f>
        <v/>
      </c>
      <c r="C110" s="1" t="str">
        <f aca="false">IFERROR(IF(ISBLANK(INDEX(Backlog[Stream],MATCH($A110,Backlog[Requirement ID],0))),"",INDEX(Backlog[Stream],MATCH($A110,Backlog[Requirement ID],0))),"")</f>
        <v/>
      </c>
      <c r="D110" s="1" t="str">
        <f aca="false">IFERROR(IF(ISBLANK(INDEX(Backlog[Jira Link],MATCH($A110,Backlog[Requirement ID],0))),"",INDEX(Backlog[Jira Link],MATCH($A110,Backlog[Requirement ID],0))),"")</f>
        <v/>
      </c>
      <c r="E110" s="1" t="str">
        <f aca="false">IFERROR(IF(ISBLANK(INDEX(Backlog[Status],MATCH($A110,Backlog[Requirement ID],0))),"",INDEX(Backlog[Status],MATCH($A110,Backlog[Requirement ID],0))),"")</f>
        <v/>
      </c>
      <c r="F110" s="1" t="str">
        <f aca="false">IFERROR(IF(ISBLANK(INDEX(SprintPlanning[Sprint],MATCH($A110,SprintPlanning[Requirement ID],0))),"",INDEX(SprintPlanning[Sprint],MATCH($A110,SprintPlanning[Requirement ID],0))),"")</f>
        <v/>
      </c>
      <c r="H110" s="58"/>
      <c r="J110" s="1" t="str">
        <f aca="false">IFERROR(IF(ISBLANK(INDEX(Backlog[Priority],MATCH($A110,Backlog[Requirement ID],0))),"",INDEX(Backlog[Priority],MATCH($A110,Backlog[Requirement ID],0))),"")</f>
        <v/>
      </c>
      <c r="L110" s="1" t="str">
        <f aca="false">IFERROR(IF(ISBLANK(INDEX(Backlog[HLE],MATCH($A110,Backlog[Requirement ID],0))),"",IF(INDEX(Backlog[HLE],MATCH($A110,Backlog[Requirement ID],0))&lt;=5,0.5,IF(INDEX(Backlog[HLE],MATCH($A110,Backlog[Requirement ID],0))&lt;=8,1,IF(INDEX(Backlog[HLE],MATCH($A110,Backlog[Requirement ID],0))&lt;=13,2,IF(INDEX(Backlog[HLE],MATCH($A110,Backlog[Requirement ID],0))&lt;=20,3,5))))),"")</f>
        <v/>
      </c>
    </row>
    <row r="111" customFormat="false" ht="15" hidden="false" customHeight="true" outlineLevel="0" collapsed="false">
      <c r="A111" s="1" t="str">
        <f aca="false">Backlog!A111</f>
        <v/>
      </c>
      <c r="B111" s="57" t="str">
        <f aca="false">IFERROR(IF(ISBLANK(INDEX(Backlog[Requirement Name],MATCH($A111,Backlog[Requirement ID],0))),"",INDEX(Backlog[Requirement Name],MATCH($A111,Backlog[Requirement ID],0))),"")</f>
        <v/>
      </c>
      <c r="C111" s="1" t="str">
        <f aca="false">IFERROR(IF(ISBLANK(INDEX(Backlog[Stream],MATCH($A111,Backlog[Requirement ID],0))),"",INDEX(Backlog[Stream],MATCH($A111,Backlog[Requirement ID],0))),"")</f>
        <v/>
      </c>
      <c r="D111" s="1" t="str">
        <f aca="false">IFERROR(IF(ISBLANK(INDEX(Backlog[Jira Link],MATCH($A111,Backlog[Requirement ID],0))),"",INDEX(Backlog[Jira Link],MATCH($A111,Backlog[Requirement ID],0))),"")</f>
        <v/>
      </c>
      <c r="E111" s="1" t="str">
        <f aca="false">IFERROR(IF(ISBLANK(INDEX(Backlog[Status],MATCH($A111,Backlog[Requirement ID],0))),"",INDEX(Backlog[Status],MATCH($A111,Backlog[Requirement ID],0))),"")</f>
        <v/>
      </c>
      <c r="F111" s="1" t="str">
        <f aca="false">IFERROR(IF(ISBLANK(INDEX(SprintPlanning[Sprint],MATCH($A111,SprintPlanning[Requirement ID],0))),"",INDEX(SprintPlanning[Sprint],MATCH($A111,SprintPlanning[Requirement ID],0))),"")</f>
        <v/>
      </c>
      <c r="H111" s="58"/>
      <c r="J111" s="1" t="str">
        <f aca="false">IFERROR(IF(ISBLANK(INDEX(Backlog[Priority],MATCH($A111,Backlog[Requirement ID],0))),"",INDEX(Backlog[Priority],MATCH($A111,Backlog[Requirement ID],0))),"")</f>
        <v/>
      </c>
      <c r="L111" s="1" t="str">
        <f aca="false">IFERROR(IF(ISBLANK(INDEX(Backlog[HLE],MATCH($A111,Backlog[Requirement ID],0))),"",IF(INDEX(Backlog[HLE],MATCH($A111,Backlog[Requirement ID],0))&lt;=5,0.5,IF(INDEX(Backlog[HLE],MATCH($A111,Backlog[Requirement ID],0))&lt;=8,1,IF(INDEX(Backlog[HLE],MATCH($A111,Backlog[Requirement ID],0))&lt;=13,2,IF(INDEX(Backlog[HLE],MATCH($A111,Backlog[Requirement ID],0))&lt;=20,3,5))))),"")</f>
        <v/>
      </c>
    </row>
    <row r="112" customFormat="false" ht="15" hidden="false" customHeight="true" outlineLevel="0" collapsed="false">
      <c r="A112" s="1" t="str">
        <f aca="false">Backlog!A112</f>
        <v/>
      </c>
      <c r="B112" s="57" t="str">
        <f aca="false">IFERROR(IF(ISBLANK(INDEX(Backlog[Requirement Name],MATCH($A112,Backlog[Requirement ID],0))),"",INDEX(Backlog[Requirement Name],MATCH($A112,Backlog[Requirement ID],0))),"")</f>
        <v/>
      </c>
      <c r="C112" s="1" t="str">
        <f aca="false">IFERROR(IF(ISBLANK(INDEX(Backlog[Stream],MATCH($A112,Backlog[Requirement ID],0))),"",INDEX(Backlog[Stream],MATCH($A112,Backlog[Requirement ID],0))),"")</f>
        <v/>
      </c>
      <c r="D112" s="1" t="str">
        <f aca="false">IFERROR(IF(ISBLANK(INDEX(Backlog[Jira Link],MATCH($A112,Backlog[Requirement ID],0))),"",INDEX(Backlog[Jira Link],MATCH($A112,Backlog[Requirement ID],0))),"")</f>
        <v/>
      </c>
      <c r="E112" s="1" t="str">
        <f aca="false">IFERROR(IF(ISBLANK(INDEX(Backlog[Status],MATCH($A112,Backlog[Requirement ID],0))),"",INDEX(Backlog[Status],MATCH($A112,Backlog[Requirement ID],0))),"")</f>
        <v/>
      </c>
      <c r="F112" s="1" t="str">
        <f aca="false">IFERROR(IF(ISBLANK(INDEX(SprintPlanning[Sprint],MATCH($A112,SprintPlanning[Requirement ID],0))),"",INDEX(SprintPlanning[Sprint],MATCH($A112,SprintPlanning[Requirement ID],0))),"")</f>
        <v/>
      </c>
      <c r="H112" s="58"/>
      <c r="J112" s="1" t="str">
        <f aca="false">IFERROR(IF(ISBLANK(INDEX(Backlog[Priority],MATCH($A112,Backlog[Requirement ID],0))),"",INDEX(Backlog[Priority],MATCH($A112,Backlog[Requirement ID],0))),"")</f>
        <v/>
      </c>
      <c r="L112" s="1" t="str">
        <f aca="false">IFERROR(IF(ISBLANK(INDEX(Backlog[HLE],MATCH($A112,Backlog[Requirement ID],0))),"",IF(INDEX(Backlog[HLE],MATCH($A112,Backlog[Requirement ID],0))&lt;=5,0.5,IF(INDEX(Backlog[HLE],MATCH($A112,Backlog[Requirement ID],0))&lt;=8,1,IF(INDEX(Backlog[HLE],MATCH($A112,Backlog[Requirement ID],0))&lt;=13,2,IF(INDEX(Backlog[HLE],MATCH($A112,Backlog[Requirement ID],0))&lt;=20,3,5))))),"")</f>
        <v/>
      </c>
    </row>
    <row r="113" customFormat="false" ht="15" hidden="false" customHeight="true" outlineLevel="0" collapsed="false">
      <c r="A113" s="1" t="str">
        <f aca="false">Backlog!A113</f>
        <v/>
      </c>
      <c r="B113" s="57" t="str">
        <f aca="false">IFERROR(IF(ISBLANK(INDEX(Backlog[Requirement Name],MATCH($A113,Backlog[Requirement ID],0))),"",INDEX(Backlog[Requirement Name],MATCH($A113,Backlog[Requirement ID],0))),"")</f>
        <v/>
      </c>
      <c r="C113" s="1" t="str">
        <f aca="false">IFERROR(IF(ISBLANK(INDEX(Backlog[Stream],MATCH($A113,Backlog[Requirement ID],0))),"",INDEX(Backlog[Stream],MATCH($A113,Backlog[Requirement ID],0))),"")</f>
        <v/>
      </c>
      <c r="D113" s="1" t="str">
        <f aca="false">IFERROR(IF(ISBLANK(INDEX(Backlog[Jira Link],MATCH($A113,Backlog[Requirement ID],0))),"",INDEX(Backlog[Jira Link],MATCH($A113,Backlog[Requirement ID],0))),"")</f>
        <v/>
      </c>
      <c r="E113" s="1" t="str">
        <f aca="false">IFERROR(IF(ISBLANK(INDEX(Backlog[Status],MATCH($A113,Backlog[Requirement ID],0))),"",INDEX(Backlog[Status],MATCH($A113,Backlog[Requirement ID],0))),"")</f>
        <v/>
      </c>
      <c r="F113" s="1" t="str">
        <f aca="false">IFERROR(IF(ISBLANK(INDEX(SprintPlanning[Sprint],MATCH($A113,SprintPlanning[Requirement ID],0))),"",INDEX(SprintPlanning[Sprint],MATCH($A113,SprintPlanning[Requirement ID],0))),"")</f>
        <v/>
      </c>
      <c r="H113" s="58"/>
      <c r="J113" s="1" t="str">
        <f aca="false">IFERROR(IF(ISBLANK(INDEX(Backlog[Priority],MATCH($A113,Backlog[Requirement ID],0))),"",INDEX(Backlog[Priority],MATCH($A113,Backlog[Requirement ID],0))),"")</f>
        <v/>
      </c>
      <c r="L113" s="1" t="str">
        <f aca="false">IFERROR(IF(ISBLANK(INDEX(Backlog[HLE],MATCH($A113,Backlog[Requirement ID],0))),"",IF(INDEX(Backlog[HLE],MATCH($A113,Backlog[Requirement ID],0))&lt;=5,0.5,IF(INDEX(Backlog[HLE],MATCH($A113,Backlog[Requirement ID],0))&lt;=8,1,IF(INDEX(Backlog[HLE],MATCH($A113,Backlog[Requirement ID],0))&lt;=13,2,IF(INDEX(Backlog[HLE],MATCH($A113,Backlog[Requirement ID],0))&lt;=20,3,5))))),"")</f>
        <v/>
      </c>
    </row>
    <row r="114" customFormat="false" ht="15" hidden="false" customHeight="true" outlineLevel="0" collapsed="false">
      <c r="A114" s="1" t="str">
        <f aca="false">Backlog!A114</f>
        <v/>
      </c>
      <c r="B114" s="57" t="str">
        <f aca="false">IFERROR(IF(ISBLANK(INDEX(Backlog[Requirement Name],MATCH($A114,Backlog[Requirement ID],0))),"",INDEX(Backlog[Requirement Name],MATCH($A114,Backlog[Requirement ID],0))),"")</f>
        <v/>
      </c>
      <c r="C114" s="1" t="str">
        <f aca="false">IFERROR(IF(ISBLANK(INDEX(Backlog[Stream],MATCH($A114,Backlog[Requirement ID],0))),"",INDEX(Backlog[Stream],MATCH($A114,Backlog[Requirement ID],0))),"")</f>
        <v/>
      </c>
      <c r="D114" s="1" t="str">
        <f aca="false">IFERROR(IF(ISBLANK(INDEX(Backlog[Jira Link],MATCH($A114,Backlog[Requirement ID],0))),"",INDEX(Backlog[Jira Link],MATCH($A114,Backlog[Requirement ID],0))),"")</f>
        <v/>
      </c>
      <c r="E114" s="1" t="str">
        <f aca="false">IFERROR(IF(ISBLANK(INDEX(Backlog[Status],MATCH($A114,Backlog[Requirement ID],0))),"",INDEX(Backlog[Status],MATCH($A114,Backlog[Requirement ID],0))),"")</f>
        <v/>
      </c>
      <c r="F114" s="1" t="str">
        <f aca="false">IFERROR(IF(ISBLANK(INDEX(SprintPlanning[Sprint],MATCH($A114,SprintPlanning[Requirement ID],0))),"",INDEX(SprintPlanning[Sprint],MATCH($A114,SprintPlanning[Requirement ID],0))),"")</f>
        <v/>
      </c>
      <c r="H114" s="58"/>
      <c r="J114" s="1" t="str">
        <f aca="false">IFERROR(IF(ISBLANK(INDEX(Backlog[Priority],MATCH($A114,Backlog[Requirement ID],0))),"",INDEX(Backlog[Priority],MATCH($A114,Backlog[Requirement ID],0))),"")</f>
        <v/>
      </c>
      <c r="L114" s="1" t="str">
        <f aca="false">IFERROR(IF(ISBLANK(INDEX(Backlog[HLE],MATCH($A114,Backlog[Requirement ID],0))),"",IF(INDEX(Backlog[HLE],MATCH($A114,Backlog[Requirement ID],0))&lt;=5,0.5,IF(INDEX(Backlog[HLE],MATCH($A114,Backlog[Requirement ID],0))&lt;=8,1,IF(INDEX(Backlog[HLE],MATCH($A114,Backlog[Requirement ID],0))&lt;=13,2,IF(INDEX(Backlog[HLE],MATCH($A114,Backlog[Requirement ID],0))&lt;=20,3,5))))),"")</f>
        <v/>
      </c>
    </row>
    <row r="115" customFormat="false" ht="15" hidden="false" customHeight="true" outlineLevel="0" collapsed="false">
      <c r="A115" s="1" t="str">
        <f aca="false">Backlog!A115</f>
        <v/>
      </c>
      <c r="B115" s="57" t="str">
        <f aca="false">IFERROR(IF(ISBLANK(INDEX(Backlog[Requirement Name],MATCH($A115,Backlog[Requirement ID],0))),"",INDEX(Backlog[Requirement Name],MATCH($A115,Backlog[Requirement ID],0))),"")</f>
        <v/>
      </c>
      <c r="C115" s="1" t="str">
        <f aca="false">IFERROR(IF(ISBLANK(INDEX(Backlog[Stream],MATCH($A115,Backlog[Requirement ID],0))),"",INDEX(Backlog[Stream],MATCH($A115,Backlog[Requirement ID],0))),"")</f>
        <v/>
      </c>
      <c r="D115" s="1" t="str">
        <f aca="false">IFERROR(IF(ISBLANK(INDEX(Backlog[Jira Link],MATCH($A115,Backlog[Requirement ID],0))),"",INDEX(Backlog[Jira Link],MATCH($A115,Backlog[Requirement ID],0))),"")</f>
        <v/>
      </c>
      <c r="E115" s="1" t="str">
        <f aca="false">IFERROR(IF(ISBLANK(INDEX(Backlog[Status],MATCH($A115,Backlog[Requirement ID],0))),"",INDEX(Backlog[Status],MATCH($A115,Backlog[Requirement ID],0))),"")</f>
        <v/>
      </c>
      <c r="F115" s="1" t="str">
        <f aca="false">IFERROR(IF(ISBLANK(INDEX(SprintPlanning[Sprint],MATCH($A115,SprintPlanning[Requirement ID],0))),"",INDEX(SprintPlanning[Sprint],MATCH($A115,SprintPlanning[Requirement ID],0))),"")</f>
        <v/>
      </c>
      <c r="H115" s="58"/>
      <c r="J115" s="1" t="str">
        <f aca="false">IFERROR(IF(ISBLANK(INDEX(Backlog[Priority],MATCH($A115,Backlog[Requirement ID],0))),"",INDEX(Backlog[Priority],MATCH($A115,Backlog[Requirement ID],0))),"")</f>
        <v/>
      </c>
      <c r="L115" s="1" t="str">
        <f aca="false">IFERROR(IF(ISBLANK(INDEX(Backlog[HLE],MATCH($A115,Backlog[Requirement ID],0))),"",IF(INDEX(Backlog[HLE],MATCH($A115,Backlog[Requirement ID],0))&lt;=5,0.5,IF(INDEX(Backlog[HLE],MATCH($A115,Backlog[Requirement ID],0))&lt;=8,1,IF(INDEX(Backlog[HLE],MATCH($A115,Backlog[Requirement ID],0))&lt;=13,2,IF(INDEX(Backlog[HLE],MATCH($A115,Backlog[Requirement ID],0))&lt;=20,3,5))))),"")</f>
        <v/>
      </c>
    </row>
    <row r="116" customFormat="false" ht="15" hidden="false" customHeight="true" outlineLevel="0" collapsed="false">
      <c r="A116" s="1" t="str">
        <f aca="false">Backlog!A116</f>
        <v/>
      </c>
      <c r="B116" s="57" t="str">
        <f aca="false">IFERROR(IF(ISBLANK(INDEX(Backlog[Requirement Name],MATCH($A116,Backlog[Requirement ID],0))),"",INDEX(Backlog[Requirement Name],MATCH($A116,Backlog[Requirement ID],0))),"")</f>
        <v/>
      </c>
      <c r="C116" s="1" t="str">
        <f aca="false">IFERROR(IF(ISBLANK(INDEX(Backlog[Stream],MATCH($A116,Backlog[Requirement ID],0))),"",INDEX(Backlog[Stream],MATCH($A116,Backlog[Requirement ID],0))),"")</f>
        <v/>
      </c>
      <c r="D116" s="1" t="str">
        <f aca="false">IFERROR(IF(ISBLANK(INDEX(Backlog[Jira Link],MATCH($A116,Backlog[Requirement ID],0))),"",INDEX(Backlog[Jira Link],MATCH($A116,Backlog[Requirement ID],0))),"")</f>
        <v/>
      </c>
      <c r="E116" s="1" t="str">
        <f aca="false">IFERROR(IF(ISBLANK(INDEX(Backlog[Status],MATCH($A116,Backlog[Requirement ID],0))),"",INDEX(Backlog[Status],MATCH($A116,Backlog[Requirement ID],0))),"")</f>
        <v/>
      </c>
      <c r="F116" s="1" t="str">
        <f aca="false">IFERROR(IF(ISBLANK(INDEX(SprintPlanning[Sprint],MATCH($A116,SprintPlanning[Requirement ID],0))),"",INDEX(SprintPlanning[Sprint],MATCH($A116,SprintPlanning[Requirement ID],0))),"")</f>
        <v/>
      </c>
      <c r="H116" s="58"/>
      <c r="J116" s="1" t="str">
        <f aca="false">IFERROR(IF(ISBLANK(INDEX(Backlog[Priority],MATCH($A116,Backlog[Requirement ID],0))),"",INDEX(Backlog[Priority],MATCH($A116,Backlog[Requirement ID],0))),"")</f>
        <v/>
      </c>
      <c r="L116" s="1" t="str">
        <f aca="false">IFERROR(IF(ISBLANK(INDEX(Backlog[HLE],MATCH($A116,Backlog[Requirement ID],0))),"",IF(INDEX(Backlog[HLE],MATCH($A116,Backlog[Requirement ID],0))&lt;=5,0.5,IF(INDEX(Backlog[HLE],MATCH($A116,Backlog[Requirement ID],0))&lt;=8,1,IF(INDEX(Backlog[HLE],MATCH($A116,Backlog[Requirement ID],0))&lt;=13,2,IF(INDEX(Backlog[HLE],MATCH($A116,Backlog[Requirement ID],0))&lt;=20,3,5))))),"")</f>
        <v/>
      </c>
    </row>
    <row r="117" customFormat="false" ht="15" hidden="false" customHeight="true" outlineLevel="0" collapsed="false">
      <c r="A117" s="1" t="str">
        <f aca="false">Backlog!A117</f>
        <v/>
      </c>
      <c r="B117" s="57" t="str">
        <f aca="false">IFERROR(IF(ISBLANK(INDEX(Backlog[Requirement Name],MATCH($A117,Backlog[Requirement ID],0))),"",INDEX(Backlog[Requirement Name],MATCH($A117,Backlog[Requirement ID],0))),"")</f>
        <v/>
      </c>
      <c r="C117" s="1" t="str">
        <f aca="false">IFERROR(IF(ISBLANK(INDEX(Backlog[Stream],MATCH($A117,Backlog[Requirement ID],0))),"",INDEX(Backlog[Stream],MATCH($A117,Backlog[Requirement ID],0))),"")</f>
        <v/>
      </c>
      <c r="D117" s="1" t="str">
        <f aca="false">IFERROR(IF(ISBLANK(INDEX(Backlog[Jira Link],MATCH($A117,Backlog[Requirement ID],0))),"",INDEX(Backlog[Jira Link],MATCH($A117,Backlog[Requirement ID],0))),"")</f>
        <v/>
      </c>
      <c r="E117" s="1" t="str">
        <f aca="false">IFERROR(IF(ISBLANK(INDEX(Backlog[Status],MATCH($A117,Backlog[Requirement ID],0))),"",INDEX(Backlog[Status],MATCH($A117,Backlog[Requirement ID],0))),"")</f>
        <v/>
      </c>
      <c r="F117" s="1" t="str">
        <f aca="false">IFERROR(IF(ISBLANK(INDEX(SprintPlanning[Sprint],MATCH($A117,SprintPlanning[Requirement ID],0))),"",INDEX(SprintPlanning[Sprint],MATCH($A117,SprintPlanning[Requirement ID],0))),"")</f>
        <v/>
      </c>
      <c r="H117" s="58"/>
      <c r="J117" s="1" t="str">
        <f aca="false">IFERROR(IF(ISBLANK(INDEX(Backlog[Priority],MATCH($A117,Backlog[Requirement ID],0))),"",INDEX(Backlog[Priority],MATCH($A117,Backlog[Requirement ID],0))),"")</f>
        <v/>
      </c>
      <c r="L117" s="1" t="str">
        <f aca="false">IFERROR(IF(ISBLANK(INDEX(Backlog[HLE],MATCH($A117,Backlog[Requirement ID],0))),"",IF(INDEX(Backlog[HLE],MATCH($A117,Backlog[Requirement ID],0))&lt;=5,0.5,IF(INDEX(Backlog[HLE],MATCH($A117,Backlog[Requirement ID],0))&lt;=8,1,IF(INDEX(Backlog[HLE],MATCH($A117,Backlog[Requirement ID],0))&lt;=13,2,IF(INDEX(Backlog[HLE],MATCH($A117,Backlog[Requirement ID],0))&lt;=20,3,5))))),"")</f>
        <v/>
      </c>
    </row>
    <row r="118" customFormat="false" ht="15" hidden="false" customHeight="true" outlineLevel="0" collapsed="false">
      <c r="A118" s="1" t="str">
        <f aca="false">Backlog!A118</f>
        <v/>
      </c>
      <c r="B118" s="57" t="str">
        <f aca="false">IFERROR(IF(ISBLANK(INDEX(Backlog[Requirement Name],MATCH($A118,Backlog[Requirement ID],0))),"",INDEX(Backlog[Requirement Name],MATCH($A118,Backlog[Requirement ID],0))),"")</f>
        <v/>
      </c>
      <c r="C118" s="1" t="str">
        <f aca="false">IFERROR(IF(ISBLANK(INDEX(Backlog[Stream],MATCH($A118,Backlog[Requirement ID],0))),"",INDEX(Backlog[Stream],MATCH($A118,Backlog[Requirement ID],0))),"")</f>
        <v/>
      </c>
      <c r="D118" s="1" t="str">
        <f aca="false">IFERROR(IF(ISBLANK(INDEX(Backlog[Jira Link],MATCH($A118,Backlog[Requirement ID],0))),"",INDEX(Backlog[Jira Link],MATCH($A118,Backlog[Requirement ID],0))),"")</f>
        <v/>
      </c>
      <c r="E118" s="1" t="str">
        <f aca="false">IFERROR(IF(ISBLANK(INDEX(Backlog[Status],MATCH($A118,Backlog[Requirement ID],0))),"",INDEX(Backlog[Status],MATCH($A118,Backlog[Requirement ID],0))),"")</f>
        <v/>
      </c>
      <c r="F118" s="1" t="str">
        <f aca="false">IFERROR(IF(ISBLANK(INDEX(SprintPlanning[Sprint],MATCH($A118,SprintPlanning[Requirement ID],0))),"",INDEX(SprintPlanning[Sprint],MATCH($A118,SprintPlanning[Requirement ID],0))),"")</f>
        <v/>
      </c>
      <c r="H118" s="58"/>
      <c r="J118" s="1" t="str">
        <f aca="false">IFERROR(IF(ISBLANK(INDEX(Backlog[Priority],MATCH($A118,Backlog[Requirement ID],0))),"",INDEX(Backlog[Priority],MATCH($A118,Backlog[Requirement ID],0))),"")</f>
        <v/>
      </c>
      <c r="L118" s="1" t="str">
        <f aca="false">IFERROR(IF(ISBLANK(INDEX(Backlog[HLE],MATCH($A118,Backlog[Requirement ID],0))),"",IF(INDEX(Backlog[HLE],MATCH($A118,Backlog[Requirement ID],0))&lt;=5,0.5,IF(INDEX(Backlog[HLE],MATCH($A118,Backlog[Requirement ID],0))&lt;=8,1,IF(INDEX(Backlog[HLE],MATCH($A118,Backlog[Requirement ID],0))&lt;=13,2,IF(INDEX(Backlog[HLE],MATCH($A118,Backlog[Requirement ID],0))&lt;=20,3,5))))),"")</f>
        <v/>
      </c>
    </row>
    <row r="119" customFormat="false" ht="15" hidden="false" customHeight="true" outlineLevel="0" collapsed="false">
      <c r="A119" s="1" t="str">
        <f aca="false">Backlog!A119</f>
        <v/>
      </c>
      <c r="B119" s="57" t="str">
        <f aca="false">IFERROR(IF(ISBLANK(INDEX(Backlog[Requirement Name],MATCH($A119,Backlog[Requirement ID],0))),"",INDEX(Backlog[Requirement Name],MATCH($A119,Backlog[Requirement ID],0))),"")</f>
        <v/>
      </c>
      <c r="C119" s="1" t="str">
        <f aca="false">IFERROR(IF(ISBLANK(INDEX(Backlog[Stream],MATCH($A119,Backlog[Requirement ID],0))),"",INDEX(Backlog[Stream],MATCH($A119,Backlog[Requirement ID],0))),"")</f>
        <v/>
      </c>
      <c r="D119" s="1" t="str">
        <f aca="false">IFERROR(IF(ISBLANK(INDEX(Backlog[Jira Link],MATCH($A119,Backlog[Requirement ID],0))),"",INDEX(Backlog[Jira Link],MATCH($A119,Backlog[Requirement ID],0))),"")</f>
        <v/>
      </c>
      <c r="E119" s="1" t="str">
        <f aca="false">IFERROR(IF(ISBLANK(INDEX(Backlog[Status],MATCH($A119,Backlog[Requirement ID],0))),"",INDEX(Backlog[Status],MATCH($A119,Backlog[Requirement ID],0))),"")</f>
        <v/>
      </c>
      <c r="F119" s="1" t="str">
        <f aca="false">IFERROR(IF(ISBLANK(INDEX(SprintPlanning[Sprint],MATCH($A119,SprintPlanning[Requirement ID],0))),"",INDEX(SprintPlanning[Sprint],MATCH($A119,SprintPlanning[Requirement ID],0))),"")</f>
        <v/>
      </c>
      <c r="H119" s="58"/>
      <c r="J119" s="1" t="str">
        <f aca="false">IFERROR(IF(ISBLANK(INDEX(Backlog[Priority],MATCH($A119,Backlog[Requirement ID],0))),"",INDEX(Backlog[Priority],MATCH($A119,Backlog[Requirement ID],0))),"")</f>
        <v/>
      </c>
      <c r="L119" s="1" t="str">
        <f aca="false">IFERROR(IF(ISBLANK(INDEX(Backlog[HLE],MATCH($A119,Backlog[Requirement ID],0))),"",IF(INDEX(Backlog[HLE],MATCH($A119,Backlog[Requirement ID],0))&lt;=5,0.5,IF(INDEX(Backlog[HLE],MATCH($A119,Backlog[Requirement ID],0))&lt;=8,1,IF(INDEX(Backlog[HLE],MATCH($A119,Backlog[Requirement ID],0))&lt;=13,2,IF(INDEX(Backlog[HLE],MATCH($A119,Backlog[Requirement ID],0))&lt;=20,3,5))))),"")</f>
        <v/>
      </c>
    </row>
    <row r="120" customFormat="false" ht="15" hidden="false" customHeight="true" outlineLevel="0" collapsed="false">
      <c r="A120" s="1" t="str">
        <f aca="false">Backlog!A120</f>
        <v/>
      </c>
      <c r="B120" s="57" t="str">
        <f aca="false">IFERROR(IF(ISBLANK(INDEX(Backlog[Requirement Name],MATCH($A120,Backlog[Requirement ID],0))),"",INDEX(Backlog[Requirement Name],MATCH($A120,Backlog[Requirement ID],0))),"")</f>
        <v/>
      </c>
      <c r="C120" s="1" t="str">
        <f aca="false">IFERROR(IF(ISBLANK(INDEX(Backlog[Stream],MATCH($A120,Backlog[Requirement ID],0))),"",INDEX(Backlog[Stream],MATCH($A120,Backlog[Requirement ID],0))),"")</f>
        <v/>
      </c>
      <c r="D120" s="1" t="str">
        <f aca="false">IFERROR(IF(ISBLANK(INDEX(Backlog[Jira Link],MATCH($A120,Backlog[Requirement ID],0))),"",INDEX(Backlog[Jira Link],MATCH($A120,Backlog[Requirement ID],0))),"")</f>
        <v/>
      </c>
      <c r="E120" s="1" t="str">
        <f aca="false">IFERROR(IF(ISBLANK(INDEX(Backlog[Status],MATCH($A120,Backlog[Requirement ID],0))),"",INDEX(Backlog[Status],MATCH($A120,Backlog[Requirement ID],0))),"")</f>
        <v/>
      </c>
      <c r="F120" s="1" t="str">
        <f aca="false">IFERROR(IF(ISBLANK(INDEX(SprintPlanning[Sprint],MATCH($A120,SprintPlanning[Requirement ID],0))),"",INDEX(SprintPlanning[Sprint],MATCH($A120,SprintPlanning[Requirement ID],0))),"")</f>
        <v/>
      </c>
      <c r="H120" s="58"/>
      <c r="J120" s="1" t="str">
        <f aca="false">IFERROR(IF(ISBLANK(INDEX(Backlog[Priority],MATCH($A120,Backlog[Requirement ID],0))),"",INDEX(Backlog[Priority],MATCH($A120,Backlog[Requirement ID],0))),"")</f>
        <v/>
      </c>
      <c r="L120" s="1" t="str">
        <f aca="false">IFERROR(IF(ISBLANK(INDEX(Backlog[HLE],MATCH($A120,Backlog[Requirement ID],0))),"",IF(INDEX(Backlog[HLE],MATCH($A120,Backlog[Requirement ID],0))&lt;=5,0.5,IF(INDEX(Backlog[HLE],MATCH($A120,Backlog[Requirement ID],0))&lt;=8,1,IF(INDEX(Backlog[HLE],MATCH($A120,Backlog[Requirement ID],0))&lt;=13,2,IF(INDEX(Backlog[HLE],MATCH($A120,Backlog[Requirement ID],0))&lt;=20,3,5))))),"")</f>
        <v/>
      </c>
    </row>
    <row r="121" customFormat="false" ht="15" hidden="false" customHeight="true" outlineLevel="0" collapsed="false">
      <c r="A121" s="1" t="str">
        <f aca="false">Backlog!A121</f>
        <v/>
      </c>
      <c r="B121" s="57" t="str">
        <f aca="false">IFERROR(IF(ISBLANK(INDEX(Backlog[Requirement Name],MATCH($A121,Backlog[Requirement ID],0))),"",INDEX(Backlog[Requirement Name],MATCH($A121,Backlog[Requirement ID],0))),"")</f>
        <v/>
      </c>
      <c r="C121" s="1" t="str">
        <f aca="false">IFERROR(IF(ISBLANK(INDEX(Backlog[Stream],MATCH($A121,Backlog[Requirement ID],0))),"",INDEX(Backlog[Stream],MATCH($A121,Backlog[Requirement ID],0))),"")</f>
        <v/>
      </c>
      <c r="D121" s="1" t="str">
        <f aca="false">IFERROR(IF(ISBLANK(INDEX(Backlog[Jira Link],MATCH($A121,Backlog[Requirement ID],0))),"",INDEX(Backlog[Jira Link],MATCH($A121,Backlog[Requirement ID],0))),"")</f>
        <v/>
      </c>
      <c r="E121" s="1" t="str">
        <f aca="false">IFERROR(IF(ISBLANK(INDEX(Backlog[Status],MATCH($A121,Backlog[Requirement ID],0))),"",INDEX(Backlog[Status],MATCH($A121,Backlog[Requirement ID],0))),"")</f>
        <v/>
      </c>
      <c r="F121" s="1" t="str">
        <f aca="false">IFERROR(IF(ISBLANK(INDEX(SprintPlanning[Sprint],MATCH($A121,SprintPlanning[Requirement ID],0))),"",INDEX(SprintPlanning[Sprint],MATCH($A121,SprintPlanning[Requirement ID],0))),"")</f>
        <v/>
      </c>
      <c r="H121" s="58"/>
      <c r="J121" s="1" t="str">
        <f aca="false">IFERROR(IF(ISBLANK(INDEX(Backlog[Priority],MATCH($A121,Backlog[Requirement ID],0))),"",INDEX(Backlog[Priority],MATCH($A121,Backlog[Requirement ID],0))),"")</f>
        <v/>
      </c>
      <c r="L121" s="1" t="str">
        <f aca="false">IFERROR(IF(ISBLANK(INDEX(Backlog[HLE],MATCH($A121,Backlog[Requirement ID],0))),"",IF(INDEX(Backlog[HLE],MATCH($A121,Backlog[Requirement ID],0))&lt;=5,0.5,IF(INDEX(Backlog[HLE],MATCH($A121,Backlog[Requirement ID],0))&lt;=8,1,IF(INDEX(Backlog[HLE],MATCH($A121,Backlog[Requirement ID],0))&lt;=13,2,IF(INDEX(Backlog[HLE],MATCH($A121,Backlog[Requirement ID],0))&lt;=20,3,5))))),"")</f>
        <v/>
      </c>
    </row>
    <row r="122" customFormat="false" ht="15" hidden="false" customHeight="true" outlineLevel="0" collapsed="false">
      <c r="A122" s="1" t="str">
        <f aca="false">Backlog!A122</f>
        <v/>
      </c>
      <c r="B122" s="57" t="str">
        <f aca="false">IFERROR(IF(ISBLANK(INDEX(Backlog[Requirement Name],MATCH($A122,Backlog[Requirement ID],0))),"",INDEX(Backlog[Requirement Name],MATCH($A122,Backlog[Requirement ID],0))),"")</f>
        <v/>
      </c>
      <c r="C122" s="1" t="str">
        <f aca="false">IFERROR(IF(ISBLANK(INDEX(Backlog[Stream],MATCH($A122,Backlog[Requirement ID],0))),"",INDEX(Backlog[Stream],MATCH($A122,Backlog[Requirement ID],0))),"")</f>
        <v/>
      </c>
      <c r="D122" s="1" t="str">
        <f aca="false">IFERROR(IF(ISBLANK(INDEX(Backlog[Jira Link],MATCH($A122,Backlog[Requirement ID],0))),"",INDEX(Backlog[Jira Link],MATCH($A122,Backlog[Requirement ID],0))),"")</f>
        <v/>
      </c>
      <c r="E122" s="1" t="str">
        <f aca="false">IFERROR(IF(ISBLANK(INDEX(Backlog[Status],MATCH($A122,Backlog[Requirement ID],0))),"",INDEX(Backlog[Status],MATCH($A122,Backlog[Requirement ID],0))),"")</f>
        <v/>
      </c>
      <c r="F122" s="1" t="str">
        <f aca="false">IFERROR(IF(ISBLANK(INDEX(SprintPlanning[Sprint],MATCH($A122,SprintPlanning[Requirement ID],0))),"",INDEX(SprintPlanning[Sprint],MATCH($A122,SprintPlanning[Requirement ID],0))),"")</f>
        <v/>
      </c>
      <c r="H122" s="58"/>
      <c r="J122" s="1" t="str">
        <f aca="false">IFERROR(IF(ISBLANK(INDEX(Backlog[Priority],MATCH($A122,Backlog[Requirement ID],0))),"",INDEX(Backlog[Priority],MATCH($A122,Backlog[Requirement ID],0))),"")</f>
        <v/>
      </c>
      <c r="L122" s="1" t="str">
        <f aca="false">IFERROR(IF(ISBLANK(INDEX(Backlog[HLE],MATCH($A122,Backlog[Requirement ID],0))),"",IF(INDEX(Backlog[HLE],MATCH($A122,Backlog[Requirement ID],0))&lt;=5,0.5,IF(INDEX(Backlog[HLE],MATCH($A122,Backlog[Requirement ID],0))&lt;=8,1,IF(INDEX(Backlog[HLE],MATCH($A122,Backlog[Requirement ID],0))&lt;=13,2,IF(INDEX(Backlog[HLE],MATCH($A122,Backlog[Requirement ID],0))&lt;=20,3,5))))),"")</f>
        <v/>
      </c>
    </row>
    <row r="123" customFormat="false" ht="15" hidden="false" customHeight="true" outlineLevel="0" collapsed="false">
      <c r="A123" s="1" t="str">
        <f aca="false">Backlog!A123</f>
        <v/>
      </c>
      <c r="B123" s="57" t="str">
        <f aca="false">IFERROR(IF(ISBLANK(INDEX(Backlog[Requirement Name],MATCH($A123,Backlog[Requirement ID],0))),"",INDEX(Backlog[Requirement Name],MATCH($A123,Backlog[Requirement ID],0))),"")</f>
        <v/>
      </c>
      <c r="C123" s="1" t="str">
        <f aca="false">IFERROR(IF(ISBLANK(INDEX(Backlog[Stream],MATCH($A123,Backlog[Requirement ID],0))),"",INDEX(Backlog[Stream],MATCH($A123,Backlog[Requirement ID],0))),"")</f>
        <v/>
      </c>
      <c r="D123" s="1" t="str">
        <f aca="false">IFERROR(IF(ISBLANK(INDEX(Backlog[Jira Link],MATCH($A123,Backlog[Requirement ID],0))),"",INDEX(Backlog[Jira Link],MATCH($A123,Backlog[Requirement ID],0))),"")</f>
        <v/>
      </c>
      <c r="E123" s="1" t="str">
        <f aca="false">IFERROR(IF(ISBLANK(INDEX(Backlog[Status],MATCH($A123,Backlog[Requirement ID],0))),"",INDEX(Backlog[Status],MATCH($A123,Backlog[Requirement ID],0))),"")</f>
        <v/>
      </c>
      <c r="F123" s="1" t="str">
        <f aca="false">IFERROR(IF(ISBLANK(INDEX(SprintPlanning[Sprint],MATCH($A123,SprintPlanning[Requirement ID],0))),"",INDEX(SprintPlanning[Sprint],MATCH($A123,SprintPlanning[Requirement ID],0))),"")</f>
        <v/>
      </c>
      <c r="H123" s="58"/>
      <c r="J123" s="1" t="str">
        <f aca="false">IFERROR(IF(ISBLANK(INDEX(Backlog[Priority],MATCH($A123,Backlog[Requirement ID],0))),"",INDEX(Backlog[Priority],MATCH($A123,Backlog[Requirement ID],0))),"")</f>
        <v/>
      </c>
      <c r="L123" s="1" t="str">
        <f aca="false">IFERROR(IF(ISBLANK(INDEX(Backlog[HLE],MATCH($A123,Backlog[Requirement ID],0))),"",IF(INDEX(Backlog[HLE],MATCH($A123,Backlog[Requirement ID],0))&lt;=5,0.5,IF(INDEX(Backlog[HLE],MATCH($A123,Backlog[Requirement ID],0))&lt;=8,1,IF(INDEX(Backlog[HLE],MATCH($A123,Backlog[Requirement ID],0))&lt;=13,2,IF(INDEX(Backlog[HLE],MATCH($A123,Backlog[Requirement ID],0))&lt;=20,3,5))))),"")</f>
        <v/>
      </c>
    </row>
    <row r="124" customFormat="false" ht="15" hidden="false" customHeight="true" outlineLevel="0" collapsed="false">
      <c r="A124" s="1" t="str">
        <f aca="false">Backlog!A124</f>
        <v/>
      </c>
      <c r="B124" s="57" t="str">
        <f aca="false">IFERROR(IF(ISBLANK(INDEX(Backlog[Requirement Name],MATCH($A124,Backlog[Requirement ID],0))),"",INDEX(Backlog[Requirement Name],MATCH($A124,Backlog[Requirement ID],0))),"")</f>
        <v/>
      </c>
      <c r="C124" s="1" t="str">
        <f aca="false">IFERROR(IF(ISBLANK(INDEX(Backlog[Stream],MATCH($A124,Backlog[Requirement ID],0))),"",INDEX(Backlog[Stream],MATCH($A124,Backlog[Requirement ID],0))),"")</f>
        <v/>
      </c>
      <c r="D124" s="1" t="str">
        <f aca="false">IFERROR(IF(ISBLANK(INDEX(Backlog[Jira Link],MATCH($A124,Backlog[Requirement ID],0))),"",INDEX(Backlog[Jira Link],MATCH($A124,Backlog[Requirement ID],0))),"")</f>
        <v/>
      </c>
      <c r="E124" s="1" t="str">
        <f aca="false">IFERROR(IF(ISBLANK(INDEX(Backlog[Status],MATCH($A124,Backlog[Requirement ID],0))),"",INDEX(Backlog[Status],MATCH($A124,Backlog[Requirement ID],0))),"")</f>
        <v/>
      </c>
      <c r="F124" s="1" t="str">
        <f aca="false">IFERROR(IF(ISBLANK(INDEX(SprintPlanning[Sprint],MATCH($A124,SprintPlanning[Requirement ID],0))),"",INDEX(SprintPlanning[Sprint],MATCH($A124,SprintPlanning[Requirement ID],0))),"")</f>
        <v/>
      </c>
      <c r="H124" s="58"/>
      <c r="J124" s="1" t="str">
        <f aca="false">IFERROR(IF(ISBLANK(INDEX(Backlog[Priority],MATCH($A124,Backlog[Requirement ID],0))),"",INDEX(Backlog[Priority],MATCH($A124,Backlog[Requirement ID],0))),"")</f>
        <v/>
      </c>
      <c r="L124" s="1" t="str">
        <f aca="false">IFERROR(IF(ISBLANK(INDEX(Backlog[HLE],MATCH($A124,Backlog[Requirement ID],0))),"",IF(INDEX(Backlog[HLE],MATCH($A124,Backlog[Requirement ID],0))&lt;=5,0.5,IF(INDEX(Backlog[HLE],MATCH($A124,Backlog[Requirement ID],0))&lt;=8,1,IF(INDEX(Backlog[HLE],MATCH($A124,Backlog[Requirement ID],0))&lt;=13,2,IF(INDEX(Backlog[HLE],MATCH($A124,Backlog[Requirement ID],0))&lt;=20,3,5))))),"")</f>
        <v/>
      </c>
    </row>
    <row r="125" customFormat="false" ht="15" hidden="false" customHeight="true" outlineLevel="0" collapsed="false">
      <c r="A125" s="1" t="str">
        <f aca="false">Backlog!A125</f>
        <v/>
      </c>
      <c r="B125" s="57" t="str">
        <f aca="false">IFERROR(IF(ISBLANK(INDEX(Backlog[Requirement Name],MATCH($A125,Backlog[Requirement ID],0))),"",INDEX(Backlog[Requirement Name],MATCH($A125,Backlog[Requirement ID],0))),"")</f>
        <v/>
      </c>
      <c r="C125" s="1" t="str">
        <f aca="false">IFERROR(IF(ISBLANK(INDEX(Backlog[Stream],MATCH($A125,Backlog[Requirement ID],0))),"",INDEX(Backlog[Stream],MATCH($A125,Backlog[Requirement ID],0))),"")</f>
        <v/>
      </c>
      <c r="D125" s="1" t="str">
        <f aca="false">IFERROR(IF(ISBLANK(INDEX(Backlog[Jira Link],MATCH($A125,Backlog[Requirement ID],0))),"",INDEX(Backlog[Jira Link],MATCH($A125,Backlog[Requirement ID],0))),"")</f>
        <v/>
      </c>
      <c r="E125" s="1" t="str">
        <f aca="false">IFERROR(IF(ISBLANK(INDEX(Backlog[Status],MATCH($A125,Backlog[Requirement ID],0))),"",INDEX(Backlog[Status],MATCH($A125,Backlog[Requirement ID],0))),"")</f>
        <v/>
      </c>
      <c r="F125" s="1" t="str">
        <f aca="false">IFERROR(IF(ISBLANK(INDEX(SprintPlanning[Sprint],MATCH($A125,SprintPlanning[Requirement ID],0))),"",INDEX(SprintPlanning[Sprint],MATCH($A125,SprintPlanning[Requirement ID],0))),"")</f>
        <v/>
      </c>
      <c r="H125" s="58"/>
      <c r="J125" s="1" t="str">
        <f aca="false">IFERROR(IF(ISBLANK(INDEX(Backlog[Priority],MATCH($A125,Backlog[Requirement ID],0))),"",INDEX(Backlog[Priority],MATCH($A125,Backlog[Requirement ID],0))),"")</f>
        <v/>
      </c>
      <c r="L125" s="1" t="str">
        <f aca="false">IFERROR(IF(ISBLANK(INDEX(Backlog[HLE],MATCH($A125,Backlog[Requirement ID],0))),"",IF(INDEX(Backlog[HLE],MATCH($A125,Backlog[Requirement ID],0))&lt;=5,0.5,IF(INDEX(Backlog[HLE],MATCH($A125,Backlog[Requirement ID],0))&lt;=8,1,IF(INDEX(Backlog[HLE],MATCH($A125,Backlog[Requirement ID],0))&lt;=13,2,IF(INDEX(Backlog[HLE],MATCH($A125,Backlog[Requirement ID],0))&lt;=20,3,5))))),"")</f>
        <v/>
      </c>
    </row>
    <row r="126" customFormat="false" ht="15" hidden="false" customHeight="true" outlineLevel="0" collapsed="false">
      <c r="A126" s="1" t="str">
        <f aca="false">Backlog!A126</f>
        <v/>
      </c>
      <c r="B126" s="57" t="str">
        <f aca="false">IFERROR(IF(ISBLANK(INDEX(Backlog[Requirement Name],MATCH($A126,Backlog[Requirement ID],0))),"",INDEX(Backlog[Requirement Name],MATCH($A126,Backlog[Requirement ID],0))),"")</f>
        <v/>
      </c>
      <c r="C126" s="1" t="str">
        <f aca="false">IFERROR(IF(ISBLANK(INDEX(Backlog[Stream],MATCH($A126,Backlog[Requirement ID],0))),"",INDEX(Backlog[Stream],MATCH($A126,Backlog[Requirement ID],0))),"")</f>
        <v/>
      </c>
      <c r="D126" s="1" t="str">
        <f aca="false">IFERROR(IF(ISBLANK(INDEX(Backlog[Jira Link],MATCH($A126,Backlog[Requirement ID],0))),"",INDEX(Backlog[Jira Link],MATCH($A126,Backlog[Requirement ID],0))),"")</f>
        <v/>
      </c>
      <c r="E126" s="1" t="str">
        <f aca="false">IFERROR(IF(ISBLANK(INDEX(Backlog[Status],MATCH($A126,Backlog[Requirement ID],0))),"",INDEX(Backlog[Status],MATCH($A126,Backlog[Requirement ID],0))),"")</f>
        <v/>
      </c>
      <c r="F126" s="1" t="str">
        <f aca="false">IFERROR(IF(ISBLANK(INDEX(SprintPlanning[Sprint],MATCH($A126,SprintPlanning[Requirement ID],0))),"",INDEX(SprintPlanning[Sprint],MATCH($A126,SprintPlanning[Requirement ID],0))),"")</f>
        <v/>
      </c>
      <c r="H126" s="58"/>
      <c r="J126" s="1" t="str">
        <f aca="false">IFERROR(IF(ISBLANK(INDEX(Backlog[Priority],MATCH($A126,Backlog[Requirement ID],0))),"",INDEX(Backlog[Priority],MATCH($A126,Backlog[Requirement ID],0))),"")</f>
        <v/>
      </c>
      <c r="L126" s="1" t="str">
        <f aca="false">IFERROR(IF(ISBLANK(INDEX(Backlog[HLE],MATCH($A126,Backlog[Requirement ID],0))),"",IF(INDEX(Backlog[HLE],MATCH($A126,Backlog[Requirement ID],0))&lt;=5,0.5,IF(INDEX(Backlog[HLE],MATCH($A126,Backlog[Requirement ID],0))&lt;=8,1,IF(INDEX(Backlog[HLE],MATCH($A126,Backlog[Requirement ID],0))&lt;=13,2,IF(INDEX(Backlog[HLE],MATCH($A126,Backlog[Requirement ID],0))&lt;=20,3,5))))),"")</f>
        <v/>
      </c>
    </row>
    <row r="127" customFormat="false" ht="15" hidden="false" customHeight="true" outlineLevel="0" collapsed="false">
      <c r="A127" s="1" t="str">
        <f aca="false">Backlog!A127</f>
        <v/>
      </c>
      <c r="B127" s="57" t="str">
        <f aca="false">IFERROR(IF(ISBLANK(INDEX(Backlog[Requirement Name],MATCH($A127,Backlog[Requirement ID],0))),"",INDEX(Backlog[Requirement Name],MATCH($A127,Backlog[Requirement ID],0))),"")</f>
        <v/>
      </c>
      <c r="C127" s="1" t="str">
        <f aca="false">IFERROR(IF(ISBLANK(INDEX(Backlog[Stream],MATCH($A127,Backlog[Requirement ID],0))),"",INDEX(Backlog[Stream],MATCH($A127,Backlog[Requirement ID],0))),"")</f>
        <v/>
      </c>
      <c r="D127" s="1" t="str">
        <f aca="false">IFERROR(IF(ISBLANK(INDEX(Backlog[Jira Link],MATCH($A127,Backlog[Requirement ID],0))),"",INDEX(Backlog[Jira Link],MATCH($A127,Backlog[Requirement ID],0))),"")</f>
        <v/>
      </c>
      <c r="E127" s="1" t="str">
        <f aca="false">IFERROR(IF(ISBLANK(INDEX(Backlog[Status],MATCH($A127,Backlog[Requirement ID],0))),"",INDEX(Backlog[Status],MATCH($A127,Backlog[Requirement ID],0))),"")</f>
        <v/>
      </c>
      <c r="F127" s="1" t="str">
        <f aca="false">IFERROR(IF(ISBLANK(INDEX(SprintPlanning[Sprint],MATCH($A127,SprintPlanning[Requirement ID],0))),"",INDEX(SprintPlanning[Sprint],MATCH($A127,SprintPlanning[Requirement ID],0))),"")</f>
        <v/>
      </c>
      <c r="H127" s="58"/>
      <c r="J127" s="1" t="str">
        <f aca="false">IFERROR(IF(ISBLANK(INDEX(Backlog[Priority],MATCH($A127,Backlog[Requirement ID],0))),"",INDEX(Backlog[Priority],MATCH($A127,Backlog[Requirement ID],0))),"")</f>
        <v/>
      </c>
      <c r="L127" s="1" t="str">
        <f aca="false">IFERROR(IF(ISBLANK(INDEX(Backlog[HLE],MATCH($A127,Backlog[Requirement ID],0))),"",IF(INDEX(Backlog[HLE],MATCH($A127,Backlog[Requirement ID],0))&lt;=5,0.5,IF(INDEX(Backlog[HLE],MATCH($A127,Backlog[Requirement ID],0))&lt;=8,1,IF(INDEX(Backlog[HLE],MATCH($A127,Backlog[Requirement ID],0))&lt;=13,2,IF(INDEX(Backlog[HLE],MATCH($A127,Backlog[Requirement ID],0))&lt;=20,3,5))))),"")</f>
        <v/>
      </c>
    </row>
    <row r="128" customFormat="false" ht="15" hidden="false" customHeight="true" outlineLevel="0" collapsed="false">
      <c r="A128" s="1" t="str">
        <f aca="false">Backlog!A128</f>
        <v/>
      </c>
      <c r="B128" s="57" t="str">
        <f aca="false">IFERROR(IF(ISBLANK(INDEX(Backlog[Requirement Name],MATCH($A128,Backlog[Requirement ID],0))),"",INDEX(Backlog[Requirement Name],MATCH($A128,Backlog[Requirement ID],0))),"")</f>
        <v/>
      </c>
      <c r="C128" s="1" t="str">
        <f aca="false">IFERROR(IF(ISBLANK(INDEX(Backlog[Stream],MATCH($A128,Backlog[Requirement ID],0))),"",INDEX(Backlog[Stream],MATCH($A128,Backlog[Requirement ID],0))),"")</f>
        <v/>
      </c>
      <c r="D128" s="1" t="str">
        <f aca="false">IFERROR(IF(ISBLANK(INDEX(Backlog[Jira Link],MATCH($A128,Backlog[Requirement ID],0))),"",INDEX(Backlog[Jira Link],MATCH($A128,Backlog[Requirement ID],0))),"")</f>
        <v/>
      </c>
      <c r="E128" s="1" t="str">
        <f aca="false">IFERROR(IF(ISBLANK(INDEX(Backlog[Status],MATCH($A128,Backlog[Requirement ID],0))),"",INDEX(Backlog[Status],MATCH($A128,Backlog[Requirement ID],0))),"")</f>
        <v/>
      </c>
      <c r="F128" s="1" t="str">
        <f aca="false">IFERROR(IF(ISBLANK(INDEX(SprintPlanning[Sprint],MATCH($A128,SprintPlanning[Requirement ID],0))),"",INDEX(SprintPlanning[Sprint],MATCH($A128,SprintPlanning[Requirement ID],0))),"")</f>
        <v/>
      </c>
      <c r="H128" s="58"/>
      <c r="J128" s="1" t="str">
        <f aca="false">IFERROR(IF(ISBLANK(INDEX(Backlog[Priority],MATCH($A128,Backlog[Requirement ID],0))),"",INDEX(Backlog[Priority],MATCH($A128,Backlog[Requirement ID],0))),"")</f>
        <v/>
      </c>
      <c r="L128" s="1" t="str">
        <f aca="false">IFERROR(IF(ISBLANK(INDEX(Backlog[HLE],MATCH($A128,Backlog[Requirement ID],0))),"",IF(INDEX(Backlog[HLE],MATCH($A128,Backlog[Requirement ID],0))&lt;=5,0.5,IF(INDEX(Backlog[HLE],MATCH($A128,Backlog[Requirement ID],0))&lt;=8,1,IF(INDEX(Backlog[HLE],MATCH($A128,Backlog[Requirement ID],0))&lt;=13,2,IF(INDEX(Backlog[HLE],MATCH($A128,Backlog[Requirement ID],0))&lt;=20,3,5))))),"")</f>
        <v/>
      </c>
    </row>
    <row r="129" customFormat="false" ht="15" hidden="false" customHeight="true" outlineLevel="0" collapsed="false">
      <c r="A129" s="1" t="str">
        <f aca="false">Backlog!A129</f>
        <v/>
      </c>
      <c r="B129" s="57" t="str">
        <f aca="false">IFERROR(IF(ISBLANK(INDEX(Backlog[Requirement Name],MATCH($A129,Backlog[Requirement ID],0))),"",INDEX(Backlog[Requirement Name],MATCH($A129,Backlog[Requirement ID],0))),"")</f>
        <v/>
      </c>
      <c r="C129" s="1" t="str">
        <f aca="false">IFERROR(IF(ISBLANK(INDEX(Backlog[Stream],MATCH($A129,Backlog[Requirement ID],0))),"",INDEX(Backlog[Stream],MATCH($A129,Backlog[Requirement ID],0))),"")</f>
        <v/>
      </c>
      <c r="D129" s="1" t="str">
        <f aca="false">IFERROR(IF(ISBLANK(INDEX(Backlog[Jira Link],MATCH($A129,Backlog[Requirement ID],0))),"",INDEX(Backlog[Jira Link],MATCH($A129,Backlog[Requirement ID],0))),"")</f>
        <v/>
      </c>
      <c r="E129" s="1" t="str">
        <f aca="false">IFERROR(IF(ISBLANK(INDEX(Backlog[Status],MATCH($A129,Backlog[Requirement ID],0))),"",INDEX(Backlog[Status],MATCH($A129,Backlog[Requirement ID],0))),"")</f>
        <v/>
      </c>
      <c r="F129" s="1" t="str">
        <f aca="false">IFERROR(IF(ISBLANK(INDEX(SprintPlanning[Sprint],MATCH($A129,SprintPlanning[Requirement ID],0))),"",INDEX(SprintPlanning[Sprint],MATCH($A129,SprintPlanning[Requirement ID],0))),"")</f>
        <v/>
      </c>
      <c r="H129" s="58"/>
      <c r="J129" s="1" t="str">
        <f aca="false">IFERROR(IF(ISBLANK(INDEX(Backlog[Priority],MATCH($A129,Backlog[Requirement ID],0))),"",INDEX(Backlog[Priority],MATCH($A129,Backlog[Requirement ID],0))),"")</f>
        <v/>
      </c>
      <c r="L129" s="1" t="str">
        <f aca="false">IFERROR(IF(ISBLANK(INDEX(Backlog[HLE],MATCH($A129,Backlog[Requirement ID],0))),"",IF(INDEX(Backlog[HLE],MATCH($A129,Backlog[Requirement ID],0))&lt;=5,0.5,IF(INDEX(Backlog[HLE],MATCH($A129,Backlog[Requirement ID],0))&lt;=8,1,IF(INDEX(Backlog[HLE],MATCH($A129,Backlog[Requirement ID],0))&lt;=13,2,IF(INDEX(Backlog[HLE],MATCH($A129,Backlog[Requirement ID],0))&lt;=20,3,5))))),"")</f>
        <v/>
      </c>
    </row>
    <row r="130" customFormat="false" ht="15" hidden="false" customHeight="true" outlineLevel="0" collapsed="false">
      <c r="A130" s="1" t="str">
        <f aca="false">Backlog!A130</f>
        <v/>
      </c>
      <c r="B130" s="57" t="str">
        <f aca="false">IFERROR(IF(ISBLANK(INDEX(Backlog[Requirement Name],MATCH($A130,Backlog[Requirement ID],0))),"",INDEX(Backlog[Requirement Name],MATCH($A130,Backlog[Requirement ID],0))),"")</f>
        <v/>
      </c>
      <c r="C130" s="1" t="str">
        <f aca="false">IFERROR(IF(ISBLANK(INDEX(Backlog[Stream],MATCH($A130,Backlog[Requirement ID],0))),"",INDEX(Backlog[Stream],MATCH($A130,Backlog[Requirement ID],0))),"")</f>
        <v/>
      </c>
      <c r="D130" s="1" t="str">
        <f aca="false">IFERROR(IF(ISBLANK(INDEX(Backlog[Jira Link],MATCH($A130,Backlog[Requirement ID],0))),"",INDEX(Backlog[Jira Link],MATCH($A130,Backlog[Requirement ID],0))),"")</f>
        <v/>
      </c>
      <c r="E130" s="1" t="str">
        <f aca="false">IFERROR(IF(ISBLANK(INDEX(Backlog[Status],MATCH($A130,Backlog[Requirement ID],0))),"",INDEX(Backlog[Status],MATCH($A130,Backlog[Requirement ID],0))),"")</f>
        <v/>
      </c>
      <c r="F130" s="1" t="str">
        <f aca="false">IFERROR(IF(ISBLANK(INDEX(SprintPlanning[Sprint],MATCH($A130,SprintPlanning[Requirement ID],0))),"",INDEX(SprintPlanning[Sprint],MATCH($A130,SprintPlanning[Requirement ID],0))),"")</f>
        <v/>
      </c>
      <c r="H130" s="58"/>
      <c r="J130" s="1" t="str">
        <f aca="false">IFERROR(IF(ISBLANK(INDEX(Backlog[Priority],MATCH($A130,Backlog[Requirement ID],0))),"",INDEX(Backlog[Priority],MATCH($A130,Backlog[Requirement ID],0))),"")</f>
        <v/>
      </c>
      <c r="L130" s="1" t="str">
        <f aca="false">IFERROR(IF(ISBLANK(INDEX(Backlog[HLE],MATCH($A130,Backlog[Requirement ID],0))),"",IF(INDEX(Backlog[HLE],MATCH($A130,Backlog[Requirement ID],0))&lt;=5,0.5,IF(INDEX(Backlog[HLE],MATCH($A130,Backlog[Requirement ID],0))&lt;=8,1,IF(INDEX(Backlog[HLE],MATCH($A130,Backlog[Requirement ID],0))&lt;=13,2,IF(INDEX(Backlog[HLE],MATCH($A130,Backlog[Requirement ID],0))&lt;=20,3,5))))),"")</f>
        <v/>
      </c>
    </row>
    <row r="131" customFormat="false" ht="15" hidden="false" customHeight="true" outlineLevel="0" collapsed="false">
      <c r="A131" s="1" t="str">
        <f aca="false">Backlog!A131</f>
        <v/>
      </c>
      <c r="B131" s="57" t="str">
        <f aca="false">IFERROR(IF(ISBLANK(INDEX(Backlog[Requirement Name],MATCH($A131,Backlog[Requirement ID],0))),"",INDEX(Backlog[Requirement Name],MATCH($A131,Backlog[Requirement ID],0))),"")</f>
        <v/>
      </c>
      <c r="C131" s="1" t="str">
        <f aca="false">IFERROR(IF(ISBLANK(INDEX(Backlog[Stream],MATCH($A131,Backlog[Requirement ID],0))),"",INDEX(Backlog[Stream],MATCH($A131,Backlog[Requirement ID],0))),"")</f>
        <v/>
      </c>
      <c r="D131" s="1" t="str">
        <f aca="false">IFERROR(IF(ISBLANK(INDEX(Backlog[Jira Link],MATCH($A131,Backlog[Requirement ID],0))),"",INDEX(Backlog[Jira Link],MATCH($A131,Backlog[Requirement ID],0))),"")</f>
        <v/>
      </c>
      <c r="E131" s="1" t="str">
        <f aca="false">IFERROR(IF(ISBLANK(INDEX(Backlog[Status],MATCH($A131,Backlog[Requirement ID],0))),"",INDEX(Backlog[Status],MATCH($A131,Backlog[Requirement ID],0))),"")</f>
        <v/>
      </c>
      <c r="F131" s="1" t="str">
        <f aca="false">IFERROR(IF(ISBLANK(INDEX(SprintPlanning[Sprint],MATCH($A131,SprintPlanning[Requirement ID],0))),"",INDEX(SprintPlanning[Sprint],MATCH($A131,SprintPlanning[Requirement ID],0))),"")</f>
        <v/>
      </c>
      <c r="H131" s="58"/>
      <c r="J131" s="1" t="str">
        <f aca="false">IFERROR(IF(ISBLANK(INDEX(Backlog[Priority],MATCH($A131,Backlog[Requirement ID],0))),"",INDEX(Backlog[Priority],MATCH($A131,Backlog[Requirement ID],0))),"")</f>
        <v/>
      </c>
      <c r="L131" s="1" t="str">
        <f aca="false">IFERROR(IF(ISBLANK(INDEX(Backlog[HLE],MATCH($A131,Backlog[Requirement ID],0))),"",IF(INDEX(Backlog[HLE],MATCH($A131,Backlog[Requirement ID],0))&lt;=5,0.5,IF(INDEX(Backlog[HLE],MATCH($A131,Backlog[Requirement ID],0))&lt;=8,1,IF(INDEX(Backlog[HLE],MATCH($A131,Backlog[Requirement ID],0))&lt;=13,2,IF(INDEX(Backlog[HLE],MATCH($A131,Backlog[Requirement ID],0))&lt;=20,3,5))))),"")</f>
        <v/>
      </c>
    </row>
    <row r="132" customFormat="false" ht="15" hidden="false" customHeight="true" outlineLevel="0" collapsed="false">
      <c r="A132" s="1" t="str">
        <f aca="false">Backlog!A132</f>
        <v/>
      </c>
      <c r="B132" s="57" t="str">
        <f aca="false">IFERROR(IF(ISBLANK(INDEX(Backlog[Requirement Name],MATCH($A132,Backlog[Requirement ID],0))),"",INDEX(Backlog[Requirement Name],MATCH($A132,Backlog[Requirement ID],0))),"")</f>
        <v/>
      </c>
      <c r="C132" s="1" t="str">
        <f aca="false">IFERROR(IF(ISBLANK(INDEX(Backlog[Stream],MATCH($A132,Backlog[Requirement ID],0))),"",INDEX(Backlog[Stream],MATCH($A132,Backlog[Requirement ID],0))),"")</f>
        <v/>
      </c>
      <c r="D132" s="1" t="str">
        <f aca="false">IFERROR(IF(ISBLANK(INDEX(Backlog[Jira Link],MATCH($A132,Backlog[Requirement ID],0))),"",INDEX(Backlog[Jira Link],MATCH($A132,Backlog[Requirement ID],0))),"")</f>
        <v/>
      </c>
      <c r="E132" s="1" t="str">
        <f aca="false">IFERROR(IF(ISBLANK(INDEX(Backlog[Status],MATCH($A132,Backlog[Requirement ID],0))),"",INDEX(Backlog[Status],MATCH($A132,Backlog[Requirement ID],0))),"")</f>
        <v/>
      </c>
      <c r="F132" s="1" t="str">
        <f aca="false">IFERROR(IF(ISBLANK(INDEX(SprintPlanning[Sprint],MATCH($A132,SprintPlanning[Requirement ID],0))),"",INDEX(SprintPlanning[Sprint],MATCH($A132,SprintPlanning[Requirement ID],0))),"")</f>
        <v/>
      </c>
      <c r="H132" s="58"/>
      <c r="J132" s="1" t="str">
        <f aca="false">IFERROR(IF(ISBLANK(INDEX(Backlog[Priority],MATCH($A132,Backlog[Requirement ID],0))),"",INDEX(Backlog[Priority],MATCH($A132,Backlog[Requirement ID],0))),"")</f>
        <v/>
      </c>
      <c r="L132" s="1" t="str">
        <f aca="false">IFERROR(IF(ISBLANK(INDEX(Backlog[HLE],MATCH($A132,Backlog[Requirement ID],0))),"",IF(INDEX(Backlog[HLE],MATCH($A132,Backlog[Requirement ID],0))&lt;=5,0.5,IF(INDEX(Backlog[HLE],MATCH($A132,Backlog[Requirement ID],0))&lt;=8,1,IF(INDEX(Backlog[HLE],MATCH($A132,Backlog[Requirement ID],0))&lt;=13,2,IF(INDEX(Backlog[HLE],MATCH($A132,Backlog[Requirement ID],0))&lt;=20,3,5))))),"")</f>
        <v/>
      </c>
    </row>
    <row r="133" customFormat="false" ht="15" hidden="false" customHeight="true" outlineLevel="0" collapsed="false">
      <c r="A133" s="1" t="str">
        <f aca="false">Backlog!A133</f>
        <v/>
      </c>
      <c r="B133" s="57" t="str">
        <f aca="false">IFERROR(IF(ISBLANK(INDEX(Backlog[Requirement Name],MATCH($A133,Backlog[Requirement ID],0))),"",INDEX(Backlog[Requirement Name],MATCH($A133,Backlog[Requirement ID],0))),"")</f>
        <v/>
      </c>
      <c r="C133" s="1" t="str">
        <f aca="false">IFERROR(IF(ISBLANK(INDEX(Backlog[Stream],MATCH($A133,Backlog[Requirement ID],0))),"",INDEX(Backlog[Stream],MATCH($A133,Backlog[Requirement ID],0))),"")</f>
        <v/>
      </c>
      <c r="D133" s="1" t="str">
        <f aca="false">IFERROR(IF(ISBLANK(INDEX(Backlog[Jira Link],MATCH($A133,Backlog[Requirement ID],0))),"",INDEX(Backlog[Jira Link],MATCH($A133,Backlog[Requirement ID],0))),"")</f>
        <v/>
      </c>
      <c r="E133" s="1" t="str">
        <f aca="false">IFERROR(IF(ISBLANK(INDEX(Backlog[Status],MATCH($A133,Backlog[Requirement ID],0))),"",INDEX(Backlog[Status],MATCH($A133,Backlog[Requirement ID],0))),"")</f>
        <v/>
      </c>
      <c r="F133" s="1" t="str">
        <f aca="false">IFERROR(IF(ISBLANK(INDEX(SprintPlanning[Sprint],MATCH($A133,SprintPlanning[Requirement ID],0))),"",INDEX(SprintPlanning[Sprint],MATCH($A133,SprintPlanning[Requirement ID],0))),"")</f>
        <v/>
      </c>
      <c r="H133" s="58"/>
      <c r="J133" s="1" t="str">
        <f aca="false">IFERROR(IF(ISBLANK(INDEX(Backlog[Priority],MATCH($A133,Backlog[Requirement ID],0))),"",INDEX(Backlog[Priority],MATCH($A133,Backlog[Requirement ID],0))),"")</f>
        <v/>
      </c>
      <c r="L133" s="1" t="str">
        <f aca="false">IFERROR(IF(ISBLANK(INDEX(Backlog[HLE],MATCH($A133,Backlog[Requirement ID],0))),"",IF(INDEX(Backlog[HLE],MATCH($A133,Backlog[Requirement ID],0))&lt;=5,0.5,IF(INDEX(Backlog[HLE],MATCH($A133,Backlog[Requirement ID],0))&lt;=8,1,IF(INDEX(Backlog[HLE],MATCH($A133,Backlog[Requirement ID],0))&lt;=13,2,IF(INDEX(Backlog[HLE],MATCH($A133,Backlog[Requirement ID],0))&lt;=20,3,5))))),"")</f>
        <v/>
      </c>
    </row>
    <row r="134" customFormat="false" ht="15" hidden="false" customHeight="true" outlineLevel="0" collapsed="false">
      <c r="A134" s="1" t="str">
        <f aca="false">Backlog!A134</f>
        <v/>
      </c>
      <c r="B134" s="57" t="str">
        <f aca="false">IFERROR(IF(ISBLANK(INDEX(Backlog[Requirement Name],MATCH($A134,Backlog[Requirement ID],0))),"",INDEX(Backlog[Requirement Name],MATCH($A134,Backlog[Requirement ID],0))),"")</f>
        <v/>
      </c>
      <c r="C134" s="1" t="str">
        <f aca="false">IFERROR(IF(ISBLANK(INDEX(Backlog[Stream],MATCH($A134,Backlog[Requirement ID],0))),"",INDEX(Backlog[Stream],MATCH($A134,Backlog[Requirement ID],0))),"")</f>
        <v/>
      </c>
      <c r="D134" s="1" t="str">
        <f aca="false">IFERROR(IF(ISBLANK(INDEX(Backlog[Jira Link],MATCH($A134,Backlog[Requirement ID],0))),"",INDEX(Backlog[Jira Link],MATCH($A134,Backlog[Requirement ID],0))),"")</f>
        <v/>
      </c>
      <c r="E134" s="1" t="str">
        <f aca="false">IFERROR(IF(ISBLANK(INDEX(Backlog[Status],MATCH($A134,Backlog[Requirement ID],0))),"",INDEX(Backlog[Status],MATCH($A134,Backlog[Requirement ID],0))),"")</f>
        <v/>
      </c>
      <c r="F134" s="1" t="str">
        <f aca="false">IFERROR(IF(ISBLANK(INDEX(SprintPlanning[Sprint],MATCH($A134,SprintPlanning[Requirement ID],0))),"",INDEX(SprintPlanning[Sprint],MATCH($A134,SprintPlanning[Requirement ID],0))),"")</f>
        <v/>
      </c>
      <c r="H134" s="58"/>
      <c r="J134" s="1" t="str">
        <f aca="false">IFERROR(IF(ISBLANK(INDEX(Backlog[Priority],MATCH($A134,Backlog[Requirement ID],0))),"",INDEX(Backlog[Priority],MATCH($A134,Backlog[Requirement ID],0))),"")</f>
        <v/>
      </c>
      <c r="L134" s="1" t="str">
        <f aca="false">IFERROR(IF(ISBLANK(INDEX(Backlog[HLE],MATCH($A134,Backlog[Requirement ID],0))),"",IF(INDEX(Backlog[HLE],MATCH($A134,Backlog[Requirement ID],0))&lt;=5,0.5,IF(INDEX(Backlog[HLE],MATCH($A134,Backlog[Requirement ID],0))&lt;=8,1,IF(INDEX(Backlog[HLE],MATCH($A134,Backlog[Requirement ID],0))&lt;=13,2,IF(INDEX(Backlog[HLE],MATCH($A134,Backlog[Requirement ID],0))&lt;=20,3,5))))),"")</f>
        <v/>
      </c>
    </row>
    <row r="135" customFormat="false" ht="23.25" hidden="false" customHeight="true" outlineLevel="0" collapsed="false">
      <c r="A135" s="1" t="str">
        <f aca="false">Backlog!A135</f>
        <v/>
      </c>
      <c r="B135" s="57" t="str">
        <f aca="false">IFERROR(IF(ISBLANK(INDEX(Backlog[Requirement Name],MATCH($A135,Backlog[Requirement ID],0))),"",INDEX(Backlog[Requirement Name],MATCH($A135,Backlog[Requirement ID],0))),"")</f>
        <v/>
      </c>
      <c r="C135" s="1" t="str">
        <f aca="false">IFERROR(IF(ISBLANK(INDEX(Backlog[Stream],MATCH($A135,Backlog[Requirement ID],0))),"",INDEX(Backlog[Stream],MATCH($A135,Backlog[Requirement ID],0))),"")</f>
        <v/>
      </c>
      <c r="D135" s="1" t="str">
        <f aca="false">IFERROR(IF(ISBLANK(INDEX(Backlog[Jira Link],MATCH($A135,Backlog[Requirement ID],0))),"",INDEX(Backlog[Jira Link],MATCH($A135,Backlog[Requirement ID],0))),"")</f>
        <v/>
      </c>
      <c r="E135" s="1" t="str">
        <f aca="false">IFERROR(IF(ISBLANK(INDEX(Backlog[Status],MATCH($A135,Backlog[Requirement ID],0))),"",INDEX(Backlog[Status],MATCH($A135,Backlog[Requirement ID],0))),"")</f>
        <v/>
      </c>
      <c r="F135" s="1" t="str">
        <f aca="false">IFERROR(IF(ISBLANK(INDEX(SprintPlanning[Sprint],MATCH($A135,SprintPlanning[Requirement ID],0))),"",INDEX(SprintPlanning[Sprint],MATCH($A135,SprintPlanning[Requirement ID],0))),"")</f>
        <v/>
      </c>
      <c r="H135" s="58"/>
      <c r="J135" s="1" t="str">
        <f aca="false">IFERROR(IF(ISBLANK(INDEX(Backlog[Priority],MATCH($A135,Backlog[Requirement ID],0))),"",INDEX(Backlog[Priority],MATCH($A135,Backlog[Requirement ID],0))),"")</f>
        <v/>
      </c>
      <c r="L135" s="1" t="str">
        <f aca="false">IFERROR(IF(ISBLANK(INDEX(Backlog[HLE],MATCH($A135,Backlog[Requirement ID],0))),"",IF(INDEX(Backlog[HLE],MATCH($A135,Backlog[Requirement ID],0))&lt;=5,0.5,IF(INDEX(Backlog[HLE],MATCH($A135,Backlog[Requirement ID],0))&lt;=8,1,IF(INDEX(Backlog[HLE],MATCH($A135,Backlog[Requirement ID],0))&lt;=13,2,IF(INDEX(Backlog[HLE],MATCH($A135,Backlog[Requirement ID],0))&lt;=20,3,5))))),"")</f>
        <v/>
      </c>
    </row>
    <row r="136" customFormat="false" ht="15" hidden="false" customHeight="true" outlineLevel="0" collapsed="false">
      <c r="A136" s="1" t="str">
        <f aca="false">Backlog!A136</f>
        <v/>
      </c>
      <c r="B136" s="57" t="str">
        <f aca="false">IFERROR(IF(ISBLANK(INDEX(Backlog[Requirement Name],MATCH($A136,Backlog[Requirement ID],0))),"",INDEX(Backlog[Requirement Name],MATCH($A136,Backlog[Requirement ID],0))),"")</f>
        <v/>
      </c>
      <c r="C136" s="1" t="str">
        <f aca="false">IFERROR(IF(ISBLANK(INDEX(Backlog[Stream],MATCH($A136,Backlog[Requirement ID],0))),"",INDEX(Backlog[Stream],MATCH($A136,Backlog[Requirement ID],0))),"")</f>
        <v/>
      </c>
      <c r="D136" s="1" t="str">
        <f aca="false">IFERROR(IF(ISBLANK(INDEX(Backlog[Jira Link],MATCH($A136,Backlog[Requirement ID],0))),"",INDEX(Backlog[Jira Link],MATCH($A136,Backlog[Requirement ID],0))),"")</f>
        <v/>
      </c>
      <c r="E136" s="1" t="str">
        <f aca="false">IFERROR(IF(ISBLANK(INDEX(Backlog[Status],MATCH($A136,Backlog[Requirement ID],0))),"",INDEX(Backlog[Status],MATCH($A136,Backlog[Requirement ID],0))),"")</f>
        <v/>
      </c>
      <c r="F136" s="1" t="str">
        <f aca="false">IFERROR(IF(ISBLANK(INDEX(SprintPlanning[Sprint],MATCH($A136,SprintPlanning[Requirement ID],0))),"",INDEX(SprintPlanning[Sprint],MATCH($A136,SprintPlanning[Requirement ID],0))),"")</f>
        <v/>
      </c>
      <c r="H136" s="58"/>
      <c r="J136" s="1" t="str">
        <f aca="false">IFERROR(IF(ISBLANK(INDEX(Backlog[Priority],MATCH($A136,Backlog[Requirement ID],0))),"",INDEX(Backlog[Priority],MATCH($A136,Backlog[Requirement ID],0))),"")</f>
        <v/>
      </c>
      <c r="L136" s="1" t="str">
        <f aca="false">IFERROR(IF(ISBLANK(INDEX(Backlog[HLE],MATCH($A136,Backlog[Requirement ID],0))),"",IF(INDEX(Backlog[HLE],MATCH($A136,Backlog[Requirement ID],0))&lt;=5,0.5,IF(INDEX(Backlog[HLE],MATCH($A136,Backlog[Requirement ID],0))&lt;=8,1,IF(INDEX(Backlog[HLE],MATCH($A136,Backlog[Requirement ID],0))&lt;=13,2,IF(INDEX(Backlog[HLE],MATCH($A136,Backlog[Requirement ID],0))&lt;=20,3,5))))),"")</f>
        <v/>
      </c>
    </row>
    <row r="137" customFormat="false" ht="15" hidden="false" customHeight="true" outlineLevel="0" collapsed="false">
      <c r="A137" s="1" t="str">
        <f aca="false">Backlog!A137</f>
        <v/>
      </c>
      <c r="B137" s="57" t="str">
        <f aca="false">IFERROR(IF(ISBLANK(INDEX(Backlog[Requirement Name],MATCH($A137,Backlog[Requirement ID],0))),"",INDEX(Backlog[Requirement Name],MATCH($A137,Backlog[Requirement ID],0))),"")</f>
        <v/>
      </c>
      <c r="C137" s="1" t="str">
        <f aca="false">IFERROR(IF(ISBLANK(INDEX(Backlog[Stream],MATCH($A137,Backlog[Requirement ID],0))),"",INDEX(Backlog[Stream],MATCH($A137,Backlog[Requirement ID],0))),"")</f>
        <v/>
      </c>
      <c r="D137" s="1" t="str">
        <f aca="false">IFERROR(IF(ISBLANK(INDEX(Backlog[Jira Link],MATCH($A137,Backlog[Requirement ID],0))),"",INDEX(Backlog[Jira Link],MATCH($A137,Backlog[Requirement ID],0))),"")</f>
        <v/>
      </c>
      <c r="E137" s="1" t="str">
        <f aca="false">IFERROR(IF(ISBLANK(INDEX(Backlog[Status],MATCH($A137,Backlog[Requirement ID],0))),"",INDEX(Backlog[Status],MATCH($A137,Backlog[Requirement ID],0))),"")</f>
        <v/>
      </c>
      <c r="F137" s="1" t="str">
        <f aca="false">IFERROR(IF(ISBLANK(INDEX(SprintPlanning[Sprint],MATCH($A137,SprintPlanning[Requirement ID],0))),"",INDEX(SprintPlanning[Sprint],MATCH($A137,SprintPlanning[Requirement ID],0))),"")</f>
        <v/>
      </c>
      <c r="H137" s="58"/>
      <c r="J137" s="1" t="str">
        <f aca="false">IFERROR(IF(ISBLANK(INDEX(Backlog[Priority],MATCH($A137,Backlog[Requirement ID],0))),"",INDEX(Backlog[Priority],MATCH($A137,Backlog[Requirement ID],0))),"")</f>
        <v/>
      </c>
      <c r="L137" s="1" t="str">
        <f aca="false">IFERROR(IF(ISBLANK(INDEX(Backlog[HLE],MATCH($A137,Backlog[Requirement ID],0))),"",IF(INDEX(Backlog[HLE],MATCH($A137,Backlog[Requirement ID],0))&lt;=5,0.5,IF(INDEX(Backlog[HLE],MATCH($A137,Backlog[Requirement ID],0))&lt;=8,1,IF(INDEX(Backlog[HLE],MATCH($A137,Backlog[Requirement ID],0))&lt;=13,2,IF(INDEX(Backlog[HLE],MATCH($A137,Backlog[Requirement ID],0))&lt;=20,3,5))))),"")</f>
        <v/>
      </c>
    </row>
    <row r="138" customFormat="false" ht="15" hidden="false" customHeight="true" outlineLevel="0" collapsed="false">
      <c r="A138" s="1" t="str">
        <f aca="false">Backlog!A138</f>
        <v/>
      </c>
      <c r="B138" s="57" t="str">
        <f aca="false">IFERROR(IF(ISBLANK(INDEX(Backlog[Requirement Name],MATCH($A138,Backlog[Requirement ID],0))),"",INDEX(Backlog[Requirement Name],MATCH($A138,Backlog[Requirement ID],0))),"")</f>
        <v/>
      </c>
      <c r="C138" s="1" t="str">
        <f aca="false">IFERROR(IF(ISBLANK(INDEX(Backlog[Stream],MATCH($A138,Backlog[Requirement ID],0))),"",INDEX(Backlog[Stream],MATCH($A138,Backlog[Requirement ID],0))),"")</f>
        <v/>
      </c>
      <c r="D138" s="1" t="str">
        <f aca="false">IFERROR(IF(ISBLANK(INDEX(Backlog[Jira Link],MATCH($A138,Backlog[Requirement ID],0))),"",INDEX(Backlog[Jira Link],MATCH($A138,Backlog[Requirement ID],0))),"")</f>
        <v/>
      </c>
      <c r="E138" s="1" t="str">
        <f aca="false">IFERROR(IF(ISBLANK(INDEX(Backlog[Status],MATCH($A138,Backlog[Requirement ID],0))),"",INDEX(Backlog[Status],MATCH($A138,Backlog[Requirement ID],0))),"")</f>
        <v/>
      </c>
      <c r="F138" s="1" t="str">
        <f aca="false">IFERROR(IF(ISBLANK(INDEX(SprintPlanning[Sprint],MATCH($A138,SprintPlanning[Requirement ID],0))),"",INDEX(SprintPlanning[Sprint],MATCH($A138,SprintPlanning[Requirement ID],0))),"")</f>
        <v/>
      </c>
      <c r="H138" s="58"/>
      <c r="J138" s="1" t="str">
        <f aca="false">IFERROR(IF(ISBLANK(INDEX(Backlog[Priority],MATCH($A138,Backlog[Requirement ID],0))),"",INDEX(Backlog[Priority],MATCH($A138,Backlog[Requirement ID],0))),"")</f>
        <v/>
      </c>
      <c r="L138" s="1" t="str">
        <f aca="false">IFERROR(IF(ISBLANK(INDEX(Backlog[HLE],MATCH($A138,Backlog[Requirement ID],0))),"",IF(INDEX(Backlog[HLE],MATCH($A138,Backlog[Requirement ID],0))&lt;=5,0.5,IF(INDEX(Backlog[HLE],MATCH($A138,Backlog[Requirement ID],0))&lt;=8,1,IF(INDEX(Backlog[HLE],MATCH($A138,Backlog[Requirement ID],0))&lt;=13,2,IF(INDEX(Backlog[HLE],MATCH($A138,Backlog[Requirement ID],0))&lt;=20,3,5))))),"")</f>
        <v/>
      </c>
    </row>
    <row r="139" customFormat="false" ht="15" hidden="false" customHeight="true" outlineLevel="0" collapsed="false">
      <c r="A139" s="1" t="str">
        <f aca="false">Backlog!A139</f>
        <v/>
      </c>
      <c r="B139" s="57" t="str">
        <f aca="false">IFERROR(IF(ISBLANK(INDEX(Backlog[Requirement Name],MATCH($A139,Backlog[Requirement ID],0))),"",INDEX(Backlog[Requirement Name],MATCH($A139,Backlog[Requirement ID],0))),"")</f>
        <v/>
      </c>
      <c r="C139" s="1" t="str">
        <f aca="false">IFERROR(IF(ISBLANK(INDEX(Backlog[Stream],MATCH($A139,Backlog[Requirement ID],0))),"",INDEX(Backlog[Stream],MATCH($A139,Backlog[Requirement ID],0))),"")</f>
        <v/>
      </c>
      <c r="D139" s="1" t="str">
        <f aca="false">IFERROR(IF(ISBLANK(INDEX(Backlog[Jira Link],MATCH($A139,Backlog[Requirement ID],0))),"",INDEX(Backlog[Jira Link],MATCH($A139,Backlog[Requirement ID],0))),"")</f>
        <v/>
      </c>
      <c r="E139" s="1" t="str">
        <f aca="false">IFERROR(IF(ISBLANK(INDEX(Backlog[Status],MATCH($A139,Backlog[Requirement ID],0))),"",INDEX(Backlog[Status],MATCH($A139,Backlog[Requirement ID],0))),"")</f>
        <v/>
      </c>
      <c r="F139" s="1" t="str">
        <f aca="false">IFERROR(IF(ISBLANK(INDEX(SprintPlanning[Sprint],MATCH($A139,SprintPlanning[Requirement ID],0))),"",INDEX(SprintPlanning[Sprint],MATCH($A139,SprintPlanning[Requirement ID],0))),"")</f>
        <v/>
      </c>
      <c r="H139" s="58"/>
      <c r="J139" s="1" t="str">
        <f aca="false">IFERROR(IF(ISBLANK(INDEX(Backlog[Priority],MATCH($A139,Backlog[Requirement ID],0))),"",INDEX(Backlog[Priority],MATCH($A139,Backlog[Requirement ID],0))),"")</f>
        <v/>
      </c>
      <c r="L139" s="1" t="str">
        <f aca="false">IFERROR(IF(ISBLANK(INDEX(Backlog[HLE],MATCH($A139,Backlog[Requirement ID],0))),"",IF(INDEX(Backlog[HLE],MATCH($A139,Backlog[Requirement ID],0))&lt;=5,0.5,IF(INDEX(Backlog[HLE],MATCH($A139,Backlog[Requirement ID],0))&lt;=8,1,IF(INDEX(Backlog[HLE],MATCH($A139,Backlog[Requirement ID],0))&lt;=13,2,IF(INDEX(Backlog[HLE],MATCH($A139,Backlog[Requirement ID],0))&lt;=20,3,5))))),"")</f>
        <v/>
      </c>
    </row>
    <row r="140" customFormat="false" ht="15" hidden="false" customHeight="true" outlineLevel="0" collapsed="false">
      <c r="A140" s="1" t="str">
        <f aca="false">Backlog!A140</f>
        <v/>
      </c>
      <c r="B140" s="57" t="str">
        <f aca="false">IFERROR(IF(ISBLANK(INDEX(Backlog[Requirement Name],MATCH($A140,Backlog[Requirement ID],0))),"",INDEX(Backlog[Requirement Name],MATCH($A140,Backlog[Requirement ID],0))),"")</f>
        <v/>
      </c>
      <c r="C140" s="1" t="str">
        <f aca="false">IFERROR(IF(ISBLANK(INDEX(Backlog[Stream],MATCH($A140,Backlog[Requirement ID],0))),"",INDEX(Backlog[Stream],MATCH($A140,Backlog[Requirement ID],0))),"")</f>
        <v/>
      </c>
      <c r="D140" s="1" t="str">
        <f aca="false">IFERROR(IF(ISBLANK(INDEX(Backlog[Jira Link],MATCH($A140,Backlog[Requirement ID],0))),"",INDEX(Backlog[Jira Link],MATCH($A140,Backlog[Requirement ID],0))),"")</f>
        <v/>
      </c>
      <c r="E140" s="1" t="str">
        <f aca="false">IFERROR(IF(ISBLANK(INDEX(Backlog[Status],MATCH($A140,Backlog[Requirement ID],0))),"",INDEX(Backlog[Status],MATCH($A140,Backlog[Requirement ID],0))),"")</f>
        <v/>
      </c>
      <c r="F140" s="1" t="str">
        <f aca="false">IFERROR(IF(ISBLANK(INDEX(SprintPlanning[Sprint],MATCH($A140,SprintPlanning[Requirement ID],0))),"",INDEX(SprintPlanning[Sprint],MATCH($A140,SprintPlanning[Requirement ID],0))),"")</f>
        <v/>
      </c>
      <c r="H140" s="58"/>
      <c r="J140" s="1" t="str">
        <f aca="false">IFERROR(IF(ISBLANK(INDEX(Backlog[Priority],MATCH($A140,Backlog[Requirement ID],0))),"",INDEX(Backlog[Priority],MATCH($A140,Backlog[Requirement ID],0))),"")</f>
        <v/>
      </c>
      <c r="L140" s="1" t="str">
        <f aca="false">IFERROR(IF(ISBLANK(INDEX(Backlog[HLE],MATCH($A140,Backlog[Requirement ID],0))),"",IF(INDEX(Backlog[HLE],MATCH($A140,Backlog[Requirement ID],0))&lt;=5,0.5,IF(INDEX(Backlog[HLE],MATCH($A140,Backlog[Requirement ID],0))&lt;=8,1,IF(INDEX(Backlog[HLE],MATCH($A140,Backlog[Requirement ID],0))&lt;=13,2,IF(INDEX(Backlog[HLE],MATCH($A140,Backlog[Requirement ID],0))&lt;=20,3,5))))),"")</f>
        <v/>
      </c>
    </row>
    <row r="141" customFormat="false" ht="15" hidden="false" customHeight="true" outlineLevel="0" collapsed="false">
      <c r="A141" s="1" t="str">
        <f aca="false">Backlog!A141</f>
        <v/>
      </c>
      <c r="B141" s="57" t="str">
        <f aca="false">IFERROR(IF(ISBLANK(INDEX(Backlog[Requirement Name],MATCH($A141,Backlog[Requirement ID],0))),"",INDEX(Backlog[Requirement Name],MATCH($A141,Backlog[Requirement ID],0))),"")</f>
        <v/>
      </c>
      <c r="C141" s="1" t="str">
        <f aca="false">IFERROR(IF(ISBLANK(INDEX(Backlog[Stream],MATCH($A141,Backlog[Requirement ID],0))),"",INDEX(Backlog[Stream],MATCH($A141,Backlog[Requirement ID],0))),"")</f>
        <v/>
      </c>
      <c r="D141" s="1" t="str">
        <f aca="false">IFERROR(IF(ISBLANK(INDEX(Backlog[Jira Link],MATCH($A141,Backlog[Requirement ID],0))),"",INDEX(Backlog[Jira Link],MATCH($A141,Backlog[Requirement ID],0))),"")</f>
        <v/>
      </c>
      <c r="E141" s="1" t="str">
        <f aca="false">IFERROR(IF(ISBLANK(INDEX(Backlog[Status],MATCH($A141,Backlog[Requirement ID],0))),"",INDEX(Backlog[Status],MATCH($A141,Backlog[Requirement ID],0))),"")</f>
        <v/>
      </c>
      <c r="F141" s="1" t="str">
        <f aca="false">IFERROR(IF(ISBLANK(INDEX(SprintPlanning[Sprint],MATCH($A141,SprintPlanning[Requirement ID],0))),"",INDEX(SprintPlanning[Sprint],MATCH($A141,SprintPlanning[Requirement ID],0))),"")</f>
        <v/>
      </c>
      <c r="H141" s="58"/>
      <c r="J141" s="1" t="str">
        <f aca="false">IFERROR(IF(ISBLANK(INDEX(Backlog[Priority],MATCH($A141,Backlog[Requirement ID],0))),"",INDEX(Backlog[Priority],MATCH($A141,Backlog[Requirement ID],0))),"")</f>
        <v/>
      </c>
      <c r="L141" s="1" t="str">
        <f aca="false">IFERROR(IF(ISBLANK(INDEX(Backlog[HLE],MATCH($A141,Backlog[Requirement ID],0))),"",IF(INDEX(Backlog[HLE],MATCH($A141,Backlog[Requirement ID],0))&lt;=5,0.5,IF(INDEX(Backlog[HLE],MATCH($A141,Backlog[Requirement ID],0))&lt;=8,1,IF(INDEX(Backlog[HLE],MATCH($A141,Backlog[Requirement ID],0))&lt;=13,2,IF(INDEX(Backlog[HLE],MATCH($A141,Backlog[Requirement ID],0))&lt;=20,3,5))))),"")</f>
        <v/>
      </c>
    </row>
    <row r="142" customFormat="false" ht="15" hidden="false" customHeight="true" outlineLevel="0" collapsed="false">
      <c r="A142" s="1" t="str">
        <f aca="false">Backlog!A142</f>
        <v/>
      </c>
      <c r="B142" s="57" t="str">
        <f aca="false">IFERROR(IF(ISBLANK(INDEX(Backlog[Requirement Name],MATCH($A142,Backlog[Requirement ID],0))),"",INDEX(Backlog[Requirement Name],MATCH($A142,Backlog[Requirement ID],0))),"")</f>
        <v/>
      </c>
      <c r="C142" s="1" t="str">
        <f aca="false">IFERROR(IF(ISBLANK(INDEX(Backlog[Stream],MATCH($A142,Backlog[Requirement ID],0))),"",INDEX(Backlog[Stream],MATCH($A142,Backlog[Requirement ID],0))),"")</f>
        <v/>
      </c>
      <c r="D142" s="1" t="str">
        <f aca="false">IFERROR(IF(ISBLANK(INDEX(Backlog[Jira Link],MATCH($A142,Backlog[Requirement ID],0))),"",INDEX(Backlog[Jira Link],MATCH($A142,Backlog[Requirement ID],0))),"")</f>
        <v/>
      </c>
      <c r="E142" s="1" t="str">
        <f aca="false">IFERROR(IF(ISBLANK(INDEX(Backlog[Status],MATCH($A142,Backlog[Requirement ID],0))),"",INDEX(Backlog[Status],MATCH($A142,Backlog[Requirement ID],0))),"")</f>
        <v/>
      </c>
      <c r="F142" s="1" t="str">
        <f aca="false">IFERROR(IF(ISBLANK(INDEX(SprintPlanning[Sprint],MATCH($A142,SprintPlanning[Requirement ID],0))),"",INDEX(SprintPlanning[Sprint],MATCH($A142,SprintPlanning[Requirement ID],0))),"")</f>
        <v/>
      </c>
      <c r="H142" s="58"/>
      <c r="J142" s="1" t="str">
        <f aca="false">IFERROR(IF(ISBLANK(INDEX(Backlog[Priority],MATCH($A142,Backlog[Requirement ID],0))),"",INDEX(Backlog[Priority],MATCH($A142,Backlog[Requirement ID],0))),"")</f>
        <v/>
      </c>
      <c r="L142" s="1" t="str">
        <f aca="false">IFERROR(IF(ISBLANK(INDEX(Backlog[HLE],MATCH($A142,Backlog[Requirement ID],0))),"",IF(INDEX(Backlog[HLE],MATCH($A142,Backlog[Requirement ID],0))&lt;=5,0.5,IF(INDEX(Backlog[HLE],MATCH($A142,Backlog[Requirement ID],0))&lt;=8,1,IF(INDEX(Backlog[HLE],MATCH($A142,Backlog[Requirement ID],0))&lt;=13,2,IF(INDEX(Backlog[HLE],MATCH($A142,Backlog[Requirement ID],0))&lt;=20,3,5))))),"")</f>
        <v/>
      </c>
    </row>
    <row r="143" customFormat="false" ht="15" hidden="false" customHeight="true" outlineLevel="0" collapsed="false">
      <c r="A143" s="1" t="str">
        <f aca="false">Backlog!A143</f>
        <v/>
      </c>
      <c r="B143" s="57" t="str">
        <f aca="false">IFERROR(IF(ISBLANK(INDEX(Backlog[Requirement Name],MATCH($A143,Backlog[Requirement ID],0))),"",INDEX(Backlog[Requirement Name],MATCH($A143,Backlog[Requirement ID],0))),"")</f>
        <v/>
      </c>
      <c r="C143" s="1" t="str">
        <f aca="false">IFERROR(IF(ISBLANK(INDEX(Backlog[Stream],MATCH($A143,Backlog[Requirement ID],0))),"",INDEX(Backlog[Stream],MATCH($A143,Backlog[Requirement ID],0))),"")</f>
        <v/>
      </c>
      <c r="D143" s="1" t="str">
        <f aca="false">IFERROR(IF(ISBLANK(INDEX(Backlog[Jira Link],MATCH($A143,Backlog[Requirement ID],0))),"",INDEX(Backlog[Jira Link],MATCH($A143,Backlog[Requirement ID],0))),"")</f>
        <v/>
      </c>
      <c r="E143" s="1" t="str">
        <f aca="false">IFERROR(IF(ISBLANK(INDEX(Backlog[Status],MATCH($A143,Backlog[Requirement ID],0))),"",INDEX(Backlog[Status],MATCH($A143,Backlog[Requirement ID],0))),"")</f>
        <v/>
      </c>
      <c r="F143" s="1" t="str">
        <f aca="false">IFERROR(IF(ISBLANK(INDEX(SprintPlanning[Sprint],MATCH($A143,SprintPlanning[Requirement ID],0))),"",INDEX(SprintPlanning[Sprint],MATCH($A143,SprintPlanning[Requirement ID],0))),"")</f>
        <v/>
      </c>
      <c r="H143" s="58"/>
      <c r="J143" s="1" t="str">
        <f aca="false">IFERROR(IF(ISBLANK(INDEX(Backlog[Priority],MATCH($A143,Backlog[Requirement ID],0))),"",INDEX(Backlog[Priority],MATCH($A143,Backlog[Requirement ID],0))),"")</f>
        <v/>
      </c>
      <c r="L143" s="1" t="str">
        <f aca="false">IFERROR(IF(ISBLANK(INDEX(Backlog[HLE],MATCH($A143,Backlog[Requirement ID],0))),"",IF(INDEX(Backlog[HLE],MATCH($A143,Backlog[Requirement ID],0))&lt;=5,0.5,IF(INDEX(Backlog[HLE],MATCH($A143,Backlog[Requirement ID],0))&lt;=8,1,IF(INDEX(Backlog[HLE],MATCH($A143,Backlog[Requirement ID],0))&lt;=13,2,IF(INDEX(Backlog[HLE],MATCH($A143,Backlog[Requirement ID],0))&lt;=20,3,5))))),"")</f>
        <v/>
      </c>
    </row>
    <row r="144" customFormat="false" ht="15" hidden="false" customHeight="true" outlineLevel="0" collapsed="false">
      <c r="A144" s="1" t="str">
        <f aca="false">Backlog!A144</f>
        <v/>
      </c>
      <c r="B144" s="57" t="str">
        <f aca="false">IFERROR(IF(ISBLANK(INDEX(Backlog[Requirement Name],MATCH($A144,Backlog[Requirement ID],0))),"",INDEX(Backlog[Requirement Name],MATCH($A144,Backlog[Requirement ID],0))),"")</f>
        <v/>
      </c>
      <c r="C144" s="1" t="str">
        <f aca="false">IFERROR(IF(ISBLANK(INDEX(Backlog[Stream],MATCH($A144,Backlog[Requirement ID],0))),"",INDEX(Backlog[Stream],MATCH($A144,Backlog[Requirement ID],0))),"")</f>
        <v/>
      </c>
      <c r="D144" s="1" t="str">
        <f aca="false">IFERROR(IF(ISBLANK(INDEX(Backlog[Jira Link],MATCH($A144,Backlog[Requirement ID],0))),"",INDEX(Backlog[Jira Link],MATCH($A144,Backlog[Requirement ID],0))),"")</f>
        <v/>
      </c>
      <c r="E144" s="1" t="str">
        <f aca="false">IFERROR(IF(ISBLANK(INDEX(Backlog[Status],MATCH($A144,Backlog[Requirement ID],0))),"",INDEX(Backlog[Status],MATCH($A144,Backlog[Requirement ID],0))),"")</f>
        <v/>
      </c>
      <c r="F144" s="1" t="str">
        <f aca="false">IFERROR(IF(ISBLANK(INDEX(SprintPlanning[Sprint],MATCH($A144,SprintPlanning[Requirement ID],0))),"",INDEX(SprintPlanning[Sprint],MATCH($A144,SprintPlanning[Requirement ID],0))),"")</f>
        <v/>
      </c>
      <c r="H144" s="58"/>
      <c r="J144" s="1" t="str">
        <f aca="false">IFERROR(IF(ISBLANK(INDEX(Backlog[Priority],MATCH($A144,Backlog[Requirement ID],0))),"",INDEX(Backlog[Priority],MATCH($A144,Backlog[Requirement ID],0))),"")</f>
        <v/>
      </c>
      <c r="L144" s="1" t="str">
        <f aca="false">IFERROR(IF(ISBLANK(INDEX(Backlog[HLE],MATCH($A144,Backlog[Requirement ID],0))),"",IF(INDEX(Backlog[HLE],MATCH($A144,Backlog[Requirement ID],0))&lt;=5,0.5,IF(INDEX(Backlog[HLE],MATCH($A144,Backlog[Requirement ID],0))&lt;=8,1,IF(INDEX(Backlog[HLE],MATCH($A144,Backlog[Requirement ID],0))&lt;=13,2,IF(INDEX(Backlog[HLE],MATCH($A144,Backlog[Requirement ID],0))&lt;=20,3,5))))),"")</f>
        <v/>
      </c>
    </row>
    <row r="145" customFormat="false" ht="15" hidden="false" customHeight="true" outlineLevel="0" collapsed="false">
      <c r="A145" s="1" t="str">
        <f aca="false">Backlog!A145</f>
        <v/>
      </c>
      <c r="B145" s="57" t="str">
        <f aca="false">IFERROR(IF(ISBLANK(INDEX(Backlog[Requirement Name],MATCH($A145,Backlog[Requirement ID],0))),"",INDEX(Backlog[Requirement Name],MATCH($A145,Backlog[Requirement ID],0))),"")</f>
        <v/>
      </c>
      <c r="C145" s="1" t="str">
        <f aca="false">IFERROR(IF(ISBLANK(INDEX(Backlog[Stream],MATCH($A145,Backlog[Requirement ID],0))),"",INDEX(Backlog[Stream],MATCH($A145,Backlog[Requirement ID],0))),"")</f>
        <v/>
      </c>
      <c r="D145" s="1" t="str">
        <f aca="false">IFERROR(IF(ISBLANK(INDEX(Backlog[Jira Link],MATCH($A145,Backlog[Requirement ID],0))),"",INDEX(Backlog[Jira Link],MATCH($A145,Backlog[Requirement ID],0))),"")</f>
        <v/>
      </c>
      <c r="E145" s="1" t="str">
        <f aca="false">IFERROR(IF(ISBLANK(INDEX(Backlog[Status],MATCH($A145,Backlog[Requirement ID],0))),"",INDEX(Backlog[Status],MATCH($A145,Backlog[Requirement ID],0))),"")</f>
        <v/>
      </c>
      <c r="F145" s="1" t="str">
        <f aca="false">IFERROR(IF(ISBLANK(INDEX(SprintPlanning[Sprint],MATCH($A145,SprintPlanning[Requirement ID],0))),"",INDEX(SprintPlanning[Sprint],MATCH($A145,SprintPlanning[Requirement ID],0))),"")</f>
        <v/>
      </c>
      <c r="H145" s="58"/>
      <c r="J145" s="1" t="str">
        <f aca="false">IFERROR(IF(ISBLANK(INDEX(Backlog[Priority],MATCH($A145,Backlog[Requirement ID],0))),"",INDEX(Backlog[Priority],MATCH($A145,Backlog[Requirement ID],0))),"")</f>
        <v/>
      </c>
      <c r="L145" s="1" t="str">
        <f aca="false">IFERROR(IF(ISBLANK(INDEX(Backlog[HLE],MATCH($A145,Backlog[Requirement ID],0))),"",IF(INDEX(Backlog[HLE],MATCH($A145,Backlog[Requirement ID],0))&lt;=5,0.5,IF(INDEX(Backlog[HLE],MATCH($A145,Backlog[Requirement ID],0))&lt;=8,1,IF(INDEX(Backlog[HLE],MATCH($A145,Backlog[Requirement ID],0))&lt;=13,2,IF(INDEX(Backlog[HLE],MATCH($A145,Backlog[Requirement ID],0))&lt;=20,3,5))))),"")</f>
        <v/>
      </c>
    </row>
    <row r="146" customFormat="false" ht="15" hidden="false" customHeight="true" outlineLevel="0" collapsed="false">
      <c r="A146" s="1" t="str">
        <f aca="false">Backlog!A146</f>
        <v/>
      </c>
      <c r="B146" s="57" t="str">
        <f aca="false">IFERROR(IF(ISBLANK(INDEX(Backlog[Requirement Name],MATCH($A146,Backlog[Requirement ID],0))),"",INDEX(Backlog[Requirement Name],MATCH($A146,Backlog[Requirement ID],0))),"")</f>
        <v/>
      </c>
      <c r="C146" s="1" t="str">
        <f aca="false">IFERROR(IF(ISBLANK(INDEX(Backlog[Stream],MATCH($A146,Backlog[Requirement ID],0))),"",INDEX(Backlog[Stream],MATCH($A146,Backlog[Requirement ID],0))),"")</f>
        <v/>
      </c>
      <c r="D146" s="1" t="str">
        <f aca="false">IFERROR(IF(ISBLANK(INDEX(Backlog[Jira Link],MATCH($A146,Backlog[Requirement ID],0))),"",INDEX(Backlog[Jira Link],MATCH($A146,Backlog[Requirement ID],0))),"")</f>
        <v/>
      </c>
      <c r="E146" s="1" t="str">
        <f aca="false">IFERROR(IF(ISBLANK(INDEX(Backlog[Status],MATCH($A146,Backlog[Requirement ID],0))),"",INDEX(Backlog[Status],MATCH($A146,Backlog[Requirement ID],0))),"")</f>
        <v/>
      </c>
      <c r="F146" s="1" t="str">
        <f aca="false">IFERROR(IF(ISBLANK(INDEX(SprintPlanning[Sprint],MATCH($A146,SprintPlanning[Requirement ID],0))),"",INDEX(SprintPlanning[Sprint],MATCH($A146,SprintPlanning[Requirement ID],0))),"")</f>
        <v/>
      </c>
      <c r="H146" s="58"/>
      <c r="J146" s="1" t="str">
        <f aca="false">IFERROR(IF(ISBLANK(INDEX(Backlog[Priority],MATCH($A146,Backlog[Requirement ID],0))),"",INDEX(Backlog[Priority],MATCH($A146,Backlog[Requirement ID],0))),"")</f>
        <v/>
      </c>
      <c r="L146" s="1" t="str">
        <f aca="false">IFERROR(IF(ISBLANK(INDEX(Backlog[HLE],MATCH($A146,Backlog[Requirement ID],0))),"",IF(INDEX(Backlog[HLE],MATCH($A146,Backlog[Requirement ID],0))&lt;=5,0.5,IF(INDEX(Backlog[HLE],MATCH($A146,Backlog[Requirement ID],0))&lt;=8,1,IF(INDEX(Backlog[HLE],MATCH($A146,Backlog[Requirement ID],0))&lt;=13,2,IF(INDEX(Backlog[HLE],MATCH($A146,Backlog[Requirement ID],0))&lt;=20,3,5))))),"")</f>
        <v/>
      </c>
    </row>
    <row r="147" customFormat="false" ht="15" hidden="false" customHeight="true" outlineLevel="0" collapsed="false">
      <c r="A147" s="1" t="str">
        <f aca="false">Backlog!A147</f>
        <v/>
      </c>
      <c r="B147" s="57" t="str">
        <f aca="false">IFERROR(IF(ISBLANK(INDEX(Backlog[Requirement Name],MATCH($A147,Backlog[Requirement ID],0))),"",INDEX(Backlog[Requirement Name],MATCH($A147,Backlog[Requirement ID],0))),"")</f>
        <v/>
      </c>
      <c r="C147" s="1" t="str">
        <f aca="false">IFERROR(IF(ISBLANK(INDEX(Backlog[Stream],MATCH($A147,Backlog[Requirement ID],0))),"",INDEX(Backlog[Stream],MATCH($A147,Backlog[Requirement ID],0))),"")</f>
        <v/>
      </c>
      <c r="D147" s="1" t="str">
        <f aca="false">IFERROR(IF(ISBLANK(INDEX(Backlog[Jira Link],MATCH($A147,Backlog[Requirement ID],0))),"",INDEX(Backlog[Jira Link],MATCH($A147,Backlog[Requirement ID],0))),"")</f>
        <v/>
      </c>
      <c r="E147" s="1" t="str">
        <f aca="false">IFERROR(IF(ISBLANK(INDEX(Backlog[Status],MATCH($A147,Backlog[Requirement ID],0))),"",INDEX(Backlog[Status],MATCH($A147,Backlog[Requirement ID],0))),"")</f>
        <v/>
      </c>
      <c r="F147" s="1" t="str">
        <f aca="false">IFERROR(IF(ISBLANK(INDEX(SprintPlanning[Sprint],MATCH($A147,SprintPlanning[Requirement ID],0))),"",INDEX(SprintPlanning[Sprint],MATCH($A147,SprintPlanning[Requirement ID],0))),"")</f>
        <v/>
      </c>
      <c r="H147" s="58"/>
      <c r="J147" s="1" t="str">
        <f aca="false">IFERROR(IF(ISBLANK(INDEX(Backlog[Priority],MATCH($A147,Backlog[Requirement ID],0))),"",INDEX(Backlog[Priority],MATCH($A147,Backlog[Requirement ID],0))),"")</f>
        <v/>
      </c>
      <c r="L147" s="1" t="str">
        <f aca="false">IFERROR(IF(ISBLANK(INDEX(Backlog[HLE],MATCH($A147,Backlog[Requirement ID],0))),"",IF(INDEX(Backlog[HLE],MATCH($A147,Backlog[Requirement ID],0))&lt;=5,0.5,IF(INDEX(Backlog[HLE],MATCH($A147,Backlog[Requirement ID],0))&lt;=8,1,IF(INDEX(Backlog[HLE],MATCH($A147,Backlog[Requirement ID],0))&lt;=13,2,IF(INDEX(Backlog[HLE],MATCH($A147,Backlog[Requirement ID],0))&lt;=20,3,5))))),"")</f>
        <v/>
      </c>
    </row>
    <row r="148" customFormat="false" ht="15" hidden="false" customHeight="true" outlineLevel="0" collapsed="false">
      <c r="A148" s="1" t="str">
        <f aca="false">Backlog!A148</f>
        <v/>
      </c>
      <c r="B148" s="57" t="str">
        <f aca="false">IFERROR(IF(ISBLANK(INDEX(Backlog[Requirement Name],MATCH($A148,Backlog[Requirement ID],0))),"",INDEX(Backlog[Requirement Name],MATCH($A148,Backlog[Requirement ID],0))),"")</f>
        <v/>
      </c>
      <c r="C148" s="1" t="str">
        <f aca="false">IFERROR(IF(ISBLANK(INDEX(Backlog[Stream],MATCH($A148,Backlog[Requirement ID],0))),"",INDEX(Backlog[Stream],MATCH($A148,Backlog[Requirement ID],0))),"")</f>
        <v/>
      </c>
      <c r="D148" s="1" t="str">
        <f aca="false">IFERROR(IF(ISBLANK(INDEX(Backlog[Jira Link],MATCH($A148,Backlog[Requirement ID],0))),"",INDEX(Backlog[Jira Link],MATCH($A148,Backlog[Requirement ID],0))),"")</f>
        <v/>
      </c>
      <c r="E148" s="1" t="str">
        <f aca="false">IFERROR(IF(ISBLANK(INDEX(Backlog[Status],MATCH($A148,Backlog[Requirement ID],0))),"",INDEX(Backlog[Status],MATCH($A148,Backlog[Requirement ID],0))),"")</f>
        <v/>
      </c>
      <c r="F148" s="1" t="str">
        <f aca="false">IFERROR(IF(ISBLANK(INDEX(SprintPlanning[Sprint],MATCH($A148,SprintPlanning[Requirement ID],0))),"",INDEX(SprintPlanning[Sprint],MATCH($A148,SprintPlanning[Requirement ID],0))),"")</f>
        <v/>
      </c>
      <c r="H148" s="58"/>
      <c r="J148" s="1" t="str">
        <f aca="false">IFERROR(IF(ISBLANK(INDEX(Backlog[Priority],MATCH($A148,Backlog[Requirement ID],0))),"",INDEX(Backlog[Priority],MATCH($A148,Backlog[Requirement ID],0))),"")</f>
        <v/>
      </c>
      <c r="L148" s="1" t="str">
        <f aca="false">IFERROR(IF(ISBLANK(INDEX(Backlog[HLE],MATCH($A148,Backlog[Requirement ID],0))),"",IF(INDEX(Backlog[HLE],MATCH($A148,Backlog[Requirement ID],0))&lt;=5,0.5,IF(INDEX(Backlog[HLE],MATCH($A148,Backlog[Requirement ID],0))&lt;=8,1,IF(INDEX(Backlog[HLE],MATCH($A148,Backlog[Requirement ID],0))&lt;=13,2,IF(INDEX(Backlog[HLE],MATCH($A148,Backlog[Requirement ID],0))&lt;=20,3,5))))),"")</f>
        <v/>
      </c>
    </row>
    <row r="149" customFormat="false" ht="15" hidden="false" customHeight="true" outlineLevel="0" collapsed="false">
      <c r="A149" s="1" t="str">
        <f aca="false">Backlog!A149</f>
        <v/>
      </c>
      <c r="B149" s="57" t="str">
        <f aca="false">IFERROR(IF(ISBLANK(INDEX(Backlog[Requirement Name],MATCH($A149,Backlog[Requirement ID],0))),"",INDEX(Backlog[Requirement Name],MATCH($A149,Backlog[Requirement ID],0))),"")</f>
        <v/>
      </c>
      <c r="C149" s="1" t="str">
        <f aca="false">IFERROR(IF(ISBLANK(INDEX(Backlog[Stream],MATCH($A149,Backlog[Requirement ID],0))),"",INDEX(Backlog[Stream],MATCH($A149,Backlog[Requirement ID],0))),"")</f>
        <v/>
      </c>
      <c r="D149" s="1" t="str">
        <f aca="false">IFERROR(IF(ISBLANK(INDEX(Backlog[Jira Link],MATCH($A149,Backlog[Requirement ID],0))),"",INDEX(Backlog[Jira Link],MATCH($A149,Backlog[Requirement ID],0))),"")</f>
        <v/>
      </c>
      <c r="E149" s="1" t="str">
        <f aca="false">IFERROR(IF(ISBLANK(INDEX(Backlog[Status],MATCH($A149,Backlog[Requirement ID],0))),"",INDEX(Backlog[Status],MATCH($A149,Backlog[Requirement ID],0))),"")</f>
        <v/>
      </c>
      <c r="F149" s="1" t="str">
        <f aca="false">IFERROR(IF(ISBLANK(INDEX(SprintPlanning[Sprint],MATCH($A149,SprintPlanning[Requirement ID],0))),"",INDEX(SprintPlanning[Sprint],MATCH($A149,SprintPlanning[Requirement ID],0))),"")</f>
        <v/>
      </c>
      <c r="H149" s="58"/>
      <c r="J149" s="1" t="str">
        <f aca="false">IFERROR(IF(ISBLANK(INDEX(Backlog[Priority],MATCH($A149,Backlog[Requirement ID],0))),"",INDEX(Backlog[Priority],MATCH($A149,Backlog[Requirement ID],0))),"")</f>
        <v/>
      </c>
      <c r="L149" s="1" t="str">
        <f aca="false">IFERROR(IF(ISBLANK(INDEX(Backlog[HLE],MATCH($A149,Backlog[Requirement ID],0))),"",IF(INDEX(Backlog[HLE],MATCH($A149,Backlog[Requirement ID],0))&lt;=5,0.5,IF(INDEX(Backlog[HLE],MATCH($A149,Backlog[Requirement ID],0))&lt;=8,1,IF(INDEX(Backlog[HLE],MATCH($A149,Backlog[Requirement ID],0))&lt;=13,2,IF(INDEX(Backlog[HLE],MATCH($A149,Backlog[Requirement ID],0))&lt;=20,3,5))))),"")</f>
        <v/>
      </c>
    </row>
    <row r="150" customFormat="false" ht="15" hidden="false" customHeight="true" outlineLevel="0" collapsed="false">
      <c r="A150" s="1" t="str">
        <f aca="false">Backlog!A150</f>
        <v/>
      </c>
      <c r="B150" s="57" t="str">
        <f aca="false">IFERROR(IF(ISBLANK(INDEX(Backlog[Requirement Name],MATCH($A150,Backlog[Requirement ID],0))),"",INDEX(Backlog[Requirement Name],MATCH($A150,Backlog[Requirement ID],0))),"")</f>
        <v/>
      </c>
      <c r="C150" s="1" t="str">
        <f aca="false">IFERROR(IF(ISBLANK(INDEX(Backlog[Stream],MATCH($A150,Backlog[Requirement ID],0))),"",INDEX(Backlog[Stream],MATCH($A150,Backlog[Requirement ID],0))),"")</f>
        <v/>
      </c>
      <c r="D150" s="1" t="str">
        <f aca="false">IFERROR(IF(ISBLANK(INDEX(Backlog[Jira Link],MATCH($A150,Backlog[Requirement ID],0))),"",INDEX(Backlog[Jira Link],MATCH($A150,Backlog[Requirement ID],0))),"")</f>
        <v/>
      </c>
      <c r="E150" s="1" t="str">
        <f aca="false">IFERROR(IF(ISBLANK(INDEX(Backlog[Status],MATCH($A150,Backlog[Requirement ID],0))),"",INDEX(Backlog[Status],MATCH($A150,Backlog[Requirement ID],0))),"")</f>
        <v/>
      </c>
      <c r="F150" s="1" t="str">
        <f aca="false">IFERROR(IF(ISBLANK(INDEX(SprintPlanning[Sprint],MATCH($A150,SprintPlanning[Requirement ID],0))),"",INDEX(SprintPlanning[Sprint],MATCH($A150,SprintPlanning[Requirement ID],0))),"")</f>
        <v/>
      </c>
      <c r="H150" s="58"/>
      <c r="J150" s="1" t="str">
        <f aca="false">IFERROR(IF(ISBLANK(INDEX(Backlog[Priority],MATCH($A150,Backlog[Requirement ID],0))),"",INDEX(Backlog[Priority],MATCH($A150,Backlog[Requirement ID],0))),"")</f>
        <v/>
      </c>
      <c r="L150" s="1" t="str">
        <f aca="false">IFERROR(IF(ISBLANK(INDEX(Backlog[HLE],MATCH($A150,Backlog[Requirement ID],0))),"",IF(INDEX(Backlog[HLE],MATCH($A150,Backlog[Requirement ID],0))&lt;=5,0.5,IF(INDEX(Backlog[HLE],MATCH($A150,Backlog[Requirement ID],0))&lt;=8,1,IF(INDEX(Backlog[HLE],MATCH($A150,Backlog[Requirement ID],0))&lt;=13,2,IF(INDEX(Backlog[HLE],MATCH($A150,Backlog[Requirement ID],0))&lt;=20,3,5))))),"")</f>
        <v/>
      </c>
    </row>
    <row r="151" customFormat="false" ht="15" hidden="false" customHeight="true" outlineLevel="0" collapsed="false">
      <c r="A151" s="1" t="str">
        <f aca="false">Backlog!A151</f>
        <v/>
      </c>
      <c r="B151" s="57" t="str">
        <f aca="false">IFERROR(IF(ISBLANK(INDEX(Backlog[Requirement Name],MATCH($A151,Backlog[Requirement ID],0))),"",INDEX(Backlog[Requirement Name],MATCH($A151,Backlog[Requirement ID],0))),"")</f>
        <v/>
      </c>
      <c r="C151" s="1" t="str">
        <f aca="false">IFERROR(IF(ISBLANK(INDEX(Backlog[Stream],MATCH($A151,Backlog[Requirement ID],0))),"",INDEX(Backlog[Stream],MATCH($A151,Backlog[Requirement ID],0))),"")</f>
        <v/>
      </c>
      <c r="D151" s="1" t="str">
        <f aca="false">IFERROR(IF(ISBLANK(INDEX(Backlog[Jira Link],MATCH($A151,Backlog[Requirement ID],0))),"",INDEX(Backlog[Jira Link],MATCH($A151,Backlog[Requirement ID],0))),"")</f>
        <v/>
      </c>
      <c r="E151" s="1" t="str">
        <f aca="false">IFERROR(IF(ISBLANK(INDEX(Backlog[Status],MATCH($A151,Backlog[Requirement ID],0))),"",INDEX(Backlog[Status],MATCH($A151,Backlog[Requirement ID],0))),"")</f>
        <v/>
      </c>
      <c r="F151" s="1" t="str">
        <f aca="false">IFERROR(IF(ISBLANK(INDEX(SprintPlanning[Sprint],MATCH($A151,SprintPlanning[Requirement ID],0))),"",INDEX(SprintPlanning[Sprint],MATCH($A151,SprintPlanning[Requirement ID],0))),"")</f>
        <v/>
      </c>
      <c r="H151" s="58"/>
      <c r="J151" s="1" t="str">
        <f aca="false">IFERROR(IF(ISBLANK(INDEX(Backlog[Priority],MATCH($A151,Backlog[Requirement ID],0))),"",INDEX(Backlog[Priority],MATCH($A151,Backlog[Requirement ID],0))),"")</f>
        <v/>
      </c>
      <c r="L151" s="1" t="str">
        <f aca="false">IFERROR(IF(ISBLANK(INDEX(Backlog[HLE],MATCH($A151,Backlog[Requirement ID],0))),"",IF(INDEX(Backlog[HLE],MATCH($A151,Backlog[Requirement ID],0))&lt;=5,0.5,IF(INDEX(Backlog[HLE],MATCH($A151,Backlog[Requirement ID],0))&lt;=8,1,IF(INDEX(Backlog[HLE],MATCH($A151,Backlog[Requirement ID],0))&lt;=13,2,IF(INDEX(Backlog[HLE],MATCH($A151,Backlog[Requirement ID],0))&lt;=20,3,5))))),"")</f>
        <v/>
      </c>
    </row>
    <row r="152" customFormat="false" ht="15" hidden="false" customHeight="true" outlineLevel="0" collapsed="false">
      <c r="A152" s="1" t="str">
        <f aca="false">Backlog!A152</f>
        <v/>
      </c>
      <c r="B152" s="57" t="str">
        <f aca="false">IFERROR(IF(ISBLANK(INDEX(Backlog[Requirement Name],MATCH($A152,Backlog[Requirement ID],0))),"",INDEX(Backlog[Requirement Name],MATCH($A152,Backlog[Requirement ID],0))),"")</f>
        <v/>
      </c>
      <c r="C152" s="1" t="str">
        <f aca="false">IFERROR(IF(ISBLANK(INDEX(Backlog[Stream],MATCH($A152,Backlog[Requirement ID],0))),"",INDEX(Backlog[Stream],MATCH($A152,Backlog[Requirement ID],0))),"")</f>
        <v/>
      </c>
      <c r="D152" s="1" t="str">
        <f aca="false">IFERROR(IF(ISBLANK(INDEX(Backlog[Jira Link],MATCH($A152,Backlog[Requirement ID],0))),"",INDEX(Backlog[Jira Link],MATCH($A152,Backlog[Requirement ID],0))),"")</f>
        <v/>
      </c>
      <c r="E152" s="1" t="str">
        <f aca="false">IFERROR(IF(ISBLANK(INDEX(Backlog[Status],MATCH($A152,Backlog[Requirement ID],0))),"",INDEX(Backlog[Status],MATCH($A152,Backlog[Requirement ID],0))),"")</f>
        <v/>
      </c>
      <c r="F152" s="1" t="str">
        <f aca="false">IFERROR(IF(ISBLANK(INDEX(SprintPlanning[Sprint],MATCH($A152,SprintPlanning[Requirement ID],0))),"",INDEX(SprintPlanning[Sprint],MATCH($A152,SprintPlanning[Requirement ID],0))),"")</f>
        <v/>
      </c>
      <c r="H152" s="58"/>
      <c r="J152" s="1" t="str">
        <f aca="false">IFERROR(IF(ISBLANK(INDEX(Backlog[Priority],MATCH($A152,Backlog[Requirement ID],0))),"",INDEX(Backlog[Priority],MATCH($A152,Backlog[Requirement ID],0))),"")</f>
        <v/>
      </c>
      <c r="L152" s="1" t="str">
        <f aca="false">IFERROR(IF(ISBLANK(INDEX(Backlog[HLE],MATCH($A152,Backlog[Requirement ID],0))),"",IF(INDEX(Backlog[HLE],MATCH($A152,Backlog[Requirement ID],0))&lt;=5,0.5,IF(INDEX(Backlog[HLE],MATCH($A152,Backlog[Requirement ID],0))&lt;=8,1,IF(INDEX(Backlog[HLE],MATCH($A152,Backlog[Requirement ID],0))&lt;=13,2,IF(INDEX(Backlog[HLE],MATCH($A152,Backlog[Requirement ID],0))&lt;=20,3,5))))),"")</f>
        <v/>
      </c>
    </row>
    <row r="153" customFormat="false" ht="15" hidden="false" customHeight="true" outlineLevel="0" collapsed="false">
      <c r="A153" s="1" t="str">
        <f aca="false">Backlog!A153</f>
        <v/>
      </c>
      <c r="B153" s="57" t="str">
        <f aca="false">IFERROR(IF(ISBLANK(INDEX(Backlog[Requirement Name],MATCH($A153,Backlog[Requirement ID],0))),"",INDEX(Backlog[Requirement Name],MATCH($A153,Backlog[Requirement ID],0))),"")</f>
        <v/>
      </c>
      <c r="C153" s="1" t="str">
        <f aca="false">IFERROR(IF(ISBLANK(INDEX(Backlog[Stream],MATCH($A153,Backlog[Requirement ID],0))),"",INDEX(Backlog[Stream],MATCH($A153,Backlog[Requirement ID],0))),"")</f>
        <v/>
      </c>
      <c r="D153" s="1" t="str">
        <f aca="false">IFERROR(IF(ISBLANK(INDEX(Backlog[Jira Link],MATCH($A153,Backlog[Requirement ID],0))),"",INDEX(Backlog[Jira Link],MATCH($A153,Backlog[Requirement ID],0))),"")</f>
        <v/>
      </c>
      <c r="E153" s="1" t="str">
        <f aca="false">IFERROR(IF(ISBLANK(INDEX(Backlog[Status],MATCH($A153,Backlog[Requirement ID],0))),"",INDEX(Backlog[Status],MATCH($A153,Backlog[Requirement ID],0))),"")</f>
        <v/>
      </c>
      <c r="F153" s="1" t="str">
        <f aca="false">IFERROR(IF(ISBLANK(INDEX(SprintPlanning[Sprint],MATCH($A153,SprintPlanning[Requirement ID],0))),"",INDEX(SprintPlanning[Sprint],MATCH($A153,SprintPlanning[Requirement ID],0))),"")</f>
        <v/>
      </c>
      <c r="H153" s="58"/>
      <c r="J153" s="1" t="str">
        <f aca="false">IFERROR(IF(ISBLANK(INDEX(Backlog[Priority],MATCH($A153,Backlog[Requirement ID],0))),"",INDEX(Backlog[Priority],MATCH($A153,Backlog[Requirement ID],0))),"")</f>
        <v/>
      </c>
      <c r="L153" s="1" t="str">
        <f aca="false">IFERROR(IF(ISBLANK(INDEX(Backlog[HLE],MATCH($A153,Backlog[Requirement ID],0))),"",IF(INDEX(Backlog[HLE],MATCH($A153,Backlog[Requirement ID],0))&lt;=5,0.5,IF(INDEX(Backlog[HLE],MATCH($A153,Backlog[Requirement ID],0))&lt;=8,1,IF(INDEX(Backlog[HLE],MATCH($A153,Backlog[Requirement ID],0))&lt;=13,2,IF(INDEX(Backlog[HLE],MATCH($A153,Backlog[Requirement ID],0))&lt;=20,3,5))))),"")</f>
        <v/>
      </c>
    </row>
    <row r="154" customFormat="false" ht="15" hidden="false" customHeight="true" outlineLevel="0" collapsed="false">
      <c r="A154" s="1" t="str">
        <f aca="false">Backlog!A154</f>
        <v/>
      </c>
      <c r="B154" s="57" t="str">
        <f aca="false">IFERROR(IF(ISBLANK(INDEX(Backlog[Requirement Name],MATCH($A154,Backlog[Requirement ID],0))),"",INDEX(Backlog[Requirement Name],MATCH($A154,Backlog[Requirement ID],0))),"")</f>
        <v/>
      </c>
      <c r="C154" s="1" t="str">
        <f aca="false">IFERROR(IF(ISBLANK(INDEX(Backlog[Stream],MATCH($A154,Backlog[Requirement ID],0))),"",INDEX(Backlog[Stream],MATCH($A154,Backlog[Requirement ID],0))),"")</f>
        <v/>
      </c>
      <c r="D154" s="1" t="str">
        <f aca="false">IFERROR(IF(ISBLANK(INDEX(Backlog[Jira Link],MATCH($A154,Backlog[Requirement ID],0))),"",INDEX(Backlog[Jira Link],MATCH($A154,Backlog[Requirement ID],0))),"")</f>
        <v/>
      </c>
      <c r="E154" s="1" t="str">
        <f aca="false">IFERROR(IF(ISBLANK(INDEX(Backlog[Status],MATCH($A154,Backlog[Requirement ID],0))),"",INDEX(Backlog[Status],MATCH($A154,Backlog[Requirement ID],0))),"")</f>
        <v/>
      </c>
      <c r="F154" s="1" t="str">
        <f aca="false">IFERROR(IF(ISBLANK(INDEX(SprintPlanning[Sprint],MATCH($A154,SprintPlanning[Requirement ID],0))),"",INDEX(SprintPlanning[Sprint],MATCH($A154,SprintPlanning[Requirement ID],0))),"")</f>
        <v/>
      </c>
      <c r="H154" s="58"/>
      <c r="J154" s="1" t="str">
        <f aca="false">IFERROR(IF(ISBLANK(INDEX(Backlog[Priority],MATCH($A154,Backlog[Requirement ID],0))),"",INDEX(Backlog[Priority],MATCH($A154,Backlog[Requirement ID],0))),"")</f>
        <v/>
      </c>
      <c r="L154" s="1" t="str">
        <f aca="false">IFERROR(IF(ISBLANK(INDEX(Backlog[HLE],MATCH($A154,Backlog[Requirement ID],0))),"",IF(INDEX(Backlog[HLE],MATCH($A154,Backlog[Requirement ID],0))&lt;=5,0.5,IF(INDEX(Backlog[HLE],MATCH($A154,Backlog[Requirement ID],0))&lt;=8,1,IF(INDEX(Backlog[HLE],MATCH($A154,Backlog[Requirement ID],0))&lt;=13,2,IF(INDEX(Backlog[HLE],MATCH($A154,Backlog[Requirement ID],0))&lt;=20,3,5))))),"")</f>
        <v/>
      </c>
    </row>
    <row r="155" customFormat="false" ht="15" hidden="false" customHeight="true" outlineLevel="0" collapsed="false">
      <c r="A155" s="1" t="str">
        <f aca="false">Backlog!A155</f>
        <v/>
      </c>
      <c r="B155" s="57" t="str">
        <f aca="false">IFERROR(IF(ISBLANK(INDEX(Backlog[Requirement Name],MATCH($A155,Backlog[Requirement ID],0))),"",INDEX(Backlog[Requirement Name],MATCH($A155,Backlog[Requirement ID],0))),"")</f>
        <v/>
      </c>
      <c r="C155" s="1" t="str">
        <f aca="false">IFERROR(IF(ISBLANK(INDEX(Backlog[Stream],MATCH($A155,Backlog[Requirement ID],0))),"",INDEX(Backlog[Stream],MATCH($A155,Backlog[Requirement ID],0))),"")</f>
        <v/>
      </c>
      <c r="D155" s="1" t="str">
        <f aca="false">IFERROR(IF(ISBLANK(INDEX(Backlog[Jira Link],MATCH($A155,Backlog[Requirement ID],0))),"",INDEX(Backlog[Jira Link],MATCH($A155,Backlog[Requirement ID],0))),"")</f>
        <v/>
      </c>
      <c r="E155" s="1" t="str">
        <f aca="false">IFERROR(IF(ISBLANK(INDEX(Backlog[Status],MATCH($A155,Backlog[Requirement ID],0))),"",INDEX(Backlog[Status],MATCH($A155,Backlog[Requirement ID],0))),"")</f>
        <v/>
      </c>
      <c r="F155" s="1" t="str">
        <f aca="false">IFERROR(IF(ISBLANK(INDEX(SprintPlanning[Sprint],MATCH($A155,SprintPlanning[Requirement ID],0))),"",INDEX(SprintPlanning[Sprint],MATCH($A155,SprintPlanning[Requirement ID],0))),"")</f>
        <v/>
      </c>
      <c r="H155" s="58"/>
      <c r="J155" s="1" t="str">
        <f aca="false">IFERROR(IF(ISBLANK(INDEX(Backlog[Priority],MATCH($A155,Backlog[Requirement ID],0))),"",INDEX(Backlog[Priority],MATCH($A155,Backlog[Requirement ID],0))),"")</f>
        <v/>
      </c>
      <c r="L155" s="1" t="str">
        <f aca="false">IFERROR(IF(ISBLANK(INDEX(Backlog[HLE],MATCH($A155,Backlog[Requirement ID],0))),"",IF(INDEX(Backlog[HLE],MATCH($A155,Backlog[Requirement ID],0))&lt;=5,0.5,IF(INDEX(Backlog[HLE],MATCH($A155,Backlog[Requirement ID],0))&lt;=8,1,IF(INDEX(Backlog[HLE],MATCH($A155,Backlog[Requirement ID],0))&lt;=13,2,IF(INDEX(Backlog[HLE],MATCH($A155,Backlog[Requirement ID],0))&lt;=20,3,5))))),"")</f>
        <v/>
      </c>
    </row>
    <row r="156" customFormat="false" ht="15" hidden="false" customHeight="true" outlineLevel="0" collapsed="false">
      <c r="A156" s="1" t="str">
        <f aca="false">Backlog!A156</f>
        <v/>
      </c>
      <c r="B156" s="57" t="str">
        <f aca="false">IFERROR(IF(ISBLANK(INDEX(Backlog[Requirement Name],MATCH($A156,Backlog[Requirement ID],0))),"",INDEX(Backlog[Requirement Name],MATCH($A156,Backlog[Requirement ID],0))),"")</f>
        <v/>
      </c>
      <c r="C156" s="1" t="str">
        <f aca="false">IFERROR(IF(ISBLANK(INDEX(Backlog[Stream],MATCH($A156,Backlog[Requirement ID],0))),"",INDEX(Backlog[Stream],MATCH($A156,Backlog[Requirement ID],0))),"")</f>
        <v/>
      </c>
      <c r="D156" s="1" t="str">
        <f aca="false">IFERROR(IF(ISBLANK(INDEX(Backlog[Jira Link],MATCH($A156,Backlog[Requirement ID],0))),"",INDEX(Backlog[Jira Link],MATCH($A156,Backlog[Requirement ID],0))),"")</f>
        <v/>
      </c>
      <c r="E156" s="1" t="str">
        <f aca="false">IFERROR(IF(ISBLANK(INDEX(Backlog[Status],MATCH($A156,Backlog[Requirement ID],0))),"",INDEX(Backlog[Status],MATCH($A156,Backlog[Requirement ID],0))),"")</f>
        <v/>
      </c>
      <c r="F156" s="1" t="str">
        <f aca="false">IFERROR(IF(ISBLANK(INDEX(SprintPlanning[Sprint],MATCH($A156,SprintPlanning[Requirement ID],0))),"",INDEX(SprintPlanning[Sprint],MATCH($A156,SprintPlanning[Requirement ID],0))),"")</f>
        <v/>
      </c>
      <c r="H156" s="58"/>
      <c r="J156" s="1" t="str">
        <f aca="false">IFERROR(IF(ISBLANK(INDEX(Backlog[Priority],MATCH($A156,Backlog[Requirement ID],0))),"",INDEX(Backlog[Priority],MATCH($A156,Backlog[Requirement ID],0))),"")</f>
        <v/>
      </c>
      <c r="L156" s="1" t="str">
        <f aca="false">IFERROR(IF(ISBLANK(INDEX(Backlog[HLE],MATCH($A156,Backlog[Requirement ID],0))),"",IF(INDEX(Backlog[HLE],MATCH($A156,Backlog[Requirement ID],0))&lt;=5,0.5,IF(INDEX(Backlog[HLE],MATCH($A156,Backlog[Requirement ID],0))&lt;=8,1,IF(INDEX(Backlog[HLE],MATCH($A156,Backlog[Requirement ID],0))&lt;=13,2,IF(INDEX(Backlog[HLE],MATCH($A156,Backlog[Requirement ID],0))&lt;=20,3,5))))),"")</f>
        <v/>
      </c>
    </row>
    <row r="157" customFormat="false" ht="15" hidden="false" customHeight="true" outlineLevel="0" collapsed="false">
      <c r="A157" s="1" t="str">
        <f aca="false">Backlog!A157</f>
        <v/>
      </c>
      <c r="B157" s="57" t="str">
        <f aca="false">IFERROR(IF(ISBLANK(INDEX(Backlog[Requirement Name],MATCH($A157,Backlog[Requirement ID],0))),"",INDEX(Backlog[Requirement Name],MATCH($A157,Backlog[Requirement ID],0))),"")</f>
        <v/>
      </c>
      <c r="C157" s="1" t="str">
        <f aca="false">IFERROR(IF(ISBLANK(INDEX(Backlog[Stream],MATCH($A157,Backlog[Requirement ID],0))),"",INDEX(Backlog[Stream],MATCH($A157,Backlog[Requirement ID],0))),"")</f>
        <v/>
      </c>
      <c r="D157" s="1" t="str">
        <f aca="false">IFERROR(IF(ISBLANK(INDEX(Backlog[Jira Link],MATCH($A157,Backlog[Requirement ID],0))),"",INDEX(Backlog[Jira Link],MATCH($A157,Backlog[Requirement ID],0))),"")</f>
        <v/>
      </c>
      <c r="E157" s="1" t="str">
        <f aca="false">IFERROR(IF(ISBLANK(INDEX(Backlog[Status],MATCH($A157,Backlog[Requirement ID],0))),"",INDEX(Backlog[Status],MATCH($A157,Backlog[Requirement ID],0))),"")</f>
        <v/>
      </c>
      <c r="F157" s="1" t="str">
        <f aca="false">IFERROR(IF(ISBLANK(INDEX(SprintPlanning[Sprint],MATCH($A157,SprintPlanning[Requirement ID],0))),"",INDEX(SprintPlanning[Sprint],MATCH($A157,SprintPlanning[Requirement ID],0))),"")</f>
        <v/>
      </c>
      <c r="H157" s="58"/>
      <c r="J157" s="1" t="str">
        <f aca="false">IFERROR(IF(ISBLANK(INDEX(Backlog[Priority],MATCH($A157,Backlog[Requirement ID],0))),"",INDEX(Backlog[Priority],MATCH($A157,Backlog[Requirement ID],0))),"")</f>
        <v/>
      </c>
      <c r="L157" s="1" t="str">
        <f aca="false">IFERROR(IF(ISBLANK(INDEX(Backlog[HLE],MATCH($A157,Backlog[Requirement ID],0))),"",IF(INDEX(Backlog[HLE],MATCH($A157,Backlog[Requirement ID],0))&lt;=5,0.5,IF(INDEX(Backlog[HLE],MATCH($A157,Backlog[Requirement ID],0))&lt;=8,1,IF(INDEX(Backlog[HLE],MATCH($A157,Backlog[Requirement ID],0))&lt;=13,2,IF(INDEX(Backlog[HLE],MATCH($A157,Backlog[Requirement ID],0))&lt;=20,3,5))))),"")</f>
        <v/>
      </c>
    </row>
    <row r="158" customFormat="false" ht="15" hidden="false" customHeight="true" outlineLevel="0" collapsed="false">
      <c r="A158" s="1" t="str">
        <f aca="false">Backlog!A158</f>
        <v/>
      </c>
      <c r="B158" s="57" t="str">
        <f aca="false">IFERROR(IF(ISBLANK(INDEX(Backlog[Requirement Name],MATCH($A158,Backlog[Requirement ID],0))),"",INDEX(Backlog[Requirement Name],MATCH($A158,Backlog[Requirement ID],0))),"")</f>
        <v/>
      </c>
      <c r="C158" s="1" t="str">
        <f aca="false">IFERROR(IF(ISBLANK(INDEX(Backlog[Stream],MATCH($A158,Backlog[Requirement ID],0))),"",INDEX(Backlog[Stream],MATCH($A158,Backlog[Requirement ID],0))),"")</f>
        <v/>
      </c>
      <c r="D158" s="1" t="str">
        <f aca="false">IFERROR(IF(ISBLANK(INDEX(Backlog[Jira Link],MATCH($A158,Backlog[Requirement ID],0))),"",INDEX(Backlog[Jira Link],MATCH($A158,Backlog[Requirement ID],0))),"")</f>
        <v/>
      </c>
      <c r="E158" s="1" t="str">
        <f aca="false">IFERROR(IF(ISBLANK(INDEX(Backlog[Status],MATCH($A158,Backlog[Requirement ID],0))),"",INDEX(Backlog[Status],MATCH($A158,Backlog[Requirement ID],0))),"")</f>
        <v/>
      </c>
      <c r="F158" s="1" t="str">
        <f aca="false">IFERROR(IF(ISBLANK(INDEX(SprintPlanning[Sprint],MATCH($A158,SprintPlanning[Requirement ID],0))),"",INDEX(SprintPlanning[Sprint],MATCH($A158,SprintPlanning[Requirement ID],0))),"")</f>
        <v/>
      </c>
      <c r="H158" s="58"/>
      <c r="J158" s="1" t="str">
        <f aca="false">IFERROR(IF(ISBLANK(INDEX(Backlog[Priority],MATCH($A158,Backlog[Requirement ID],0))),"",INDEX(Backlog[Priority],MATCH($A158,Backlog[Requirement ID],0))),"")</f>
        <v/>
      </c>
      <c r="L158" s="1" t="str">
        <f aca="false">IFERROR(IF(ISBLANK(INDEX(Backlog[HLE],MATCH($A158,Backlog[Requirement ID],0))),"",IF(INDEX(Backlog[HLE],MATCH($A158,Backlog[Requirement ID],0))&lt;=5,0.5,IF(INDEX(Backlog[HLE],MATCH($A158,Backlog[Requirement ID],0))&lt;=8,1,IF(INDEX(Backlog[HLE],MATCH($A158,Backlog[Requirement ID],0))&lt;=13,2,IF(INDEX(Backlog[HLE],MATCH($A158,Backlog[Requirement ID],0))&lt;=20,3,5))))),"")</f>
        <v/>
      </c>
    </row>
    <row r="159" customFormat="false" ht="15" hidden="false" customHeight="true" outlineLevel="0" collapsed="false">
      <c r="A159" s="1" t="str">
        <f aca="false">Backlog!A159</f>
        <v/>
      </c>
      <c r="B159" s="57" t="str">
        <f aca="false">IFERROR(IF(ISBLANK(INDEX(Backlog[Requirement Name],MATCH($A159,Backlog[Requirement ID],0))),"",INDEX(Backlog[Requirement Name],MATCH($A159,Backlog[Requirement ID],0))),"")</f>
        <v/>
      </c>
      <c r="C159" s="1" t="str">
        <f aca="false">IFERROR(IF(ISBLANK(INDEX(Backlog[Stream],MATCH($A159,Backlog[Requirement ID],0))),"",INDEX(Backlog[Stream],MATCH($A159,Backlog[Requirement ID],0))),"")</f>
        <v/>
      </c>
      <c r="D159" s="1" t="str">
        <f aca="false">IFERROR(IF(ISBLANK(INDEX(Backlog[Jira Link],MATCH($A159,Backlog[Requirement ID],0))),"",INDEX(Backlog[Jira Link],MATCH($A159,Backlog[Requirement ID],0))),"")</f>
        <v/>
      </c>
      <c r="E159" s="1" t="str">
        <f aca="false">IFERROR(IF(ISBLANK(INDEX(Backlog[Status],MATCH($A159,Backlog[Requirement ID],0))),"",INDEX(Backlog[Status],MATCH($A159,Backlog[Requirement ID],0))),"")</f>
        <v/>
      </c>
      <c r="F159" s="1" t="str">
        <f aca="false">IFERROR(IF(ISBLANK(INDEX(SprintPlanning[Sprint],MATCH($A159,SprintPlanning[Requirement ID],0))),"",INDEX(SprintPlanning[Sprint],MATCH($A159,SprintPlanning[Requirement ID],0))),"")</f>
        <v/>
      </c>
      <c r="H159" s="58"/>
      <c r="J159" s="1" t="str">
        <f aca="false">IFERROR(IF(ISBLANK(INDEX(Backlog[Priority],MATCH($A159,Backlog[Requirement ID],0))),"",INDEX(Backlog[Priority],MATCH($A159,Backlog[Requirement ID],0))),"")</f>
        <v/>
      </c>
      <c r="L159" s="1" t="str">
        <f aca="false">IFERROR(IF(ISBLANK(INDEX(Backlog[HLE],MATCH($A159,Backlog[Requirement ID],0))),"",IF(INDEX(Backlog[HLE],MATCH($A159,Backlog[Requirement ID],0))&lt;=5,0.5,IF(INDEX(Backlog[HLE],MATCH($A159,Backlog[Requirement ID],0))&lt;=8,1,IF(INDEX(Backlog[HLE],MATCH($A159,Backlog[Requirement ID],0))&lt;=13,2,IF(INDEX(Backlog[HLE],MATCH($A159,Backlog[Requirement ID],0))&lt;=20,3,5))))),"")</f>
        <v/>
      </c>
    </row>
    <row r="160" customFormat="false" ht="15" hidden="false" customHeight="true" outlineLevel="0" collapsed="false">
      <c r="A160" s="1" t="str">
        <f aca="false">Backlog!A160</f>
        <v/>
      </c>
      <c r="B160" s="57" t="str">
        <f aca="false">IFERROR(IF(ISBLANK(INDEX(Backlog[Requirement Name],MATCH($A160,Backlog[Requirement ID],0))),"",INDEX(Backlog[Requirement Name],MATCH($A160,Backlog[Requirement ID],0))),"")</f>
        <v/>
      </c>
      <c r="C160" s="1" t="str">
        <f aca="false">IFERROR(IF(ISBLANK(INDEX(Backlog[Stream],MATCH($A160,Backlog[Requirement ID],0))),"",INDEX(Backlog[Stream],MATCH($A160,Backlog[Requirement ID],0))),"")</f>
        <v/>
      </c>
      <c r="D160" s="1" t="str">
        <f aca="false">IFERROR(IF(ISBLANK(INDEX(Backlog[Jira Link],MATCH($A160,Backlog[Requirement ID],0))),"",INDEX(Backlog[Jira Link],MATCH($A160,Backlog[Requirement ID],0))),"")</f>
        <v/>
      </c>
      <c r="E160" s="1" t="str">
        <f aca="false">IFERROR(IF(ISBLANK(INDEX(Backlog[Status],MATCH($A160,Backlog[Requirement ID],0))),"",INDEX(Backlog[Status],MATCH($A160,Backlog[Requirement ID],0))),"")</f>
        <v/>
      </c>
      <c r="F160" s="1" t="str">
        <f aca="false">IFERROR(IF(ISBLANK(INDEX(SprintPlanning[Sprint],MATCH($A160,SprintPlanning[Requirement ID],0))),"",INDEX(SprintPlanning[Sprint],MATCH($A160,SprintPlanning[Requirement ID],0))),"")</f>
        <v/>
      </c>
      <c r="H160" s="58"/>
      <c r="J160" s="1" t="str">
        <f aca="false">IFERROR(IF(ISBLANK(INDEX(Backlog[Priority],MATCH($A160,Backlog[Requirement ID],0))),"",INDEX(Backlog[Priority],MATCH($A160,Backlog[Requirement ID],0))),"")</f>
        <v/>
      </c>
      <c r="L160" s="1" t="str">
        <f aca="false">IFERROR(IF(ISBLANK(INDEX(Backlog[HLE],MATCH($A160,Backlog[Requirement ID],0))),"",IF(INDEX(Backlog[HLE],MATCH($A160,Backlog[Requirement ID],0))&lt;=5,0.5,IF(INDEX(Backlog[HLE],MATCH($A160,Backlog[Requirement ID],0))&lt;=8,1,IF(INDEX(Backlog[HLE],MATCH($A160,Backlog[Requirement ID],0))&lt;=13,2,IF(INDEX(Backlog[HLE],MATCH($A160,Backlog[Requirement ID],0))&lt;=20,3,5))))),"")</f>
        <v/>
      </c>
    </row>
    <row r="161" customFormat="false" ht="15" hidden="false" customHeight="true" outlineLevel="0" collapsed="false">
      <c r="A161" s="1" t="str">
        <f aca="false">Backlog!A161</f>
        <v/>
      </c>
      <c r="B161" s="57" t="str">
        <f aca="false">IFERROR(IF(ISBLANK(INDEX(Backlog[Requirement Name],MATCH($A161,Backlog[Requirement ID],0))),"",INDEX(Backlog[Requirement Name],MATCH($A161,Backlog[Requirement ID],0))),"")</f>
        <v/>
      </c>
      <c r="C161" s="1" t="str">
        <f aca="false">IFERROR(IF(ISBLANK(INDEX(Backlog[Stream],MATCH($A161,Backlog[Requirement ID],0))),"",INDEX(Backlog[Stream],MATCH($A161,Backlog[Requirement ID],0))),"")</f>
        <v/>
      </c>
      <c r="D161" s="1" t="str">
        <f aca="false">IFERROR(IF(ISBLANK(INDEX(Backlog[Jira Link],MATCH($A161,Backlog[Requirement ID],0))),"",INDEX(Backlog[Jira Link],MATCH($A161,Backlog[Requirement ID],0))),"")</f>
        <v/>
      </c>
      <c r="E161" s="1" t="str">
        <f aca="false">IFERROR(IF(ISBLANK(INDEX(Backlog[Status],MATCH($A161,Backlog[Requirement ID],0))),"",INDEX(Backlog[Status],MATCH($A161,Backlog[Requirement ID],0))),"")</f>
        <v/>
      </c>
      <c r="F161" s="1" t="str">
        <f aca="false">IFERROR(IF(ISBLANK(INDEX(SprintPlanning[Sprint],MATCH($A161,SprintPlanning[Requirement ID],0))),"",INDEX(SprintPlanning[Sprint],MATCH($A161,SprintPlanning[Requirement ID],0))),"")</f>
        <v/>
      </c>
      <c r="H161" s="58"/>
      <c r="J161" s="1" t="str">
        <f aca="false">IFERROR(IF(ISBLANK(INDEX(Backlog[Priority],MATCH($A161,Backlog[Requirement ID],0))),"",INDEX(Backlog[Priority],MATCH($A161,Backlog[Requirement ID],0))),"")</f>
        <v/>
      </c>
      <c r="L161" s="1" t="str">
        <f aca="false">IFERROR(IF(ISBLANK(INDEX(Backlog[HLE],MATCH($A161,Backlog[Requirement ID],0))),"",IF(INDEX(Backlog[HLE],MATCH($A161,Backlog[Requirement ID],0))&lt;=5,0.5,IF(INDEX(Backlog[HLE],MATCH($A161,Backlog[Requirement ID],0))&lt;=8,1,IF(INDEX(Backlog[HLE],MATCH($A161,Backlog[Requirement ID],0))&lt;=13,2,IF(INDEX(Backlog[HLE],MATCH($A161,Backlog[Requirement ID],0))&lt;=20,3,5))))),"")</f>
        <v/>
      </c>
    </row>
    <row r="162" customFormat="false" ht="15" hidden="false" customHeight="true" outlineLevel="0" collapsed="false">
      <c r="A162" s="1" t="str">
        <f aca="false">Backlog!A162</f>
        <v/>
      </c>
      <c r="B162" s="57" t="str">
        <f aca="false">IFERROR(IF(ISBLANK(INDEX(Backlog[Requirement Name],MATCH($A162,Backlog[Requirement ID],0))),"",INDEX(Backlog[Requirement Name],MATCH($A162,Backlog[Requirement ID],0))),"")</f>
        <v/>
      </c>
      <c r="C162" s="1" t="str">
        <f aca="false">IFERROR(IF(ISBLANK(INDEX(Backlog[Stream],MATCH($A162,Backlog[Requirement ID],0))),"",INDEX(Backlog[Stream],MATCH($A162,Backlog[Requirement ID],0))),"")</f>
        <v/>
      </c>
      <c r="D162" s="1" t="str">
        <f aca="false">IFERROR(IF(ISBLANK(INDEX(Backlog[Jira Link],MATCH($A162,Backlog[Requirement ID],0))),"",INDEX(Backlog[Jira Link],MATCH($A162,Backlog[Requirement ID],0))),"")</f>
        <v/>
      </c>
      <c r="E162" s="1" t="str">
        <f aca="false">IFERROR(IF(ISBLANK(INDEX(Backlog[Status],MATCH($A162,Backlog[Requirement ID],0))),"",INDEX(Backlog[Status],MATCH($A162,Backlog[Requirement ID],0))),"")</f>
        <v/>
      </c>
      <c r="F162" s="1" t="str">
        <f aca="false">IFERROR(IF(ISBLANK(INDEX(SprintPlanning[Sprint],MATCH($A162,SprintPlanning[Requirement ID],0))),"",INDEX(SprintPlanning[Sprint],MATCH($A162,SprintPlanning[Requirement ID],0))),"")</f>
        <v/>
      </c>
      <c r="H162" s="58"/>
      <c r="J162" s="1" t="str">
        <f aca="false">IFERROR(IF(ISBLANK(INDEX(Backlog[Priority],MATCH($A162,Backlog[Requirement ID],0))),"",INDEX(Backlog[Priority],MATCH($A162,Backlog[Requirement ID],0))),"")</f>
        <v/>
      </c>
      <c r="L162" s="1" t="str">
        <f aca="false">IFERROR(IF(ISBLANK(INDEX(Backlog[HLE],MATCH($A162,Backlog[Requirement ID],0))),"",IF(INDEX(Backlog[HLE],MATCH($A162,Backlog[Requirement ID],0))&lt;=5,0.5,IF(INDEX(Backlog[HLE],MATCH($A162,Backlog[Requirement ID],0))&lt;=8,1,IF(INDEX(Backlog[HLE],MATCH($A162,Backlog[Requirement ID],0))&lt;=13,2,IF(INDEX(Backlog[HLE],MATCH($A162,Backlog[Requirement ID],0))&lt;=20,3,5))))),"")</f>
        <v/>
      </c>
    </row>
    <row r="163" customFormat="false" ht="15" hidden="false" customHeight="true" outlineLevel="0" collapsed="false">
      <c r="A163" s="1" t="str">
        <f aca="false">Backlog!A163</f>
        <v/>
      </c>
      <c r="B163" s="57" t="str">
        <f aca="false">IFERROR(IF(ISBLANK(INDEX(Backlog[Requirement Name],MATCH($A163,Backlog[Requirement ID],0))),"",INDEX(Backlog[Requirement Name],MATCH($A163,Backlog[Requirement ID],0))),"")</f>
        <v/>
      </c>
      <c r="C163" s="1" t="str">
        <f aca="false">IFERROR(IF(ISBLANK(INDEX(Backlog[Stream],MATCH($A163,Backlog[Requirement ID],0))),"",INDEX(Backlog[Stream],MATCH($A163,Backlog[Requirement ID],0))),"")</f>
        <v/>
      </c>
      <c r="D163" s="1" t="str">
        <f aca="false">IFERROR(IF(ISBLANK(INDEX(Backlog[Jira Link],MATCH($A163,Backlog[Requirement ID],0))),"",INDEX(Backlog[Jira Link],MATCH($A163,Backlog[Requirement ID],0))),"")</f>
        <v/>
      </c>
      <c r="E163" s="1" t="str">
        <f aca="false">IFERROR(IF(ISBLANK(INDEX(Backlog[Status],MATCH($A163,Backlog[Requirement ID],0))),"",INDEX(Backlog[Status],MATCH($A163,Backlog[Requirement ID],0))),"")</f>
        <v/>
      </c>
      <c r="F163" s="1" t="str">
        <f aca="false">IFERROR(IF(ISBLANK(INDEX(SprintPlanning[Sprint],MATCH($A163,SprintPlanning[Requirement ID],0))),"",INDEX(SprintPlanning[Sprint],MATCH($A163,SprintPlanning[Requirement ID],0))),"")</f>
        <v/>
      </c>
      <c r="H163" s="58"/>
      <c r="J163" s="1" t="str">
        <f aca="false">IFERROR(IF(ISBLANK(INDEX(Backlog[Priority],MATCH($A163,Backlog[Requirement ID],0))),"",INDEX(Backlog[Priority],MATCH($A163,Backlog[Requirement ID],0))),"")</f>
        <v/>
      </c>
      <c r="L163" s="1" t="str">
        <f aca="false">IFERROR(IF(ISBLANK(INDEX(Backlog[HLE],MATCH($A163,Backlog[Requirement ID],0))),"",IF(INDEX(Backlog[HLE],MATCH($A163,Backlog[Requirement ID],0))&lt;=5,0.5,IF(INDEX(Backlog[HLE],MATCH($A163,Backlog[Requirement ID],0))&lt;=8,1,IF(INDEX(Backlog[HLE],MATCH($A163,Backlog[Requirement ID],0))&lt;=13,2,IF(INDEX(Backlog[HLE],MATCH($A163,Backlog[Requirement ID],0))&lt;=20,3,5))))),"")</f>
        <v/>
      </c>
    </row>
    <row r="164" customFormat="false" ht="15" hidden="false" customHeight="true" outlineLevel="0" collapsed="false">
      <c r="A164" s="1" t="str">
        <f aca="false">Backlog!A164</f>
        <v/>
      </c>
      <c r="B164" s="57" t="str">
        <f aca="false">IFERROR(IF(ISBLANK(INDEX(Backlog[Requirement Name],MATCH($A164,Backlog[Requirement ID],0))),"",INDEX(Backlog[Requirement Name],MATCH($A164,Backlog[Requirement ID],0))),"")</f>
        <v/>
      </c>
      <c r="C164" s="1" t="str">
        <f aca="false">IFERROR(IF(ISBLANK(INDEX(Backlog[Stream],MATCH($A164,Backlog[Requirement ID],0))),"",INDEX(Backlog[Stream],MATCH($A164,Backlog[Requirement ID],0))),"")</f>
        <v/>
      </c>
      <c r="D164" s="1" t="str">
        <f aca="false">IFERROR(IF(ISBLANK(INDEX(Backlog[Jira Link],MATCH($A164,Backlog[Requirement ID],0))),"",INDEX(Backlog[Jira Link],MATCH($A164,Backlog[Requirement ID],0))),"")</f>
        <v/>
      </c>
      <c r="E164" s="1" t="str">
        <f aca="false">IFERROR(IF(ISBLANK(INDEX(Backlog[Status],MATCH($A164,Backlog[Requirement ID],0))),"",INDEX(Backlog[Status],MATCH($A164,Backlog[Requirement ID],0))),"")</f>
        <v/>
      </c>
      <c r="F164" s="1" t="str">
        <f aca="false">IFERROR(IF(ISBLANK(INDEX(SprintPlanning[Sprint],MATCH($A164,SprintPlanning[Requirement ID],0))),"",INDEX(SprintPlanning[Sprint],MATCH($A164,SprintPlanning[Requirement ID],0))),"")</f>
        <v/>
      </c>
      <c r="H164" s="58"/>
      <c r="J164" s="1" t="str">
        <f aca="false">IFERROR(IF(ISBLANK(INDEX(Backlog[Priority],MATCH($A164,Backlog[Requirement ID],0))),"",INDEX(Backlog[Priority],MATCH($A164,Backlog[Requirement ID],0))),"")</f>
        <v/>
      </c>
      <c r="L164" s="1" t="str">
        <f aca="false">IFERROR(IF(ISBLANK(INDEX(Backlog[HLE],MATCH($A164,Backlog[Requirement ID],0))),"",IF(INDEX(Backlog[HLE],MATCH($A164,Backlog[Requirement ID],0))&lt;=5,0.5,IF(INDEX(Backlog[HLE],MATCH($A164,Backlog[Requirement ID],0))&lt;=8,1,IF(INDEX(Backlog[HLE],MATCH($A164,Backlog[Requirement ID],0))&lt;=13,2,IF(INDEX(Backlog[HLE],MATCH($A164,Backlog[Requirement ID],0))&lt;=20,3,5))))),"")</f>
        <v/>
      </c>
    </row>
    <row r="165" customFormat="false" ht="15" hidden="false" customHeight="true" outlineLevel="0" collapsed="false">
      <c r="A165" s="1" t="str">
        <f aca="false">Backlog!A165</f>
        <v/>
      </c>
      <c r="B165" s="57" t="str">
        <f aca="false">IFERROR(IF(ISBLANK(INDEX(Backlog[Requirement Name],MATCH($A165,Backlog[Requirement ID],0))),"",INDEX(Backlog[Requirement Name],MATCH($A165,Backlog[Requirement ID],0))),"")</f>
        <v/>
      </c>
      <c r="C165" s="1" t="str">
        <f aca="false">IFERROR(IF(ISBLANK(INDEX(Backlog[Stream],MATCH($A165,Backlog[Requirement ID],0))),"",INDEX(Backlog[Stream],MATCH($A165,Backlog[Requirement ID],0))),"")</f>
        <v/>
      </c>
      <c r="D165" s="1" t="str">
        <f aca="false">IFERROR(IF(ISBLANK(INDEX(Backlog[Jira Link],MATCH($A165,Backlog[Requirement ID],0))),"",INDEX(Backlog[Jira Link],MATCH($A165,Backlog[Requirement ID],0))),"")</f>
        <v/>
      </c>
      <c r="E165" s="1" t="str">
        <f aca="false">IFERROR(IF(ISBLANK(INDEX(Backlog[Status],MATCH($A165,Backlog[Requirement ID],0))),"",INDEX(Backlog[Status],MATCH($A165,Backlog[Requirement ID],0))),"")</f>
        <v/>
      </c>
      <c r="F165" s="1" t="str">
        <f aca="false">IFERROR(IF(ISBLANK(INDEX(SprintPlanning[Sprint],MATCH($A165,SprintPlanning[Requirement ID],0))),"",INDEX(SprintPlanning[Sprint],MATCH($A165,SprintPlanning[Requirement ID],0))),"")</f>
        <v/>
      </c>
      <c r="H165" s="58"/>
      <c r="J165" s="1" t="str">
        <f aca="false">IFERROR(IF(ISBLANK(INDEX(Backlog[Priority],MATCH($A165,Backlog[Requirement ID],0))),"",INDEX(Backlog[Priority],MATCH($A165,Backlog[Requirement ID],0))),"")</f>
        <v/>
      </c>
      <c r="L165" s="1" t="str">
        <f aca="false">IFERROR(IF(ISBLANK(INDEX(Backlog[HLE],MATCH($A165,Backlog[Requirement ID],0))),"",IF(INDEX(Backlog[HLE],MATCH($A165,Backlog[Requirement ID],0))&lt;=5,0.5,IF(INDEX(Backlog[HLE],MATCH($A165,Backlog[Requirement ID],0))&lt;=8,1,IF(INDEX(Backlog[HLE],MATCH($A165,Backlog[Requirement ID],0))&lt;=13,2,IF(INDEX(Backlog[HLE],MATCH($A165,Backlog[Requirement ID],0))&lt;=20,3,5))))),"")</f>
        <v/>
      </c>
    </row>
    <row r="166" customFormat="false" ht="15" hidden="false" customHeight="true" outlineLevel="0" collapsed="false">
      <c r="A166" s="1" t="str">
        <f aca="false">Backlog!A166</f>
        <v/>
      </c>
      <c r="B166" s="57" t="str">
        <f aca="false">IFERROR(IF(ISBLANK(INDEX(Backlog[Requirement Name],MATCH($A166,Backlog[Requirement ID],0))),"",INDEX(Backlog[Requirement Name],MATCH($A166,Backlog[Requirement ID],0))),"")</f>
        <v/>
      </c>
      <c r="C166" s="1" t="str">
        <f aca="false">IFERROR(IF(ISBLANK(INDEX(Backlog[Stream],MATCH($A166,Backlog[Requirement ID],0))),"",INDEX(Backlog[Stream],MATCH($A166,Backlog[Requirement ID],0))),"")</f>
        <v/>
      </c>
      <c r="D166" s="1" t="str">
        <f aca="false">IFERROR(IF(ISBLANK(INDEX(Backlog[Jira Link],MATCH($A166,Backlog[Requirement ID],0))),"",INDEX(Backlog[Jira Link],MATCH($A166,Backlog[Requirement ID],0))),"")</f>
        <v/>
      </c>
      <c r="E166" s="1" t="str">
        <f aca="false">IFERROR(IF(ISBLANK(INDEX(Backlog[Status],MATCH($A166,Backlog[Requirement ID],0))),"",INDEX(Backlog[Status],MATCH($A166,Backlog[Requirement ID],0))),"")</f>
        <v/>
      </c>
      <c r="F166" s="1" t="str">
        <f aca="false">IFERROR(IF(ISBLANK(INDEX(SprintPlanning[Sprint],MATCH($A166,SprintPlanning[Requirement ID],0))),"",INDEX(SprintPlanning[Sprint],MATCH($A166,SprintPlanning[Requirement ID],0))),"")</f>
        <v/>
      </c>
      <c r="H166" s="58"/>
      <c r="J166" s="1" t="str">
        <f aca="false">IFERROR(IF(ISBLANK(INDEX(Backlog[Priority],MATCH($A166,Backlog[Requirement ID],0))),"",INDEX(Backlog[Priority],MATCH($A166,Backlog[Requirement ID],0))),"")</f>
        <v/>
      </c>
      <c r="L166" s="1" t="str">
        <f aca="false">IFERROR(IF(ISBLANK(INDEX(Backlog[HLE],MATCH($A166,Backlog[Requirement ID],0))),"",IF(INDEX(Backlog[HLE],MATCH($A166,Backlog[Requirement ID],0))&lt;=5,0.5,IF(INDEX(Backlog[HLE],MATCH($A166,Backlog[Requirement ID],0))&lt;=8,1,IF(INDEX(Backlog[HLE],MATCH($A166,Backlog[Requirement ID],0))&lt;=13,2,IF(INDEX(Backlog[HLE],MATCH($A166,Backlog[Requirement ID],0))&lt;=20,3,5))))),"")</f>
        <v/>
      </c>
    </row>
    <row r="167" customFormat="false" ht="15" hidden="false" customHeight="true" outlineLevel="0" collapsed="false">
      <c r="A167" s="1" t="str">
        <f aca="false">Backlog!A167</f>
        <v/>
      </c>
      <c r="B167" s="57" t="str">
        <f aca="false">IFERROR(IF(ISBLANK(INDEX(Backlog[Requirement Name],MATCH($A167,Backlog[Requirement ID],0))),"",INDEX(Backlog[Requirement Name],MATCH($A167,Backlog[Requirement ID],0))),"")</f>
        <v/>
      </c>
      <c r="C167" s="1" t="str">
        <f aca="false">IFERROR(IF(ISBLANK(INDEX(Backlog[Stream],MATCH($A167,Backlog[Requirement ID],0))),"",INDEX(Backlog[Stream],MATCH($A167,Backlog[Requirement ID],0))),"")</f>
        <v/>
      </c>
      <c r="D167" s="1" t="str">
        <f aca="false">IFERROR(IF(ISBLANK(INDEX(Backlog[Jira Link],MATCH($A167,Backlog[Requirement ID],0))),"",INDEX(Backlog[Jira Link],MATCH($A167,Backlog[Requirement ID],0))),"")</f>
        <v/>
      </c>
      <c r="E167" s="1" t="str">
        <f aca="false">IFERROR(IF(ISBLANK(INDEX(Backlog[Status],MATCH($A167,Backlog[Requirement ID],0))),"",INDEX(Backlog[Status],MATCH($A167,Backlog[Requirement ID],0))),"")</f>
        <v/>
      </c>
      <c r="F167" s="1" t="str">
        <f aca="false">IFERROR(IF(ISBLANK(INDEX(SprintPlanning[Sprint],MATCH($A167,SprintPlanning[Requirement ID],0))),"",INDEX(SprintPlanning[Sprint],MATCH($A167,SprintPlanning[Requirement ID],0))),"")</f>
        <v/>
      </c>
      <c r="H167" s="58"/>
      <c r="J167" s="1" t="str">
        <f aca="false">IFERROR(IF(ISBLANK(INDEX(Backlog[Priority],MATCH($A167,Backlog[Requirement ID],0))),"",INDEX(Backlog[Priority],MATCH($A167,Backlog[Requirement ID],0))),"")</f>
        <v/>
      </c>
      <c r="L167" s="1" t="str">
        <f aca="false">IFERROR(IF(ISBLANK(INDEX(Backlog[HLE],MATCH($A167,Backlog[Requirement ID],0))),"",IF(INDEX(Backlog[HLE],MATCH($A167,Backlog[Requirement ID],0))&lt;=5,0.5,IF(INDEX(Backlog[HLE],MATCH($A167,Backlog[Requirement ID],0))&lt;=8,1,IF(INDEX(Backlog[HLE],MATCH($A167,Backlog[Requirement ID],0))&lt;=13,2,IF(INDEX(Backlog[HLE],MATCH($A167,Backlog[Requirement ID],0))&lt;=20,3,5))))),"")</f>
        <v/>
      </c>
    </row>
    <row r="168" customFormat="false" ht="15" hidden="false" customHeight="true" outlineLevel="0" collapsed="false">
      <c r="A168" s="1" t="str">
        <f aca="false">Backlog!A168</f>
        <v/>
      </c>
      <c r="B168" s="57" t="str">
        <f aca="false">IFERROR(IF(ISBLANK(INDEX(Backlog[Requirement Name],MATCH($A168,Backlog[Requirement ID],0))),"",INDEX(Backlog[Requirement Name],MATCH($A168,Backlog[Requirement ID],0))),"")</f>
        <v/>
      </c>
      <c r="C168" s="1" t="str">
        <f aca="false">IFERROR(IF(ISBLANK(INDEX(Backlog[Stream],MATCH($A168,Backlog[Requirement ID],0))),"",INDEX(Backlog[Stream],MATCH($A168,Backlog[Requirement ID],0))),"")</f>
        <v/>
      </c>
      <c r="D168" s="1" t="str">
        <f aca="false">IFERROR(IF(ISBLANK(INDEX(Backlog[Jira Link],MATCH($A168,Backlog[Requirement ID],0))),"",INDEX(Backlog[Jira Link],MATCH($A168,Backlog[Requirement ID],0))),"")</f>
        <v/>
      </c>
      <c r="E168" s="1" t="str">
        <f aca="false">IFERROR(IF(ISBLANK(INDEX(Backlog[Status],MATCH($A168,Backlog[Requirement ID],0))),"",INDEX(Backlog[Status],MATCH($A168,Backlog[Requirement ID],0))),"")</f>
        <v/>
      </c>
      <c r="F168" s="1" t="str">
        <f aca="false">IFERROR(IF(ISBLANK(INDEX(SprintPlanning[Sprint],MATCH($A168,SprintPlanning[Requirement ID],0))),"",INDEX(SprintPlanning[Sprint],MATCH($A168,SprintPlanning[Requirement ID],0))),"")</f>
        <v/>
      </c>
      <c r="H168" s="58"/>
      <c r="J168" s="1" t="str">
        <f aca="false">IFERROR(IF(ISBLANK(INDEX(Backlog[Priority],MATCH($A168,Backlog[Requirement ID],0))),"",INDEX(Backlog[Priority],MATCH($A168,Backlog[Requirement ID],0))),"")</f>
        <v/>
      </c>
      <c r="L168" s="1" t="str">
        <f aca="false">IFERROR(IF(ISBLANK(INDEX(Backlog[HLE],MATCH($A168,Backlog[Requirement ID],0))),"",IF(INDEX(Backlog[HLE],MATCH($A168,Backlog[Requirement ID],0))&lt;=5,0.5,IF(INDEX(Backlog[HLE],MATCH($A168,Backlog[Requirement ID],0))&lt;=8,1,IF(INDEX(Backlog[HLE],MATCH($A168,Backlog[Requirement ID],0))&lt;=13,2,IF(INDEX(Backlog[HLE],MATCH($A168,Backlog[Requirement ID],0))&lt;=20,3,5))))),"")</f>
        <v/>
      </c>
    </row>
    <row r="169" customFormat="false" ht="15" hidden="false" customHeight="true" outlineLevel="0" collapsed="false">
      <c r="A169" s="1" t="str">
        <f aca="false">Backlog!A169</f>
        <v/>
      </c>
      <c r="B169" s="57" t="str">
        <f aca="false">IFERROR(IF(ISBLANK(INDEX(Backlog[Requirement Name],MATCH($A169,Backlog[Requirement ID],0))),"",INDEX(Backlog[Requirement Name],MATCH($A169,Backlog[Requirement ID],0))),"")</f>
        <v/>
      </c>
      <c r="C169" s="1" t="str">
        <f aca="false">IFERROR(IF(ISBLANK(INDEX(Backlog[Stream],MATCH($A169,Backlog[Requirement ID],0))),"",INDEX(Backlog[Stream],MATCH($A169,Backlog[Requirement ID],0))),"")</f>
        <v/>
      </c>
      <c r="D169" s="1" t="str">
        <f aca="false">IFERROR(IF(ISBLANK(INDEX(Backlog[Jira Link],MATCH($A169,Backlog[Requirement ID],0))),"",INDEX(Backlog[Jira Link],MATCH($A169,Backlog[Requirement ID],0))),"")</f>
        <v/>
      </c>
      <c r="E169" s="1" t="str">
        <f aca="false">IFERROR(IF(ISBLANK(INDEX(Backlog[Status],MATCH($A169,Backlog[Requirement ID],0))),"",INDEX(Backlog[Status],MATCH($A169,Backlog[Requirement ID],0))),"")</f>
        <v/>
      </c>
      <c r="F169" s="1" t="str">
        <f aca="false">IFERROR(IF(ISBLANK(INDEX(SprintPlanning[Sprint],MATCH($A169,SprintPlanning[Requirement ID],0))),"",INDEX(SprintPlanning[Sprint],MATCH($A169,SprintPlanning[Requirement ID],0))),"")</f>
        <v/>
      </c>
      <c r="H169" s="58"/>
      <c r="J169" s="1" t="str">
        <f aca="false">IFERROR(IF(ISBLANK(INDEX(Backlog[Priority],MATCH($A169,Backlog[Requirement ID],0))),"",INDEX(Backlog[Priority],MATCH($A169,Backlog[Requirement ID],0))),"")</f>
        <v/>
      </c>
      <c r="L169" s="1" t="str">
        <f aca="false">IFERROR(IF(ISBLANK(INDEX(Backlog[HLE],MATCH($A169,Backlog[Requirement ID],0))),"",IF(INDEX(Backlog[HLE],MATCH($A169,Backlog[Requirement ID],0))&lt;=5,0.5,IF(INDEX(Backlog[HLE],MATCH($A169,Backlog[Requirement ID],0))&lt;=8,1,IF(INDEX(Backlog[HLE],MATCH($A169,Backlog[Requirement ID],0))&lt;=13,2,IF(INDEX(Backlog[HLE],MATCH($A169,Backlog[Requirement ID],0))&lt;=20,3,5))))),"")</f>
        <v/>
      </c>
    </row>
    <row r="170" customFormat="false" ht="15" hidden="false" customHeight="true" outlineLevel="0" collapsed="false">
      <c r="A170" s="1" t="str">
        <f aca="false">Backlog!A170</f>
        <v/>
      </c>
      <c r="B170" s="57" t="str">
        <f aca="false">IFERROR(IF(ISBLANK(INDEX(Backlog[Requirement Name],MATCH($A170,Backlog[Requirement ID],0))),"",INDEX(Backlog[Requirement Name],MATCH($A170,Backlog[Requirement ID],0))),"")</f>
        <v/>
      </c>
      <c r="C170" s="1" t="str">
        <f aca="false">IFERROR(IF(ISBLANK(INDEX(Backlog[Stream],MATCH($A170,Backlog[Requirement ID],0))),"",INDEX(Backlog[Stream],MATCH($A170,Backlog[Requirement ID],0))),"")</f>
        <v/>
      </c>
      <c r="D170" s="1" t="str">
        <f aca="false">IFERROR(IF(ISBLANK(INDEX(Backlog[Jira Link],MATCH($A170,Backlog[Requirement ID],0))),"",INDEX(Backlog[Jira Link],MATCH($A170,Backlog[Requirement ID],0))),"")</f>
        <v/>
      </c>
      <c r="E170" s="1" t="str">
        <f aca="false">IFERROR(IF(ISBLANK(INDEX(Backlog[Status],MATCH($A170,Backlog[Requirement ID],0))),"",INDEX(Backlog[Status],MATCH($A170,Backlog[Requirement ID],0))),"")</f>
        <v/>
      </c>
      <c r="F170" s="1" t="str">
        <f aca="false">IFERROR(IF(ISBLANK(INDEX(SprintPlanning[Sprint],MATCH($A170,SprintPlanning[Requirement ID],0))),"",INDEX(SprintPlanning[Sprint],MATCH($A170,SprintPlanning[Requirement ID],0))),"")</f>
        <v/>
      </c>
      <c r="H170" s="58"/>
      <c r="J170" s="1" t="str">
        <f aca="false">IFERROR(IF(ISBLANK(INDEX(Backlog[Priority],MATCH($A170,Backlog[Requirement ID],0))),"",INDEX(Backlog[Priority],MATCH($A170,Backlog[Requirement ID],0))),"")</f>
        <v/>
      </c>
      <c r="L170" s="1" t="str">
        <f aca="false">IFERROR(IF(ISBLANK(INDEX(Backlog[HLE],MATCH($A170,Backlog[Requirement ID],0))),"",IF(INDEX(Backlog[HLE],MATCH($A170,Backlog[Requirement ID],0))&lt;=5,0.5,IF(INDEX(Backlog[HLE],MATCH($A170,Backlog[Requirement ID],0))&lt;=8,1,IF(INDEX(Backlog[HLE],MATCH($A170,Backlog[Requirement ID],0))&lt;=13,2,IF(INDEX(Backlog[HLE],MATCH($A170,Backlog[Requirement ID],0))&lt;=20,3,5))))),"")</f>
        <v/>
      </c>
    </row>
    <row r="171" customFormat="false" ht="15" hidden="false" customHeight="true" outlineLevel="0" collapsed="false">
      <c r="A171" s="1" t="str">
        <f aca="false">Backlog!A171</f>
        <v/>
      </c>
      <c r="B171" s="57" t="str">
        <f aca="false">IFERROR(IF(ISBLANK(INDEX(Backlog[Requirement Name],MATCH($A171,Backlog[Requirement ID],0))),"",INDEX(Backlog[Requirement Name],MATCH($A171,Backlog[Requirement ID],0))),"")</f>
        <v/>
      </c>
      <c r="C171" s="1" t="str">
        <f aca="false">IFERROR(IF(ISBLANK(INDEX(Backlog[Stream],MATCH($A171,Backlog[Requirement ID],0))),"",INDEX(Backlog[Stream],MATCH($A171,Backlog[Requirement ID],0))),"")</f>
        <v/>
      </c>
      <c r="D171" s="1" t="str">
        <f aca="false">IFERROR(IF(ISBLANK(INDEX(Backlog[Jira Link],MATCH($A171,Backlog[Requirement ID],0))),"",INDEX(Backlog[Jira Link],MATCH($A171,Backlog[Requirement ID],0))),"")</f>
        <v/>
      </c>
      <c r="E171" s="1" t="str">
        <f aca="false">IFERROR(IF(ISBLANK(INDEX(Backlog[Status],MATCH($A171,Backlog[Requirement ID],0))),"",INDEX(Backlog[Status],MATCH($A171,Backlog[Requirement ID],0))),"")</f>
        <v/>
      </c>
      <c r="F171" s="1" t="str">
        <f aca="false">IFERROR(IF(ISBLANK(INDEX(SprintPlanning[Sprint],MATCH($A171,SprintPlanning[Requirement ID],0))),"",INDEX(SprintPlanning[Sprint],MATCH($A171,SprintPlanning[Requirement ID],0))),"")</f>
        <v/>
      </c>
      <c r="H171" s="58"/>
      <c r="J171" s="1" t="str">
        <f aca="false">IFERROR(IF(ISBLANK(INDEX(Backlog[Priority],MATCH($A171,Backlog[Requirement ID],0))),"",INDEX(Backlog[Priority],MATCH($A171,Backlog[Requirement ID],0))),"")</f>
        <v/>
      </c>
      <c r="L171" s="1" t="str">
        <f aca="false">IFERROR(IF(ISBLANK(INDEX(Backlog[HLE],MATCH($A171,Backlog[Requirement ID],0))),"",IF(INDEX(Backlog[HLE],MATCH($A171,Backlog[Requirement ID],0))&lt;=5,0.5,IF(INDEX(Backlog[HLE],MATCH($A171,Backlog[Requirement ID],0))&lt;=8,1,IF(INDEX(Backlog[HLE],MATCH($A171,Backlog[Requirement ID],0))&lt;=13,2,IF(INDEX(Backlog[HLE],MATCH($A171,Backlog[Requirement ID],0))&lt;=20,3,5))))),"")</f>
        <v/>
      </c>
    </row>
    <row r="172" customFormat="false" ht="15" hidden="false" customHeight="true" outlineLevel="0" collapsed="false">
      <c r="A172" s="1" t="str">
        <f aca="false">Backlog!A172</f>
        <v/>
      </c>
      <c r="B172" s="57" t="str">
        <f aca="false">IFERROR(IF(ISBLANK(INDEX(Backlog[Requirement Name],MATCH($A172,Backlog[Requirement ID],0))),"",INDEX(Backlog[Requirement Name],MATCH($A172,Backlog[Requirement ID],0))),"")</f>
        <v/>
      </c>
      <c r="C172" s="1" t="str">
        <f aca="false">IFERROR(IF(ISBLANK(INDEX(Backlog[Stream],MATCH($A172,Backlog[Requirement ID],0))),"",INDEX(Backlog[Stream],MATCH($A172,Backlog[Requirement ID],0))),"")</f>
        <v/>
      </c>
      <c r="D172" s="1" t="str">
        <f aca="false">IFERROR(IF(ISBLANK(INDEX(Backlog[Jira Link],MATCH($A172,Backlog[Requirement ID],0))),"",INDEX(Backlog[Jira Link],MATCH($A172,Backlog[Requirement ID],0))),"")</f>
        <v/>
      </c>
      <c r="E172" s="1" t="str">
        <f aca="false">IFERROR(IF(ISBLANK(INDEX(Backlog[Status],MATCH($A172,Backlog[Requirement ID],0))),"",INDEX(Backlog[Status],MATCH($A172,Backlog[Requirement ID],0))),"")</f>
        <v/>
      </c>
      <c r="F172" s="1" t="str">
        <f aca="false">IFERROR(IF(ISBLANK(INDEX(SprintPlanning[Sprint],MATCH($A172,SprintPlanning[Requirement ID],0))),"",INDEX(SprintPlanning[Sprint],MATCH($A172,SprintPlanning[Requirement ID],0))),"")</f>
        <v/>
      </c>
      <c r="H172" s="58"/>
      <c r="J172" s="1" t="str">
        <f aca="false">IFERROR(IF(ISBLANK(INDEX(Backlog[Priority],MATCH($A172,Backlog[Requirement ID],0))),"",INDEX(Backlog[Priority],MATCH($A172,Backlog[Requirement ID],0))),"")</f>
        <v/>
      </c>
      <c r="L172" s="1" t="str">
        <f aca="false">IFERROR(IF(ISBLANK(INDEX(Backlog[HLE],MATCH($A172,Backlog[Requirement ID],0))),"",IF(INDEX(Backlog[HLE],MATCH($A172,Backlog[Requirement ID],0))&lt;=5,0.5,IF(INDEX(Backlog[HLE],MATCH($A172,Backlog[Requirement ID],0))&lt;=8,1,IF(INDEX(Backlog[HLE],MATCH($A172,Backlog[Requirement ID],0))&lt;=13,2,IF(INDEX(Backlog[HLE],MATCH($A172,Backlog[Requirement ID],0))&lt;=20,3,5))))),"")</f>
        <v/>
      </c>
    </row>
    <row r="173" customFormat="false" ht="15" hidden="false" customHeight="true" outlineLevel="0" collapsed="false">
      <c r="A173" s="1" t="str">
        <f aca="false">Backlog!A173</f>
        <v/>
      </c>
      <c r="B173" s="57" t="str">
        <f aca="false">IFERROR(IF(ISBLANK(INDEX(Backlog[Requirement Name],MATCH($A173,Backlog[Requirement ID],0))),"",INDEX(Backlog[Requirement Name],MATCH($A173,Backlog[Requirement ID],0))),"")</f>
        <v/>
      </c>
      <c r="C173" s="1" t="str">
        <f aca="false">IFERROR(IF(ISBLANK(INDEX(Backlog[Stream],MATCH($A173,Backlog[Requirement ID],0))),"",INDEX(Backlog[Stream],MATCH($A173,Backlog[Requirement ID],0))),"")</f>
        <v/>
      </c>
      <c r="D173" s="1" t="str">
        <f aca="false">IFERROR(IF(ISBLANK(INDEX(Backlog[Jira Link],MATCH($A173,Backlog[Requirement ID],0))),"",INDEX(Backlog[Jira Link],MATCH($A173,Backlog[Requirement ID],0))),"")</f>
        <v/>
      </c>
      <c r="E173" s="1" t="str">
        <f aca="false">IFERROR(IF(ISBLANK(INDEX(Backlog[Status],MATCH($A173,Backlog[Requirement ID],0))),"",INDEX(Backlog[Status],MATCH($A173,Backlog[Requirement ID],0))),"")</f>
        <v/>
      </c>
      <c r="F173" s="1" t="str">
        <f aca="false">IFERROR(IF(ISBLANK(INDEX(SprintPlanning[Sprint],MATCH($A173,SprintPlanning[Requirement ID],0))),"",INDEX(SprintPlanning[Sprint],MATCH($A173,SprintPlanning[Requirement ID],0))),"")</f>
        <v/>
      </c>
      <c r="H173" s="58"/>
      <c r="J173" s="1" t="str">
        <f aca="false">IFERROR(IF(ISBLANK(INDEX(Backlog[Priority],MATCH($A173,Backlog[Requirement ID],0))),"",INDEX(Backlog[Priority],MATCH($A173,Backlog[Requirement ID],0))),"")</f>
        <v/>
      </c>
      <c r="L173" s="1" t="str">
        <f aca="false">IFERROR(IF(ISBLANK(INDEX(Backlog[HLE],MATCH($A173,Backlog[Requirement ID],0))),"",IF(INDEX(Backlog[HLE],MATCH($A173,Backlog[Requirement ID],0))&lt;=5,0.5,IF(INDEX(Backlog[HLE],MATCH($A173,Backlog[Requirement ID],0))&lt;=8,1,IF(INDEX(Backlog[HLE],MATCH($A173,Backlog[Requirement ID],0))&lt;=13,2,IF(INDEX(Backlog[HLE],MATCH($A173,Backlog[Requirement ID],0))&lt;=20,3,5))))),"")</f>
        <v/>
      </c>
    </row>
    <row r="174" customFormat="false" ht="15" hidden="false" customHeight="true" outlineLevel="0" collapsed="false">
      <c r="A174" s="1" t="str">
        <f aca="false">Backlog!A174</f>
        <v/>
      </c>
      <c r="B174" s="57" t="str">
        <f aca="false">IFERROR(IF(ISBLANK(INDEX(Backlog[Requirement Name],MATCH($A174,Backlog[Requirement ID],0))),"",INDEX(Backlog[Requirement Name],MATCH($A174,Backlog[Requirement ID],0))),"")</f>
        <v/>
      </c>
      <c r="C174" s="1" t="str">
        <f aca="false">IFERROR(IF(ISBLANK(INDEX(Backlog[Stream],MATCH($A174,Backlog[Requirement ID],0))),"",INDEX(Backlog[Stream],MATCH($A174,Backlog[Requirement ID],0))),"")</f>
        <v/>
      </c>
      <c r="D174" s="1" t="str">
        <f aca="false">IFERROR(IF(ISBLANK(INDEX(Backlog[Jira Link],MATCH($A174,Backlog[Requirement ID],0))),"",INDEX(Backlog[Jira Link],MATCH($A174,Backlog[Requirement ID],0))),"")</f>
        <v/>
      </c>
      <c r="E174" s="1" t="str">
        <f aca="false">IFERROR(IF(ISBLANK(INDEX(Backlog[Status],MATCH($A174,Backlog[Requirement ID],0))),"",INDEX(Backlog[Status],MATCH($A174,Backlog[Requirement ID],0))),"")</f>
        <v/>
      </c>
      <c r="F174" s="1" t="str">
        <f aca="false">IFERROR(IF(ISBLANK(INDEX(SprintPlanning[Sprint],MATCH($A174,SprintPlanning[Requirement ID],0))),"",INDEX(SprintPlanning[Sprint],MATCH($A174,SprintPlanning[Requirement ID],0))),"")</f>
        <v/>
      </c>
      <c r="H174" s="58"/>
      <c r="J174" s="1" t="str">
        <f aca="false">IFERROR(IF(ISBLANK(INDEX(Backlog[Priority],MATCH($A174,Backlog[Requirement ID],0))),"",INDEX(Backlog[Priority],MATCH($A174,Backlog[Requirement ID],0))),"")</f>
        <v/>
      </c>
      <c r="L174" s="1" t="str">
        <f aca="false">IFERROR(IF(ISBLANK(INDEX(Backlog[HLE],MATCH($A174,Backlog[Requirement ID],0))),"",IF(INDEX(Backlog[HLE],MATCH($A174,Backlog[Requirement ID],0))&lt;=5,0.5,IF(INDEX(Backlog[HLE],MATCH($A174,Backlog[Requirement ID],0))&lt;=8,1,IF(INDEX(Backlog[HLE],MATCH($A174,Backlog[Requirement ID],0))&lt;=13,2,IF(INDEX(Backlog[HLE],MATCH($A174,Backlog[Requirement ID],0))&lt;=20,3,5))))),"")</f>
        <v/>
      </c>
    </row>
    <row r="175" customFormat="false" ht="15" hidden="false" customHeight="true" outlineLevel="0" collapsed="false">
      <c r="A175" s="1" t="str">
        <f aca="false">Backlog!A175</f>
        <v/>
      </c>
      <c r="B175" s="57" t="str">
        <f aca="false">IFERROR(IF(ISBLANK(INDEX(Backlog[Requirement Name],MATCH($A175,Backlog[Requirement ID],0))),"",INDEX(Backlog[Requirement Name],MATCH($A175,Backlog[Requirement ID],0))),"")</f>
        <v/>
      </c>
      <c r="C175" s="1" t="str">
        <f aca="false">IFERROR(IF(ISBLANK(INDEX(Backlog[Stream],MATCH($A175,Backlog[Requirement ID],0))),"",INDEX(Backlog[Stream],MATCH($A175,Backlog[Requirement ID],0))),"")</f>
        <v/>
      </c>
      <c r="D175" s="1" t="str">
        <f aca="false">IFERROR(IF(ISBLANK(INDEX(Backlog[Jira Link],MATCH($A175,Backlog[Requirement ID],0))),"",INDEX(Backlog[Jira Link],MATCH($A175,Backlog[Requirement ID],0))),"")</f>
        <v/>
      </c>
      <c r="E175" s="1" t="str">
        <f aca="false">IFERROR(IF(ISBLANK(INDEX(Backlog[Status],MATCH($A175,Backlog[Requirement ID],0))),"",INDEX(Backlog[Status],MATCH($A175,Backlog[Requirement ID],0))),"")</f>
        <v/>
      </c>
      <c r="F175" s="1" t="str">
        <f aca="false">IFERROR(IF(ISBLANK(INDEX(SprintPlanning[Sprint],MATCH($A175,SprintPlanning[Requirement ID],0))),"",INDEX(SprintPlanning[Sprint],MATCH($A175,SprintPlanning[Requirement ID],0))),"")</f>
        <v/>
      </c>
      <c r="H175" s="58"/>
      <c r="J175" s="1" t="str">
        <f aca="false">IFERROR(IF(ISBLANK(INDEX(Backlog[Priority],MATCH($A175,Backlog[Requirement ID],0))),"",INDEX(Backlog[Priority],MATCH($A175,Backlog[Requirement ID],0))),"")</f>
        <v/>
      </c>
      <c r="L175" s="1" t="str">
        <f aca="false">IFERROR(IF(ISBLANK(INDEX(Backlog[HLE],MATCH($A175,Backlog[Requirement ID],0))),"",IF(INDEX(Backlog[HLE],MATCH($A175,Backlog[Requirement ID],0))&lt;=5,0.5,IF(INDEX(Backlog[HLE],MATCH($A175,Backlog[Requirement ID],0))&lt;=8,1,IF(INDEX(Backlog[HLE],MATCH($A175,Backlog[Requirement ID],0))&lt;=13,2,IF(INDEX(Backlog[HLE],MATCH($A175,Backlog[Requirement ID],0))&lt;=20,3,5))))),"")</f>
        <v/>
      </c>
    </row>
    <row r="176" customFormat="false" ht="15" hidden="false" customHeight="true" outlineLevel="0" collapsed="false">
      <c r="A176" s="1" t="str">
        <f aca="false">Backlog!A176</f>
        <v/>
      </c>
      <c r="B176" s="57" t="str">
        <f aca="false">IFERROR(IF(ISBLANK(INDEX(Backlog[Requirement Name],MATCH($A176,Backlog[Requirement ID],0))),"",INDEX(Backlog[Requirement Name],MATCH($A176,Backlog[Requirement ID],0))),"")</f>
        <v/>
      </c>
      <c r="C176" s="1" t="str">
        <f aca="false">IFERROR(IF(ISBLANK(INDEX(Backlog[Stream],MATCH($A176,Backlog[Requirement ID],0))),"",INDEX(Backlog[Stream],MATCH($A176,Backlog[Requirement ID],0))),"")</f>
        <v/>
      </c>
      <c r="D176" s="1" t="str">
        <f aca="false">IFERROR(IF(ISBLANK(INDEX(Backlog[Jira Link],MATCH($A176,Backlog[Requirement ID],0))),"",INDEX(Backlog[Jira Link],MATCH($A176,Backlog[Requirement ID],0))),"")</f>
        <v/>
      </c>
      <c r="E176" s="1" t="str">
        <f aca="false">IFERROR(IF(ISBLANK(INDEX(Backlog[Status],MATCH($A176,Backlog[Requirement ID],0))),"",INDEX(Backlog[Status],MATCH($A176,Backlog[Requirement ID],0))),"")</f>
        <v/>
      </c>
      <c r="F176" s="1" t="str">
        <f aca="false">IFERROR(IF(ISBLANK(INDEX(SprintPlanning[Sprint],MATCH($A176,SprintPlanning[Requirement ID],0))),"",INDEX(SprintPlanning[Sprint],MATCH($A176,SprintPlanning[Requirement ID],0))),"")</f>
        <v/>
      </c>
      <c r="H176" s="58"/>
      <c r="J176" s="1" t="str">
        <f aca="false">IFERROR(IF(ISBLANK(INDEX(Backlog[Priority],MATCH($A176,Backlog[Requirement ID],0))),"",INDEX(Backlog[Priority],MATCH($A176,Backlog[Requirement ID],0))),"")</f>
        <v/>
      </c>
      <c r="L176" s="1" t="str">
        <f aca="false">IFERROR(IF(ISBLANK(INDEX(Backlog[HLE],MATCH($A176,Backlog[Requirement ID],0))),"",IF(INDEX(Backlog[HLE],MATCH($A176,Backlog[Requirement ID],0))&lt;=5,0.5,IF(INDEX(Backlog[HLE],MATCH($A176,Backlog[Requirement ID],0))&lt;=8,1,IF(INDEX(Backlog[HLE],MATCH($A176,Backlog[Requirement ID],0))&lt;=13,2,IF(INDEX(Backlog[HLE],MATCH($A176,Backlog[Requirement ID],0))&lt;=20,3,5))))),"")</f>
        <v/>
      </c>
    </row>
    <row r="177" customFormat="false" ht="15" hidden="false" customHeight="true" outlineLevel="0" collapsed="false">
      <c r="A177" s="1" t="str">
        <f aca="false">Backlog!A177</f>
        <v/>
      </c>
      <c r="B177" s="57" t="str">
        <f aca="false">IFERROR(IF(ISBLANK(INDEX(Backlog[Requirement Name],MATCH($A177,Backlog[Requirement ID],0))),"",INDEX(Backlog[Requirement Name],MATCH($A177,Backlog[Requirement ID],0))),"")</f>
        <v/>
      </c>
      <c r="C177" s="1" t="str">
        <f aca="false">IFERROR(IF(ISBLANK(INDEX(Backlog[Stream],MATCH($A177,Backlog[Requirement ID],0))),"",INDEX(Backlog[Stream],MATCH($A177,Backlog[Requirement ID],0))),"")</f>
        <v/>
      </c>
      <c r="D177" s="1" t="str">
        <f aca="false">IFERROR(IF(ISBLANK(INDEX(Backlog[Jira Link],MATCH($A177,Backlog[Requirement ID],0))),"",INDEX(Backlog[Jira Link],MATCH($A177,Backlog[Requirement ID],0))),"")</f>
        <v/>
      </c>
      <c r="E177" s="1" t="str">
        <f aca="false">IFERROR(IF(ISBLANK(INDEX(Backlog[Status],MATCH($A177,Backlog[Requirement ID],0))),"",INDEX(Backlog[Status],MATCH($A177,Backlog[Requirement ID],0))),"")</f>
        <v/>
      </c>
      <c r="F177" s="1" t="str">
        <f aca="false">IFERROR(IF(ISBLANK(INDEX(SprintPlanning[Sprint],MATCH($A177,SprintPlanning[Requirement ID],0))),"",INDEX(SprintPlanning[Sprint],MATCH($A177,SprintPlanning[Requirement ID],0))),"")</f>
        <v/>
      </c>
      <c r="H177" s="58"/>
      <c r="J177" s="1" t="str">
        <f aca="false">IFERROR(IF(ISBLANK(INDEX(Backlog[Priority],MATCH($A177,Backlog[Requirement ID],0))),"",INDEX(Backlog[Priority],MATCH($A177,Backlog[Requirement ID],0))),"")</f>
        <v/>
      </c>
      <c r="L177" s="1" t="str">
        <f aca="false">IFERROR(IF(ISBLANK(INDEX(Backlog[HLE],MATCH($A177,Backlog[Requirement ID],0))),"",IF(INDEX(Backlog[HLE],MATCH($A177,Backlog[Requirement ID],0))&lt;=5,0.5,IF(INDEX(Backlog[HLE],MATCH($A177,Backlog[Requirement ID],0))&lt;=8,1,IF(INDEX(Backlog[HLE],MATCH($A177,Backlog[Requirement ID],0))&lt;=13,2,IF(INDEX(Backlog[HLE],MATCH($A177,Backlog[Requirement ID],0))&lt;=20,3,5))))),"")</f>
        <v/>
      </c>
    </row>
    <row r="178" customFormat="false" ht="15" hidden="false" customHeight="true" outlineLevel="0" collapsed="false">
      <c r="A178" s="1" t="str">
        <f aca="false">Backlog!A178</f>
        <v/>
      </c>
      <c r="B178" s="57" t="str">
        <f aca="false">IFERROR(IF(ISBLANK(INDEX(Backlog[Requirement Name],MATCH($A178,Backlog[Requirement ID],0))),"",INDEX(Backlog[Requirement Name],MATCH($A178,Backlog[Requirement ID],0))),"")</f>
        <v/>
      </c>
      <c r="C178" s="1" t="str">
        <f aca="false">IFERROR(IF(ISBLANK(INDEX(Backlog[Stream],MATCH($A178,Backlog[Requirement ID],0))),"",INDEX(Backlog[Stream],MATCH($A178,Backlog[Requirement ID],0))),"")</f>
        <v/>
      </c>
      <c r="D178" s="1" t="str">
        <f aca="false">IFERROR(IF(ISBLANK(INDEX(Backlog[Jira Link],MATCH($A178,Backlog[Requirement ID],0))),"",INDEX(Backlog[Jira Link],MATCH($A178,Backlog[Requirement ID],0))),"")</f>
        <v/>
      </c>
      <c r="E178" s="1" t="str">
        <f aca="false">IFERROR(IF(ISBLANK(INDEX(Backlog[Status],MATCH($A178,Backlog[Requirement ID],0))),"",INDEX(Backlog[Status],MATCH($A178,Backlog[Requirement ID],0))),"")</f>
        <v/>
      </c>
      <c r="F178" s="1" t="str">
        <f aca="false">IFERROR(IF(ISBLANK(INDEX(SprintPlanning[Sprint],MATCH($A178,SprintPlanning[Requirement ID],0))),"",INDEX(SprintPlanning[Sprint],MATCH($A178,SprintPlanning[Requirement ID],0))),"")</f>
        <v/>
      </c>
      <c r="H178" s="58"/>
      <c r="J178" s="1" t="str">
        <f aca="false">IFERROR(IF(ISBLANK(INDEX(Backlog[Priority],MATCH($A178,Backlog[Requirement ID],0))),"",INDEX(Backlog[Priority],MATCH($A178,Backlog[Requirement ID],0))),"")</f>
        <v/>
      </c>
      <c r="L178" s="1" t="str">
        <f aca="false">IFERROR(IF(ISBLANK(INDEX(Backlog[HLE],MATCH($A178,Backlog[Requirement ID],0))),"",IF(INDEX(Backlog[HLE],MATCH($A178,Backlog[Requirement ID],0))&lt;=5,0.5,IF(INDEX(Backlog[HLE],MATCH($A178,Backlog[Requirement ID],0))&lt;=8,1,IF(INDEX(Backlog[HLE],MATCH($A178,Backlog[Requirement ID],0))&lt;=13,2,IF(INDEX(Backlog[HLE],MATCH($A178,Backlog[Requirement ID],0))&lt;=20,3,5))))),"")</f>
        <v/>
      </c>
    </row>
    <row r="179" customFormat="false" ht="15" hidden="false" customHeight="true" outlineLevel="0" collapsed="false">
      <c r="A179" s="1" t="str">
        <f aca="false">Backlog!A179</f>
        <v/>
      </c>
      <c r="B179" s="57" t="str">
        <f aca="false">IFERROR(IF(ISBLANK(INDEX(Backlog[Requirement Name],MATCH($A179,Backlog[Requirement ID],0))),"",INDEX(Backlog[Requirement Name],MATCH($A179,Backlog[Requirement ID],0))),"")</f>
        <v/>
      </c>
      <c r="C179" s="1" t="str">
        <f aca="false">IFERROR(IF(ISBLANK(INDEX(Backlog[Stream],MATCH($A179,Backlog[Requirement ID],0))),"",INDEX(Backlog[Stream],MATCH($A179,Backlog[Requirement ID],0))),"")</f>
        <v/>
      </c>
      <c r="D179" s="1" t="str">
        <f aca="false">IFERROR(IF(ISBLANK(INDEX(Backlog[Jira Link],MATCH($A179,Backlog[Requirement ID],0))),"",INDEX(Backlog[Jira Link],MATCH($A179,Backlog[Requirement ID],0))),"")</f>
        <v/>
      </c>
      <c r="E179" s="1" t="str">
        <f aca="false">IFERROR(IF(ISBLANK(INDEX(Backlog[Status],MATCH($A179,Backlog[Requirement ID],0))),"",INDEX(Backlog[Status],MATCH($A179,Backlog[Requirement ID],0))),"")</f>
        <v/>
      </c>
      <c r="F179" s="1" t="str">
        <f aca="false">IFERROR(IF(ISBLANK(INDEX(SprintPlanning[Sprint],MATCH($A179,SprintPlanning[Requirement ID],0))),"",INDEX(SprintPlanning[Sprint],MATCH($A179,SprintPlanning[Requirement ID],0))),"")</f>
        <v/>
      </c>
      <c r="H179" s="58"/>
      <c r="J179" s="1" t="str">
        <f aca="false">IFERROR(IF(ISBLANK(INDEX(Backlog[Priority],MATCH($A179,Backlog[Requirement ID],0))),"",INDEX(Backlog[Priority],MATCH($A179,Backlog[Requirement ID],0))),"")</f>
        <v/>
      </c>
      <c r="L179" s="1" t="str">
        <f aca="false">IFERROR(IF(ISBLANK(INDEX(Backlog[HLE],MATCH($A179,Backlog[Requirement ID],0))),"",IF(INDEX(Backlog[HLE],MATCH($A179,Backlog[Requirement ID],0))&lt;=5,0.5,IF(INDEX(Backlog[HLE],MATCH($A179,Backlog[Requirement ID],0))&lt;=8,1,IF(INDEX(Backlog[HLE],MATCH($A179,Backlog[Requirement ID],0))&lt;=13,2,IF(INDEX(Backlog[HLE],MATCH($A179,Backlog[Requirement ID],0))&lt;=20,3,5))))),"")</f>
        <v/>
      </c>
    </row>
    <row r="180" customFormat="false" ht="15" hidden="false" customHeight="true" outlineLevel="0" collapsed="false">
      <c r="A180" s="1" t="str">
        <f aca="false">Backlog!A180</f>
        <v/>
      </c>
      <c r="B180" s="57" t="str">
        <f aca="false">IFERROR(IF(ISBLANK(INDEX(Backlog[Requirement Name],MATCH($A180,Backlog[Requirement ID],0))),"",INDEX(Backlog[Requirement Name],MATCH($A180,Backlog[Requirement ID],0))),"")</f>
        <v/>
      </c>
      <c r="C180" s="1" t="str">
        <f aca="false">IFERROR(IF(ISBLANK(INDEX(Backlog[Stream],MATCH($A180,Backlog[Requirement ID],0))),"",INDEX(Backlog[Stream],MATCH($A180,Backlog[Requirement ID],0))),"")</f>
        <v/>
      </c>
      <c r="D180" s="1" t="str">
        <f aca="false">IFERROR(IF(ISBLANK(INDEX(Backlog[Jira Link],MATCH($A180,Backlog[Requirement ID],0))),"",INDEX(Backlog[Jira Link],MATCH($A180,Backlog[Requirement ID],0))),"")</f>
        <v/>
      </c>
      <c r="E180" s="1" t="str">
        <f aca="false">IFERROR(IF(ISBLANK(INDEX(Backlog[Status],MATCH($A180,Backlog[Requirement ID],0))),"",INDEX(Backlog[Status],MATCH($A180,Backlog[Requirement ID],0))),"")</f>
        <v/>
      </c>
      <c r="F180" s="1" t="str">
        <f aca="false">IFERROR(IF(ISBLANK(INDEX(SprintPlanning[Sprint],MATCH($A180,SprintPlanning[Requirement ID],0))),"",INDEX(SprintPlanning[Sprint],MATCH($A180,SprintPlanning[Requirement ID],0))),"")</f>
        <v/>
      </c>
      <c r="H180" s="58"/>
      <c r="J180" s="1" t="str">
        <f aca="false">IFERROR(IF(ISBLANK(INDEX(Backlog[Priority],MATCH($A180,Backlog[Requirement ID],0))),"",INDEX(Backlog[Priority],MATCH($A180,Backlog[Requirement ID],0))),"")</f>
        <v/>
      </c>
      <c r="L180" s="1" t="str">
        <f aca="false">IFERROR(IF(ISBLANK(INDEX(Backlog[HLE],MATCH($A180,Backlog[Requirement ID],0))),"",IF(INDEX(Backlog[HLE],MATCH($A180,Backlog[Requirement ID],0))&lt;=5,0.5,IF(INDEX(Backlog[HLE],MATCH($A180,Backlog[Requirement ID],0))&lt;=8,1,IF(INDEX(Backlog[HLE],MATCH($A180,Backlog[Requirement ID],0))&lt;=13,2,IF(INDEX(Backlog[HLE],MATCH($A180,Backlog[Requirement ID],0))&lt;=20,3,5))))),"")</f>
        <v/>
      </c>
    </row>
    <row r="181" customFormat="false" ht="15" hidden="false" customHeight="true" outlineLevel="0" collapsed="false">
      <c r="A181" s="1" t="str">
        <f aca="false">Backlog!A181</f>
        <v/>
      </c>
      <c r="B181" s="57" t="str">
        <f aca="false">IFERROR(IF(ISBLANK(INDEX(Backlog[Requirement Name],MATCH($A181,Backlog[Requirement ID],0))),"",INDEX(Backlog[Requirement Name],MATCH($A181,Backlog[Requirement ID],0))),"")</f>
        <v/>
      </c>
      <c r="C181" s="1" t="str">
        <f aca="false">IFERROR(IF(ISBLANK(INDEX(Backlog[Stream],MATCH($A181,Backlog[Requirement ID],0))),"",INDEX(Backlog[Stream],MATCH($A181,Backlog[Requirement ID],0))),"")</f>
        <v/>
      </c>
      <c r="D181" s="1" t="str">
        <f aca="false">IFERROR(IF(ISBLANK(INDEX(Backlog[Jira Link],MATCH($A181,Backlog[Requirement ID],0))),"",INDEX(Backlog[Jira Link],MATCH($A181,Backlog[Requirement ID],0))),"")</f>
        <v/>
      </c>
      <c r="E181" s="1" t="str">
        <f aca="false">IFERROR(IF(ISBLANK(INDEX(Backlog[Status],MATCH($A181,Backlog[Requirement ID],0))),"",INDEX(Backlog[Status],MATCH($A181,Backlog[Requirement ID],0))),"")</f>
        <v/>
      </c>
      <c r="F181" s="1" t="str">
        <f aca="false">IFERROR(IF(ISBLANK(INDEX(SprintPlanning[Sprint],MATCH($A181,SprintPlanning[Requirement ID],0))),"",INDEX(SprintPlanning[Sprint],MATCH($A181,SprintPlanning[Requirement ID],0))),"")</f>
        <v/>
      </c>
      <c r="H181" s="58"/>
      <c r="J181" s="1" t="str">
        <f aca="false">IFERROR(IF(ISBLANK(INDEX(Backlog[Priority],MATCH($A181,Backlog[Requirement ID],0))),"",INDEX(Backlog[Priority],MATCH($A181,Backlog[Requirement ID],0))),"")</f>
        <v/>
      </c>
      <c r="L181" s="1" t="str">
        <f aca="false">IFERROR(IF(ISBLANK(INDEX(Backlog[HLE],MATCH($A181,Backlog[Requirement ID],0))),"",IF(INDEX(Backlog[HLE],MATCH($A181,Backlog[Requirement ID],0))&lt;=5,0.5,IF(INDEX(Backlog[HLE],MATCH($A181,Backlog[Requirement ID],0))&lt;=8,1,IF(INDEX(Backlog[HLE],MATCH($A181,Backlog[Requirement ID],0))&lt;=13,2,IF(INDEX(Backlog[HLE],MATCH($A181,Backlog[Requirement ID],0))&lt;=20,3,5))))),"")</f>
        <v/>
      </c>
    </row>
    <row r="182" customFormat="false" ht="15" hidden="false" customHeight="true" outlineLevel="0" collapsed="false">
      <c r="A182" s="1" t="str">
        <f aca="false">Backlog!A182</f>
        <v/>
      </c>
      <c r="B182" s="57" t="str">
        <f aca="false">IFERROR(IF(ISBLANK(INDEX(Backlog[Requirement Name],MATCH($A182,Backlog[Requirement ID],0))),"",INDEX(Backlog[Requirement Name],MATCH($A182,Backlog[Requirement ID],0))),"")</f>
        <v/>
      </c>
      <c r="C182" s="1" t="str">
        <f aca="false">IFERROR(IF(ISBLANK(INDEX(Backlog[Stream],MATCH($A182,Backlog[Requirement ID],0))),"",INDEX(Backlog[Stream],MATCH($A182,Backlog[Requirement ID],0))),"")</f>
        <v/>
      </c>
      <c r="D182" s="1" t="str">
        <f aca="false">IFERROR(IF(ISBLANK(INDEX(Backlog[Jira Link],MATCH($A182,Backlog[Requirement ID],0))),"",INDEX(Backlog[Jira Link],MATCH($A182,Backlog[Requirement ID],0))),"")</f>
        <v/>
      </c>
      <c r="E182" s="1" t="str">
        <f aca="false">IFERROR(IF(ISBLANK(INDEX(Backlog[Status],MATCH($A182,Backlog[Requirement ID],0))),"",INDEX(Backlog[Status],MATCH($A182,Backlog[Requirement ID],0))),"")</f>
        <v/>
      </c>
      <c r="F182" s="1" t="str">
        <f aca="false">IFERROR(IF(ISBLANK(INDEX(SprintPlanning[Sprint],MATCH($A182,SprintPlanning[Requirement ID],0))),"",INDEX(SprintPlanning[Sprint],MATCH($A182,SprintPlanning[Requirement ID],0))),"")</f>
        <v/>
      </c>
      <c r="H182" s="58"/>
      <c r="J182" s="1" t="str">
        <f aca="false">IFERROR(IF(ISBLANK(INDEX(Backlog[Priority],MATCH($A182,Backlog[Requirement ID],0))),"",INDEX(Backlog[Priority],MATCH($A182,Backlog[Requirement ID],0))),"")</f>
        <v/>
      </c>
      <c r="L182" s="1" t="str">
        <f aca="false">IFERROR(IF(ISBLANK(INDEX(Backlog[HLE],MATCH($A182,Backlog[Requirement ID],0))),"",IF(INDEX(Backlog[HLE],MATCH($A182,Backlog[Requirement ID],0))&lt;=5,0.5,IF(INDEX(Backlog[HLE],MATCH($A182,Backlog[Requirement ID],0))&lt;=8,1,IF(INDEX(Backlog[HLE],MATCH($A182,Backlog[Requirement ID],0))&lt;=13,2,IF(INDEX(Backlog[HLE],MATCH($A182,Backlog[Requirement ID],0))&lt;=20,3,5))))),"")</f>
        <v/>
      </c>
    </row>
    <row r="183" customFormat="false" ht="15" hidden="false" customHeight="true" outlineLevel="0" collapsed="false">
      <c r="A183" s="1" t="str">
        <f aca="false">Backlog!A183</f>
        <v/>
      </c>
      <c r="B183" s="57" t="str">
        <f aca="false">IFERROR(IF(ISBLANK(INDEX(Backlog[Requirement Name],MATCH($A183,Backlog[Requirement ID],0))),"",INDEX(Backlog[Requirement Name],MATCH($A183,Backlog[Requirement ID],0))),"")</f>
        <v/>
      </c>
      <c r="C183" s="1" t="str">
        <f aca="false">IFERROR(IF(ISBLANK(INDEX(Backlog[Stream],MATCH($A183,Backlog[Requirement ID],0))),"",INDEX(Backlog[Stream],MATCH($A183,Backlog[Requirement ID],0))),"")</f>
        <v/>
      </c>
      <c r="D183" s="1" t="str">
        <f aca="false">IFERROR(IF(ISBLANK(INDEX(Backlog[Jira Link],MATCH($A183,Backlog[Requirement ID],0))),"",INDEX(Backlog[Jira Link],MATCH($A183,Backlog[Requirement ID],0))),"")</f>
        <v/>
      </c>
      <c r="E183" s="1" t="str">
        <f aca="false">IFERROR(IF(ISBLANK(INDEX(Backlog[Status],MATCH($A183,Backlog[Requirement ID],0))),"",INDEX(Backlog[Status],MATCH($A183,Backlog[Requirement ID],0))),"")</f>
        <v/>
      </c>
      <c r="F183" s="1" t="str">
        <f aca="false">IFERROR(IF(ISBLANK(INDEX(SprintPlanning[Sprint],MATCH($A183,SprintPlanning[Requirement ID],0))),"",INDEX(SprintPlanning[Sprint],MATCH($A183,SprintPlanning[Requirement ID],0))),"")</f>
        <v/>
      </c>
      <c r="H183" s="58"/>
      <c r="J183" s="1" t="str">
        <f aca="false">IFERROR(IF(ISBLANK(INDEX(Backlog[Priority],MATCH($A183,Backlog[Requirement ID],0))),"",INDEX(Backlog[Priority],MATCH($A183,Backlog[Requirement ID],0))),"")</f>
        <v/>
      </c>
      <c r="L183" s="1" t="str">
        <f aca="false">IFERROR(IF(ISBLANK(INDEX(Backlog[HLE],MATCH($A183,Backlog[Requirement ID],0))),"",IF(INDEX(Backlog[HLE],MATCH($A183,Backlog[Requirement ID],0))&lt;=5,0.5,IF(INDEX(Backlog[HLE],MATCH($A183,Backlog[Requirement ID],0))&lt;=8,1,IF(INDEX(Backlog[HLE],MATCH($A183,Backlog[Requirement ID],0))&lt;=13,2,IF(INDEX(Backlog[HLE],MATCH($A183,Backlog[Requirement ID],0))&lt;=20,3,5))))),"")</f>
        <v/>
      </c>
    </row>
    <row r="184" customFormat="false" ht="15" hidden="false" customHeight="true" outlineLevel="0" collapsed="false">
      <c r="A184" s="1" t="str">
        <f aca="false">Backlog!A184</f>
        <v/>
      </c>
      <c r="B184" s="57" t="str">
        <f aca="false">IFERROR(IF(ISBLANK(INDEX(Backlog[Requirement Name],MATCH($A184,Backlog[Requirement ID],0))),"",INDEX(Backlog[Requirement Name],MATCH($A184,Backlog[Requirement ID],0))),"")</f>
        <v/>
      </c>
      <c r="C184" s="1" t="str">
        <f aca="false">IFERROR(IF(ISBLANK(INDEX(Backlog[Stream],MATCH($A184,Backlog[Requirement ID],0))),"",INDEX(Backlog[Stream],MATCH($A184,Backlog[Requirement ID],0))),"")</f>
        <v/>
      </c>
      <c r="D184" s="1" t="str">
        <f aca="false">IFERROR(IF(ISBLANK(INDEX(Backlog[Jira Link],MATCH($A184,Backlog[Requirement ID],0))),"",INDEX(Backlog[Jira Link],MATCH($A184,Backlog[Requirement ID],0))),"")</f>
        <v/>
      </c>
      <c r="E184" s="1" t="str">
        <f aca="false">IFERROR(IF(ISBLANK(INDEX(Backlog[Status],MATCH($A184,Backlog[Requirement ID],0))),"",INDEX(Backlog[Status],MATCH($A184,Backlog[Requirement ID],0))),"")</f>
        <v/>
      </c>
      <c r="F184" s="1" t="str">
        <f aca="false">IFERROR(IF(ISBLANK(INDEX(SprintPlanning[Sprint],MATCH($A184,SprintPlanning[Requirement ID],0))),"",INDEX(SprintPlanning[Sprint],MATCH($A184,SprintPlanning[Requirement ID],0))),"")</f>
        <v/>
      </c>
      <c r="H184" s="58"/>
      <c r="J184" s="1" t="str">
        <f aca="false">IFERROR(IF(ISBLANK(INDEX(Backlog[Priority],MATCH($A184,Backlog[Requirement ID],0))),"",INDEX(Backlog[Priority],MATCH($A184,Backlog[Requirement ID],0))),"")</f>
        <v/>
      </c>
      <c r="L184" s="1" t="str">
        <f aca="false">IFERROR(IF(ISBLANK(INDEX(Backlog[HLE],MATCH($A184,Backlog[Requirement ID],0))),"",IF(INDEX(Backlog[HLE],MATCH($A184,Backlog[Requirement ID],0))&lt;=5,0.5,IF(INDEX(Backlog[HLE],MATCH($A184,Backlog[Requirement ID],0))&lt;=8,1,IF(INDEX(Backlog[HLE],MATCH($A184,Backlog[Requirement ID],0))&lt;=13,2,IF(INDEX(Backlog[HLE],MATCH($A184,Backlog[Requirement ID],0))&lt;=20,3,5))))),"")</f>
        <v/>
      </c>
    </row>
    <row r="185" customFormat="false" ht="15" hidden="false" customHeight="true" outlineLevel="0" collapsed="false">
      <c r="A185" s="1" t="str">
        <f aca="false">Backlog!A185</f>
        <v/>
      </c>
      <c r="B185" s="57" t="str">
        <f aca="false">IFERROR(IF(ISBLANK(INDEX(Backlog[Requirement Name],MATCH($A185,Backlog[Requirement ID],0))),"",INDEX(Backlog[Requirement Name],MATCH($A185,Backlog[Requirement ID],0))),"")</f>
        <v/>
      </c>
      <c r="C185" s="1" t="str">
        <f aca="false">IFERROR(IF(ISBLANK(INDEX(Backlog[Stream],MATCH($A185,Backlog[Requirement ID],0))),"",INDEX(Backlog[Stream],MATCH($A185,Backlog[Requirement ID],0))),"")</f>
        <v/>
      </c>
      <c r="D185" s="1" t="str">
        <f aca="false">IFERROR(IF(ISBLANK(INDEX(Backlog[Jira Link],MATCH($A185,Backlog[Requirement ID],0))),"",INDEX(Backlog[Jira Link],MATCH($A185,Backlog[Requirement ID],0))),"")</f>
        <v/>
      </c>
      <c r="E185" s="1" t="str">
        <f aca="false">IFERROR(IF(ISBLANK(INDEX(Backlog[Status],MATCH($A185,Backlog[Requirement ID],0))),"",INDEX(Backlog[Status],MATCH($A185,Backlog[Requirement ID],0))),"")</f>
        <v/>
      </c>
      <c r="F185" s="1" t="str">
        <f aca="false">IFERROR(IF(ISBLANK(INDEX(SprintPlanning[Sprint],MATCH($A185,SprintPlanning[Requirement ID],0))),"",INDEX(SprintPlanning[Sprint],MATCH($A185,SprintPlanning[Requirement ID],0))),"")</f>
        <v/>
      </c>
      <c r="H185" s="58"/>
      <c r="J185" s="1" t="str">
        <f aca="false">IFERROR(IF(ISBLANK(INDEX(Backlog[Priority],MATCH($A185,Backlog[Requirement ID],0))),"",INDEX(Backlog[Priority],MATCH($A185,Backlog[Requirement ID],0))),"")</f>
        <v/>
      </c>
      <c r="L185" s="1" t="str">
        <f aca="false">IFERROR(IF(ISBLANK(INDEX(Backlog[HLE],MATCH($A185,Backlog[Requirement ID],0))),"",IF(INDEX(Backlog[HLE],MATCH($A185,Backlog[Requirement ID],0))&lt;=5,0.5,IF(INDEX(Backlog[HLE],MATCH($A185,Backlog[Requirement ID],0))&lt;=8,1,IF(INDEX(Backlog[HLE],MATCH($A185,Backlog[Requirement ID],0))&lt;=13,2,IF(INDEX(Backlog[HLE],MATCH($A185,Backlog[Requirement ID],0))&lt;=20,3,5))))),"")</f>
        <v/>
      </c>
    </row>
    <row r="186" customFormat="false" ht="15" hidden="false" customHeight="true" outlineLevel="0" collapsed="false">
      <c r="A186" s="1" t="str">
        <f aca="false">Backlog!A186</f>
        <v/>
      </c>
      <c r="B186" s="57" t="str">
        <f aca="false">IFERROR(IF(ISBLANK(INDEX(Backlog[Requirement Name],MATCH($A186,Backlog[Requirement ID],0))),"",INDEX(Backlog[Requirement Name],MATCH($A186,Backlog[Requirement ID],0))),"")</f>
        <v/>
      </c>
      <c r="C186" s="1" t="str">
        <f aca="false">IFERROR(IF(ISBLANK(INDEX(Backlog[Stream],MATCH($A186,Backlog[Requirement ID],0))),"",INDEX(Backlog[Stream],MATCH($A186,Backlog[Requirement ID],0))),"")</f>
        <v/>
      </c>
      <c r="D186" s="1" t="str">
        <f aca="false">IFERROR(IF(ISBLANK(INDEX(Backlog[Jira Link],MATCH($A186,Backlog[Requirement ID],0))),"",INDEX(Backlog[Jira Link],MATCH($A186,Backlog[Requirement ID],0))),"")</f>
        <v/>
      </c>
      <c r="E186" s="1" t="str">
        <f aca="false">IFERROR(IF(ISBLANK(INDEX(Backlog[Status],MATCH($A186,Backlog[Requirement ID],0))),"",INDEX(Backlog[Status],MATCH($A186,Backlog[Requirement ID],0))),"")</f>
        <v/>
      </c>
      <c r="F186" s="1" t="str">
        <f aca="false">IFERROR(IF(ISBLANK(INDEX(SprintPlanning[Sprint],MATCH($A186,SprintPlanning[Requirement ID],0))),"",INDEX(SprintPlanning[Sprint],MATCH($A186,SprintPlanning[Requirement ID],0))),"")</f>
        <v/>
      </c>
      <c r="H186" s="58"/>
      <c r="J186" s="1" t="str">
        <f aca="false">IFERROR(IF(ISBLANK(INDEX(Backlog[Priority],MATCH($A186,Backlog[Requirement ID],0))),"",INDEX(Backlog[Priority],MATCH($A186,Backlog[Requirement ID],0))),"")</f>
        <v/>
      </c>
      <c r="L186" s="1" t="str">
        <f aca="false">IFERROR(IF(ISBLANK(INDEX(Backlog[HLE],MATCH($A186,Backlog[Requirement ID],0))),"",IF(INDEX(Backlog[HLE],MATCH($A186,Backlog[Requirement ID],0))&lt;=5,0.5,IF(INDEX(Backlog[HLE],MATCH($A186,Backlog[Requirement ID],0))&lt;=8,1,IF(INDEX(Backlog[HLE],MATCH($A186,Backlog[Requirement ID],0))&lt;=13,2,IF(INDEX(Backlog[HLE],MATCH($A186,Backlog[Requirement ID],0))&lt;=20,3,5))))),"")</f>
        <v/>
      </c>
    </row>
    <row r="187" customFormat="false" ht="15" hidden="false" customHeight="true" outlineLevel="0" collapsed="false">
      <c r="A187" s="1" t="str">
        <f aca="false">Backlog!A187</f>
        <v/>
      </c>
      <c r="B187" s="57" t="str">
        <f aca="false">IFERROR(IF(ISBLANK(INDEX(Backlog[Requirement Name],MATCH($A187,Backlog[Requirement ID],0))),"",INDEX(Backlog[Requirement Name],MATCH($A187,Backlog[Requirement ID],0))),"")</f>
        <v/>
      </c>
      <c r="C187" s="1" t="str">
        <f aca="false">IFERROR(IF(ISBLANK(INDEX(Backlog[Stream],MATCH($A187,Backlog[Requirement ID],0))),"",INDEX(Backlog[Stream],MATCH($A187,Backlog[Requirement ID],0))),"")</f>
        <v/>
      </c>
      <c r="D187" s="1" t="str">
        <f aca="false">IFERROR(IF(ISBLANK(INDEX(Backlog[Jira Link],MATCH($A187,Backlog[Requirement ID],0))),"",INDEX(Backlog[Jira Link],MATCH($A187,Backlog[Requirement ID],0))),"")</f>
        <v/>
      </c>
      <c r="E187" s="1" t="str">
        <f aca="false">IFERROR(IF(ISBLANK(INDEX(Backlog[Status],MATCH($A187,Backlog[Requirement ID],0))),"",INDEX(Backlog[Status],MATCH($A187,Backlog[Requirement ID],0))),"")</f>
        <v/>
      </c>
      <c r="F187" s="1" t="str">
        <f aca="false">IFERROR(IF(ISBLANK(INDEX(SprintPlanning[Sprint],MATCH($A187,SprintPlanning[Requirement ID],0))),"",INDEX(SprintPlanning[Sprint],MATCH($A187,SprintPlanning[Requirement ID],0))),"")</f>
        <v/>
      </c>
      <c r="H187" s="58"/>
      <c r="J187" s="1" t="str">
        <f aca="false">IFERROR(IF(ISBLANK(INDEX(Backlog[Priority],MATCH($A187,Backlog[Requirement ID],0))),"",INDEX(Backlog[Priority],MATCH($A187,Backlog[Requirement ID],0))),"")</f>
        <v/>
      </c>
      <c r="L187" s="1" t="str">
        <f aca="false">IFERROR(IF(ISBLANK(INDEX(Backlog[HLE],MATCH($A187,Backlog[Requirement ID],0))),"",IF(INDEX(Backlog[HLE],MATCH($A187,Backlog[Requirement ID],0))&lt;=5,0.5,IF(INDEX(Backlog[HLE],MATCH($A187,Backlog[Requirement ID],0))&lt;=8,1,IF(INDEX(Backlog[HLE],MATCH($A187,Backlog[Requirement ID],0))&lt;=13,2,IF(INDEX(Backlog[HLE],MATCH($A187,Backlog[Requirement ID],0))&lt;=20,3,5))))),"")</f>
        <v/>
      </c>
    </row>
    <row r="188" customFormat="false" ht="15" hidden="false" customHeight="true" outlineLevel="0" collapsed="false">
      <c r="A188" s="1" t="str">
        <f aca="false">Backlog!A188</f>
        <v/>
      </c>
      <c r="B188" s="57" t="str">
        <f aca="false">IFERROR(IF(ISBLANK(INDEX(Backlog[Requirement Name],MATCH($A188,Backlog[Requirement ID],0))),"",INDEX(Backlog[Requirement Name],MATCH($A188,Backlog[Requirement ID],0))),"")</f>
        <v/>
      </c>
      <c r="C188" s="1" t="str">
        <f aca="false">IFERROR(IF(ISBLANK(INDEX(Backlog[Stream],MATCH($A188,Backlog[Requirement ID],0))),"",INDEX(Backlog[Stream],MATCH($A188,Backlog[Requirement ID],0))),"")</f>
        <v/>
      </c>
      <c r="D188" s="1" t="str">
        <f aca="false">IFERROR(IF(ISBLANK(INDEX(Backlog[Jira Link],MATCH($A188,Backlog[Requirement ID],0))),"",INDEX(Backlog[Jira Link],MATCH($A188,Backlog[Requirement ID],0))),"")</f>
        <v/>
      </c>
      <c r="E188" s="1" t="str">
        <f aca="false">IFERROR(IF(ISBLANK(INDEX(Backlog[Status],MATCH($A188,Backlog[Requirement ID],0))),"",INDEX(Backlog[Status],MATCH($A188,Backlog[Requirement ID],0))),"")</f>
        <v/>
      </c>
      <c r="F188" s="1" t="str">
        <f aca="false">IFERROR(IF(ISBLANK(INDEX(SprintPlanning[Sprint],MATCH($A188,SprintPlanning[Requirement ID],0))),"",INDEX(SprintPlanning[Sprint],MATCH($A188,SprintPlanning[Requirement ID],0))),"")</f>
        <v/>
      </c>
      <c r="H188" s="58"/>
      <c r="J188" s="1" t="str">
        <f aca="false">IFERROR(IF(ISBLANK(INDEX(Backlog[Priority],MATCH($A188,Backlog[Requirement ID],0))),"",INDEX(Backlog[Priority],MATCH($A188,Backlog[Requirement ID],0))),"")</f>
        <v/>
      </c>
      <c r="L188" s="1" t="str">
        <f aca="false">IFERROR(IF(ISBLANK(INDEX(Backlog[HLE],MATCH($A188,Backlog[Requirement ID],0))),"",IF(INDEX(Backlog[HLE],MATCH($A188,Backlog[Requirement ID],0))&lt;=5,0.5,IF(INDEX(Backlog[HLE],MATCH($A188,Backlog[Requirement ID],0))&lt;=8,1,IF(INDEX(Backlog[HLE],MATCH($A188,Backlog[Requirement ID],0))&lt;=13,2,IF(INDEX(Backlog[HLE],MATCH($A188,Backlog[Requirement ID],0))&lt;=20,3,5))))),"")</f>
        <v/>
      </c>
    </row>
    <row r="189" customFormat="false" ht="15" hidden="false" customHeight="true" outlineLevel="0" collapsed="false">
      <c r="A189" s="1" t="str">
        <f aca="false">Backlog!A189</f>
        <v/>
      </c>
      <c r="B189" s="57" t="str">
        <f aca="false">IFERROR(IF(ISBLANK(INDEX(Backlog[Requirement Name],MATCH($A189,Backlog[Requirement ID],0))),"",INDEX(Backlog[Requirement Name],MATCH($A189,Backlog[Requirement ID],0))),"")</f>
        <v/>
      </c>
      <c r="C189" s="1" t="str">
        <f aca="false">IFERROR(IF(ISBLANK(INDEX(Backlog[Stream],MATCH($A189,Backlog[Requirement ID],0))),"",INDEX(Backlog[Stream],MATCH($A189,Backlog[Requirement ID],0))),"")</f>
        <v/>
      </c>
      <c r="D189" s="1" t="str">
        <f aca="false">IFERROR(IF(ISBLANK(INDEX(Backlog[Jira Link],MATCH($A189,Backlog[Requirement ID],0))),"",INDEX(Backlog[Jira Link],MATCH($A189,Backlog[Requirement ID],0))),"")</f>
        <v/>
      </c>
      <c r="E189" s="1" t="str">
        <f aca="false">IFERROR(IF(ISBLANK(INDEX(Backlog[Status],MATCH($A189,Backlog[Requirement ID],0))),"",INDEX(Backlog[Status],MATCH($A189,Backlog[Requirement ID],0))),"")</f>
        <v/>
      </c>
      <c r="F189" s="1" t="str">
        <f aca="false">IFERROR(IF(ISBLANK(INDEX(SprintPlanning[Sprint],MATCH($A189,SprintPlanning[Requirement ID],0))),"",INDEX(SprintPlanning[Sprint],MATCH($A189,SprintPlanning[Requirement ID],0))),"")</f>
        <v/>
      </c>
      <c r="H189" s="58"/>
      <c r="J189" s="1" t="str">
        <f aca="false">IFERROR(IF(ISBLANK(INDEX(Backlog[Priority],MATCH($A189,Backlog[Requirement ID],0))),"",INDEX(Backlog[Priority],MATCH($A189,Backlog[Requirement ID],0))),"")</f>
        <v/>
      </c>
      <c r="L189" s="1" t="str">
        <f aca="false">IFERROR(IF(ISBLANK(INDEX(Backlog[HLE],MATCH($A189,Backlog[Requirement ID],0))),"",IF(INDEX(Backlog[HLE],MATCH($A189,Backlog[Requirement ID],0))&lt;=5,0.5,IF(INDEX(Backlog[HLE],MATCH($A189,Backlog[Requirement ID],0))&lt;=8,1,IF(INDEX(Backlog[HLE],MATCH($A189,Backlog[Requirement ID],0))&lt;=13,2,IF(INDEX(Backlog[HLE],MATCH($A189,Backlog[Requirement ID],0))&lt;=20,3,5))))),"")</f>
        <v/>
      </c>
    </row>
    <row r="190" customFormat="false" ht="15" hidden="false" customHeight="true" outlineLevel="0" collapsed="false">
      <c r="A190" s="1" t="str">
        <f aca="false">Backlog!A190</f>
        <v/>
      </c>
      <c r="B190" s="57" t="str">
        <f aca="false">IFERROR(IF(ISBLANK(INDEX(Backlog[Requirement Name],MATCH($A190,Backlog[Requirement ID],0))),"",INDEX(Backlog[Requirement Name],MATCH($A190,Backlog[Requirement ID],0))),"")</f>
        <v/>
      </c>
      <c r="C190" s="1" t="str">
        <f aca="false">IFERROR(IF(ISBLANK(INDEX(Backlog[Stream],MATCH($A190,Backlog[Requirement ID],0))),"",INDEX(Backlog[Stream],MATCH($A190,Backlog[Requirement ID],0))),"")</f>
        <v/>
      </c>
      <c r="D190" s="1" t="str">
        <f aca="false">IFERROR(IF(ISBLANK(INDEX(Backlog[Jira Link],MATCH($A190,Backlog[Requirement ID],0))),"",INDEX(Backlog[Jira Link],MATCH($A190,Backlog[Requirement ID],0))),"")</f>
        <v/>
      </c>
      <c r="E190" s="1" t="str">
        <f aca="false">IFERROR(IF(ISBLANK(INDEX(Backlog[Status],MATCH($A190,Backlog[Requirement ID],0))),"",INDEX(Backlog[Status],MATCH($A190,Backlog[Requirement ID],0))),"")</f>
        <v/>
      </c>
      <c r="F190" s="1" t="str">
        <f aca="false">IFERROR(IF(ISBLANK(INDEX(SprintPlanning[Sprint],MATCH($A190,SprintPlanning[Requirement ID],0))),"",INDEX(SprintPlanning[Sprint],MATCH($A190,SprintPlanning[Requirement ID],0))),"")</f>
        <v/>
      </c>
      <c r="H190" s="58"/>
      <c r="J190" s="1" t="str">
        <f aca="false">IFERROR(IF(ISBLANK(INDEX(Backlog[Priority],MATCH($A190,Backlog[Requirement ID],0))),"",INDEX(Backlog[Priority],MATCH($A190,Backlog[Requirement ID],0))),"")</f>
        <v/>
      </c>
      <c r="L190" s="1" t="str">
        <f aca="false">IFERROR(IF(ISBLANK(INDEX(Backlog[HLE],MATCH($A190,Backlog[Requirement ID],0))),"",IF(INDEX(Backlog[HLE],MATCH($A190,Backlog[Requirement ID],0))&lt;=5,0.5,IF(INDEX(Backlog[HLE],MATCH($A190,Backlog[Requirement ID],0))&lt;=8,1,IF(INDEX(Backlog[HLE],MATCH($A190,Backlog[Requirement ID],0))&lt;=13,2,IF(INDEX(Backlog[HLE],MATCH($A190,Backlog[Requirement ID],0))&lt;=20,3,5))))),"")</f>
        <v/>
      </c>
    </row>
    <row r="191" customFormat="false" ht="15" hidden="false" customHeight="true" outlineLevel="0" collapsed="false">
      <c r="A191" s="1" t="str">
        <f aca="false">Backlog!A191</f>
        <v/>
      </c>
      <c r="B191" s="57" t="str">
        <f aca="false">IFERROR(IF(ISBLANK(INDEX(Backlog[Requirement Name],MATCH($A191,Backlog[Requirement ID],0))),"",INDEX(Backlog[Requirement Name],MATCH($A191,Backlog[Requirement ID],0))),"")</f>
        <v/>
      </c>
      <c r="C191" s="1" t="str">
        <f aca="false">IFERROR(IF(ISBLANK(INDEX(Backlog[Stream],MATCH($A191,Backlog[Requirement ID],0))),"",INDEX(Backlog[Stream],MATCH($A191,Backlog[Requirement ID],0))),"")</f>
        <v/>
      </c>
      <c r="D191" s="1" t="str">
        <f aca="false">IFERROR(IF(ISBLANK(INDEX(Backlog[Jira Link],MATCH($A191,Backlog[Requirement ID],0))),"",INDEX(Backlog[Jira Link],MATCH($A191,Backlog[Requirement ID],0))),"")</f>
        <v/>
      </c>
      <c r="E191" s="1" t="str">
        <f aca="false">IFERROR(IF(ISBLANK(INDEX(Backlog[Status],MATCH($A191,Backlog[Requirement ID],0))),"",INDEX(Backlog[Status],MATCH($A191,Backlog[Requirement ID],0))),"")</f>
        <v/>
      </c>
      <c r="F191" s="1" t="str">
        <f aca="false">IFERROR(IF(ISBLANK(INDEX(SprintPlanning[Sprint],MATCH($A191,SprintPlanning[Requirement ID],0))),"",INDEX(SprintPlanning[Sprint],MATCH($A191,SprintPlanning[Requirement ID],0))),"")</f>
        <v/>
      </c>
      <c r="H191" s="58"/>
      <c r="J191" s="1" t="str">
        <f aca="false">IFERROR(IF(ISBLANK(INDEX(Backlog[Priority],MATCH($A191,Backlog[Requirement ID],0))),"",INDEX(Backlog[Priority],MATCH($A191,Backlog[Requirement ID],0))),"")</f>
        <v/>
      </c>
      <c r="L191" s="1" t="str">
        <f aca="false">IFERROR(IF(ISBLANK(INDEX(Backlog[HLE],MATCH($A191,Backlog[Requirement ID],0))),"",IF(INDEX(Backlog[HLE],MATCH($A191,Backlog[Requirement ID],0))&lt;=5,0.5,IF(INDEX(Backlog[HLE],MATCH($A191,Backlog[Requirement ID],0))&lt;=8,1,IF(INDEX(Backlog[HLE],MATCH($A191,Backlog[Requirement ID],0))&lt;=13,2,IF(INDEX(Backlog[HLE],MATCH($A191,Backlog[Requirement ID],0))&lt;=20,3,5))))),"")</f>
        <v/>
      </c>
    </row>
    <row r="192" customFormat="false" ht="15" hidden="false" customHeight="true" outlineLevel="0" collapsed="false">
      <c r="A192" s="1" t="str">
        <f aca="false">Backlog!A192</f>
        <v/>
      </c>
      <c r="B192" s="57" t="str">
        <f aca="false">IFERROR(IF(ISBLANK(INDEX(Backlog[Requirement Name],MATCH($A192,Backlog[Requirement ID],0))),"",INDEX(Backlog[Requirement Name],MATCH($A192,Backlog[Requirement ID],0))),"")</f>
        <v/>
      </c>
      <c r="C192" s="1" t="str">
        <f aca="false">IFERROR(IF(ISBLANK(INDEX(Backlog[Stream],MATCH($A192,Backlog[Requirement ID],0))),"",INDEX(Backlog[Stream],MATCH($A192,Backlog[Requirement ID],0))),"")</f>
        <v/>
      </c>
      <c r="D192" s="1" t="str">
        <f aca="false">IFERROR(IF(ISBLANK(INDEX(Backlog[Jira Link],MATCH($A192,Backlog[Requirement ID],0))),"",INDEX(Backlog[Jira Link],MATCH($A192,Backlog[Requirement ID],0))),"")</f>
        <v/>
      </c>
      <c r="E192" s="1" t="str">
        <f aca="false">IFERROR(IF(ISBLANK(INDEX(Backlog[Status],MATCH($A192,Backlog[Requirement ID],0))),"",INDEX(Backlog[Status],MATCH($A192,Backlog[Requirement ID],0))),"")</f>
        <v/>
      </c>
      <c r="F192" s="1" t="str">
        <f aca="false">IFERROR(IF(ISBLANK(INDEX(SprintPlanning[Sprint],MATCH($A192,SprintPlanning[Requirement ID],0))),"",INDEX(SprintPlanning[Sprint],MATCH($A192,SprintPlanning[Requirement ID],0))),"")</f>
        <v/>
      </c>
      <c r="H192" s="58"/>
      <c r="J192" s="1" t="str">
        <f aca="false">IFERROR(IF(ISBLANK(INDEX(Backlog[Priority],MATCH($A192,Backlog[Requirement ID],0))),"",INDEX(Backlog[Priority],MATCH($A192,Backlog[Requirement ID],0))),"")</f>
        <v/>
      </c>
      <c r="L192" s="1" t="str">
        <f aca="false">IFERROR(IF(ISBLANK(INDEX(Backlog[HLE],MATCH($A192,Backlog[Requirement ID],0))),"",IF(INDEX(Backlog[HLE],MATCH($A192,Backlog[Requirement ID],0))&lt;=5,0.5,IF(INDEX(Backlog[HLE],MATCH($A192,Backlog[Requirement ID],0))&lt;=8,1,IF(INDEX(Backlog[HLE],MATCH($A192,Backlog[Requirement ID],0))&lt;=13,2,IF(INDEX(Backlog[HLE],MATCH($A192,Backlog[Requirement ID],0))&lt;=20,3,5))))),"")</f>
        <v/>
      </c>
    </row>
    <row r="193" customFormat="false" ht="15" hidden="false" customHeight="true" outlineLevel="0" collapsed="false">
      <c r="A193" s="1" t="str">
        <f aca="false">Backlog!A193</f>
        <v/>
      </c>
      <c r="B193" s="57" t="str">
        <f aca="false">IFERROR(IF(ISBLANK(INDEX(Backlog[Requirement Name],MATCH($A193,Backlog[Requirement ID],0))),"",INDEX(Backlog[Requirement Name],MATCH($A193,Backlog[Requirement ID],0))),"")</f>
        <v/>
      </c>
      <c r="C193" s="1" t="str">
        <f aca="false">IFERROR(IF(ISBLANK(INDEX(Backlog[Stream],MATCH($A193,Backlog[Requirement ID],0))),"",INDEX(Backlog[Stream],MATCH($A193,Backlog[Requirement ID],0))),"")</f>
        <v/>
      </c>
      <c r="D193" s="1" t="str">
        <f aca="false">IFERROR(IF(ISBLANK(INDEX(Backlog[Jira Link],MATCH($A193,Backlog[Requirement ID],0))),"",INDEX(Backlog[Jira Link],MATCH($A193,Backlog[Requirement ID],0))),"")</f>
        <v/>
      </c>
      <c r="E193" s="1" t="str">
        <f aca="false">IFERROR(IF(ISBLANK(INDEX(Backlog[Status],MATCH($A193,Backlog[Requirement ID],0))),"",INDEX(Backlog[Status],MATCH($A193,Backlog[Requirement ID],0))),"")</f>
        <v/>
      </c>
      <c r="F193" s="1" t="str">
        <f aca="false">IFERROR(IF(ISBLANK(INDEX(SprintPlanning[Sprint],MATCH($A193,SprintPlanning[Requirement ID],0))),"",INDEX(SprintPlanning[Sprint],MATCH($A193,SprintPlanning[Requirement ID],0))),"")</f>
        <v/>
      </c>
      <c r="H193" s="58"/>
      <c r="J193" s="1" t="str">
        <f aca="false">IFERROR(IF(ISBLANK(INDEX(Backlog[Priority],MATCH($A193,Backlog[Requirement ID],0))),"",INDEX(Backlog[Priority],MATCH($A193,Backlog[Requirement ID],0))),"")</f>
        <v/>
      </c>
      <c r="L193" s="1" t="str">
        <f aca="false">IFERROR(IF(ISBLANK(INDEX(Backlog[HLE],MATCH($A193,Backlog[Requirement ID],0))),"",IF(INDEX(Backlog[HLE],MATCH($A193,Backlog[Requirement ID],0))&lt;=5,0.5,IF(INDEX(Backlog[HLE],MATCH($A193,Backlog[Requirement ID],0))&lt;=8,1,IF(INDEX(Backlog[HLE],MATCH($A193,Backlog[Requirement ID],0))&lt;=13,2,IF(INDEX(Backlog[HLE],MATCH($A193,Backlog[Requirement ID],0))&lt;=20,3,5))))),"")</f>
        <v/>
      </c>
    </row>
    <row r="194" customFormat="false" ht="15" hidden="false" customHeight="true" outlineLevel="0" collapsed="false">
      <c r="A194" s="1" t="str">
        <f aca="false">Backlog!A194</f>
        <v/>
      </c>
      <c r="B194" s="57" t="str">
        <f aca="false">IFERROR(IF(ISBLANK(INDEX(Backlog[Requirement Name],MATCH($A194,Backlog[Requirement ID],0))),"",INDEX(Backlog[Requirement Name],MATCH($A194,Backlog[Requirement ID],0))),"")</f>
        <v/>
      </c>
      <c r="C194" s="1" t="str">
        <f aca="false">IFERROR(IF(ISBLANK(INDEX(Backlog[Stream],MATCH($A194,Backlog[Requirement ID],0))),"",INDEX(Backlog[Stream],MATCH($A194,Backlog[Requirement ID],0))),"")</f>
        <v/>
      </c>
      <c r="D194" s="1" t="str">
        <f aca="false">IFERROR(IF(ISBLANK(INDEX(Backlog[Jira Link],MATCH($A194,Backlog[Requirement ID],0))),"",INDEX(Backlog[Jira Link],MATCH($A194,Backlog[Requirement ID],0))),"")</f>
        <v/>
      </c>
      <c r="E194" s="1" t="str">
        <f aca="false">IFERROR(IF(ISBLANK(INDEX(Backlog[Status],MATCH($A194,Backlog[Requirement ID],0))),"",INDEX(Backlog[Status],MATCH($A194,Backlog[Requirement ID],0))),"")</f>
        <v/>
      </c>
      <c r="F194" s="1" t="str">
        <f aca="false">IFERROR(IF(ISBLANK(INDEX(SprintPlanning[Sprint],MATCH($A194,SprintPlanning[Requirement ID],0))),"",INDEX(SprintPlanning[Sprint],MATCH($A194,SprintPlanning[Requirement ID],0))),"")</f>
        <v/>
      </c>
      <c r="H194" s="58"/>
      <c r="J194" s="1" t="str">
        <f aca="false">IFERROR(IF(ISBLANK(INDEX(Backlog[Priority],MATCH($A194,Backlog[Requirement ID],0))),"",INDEX(Backlog[Priority],MATCH($A194,Backlog[Requirement ID],0))),"")</f>
        <v/>
      </c>
      <c r="L194" s="1" t="str">
        <f aca="false">IFERROR(IF(ISBLANK(INDEX(Backlog[HLE],MATCH($A194,Backlog[Requirement ID],0))),"",IF(INDEX(Backlog[HLE],MATCH($A194,Backlog[Requirement ID],0))&lt;=5,0.5,IF(INDEX(Backlog[HLE],MATCH($A194,Backlog[Requirement ID],0))&lt;=8,1,IF(INDEX(Backlog[HLE],MATCH($A194,Backlog[Requirement ID],0))&lt;=13,2,IF(INDEX(Backlog[HLE],MATCH($A194,Backlog[Requirement ID],0))&lt;=20,3,5))))),"")</f>
        <v/>
      </c>
    </row>
    <row r="195" customFormat="false" ht="15" hidden="false" customHeight="true" outlineLevel="0" collapsed="false">
      <c r="A195" s="1" t="str">
        <f aca="false">Backlog!A195</f>
        <v/>
      </c>
      <c r="B195" s="57" t="str">
        <f aca="false">IFERROR(IF(ISBLANK(INDEX(Backlog[Requirement Name],MATCH($A195,Backlog[Requirement ID],0))),"",INDEX(Backlog[Requirement Name],MATCH($A195,Backlog[Requirement ID],0))),"")</f>
        <v/>
      </c>
      <c r="C195" s="1" t="str">
        <f aca="false">IFERROR(IF(ISBLANK(INDEX(Backlog[Stream],MATCH($A195,Backlog[Requirement ID],0))),"",INDEX(Backlog[Stream],MATCH($A195,Backlog[Requirement ID],0))),"")</f>
        <v/>
      </c>
      <c r="D195" s="1" t="str">
        <f aca="false">IFERROR(IF(ISBLANK(INDEX(Backlog[Jira Link],MATCH($A195,Backlog[Requirement ID],0))),"",INDEX(Backlog[Jira Link],MATCH($A195,Backlog[Requirement ID],0))),"")</f>
        <v/>
      </c>
      <c r="E195" s="1" t="str">
        <f aca="false">IFERROR(IF(ISBLANK(INDEX(Backlog[Status],MATCH($A195,Backlog[Requirement ID],0))),"",INDEX(Backlog[Status],MATCH($A195,Backlog[Requirement ID],0))),"")</f>
        <v/>
      </c>
      <c r="F195" s="1" t="str">
        <f aca="false">IFERROR(IF(ISBLANK(INDEX(SprintPlanning[Sprint],MATCH($A195,SprintPlanning[Requirement ID],0))),"",INDEX(SprintPlanning[Sprint],MATCH($A195,SprintPlanning[Requirement ID],0))),"")</f>
        <v/>
      </c>
      <c r="H195" s="58"/>
      <c r="J195" s="1" t="str">
        <f aca="false">IFERROR(IF(ISBLANK(INDEX(Backlog[Priority],MATCH($A195,Backlog[Requirement ID],0))),"",INDEX(Backlog[Priority],MATCH($A195,Backlog[Requirement ID],0))),"")</f>
        <v/>
      </c>
      <c r="L195" s="1" t="str">
        <f aca="false">IFERROR(IF(ISBLANK(INDEX(Backlog[HLE],MATCH($A195,Backlog[Requirement ID],0))),"",IF(INDEX(Backlog[HLE],MATCH($A195,Backlog[Requirement ID],0))&lt;=5,0.5,IF(INDEX(Backlog[HLE],MATCH($A195,Backlog[Requirement ID],0))&lt;=8,1,IF(INDEX(Backlog[HLE],MATCH($A195,Backlog[Requirement ID],0))&lt;=13,2,IF(INDEX(Backlog[HLE],MATCH($A195,Backlog[Requirement ID],0))&lt;=20,3,5))))),"")</f>
        <v/>
      </c>
    </row>
    <row r="196" customFormat="false" ht="15" hidden="false" customHeight="true" outlineLevel="0" collapsed="false">
      <c r="A196" s="1" t="str">
        <f aca="false">Backlog!A196</f>
        <v/>
      </c>
      <c r="B196" s="57" t="str">
        <f aca="false">IFERROR(IF(ISBLANK(INDEX(Backlog[Requirement Name],MATCH($A196,Backlog[Requirement ID],0))),"",INDEX(Backlog[Requirement Name],MATCH($A196,Backlog[Requirement ID],0))),"")</f>
        <v/>
      </c>
      <c r="C196" s="1" t="str">
        <f aca="false">IFERROR(IF(ISBLANK(INDEX(Backlog[Stream],MATCH($A196,Backlog[Requirement ID],0))),"",INDEX(Backlog[Stream],MATCH($A196,Backlog[Requirement ID],0))),"")</f>
        <v/>
      </c>
      <c r="D196" s="1" t="str">
        <f aca="false">IFERROR(IF(ISBLANK(INDEX(Backlog[Jira Link],MATCH($A196,Backlog[Requirement ID],0))),"",INDEX(Backlog[Jira Link],MATCH($A196,Backlog[Requirement ID],0))),"")</f>
        <v/>
      </c>
      <c r="E196" s="1" t="str">
        <f aca="false">IFERROR(IF(ISBLANK(INDEX(Backlog[Status],MATCH($A196,Backlog[Requirement ID],0))),"",INDEX(Backlog[Status],MATCH($A196,Backlog[Requirement ID],0))),"")</f>
        <v/>
      </c>
      <c r="F196" s="1" t="str">
        <f aca="false">IFERROR(IF(ISBLANK(INDEX(SprintPlanning[Sprint],MATCH($A196,SprintPlanning[Requirement ID],0))),"",INDEX(SprintPlanning[Sprint],MATCH($A196,SprintPlanning[Requirement ID],0))),"")</f>
        <v/>
      </c>
      <c r="H196" s="58"/>
      <c r="J196" s="1" t="str">
        <f aca="false">IFERROR(IF(ISBLANK(INDEX(Backlog[Priority],MATCH($A196,Backlog[Requirement ID],0))),"",INDEX(Backlog[Priority],MATCH($A196,Backlog[Requirement ID],0))),"")</f>
        <v/>
      </c>
      <c r="L196" s="1" t="str">
        <f aca="false">IFERROR(IF(ISBLANK(INDEX(Backlog[HLE],MATCH($A196,Backlog[Requirement ID],0))),"",IF(INDEX(Backlog[HLE],MATCH($A196,Backlog[Requirement ID],0))&lt;=5,0.5,IF(INDEX(Backlog[HLE],MATCH($A196,Backlog[Requirement ID],0))&lt;=8,1,IF(INDEX(Backlog[HLE],MATCH($A196,Backlog[Requirement ID],0))&lt;=13,2,IF(INDEX(Backlog[HLE],MATCH($A196,Backlog[Requirement ID],0))&lt;=20,3,5))))),"")</f>
        <v/>
      </c>
    </row>
    <row r="197" customFormat="false" ht="15" hidden="false" customHeight="true" outlineLevel="0" collapsed="false">
      <c r="A197" s="1" t="str">
        <f aca="false">Backlog!A197</f>
        <v/>
      </c>
      <c r="B197" s="57" t="str">
        <f aca="false">IFERROR(IF(ISBLANK(INDEX(Backlog[Requirement Name],MATCH($A197,Backlog[Requirement ID],0))),"",INDEX(Backlog[Requirement Name],MATCH($A197,Backlog[Requirement ID],0))),"")</f>
        <v/>
      </c>
      <c r="C197" s="1" t="str">
        <f aca="false">IFERROR(IF(ISBLANK(INDEX(Backlog[Stream],MATCH($A197,Backlog[Requirement ID],0))),"",INDEX(Backlog[Stream],MATCH($A197,Backlog[Requirement ID],0))),"")</f>
        <v/>
      </c>
      <c r="D197" s="1" t="str">
        <f aca="false">IFERROR(IF(ISBLANK(INDEX(Backlog[Jira Link],MATCH($A197,Backlog[Requirement ID],0))),"",INDEX(Backlog[Jira Link],MATCH($A197,Backlog[Requirement ID],0))),"")</f>
        <v/>
      </c>
      <c r="E197" s="1" t="str">
        <f aca="false">IFERROR(IF(ISBLANK(INDEX(Backlog[Status],MATCH($A197,Backlog[Requirement ID],0))),"",INDEX(Backlog[Status],MATCH($A197,Backlog[Requirement ID],0))),"")</f>
        <v/>
      </c>
      <c r="F197" s="1" t="str">
        <f aca="false">IFERROR(IF(ISBLANK(INDEX(SprintPlanning[Sprint],MATCH($A197,SprintPlanning[Requirement ID],0))),"",INDEX(SprintPlanning[Sprint],MATCH($A197,SprintPlanning[Requirement ID],0))),"")</f>
        <v/>
      </c>
      <c r="H197" s="58"/>
      <c r="J197" s="1" t="str">
        <f aca="false">IFERROR(IF(ISBLANK(INDEX(Backlog[Priority],MATCH($A197,Backlog[Requirement ID],0))),"",INDEX(Backlog[Priority],MATCH($A197,Backlog[Requirement ID],0))),"")</f>
        <v/>
      </c>
      <c r="L197" s="1" t="str">
        <f aca="false">IFERROR(IF(ISBLANK(INDEX(Backlog[HLE],MATCH($A197,Backlog[Requirement ID],0))),"",IF(INDEX(Backlog[HLE],MATCH($A197,Backlog[Requirement ID],0))&lt;=5,0.5,IF(INDEX(Backlog[HLE],MATCH($A197,Backlog[Requirement ID],0))&lt;=8,1,IF(INDEX(Backlog[HLE],MATCH($A197,Backlog[Requirement ID],0))&lt;=13,2,IF(INDEX(Backlog[HLE],MATCH($A197,Backlog[Requirement ID],0))&lt;=20,3,5))))),"")</f>
        <v/>
      </c>
    </row>
    <row r="198" customFormat="false" ht="15" hidden="false" customHeight="true" outlineLevel="0" collapsed="false">
      <c r="A198" s="1" t="str">
        <f aca="false">Backlog!A198</f>
        <v/>
      </c>
      <c r="B198" s="57" t="str">
        <f aca="false">IFERROR(IF(ISBLANK(INDEX(Backlog[Requirement Name],MATCH($A198,Backlog[Requirement ID],0))),"",INDEX(Backlog[Requirement Name],MATCH($A198,Backlog[Requirement ID],0))),"")</f>
        <v/>
      </c>
      <c r="C198" s="1" t="str">
        <f aca="false">IFERROR(IF(ISBLANK(INDEX(Backlog[Stream],MATCH($A198,Backlog[Requirement ID],0))),"",INDEX(Backlog[Stream],MATCH($A198,Backlog[Requirement ID],0))),"")</f>
        <v/>
      </c>
      <c r="D198" s="1" t="str">
        <f aca="false">IFERROR(IF(ISBLANK(INDEX(Backlog[Jira Link],MATCH($A198,Backlog[Requirement ID],0))),"",INDEX(Backlog[Jira Link],MATCH($A198,Backlog[Requirement ID],0))),"")</f>
        <v/>
      </c>
      <c r="E198" s="1" t="str">
        <f aca="false">IFERROR(IF(ISBLANK(INDEX(Backlog[Status],MATCH($A198,Backlog[Requirement ID],0))),"",INDEX(Backlog[Status],MATCH($A198,Backlog[Requirement ID],0))),"")</f>
        <v/>
      </c>
      <c r="F198" s="1" t="str">
        <f aca="false">IFERROR(IF(ISBLANK(INDEX(SprintPlanning[Sprint],MATCH($A198,SprintPlanning[Requirement ID],0))),"",INDEX(SprintPlanning[Sprint],MATCH($A198,SprintPlanning[Requirement ID],0))),"")</f>
        <v/>
      </c>
      <c r="H198" s="58"/>
      <c r="J198" s="1" t="str">
        <f aca="false">IFERROR(IF(ISBLANK(INDEX(Backlog[Priority],MATCH($A198,Backlog[Requirement ID],0))),"",INDEX(Backlog[Priority],MATCH($A198,Backlog[Requirement ID],0))),"")</f>
        <v/>
      </c>
      <c r="L198" s="1" t="str">
        <f aca="false">IFERROR(IF(ISBLANK(INDEX(Backlog[HLE],MATCH($A198,Backlog[Requirement ID],0))),"",IF(INDEX(Backlog[HLE],MATCH($A198,Backlog[Requirement ID],0))&lt;=5,0.5,IF(INDEX(Backlog[HLE],MATCH($A198,Backlog[Requirement ID],0))&lt;=8,1,IF(INDEX(Backlog[HLE],MATCH($A198,Backlog[Requirement ID],0))&lt;=13,2,IF(INDEX(Backlog[HLE],MATCH($A198,Backlog[Requirement ID],0))&lt;=20,3,5))))),"")</f>
        <v/>
      </c>
    </row>
    <row r="199" customFormat="false" ht="15" hidden="false" customHeight="true" outlineLevel="0" collapsed="false">
      <c r="A199" s="1" t="str">
        <f aca="false">Backlog!A199</f>
        <v/>
      </c>
      <c r="B199" s="57" t="str">
        <f aca="false">IFERROR(IF(ISBLANK(INDEX(Backlog[Requirement Name],MATCH($A199,Backlog[Requirement ID],0))),"",INDEX(Backlog[Requirement Name],MATCH($A199,Backlog[Requirement ID],0))),"")</f>
        <v/>
      </c>
      <c r="C199" s="1" t="str">
        <f aca="false">IFERROR(IF(ISBLANK(INDEX(Backlog[Stream],MATCH($A199,Backlog[Requirement ID],0))),"",INDEX(Backlog[Stream],MATCH($A199,Backlog[Requirement ID],0))),"")</f>
        <v/>
      </c>
      <c r="D199" s="1" t="str">
        <f aca="false">IFERROR(IF(ISBLANK(INDEX(Backlog[Jira Link],MATCH($A199,Backlog[Requirement ID],0))),"",INDEX(Backlog[Jira Link],MATCH($A199,Backlog[Requirement ID],0))),"")</f>
        <v/>
      </c>
      <c r="E199" s="1" t="str">
        <f aca="false">IFERROR(IF(ISBLANK(INDEX(Backlog[Status],MATCH($A199,Backlog[Requirement ID],0))),"",INDEX(Backlog[Status],MATCH($A199,Backlog[Requirement ID],0))),"")</f>
        <v/>
      </c>
      <c r="F199" s="1" t="str">
        <f aca="false">IFERROR(IF(ISBLANK(INDEX(SprintPlanning[Sprint],MATCH($A199,SprintPlanning[Requirement ID],0))),"",INDEX(SprintPlanning[Sprint],MATCH($A199,SprintPlanning[Requirement ID],0))),"")</f>
        <v/>
      </c>
      <c r="H199" s="58"/>
      <c r="J199" s="1" t="str">
        <f aca="false">IFERROR(IF(ISBLANK(INDEX(Backlog[Priority],MATCH($A199,Backlog[Requirement ID],0))),"",INDEX(Backlog[Priority],MATCH($A199,Backlog[Requirement ID],0))),"")</f>
        <v/>
      </c>
      <c r="L199" s="1" t="str">
        <f aca="false">IFERROR(IF(ISBLANK(INDEX(Backlog[HLE],MATCH($A199,Backlog[Requirement ID],0))),"",IF(INDEX(Backlog[HLE],MATCH($A199,Backlog[Requirement ID],0))&lt;=5,0.5,IF(INDEX(Backlog[HLE],MATCH($A199,Backlog[Requirement ID],0))&lt;=8,1,IF(INDEX(Backlog[HLE],MATCH($A199,Backlog[Requirement ID],0))&lt;=13,2,IF(INDEX(Backlog[HLE],MATCH($A199,Backlog[Requirement ID],0))&lt;=20,3,5))))),"")</f>
        <v/>
      </c>
    </row>
    <row r="200" customFormat="false" ht="15" hidden="false" customHeight="true" outlineLevel="0" collapsed="false">
      <c r="A200" s="1" t="str">
        <f aca="false">Backlog!A200</f>
        <v/>
      </c>
      <c r="B200" s="57" t="str">
        <f aca="false">IFERROR(IF(ISBLANK(INDEX(Backlog[Requirement Name],MATCH($A200,Backlog[Requirement ID],0))),"",INDEX(Backlog[Requirement Name],MATCH($A200,Backlog[Requirement ID],0))),"")</f>
        <v/>
      </c>
      <c r="C200" s="1" t="str">
        <f aca="false">IFERROR(IF(ISBLANK(INDEX(Backlog[Stream],MATCH($A200,Backlog[Requirement ID],0))),"",INDEX(Backlog[Stream],MATCH($A200,Backlog[Requirement ID],0))),"")</f>
        <v/>
      </c>
      <c r="D200" s="1" t="str">
        <f aca="false">IFERROR(IF(ISBLANK(INDEX(Backlog[Jira Link],MATCH($A200,Backlog[Requirement ID],0))),"",INDEX(Backlog[Jira Link],MATCH($A200,Backlog[Requirement ID],0))),"")</f>
        <v/>
      </c>
      <c r="E200" s="1" t="str">
        <f aca="false">IFERROR(IF(ISBLANK(INDEX(Backlog[Status],MATCH($A200,Backlog[Requirement ID],0))),"",INDEX(Backlog[Status],MATCH($A200,Backlog[Requirement ID],0))),"")</f>
        <v/>
      </c>
      <c r="F200" s="1" t="str">
        <f aca="false">IFERROR(IF(ISBLANK(INDEX(SprintPlanning[Sprint],MATCH($A200,SprintPlanning[Requirement ID],0))),"",INDEX(SprintPlanning[Sprint],MATCH($A200,SprintPlanning[Requirement ID],0))),"")</f>
        <v/>
      </c>
      <c r="H200" s="58"/>
      <c r="J200" s="1" t="str">
        <f aca="false">IFERROR(IF(ISBLANK(INDEX(Backlog[Priority],MATCH($A200,Backlog[Requirement ID],0))),"",INDEX(Backlog[Priority],MATCH($A200,Backlog[Requirement ID],0))),"")</f>
        <v/>
      </c>
      <c r="L200" s="1" t="str">
        <f aca="false">IFERROR(IF(ISBLANK(INDEX(Backlog[HLE],MATCH($A200,Backlog[Requirement ID],0))),"",IF(INDEX(Backlog[HLE],MATCH($A200,Backlog[Requirement ID],0))&lt;=5,0.5,IF(INDEX(Backlog[HLE],MATCH($A200,Backlog[Requirement ID],0))&lt;=8,1,IF(INDEX(Backlog[HLE],MATCH($A200,Backlog[Requirement ID],0))&lt;=13,2,IF(INDEX(Backlog[HLE],MATCH($A200,Backlog[Requirement ID],0))&lt;=20,3,5))))),"")</f>
        <v/>
      </c>
    </row>
    <row r="201" customFormat="false" ht="15" hidden="false" customHeight="true" outlineLevel="0" collapsed="false">
      <c r="A201" s="1" t="str">
        <f aca="false">Backlog!A201</f>
        <v/>
      </c>
      <c r="B201" s="57" t="str">
        <f aca="false">IFERROR(IF(ISBLANK(INDEX(Backlog[Requirement Name],MATCH($A201,Backlog[Requirement ID],0))),"",INDEX(Backlog[Requirement Name],MATCH($A201,Backlog[Requirement ID],0))),"")</f>
        <v/>
      </c>
      <c r="C201" s="1" t="str">
        <f aca="false">IFERROR(IF(ISBLANK(INDEX(Backlog[Stream],MATCH($A201,Backlog[Requirement ID],0))),"",INDEX(Backlog[Stream],MATCH($A201,Backlog[Requirement ID],0))),"")</f>
        <v/>
      </c>
      <c r="D201" s="1" t="str">
        <f aca="false">IFERROR(IF(ISBLANK(INDEX(Backlog[Jira Link],MATCH($A201,Backlog[Requirement ID],0))),"",INDEX(Backlog[Jira Link],MATCH($A201,Backlog[Requirement ID],0))),"")</f>
        <v/>
      </c>
      <c r="E201" s="1" t="str">
        <f aca="false">IFERROR(IF(ISBLANK(INDEX(Backlog[Status],MATCH($A201,Backlog[Requirement ID],0))),"",INDEX(Backlog[Status],MATCH($A201,Backlog[Requirement ID],0))),"")</f>
        <v/>
      </c>
      <c r="F201" s="1" t="str">
        <f aca="false">IFERROR(IF(ISBLANK(INDEX(SprintPlanning[Sprint],MATCH($A201,SprintPlanning[Requirement ID],0))),"",INDEX(SprintPlanning[Sprint],MATCH($A201,SprintPlanning[Requirement ID],0))),"")</f>
        <v/>
      </c>
      <c r="H201" s="58"/>
      <c r="J201" s="1" t="str">
        <f aca="false">IFERROR(IF(ISBLANK(INDEX(Backlog[Priority],MATCH($A201,Backlog[Requirement ID],0))),"",INDEX(Backlog[Priority],MATCH($A201,Backlog[Requirement ID],0))),"")</f>
        <v/>
      </c>
      <c r="L201" s="1" t="str">
        <f aca="false">IFERROR(IF(ISBLANK(INDEX(Backlog[HLE],MATCH($A201,Backlog[Requirement ID],0))),"",IF(INDEX(Backlog[HLE],MATCH($A201,Backlog[Requirement ID],0))&lt;=5,0.5,IF(INDEX(Backlog[HLE],MATCH($A201,Backlog[Requirement ID],0))&lt;=8,1,IF(INDEX(Backlog[HLE],MATCH($A201,Backlog[Requirement ID],0))&lt;=13,2,IF(INDEX(Backlog[HLE],MATCH($A201,Backlog[Requirement ID],0))&lt;=20,3,5))))),"")</f>
        <v/>
      </c>
    </row>
    <row r="202" customFormat="false" ht="15" hidden="false" customHeight="true" outlineLevel="0" collapsed="false">
      <c r="A202" s="1" t="str">
        <f aca="false">Backlog!A202</f>
        <v/>
      </c>
      <c r="B202" s="57" t="str">
        <f aca="false">IFERROR(IF(ISBLANK(INDEX(Backlog[Requirement Name],MATCH($A202,Backlog[Requirement ID],0))),"",INDEX(Backlog[Requirement Name],MATCH($A202,Backlog[Requirement ID],0))),"")</f>
        <v/>
      </c>
      <c r="C202" s="1" t="str">
        <f aca="false">IFERROR(IF(ISBLANK(INDEX(Backlog[Stream],MATCH($A202,Backlog[Requirement ID],0))),"",INDEX(Backlog[Stream],MATCH($A202,Backlog[Requirement ID],0))),"")</f>
        <v/>
      </c>
      <c r="D202" s="1" t="str">
        <f aca="false">IFERROR(IF(ISBLANK(INDEX(Backlog[Jira Link],MATCH($A202,Backlog[Requirement ID],0))),"",INDEX(Backlog[Jira Link],MATCH($A202,Backlog[Requirement ID],0))),"")</f>
        <v/>
      </c>
      <c r="E202" s="1" t="str">
        <f aca="false">IFERROR(IF(ISBLANK(INDEX(Backlog[Status],MATCH($A202,Backlog[Requirement ID],0))),"",INDEX(Backlog[Status],MATCH($A202,Backlog[Requirement ID],0))),"")</f>
        <v/>
      </c>
      <c r="F202" s="1" t="str">
        <f aca="false">IFERROR(IF(ISBLANK(INDEX(SprintPlanning[Sprint],MATCH($A202,SprintPlanning[Requirement ID],0))),"",INDEX(SprintPlanning[Sprint],MATCH($A202,SprintPlanning[Requirement ID],0))),"")</f>
        <v/>
      </c>
      <c r="H202" s="58"/>
      <c r="J202" s="1" t="str">
        <f aca="false">IFERROR(IF(ISBLANK(INDEX(Backlog[Priority],MATCH($A202,Backlog[Requirement ID],0))),"",INDEX(Backlog[Priority],MATCH($A202,Backlog[Requirement ID],0))),"")</f>
        <v/>
      </c>
      <c r="L202" s="1" t="str">
        <f aca="false">IFERROR(IF(ISBLANK(INDEX(Backlog[HLE],MATCH($A202,Backlog[Requirement ID],0))),"",IF(INDEX(Backlog[HLE],MATCH($A202,Backlog[Requirement ID],0))&lt;=5,0.5,IF(INDEX(Backlog[HLE],MATCH($A202,Backlog[Requirement ID],0))&lt;=8,1,IF(INDEX(Backlog[HLE],MATCH($A202,Backlog[Requirement ID],0))&lt;=13,2,IF(INDEX(Backlog[HLE],MATCH($A202,Backlog[Requirement ID],0))&lt;=20,3,5))))),"")</f>
        <v/>
      </c>
    </row>
    <row r="203" customFormat="false" ht="15" hidden="false" customHeight="true" outlineLevel="0" collapsed="false">
      <c r="A203" s="1" t="str">
        <f aca="false">Backlog!A203</f>
        <v/>
      </c>
      <c r="B203" s="57" t="str">
        <f aca="false">IFERROR(IF(ISBLANK(INDEX(Backlog[Requirement Name],MATCH($A203,Backlog[Requirement ID],0))),"",INDEX(Backlog[Requirement Name],MATCH($A203,Backlog[Requirement ID],0))),"")</f>
        <v/>
      </c>
      <c r="C203" s="1" t="str">
        <f aca="false">IFERROR(IF(ISBLANK(INDEX(Backlog[Stream],MATCH($A203,Backlog[Requirement ID],0))),"",INDEX(Backlog[Stream],MATCH($A203,Backlog[Requirement ID],0))),"")</f>
        <v/>
      </c>
      <c r="D203" s="1" t="str">
        <f aca="false">IFERROR(IF(ISBLANK(INDEX(Backlog[Jira Link],MATCH($A203,Backlog[Requirement ID],0))),"",INDEX(Backlog[Jira Link],MATCH($A203,Backlog[Requirement ID],0))),"")</f>
        <v/>
      </c>
      <c r="E203" s="1" t="str">
        <f aca="false">IFERROR(IF(ISBLANK(INDEX(Backlog[Status],MATCH($A203,Backlog[Requirement ID],0))),"",INDEX(Backlog[Status],MATCH($A203,Backlog[Requirement ID],0))),"")</f>
        <v/>
      </c>
      <c r="F203" s="1" t="str">
        <f aca="false">IFERROR(IF(ISBLANK(INDEX(SprintPlanning[Sprint],MATCH($A203,SprintPlanning[Requirement ID],0))),"",INDEX(SprintPlanning[Sprint],MATCH($A203,SprintPlanning[Requirement ID],0))),"")</f>
        <v/>
      </c>
      <c r="H203" s="58"/>
      <c r="J203" s="1" t="str">
        <f aca="false">IFERROR(IF(ISBLANK(INDEX(Backlog[Priority],MATCH($A203,Backlog[Requirement ID],0))),"",INDEX(Backlog[Priority],MATCH($A203,Backlog[Requirement ID],0))),"")</f>
        <v/>
      </c>
      <c r="L203" s="1" t="str">
        <f aca="false">IFERROR(IF(ISBLANK(INDEX(Backlog[HLE],MATCH($A203,Backlog[Requirement ID],0))),"",IF(INDEX(Backlog[HLE],MATCH($A203,Backlog[Requirement ID],0))&lt;=5,0.5,IF(INDEX(Backlog[HLE],MATCH($A203,Backlog[Requirement ID],0))&lt;=8,1,IF(INDEX(Backlog[HLE],MATCH($A203,Backlog[Requirement ID],0))&lt;=13,2,IF(INDEX(Backlog[HLE],MATCH($A203,Backlog[Requirement ID],0))&lt;=20,3,5))))),"")</f>
        <v/>
      </c>
    </row>
    <row r="204" customFormat="false" ht="15" hidden="false" customHeight="true" outlineLevel="0" collapsed="false">
      <c r="A204" s="1" t="str">
        <f aca="false">Backlog!A204</f>
        <v/>
      </c>
      <c r="B204" s="57" t="str">
        <f aca="false">IFERROR(IF(ISBLANK(INDEX(Backlog[Requirement Name],MATCH($A204,Backlog[Requirement ID],0))),"",INDEX(Backlog[Requirement Name],MATCH($A204,Backlog[Requirement ID],0))),"")</f>
        <v/>
      </c>
      <c r="C204" s="1" t="str">
        <f aca="false">IFERROR(IF(ISBLANK(INDEX(Backlog[Stream],MATCH($A204,Backlog[Requirement ID],0))),"",INDEX(Backlog[Stream],MATCH($A204,Backlog[Requirement ID],0))),"")</f>
        <v/>
      </c>
      <c r="D204" s="1" t="str">
        <f aca="false">IFERROR(IF(ISBLANK(INDEX(Backlog[Jira Link],MATCH($A204,Backlog[Requirement ID],0))),"",INDEX(Backlog[Jira Link],MATCH($A204,Backlog[Requirement ID],0))),"")</f>
        <v/>
      </c>
      <c r="E204" s="1" t="str">
        <f aca="false">IFERROR(IF(ISBLANK(INDEX(Backlog[Status],MATCH($A204,Backlog[Requirement ID],0))),"",INDEX(Backlog[Status],MATCH($A204,Backlog[Requirement ID],0))),"")</f>
        <v/>
      </c>
      <c r="F204" s="1" t="str">
        <f aca="false">IFERROR(IF(ISBLANK(INDEX(SprintPlanning[Sprint],MATCH($A204,SprintPlanning[Requirement ID],0))),"",INDEX(SprintPlanning[Sprint],MATCH($A204,SprintPlanning[Requirement ID],0))),"")</f>
        <v/>
      </c>
      <c r="H204" s="58"/>
      <c r="J204" s="1" t="str">
        <f aca="false">IFERROR(IF(ISBLANK(INDEX(Backlog[Priority],MATCH($A204,Backlog[Requirement ID],0))),"",INDEX(Backlog[Priority],MATCH($A204,Backlog[Requirement ID],0))),"")</f>
        <v/>
      </c>
      <c r="L204" s="1" t="str">
        <f aca="false">IFERROR(IF(ISBLANK(INDEX(Backlog[HLE],MATCH($A204,Backlog[Requirement ID],0))),"",IF(INDEX(Backlog[HLE],MATCH($A204,Backlog[Requirement ID],0))&lt;=5,0.5,IF(INDEX(Backlog[HLE],MATCH($A204,Backlog[Requirement ID],0))&lt;=8,1,IF(INDEX(Backlog[HLE],MATCH($A204,Backlog[Requirement ID],0))&lt;=13,2,IF(INDEX(Backlog[HLE],MATCH($A204,Backlog[Requirement ID],0))&lt;=20,3,5))))),"")</f>
        <v/>
      </c>
    </row>
    <row r="205" customFormat="false" ht="15" hidden="false" customHeight="true" outlineLevel="0" collapsed="false">
      <c r="A205" s="1" t="str">
        <f aca="false">Backlog!A205</f>
        <v/>
      </c>
      <c r="B205" s="57" t="str">
        <f aca="false">IFERROR(IF(ISBLANK(INDEX(Backlog[Requirement Name],MATCH($A205,Backlog[Requirement ID],0))),"",INDEX(Backlog[Requirement Name],MATCH($A205,Backlog[Requirement ID],0))),"")</f>
        <v/>
      </c>
      <c r="C205" s="1" t="str">
        <f aca="false">IFERROR(IF(ISBLANK(INDEX(Backlog[Stream],MATCH($A205,Backlog[Requirement ID],0))),"",INDEX(Backlog[Stream],MATCH($A205,Backlog[Requirement ID],0))),"")</f>
        <v/>
      </c>
      <c r="D205" s="1" t="str">
        <f aca="false">IFERROR(IF(ISBLANK(INDEX(Backlog[Jira Link],MATCH($A205,Backlog[Requirement ID],0))),"",INDEX(Backlog[Jira Link],MATCH($A205,Backlog[Requirement ID],0))),"")</f>
        <v/>
      </c>
      <c r="E205" s="1" t="str">
        <f aca="false">IFERROR(IF(ISBLANK(INDEX(Backlog[Status],MATCH($A205,Backlog[Requirement ID],0))),"",INDEX(Backlog[Status],MATCH($A205,Backlog[Requirement ID],0))),"")</f>
        <v/>
      </c>
      <c r="F205" s="1" t="str">
        <f aca="false">IFERROR(IF(ISBLANK(INDEX(SprintPlanning[Sprint],MATCH($A205,SprintPlanning[Requirement ID],0))),"",INDEX(SprintPlanning[Sprint],MATCH($A205,SprintPlanning[Requirement ID],0))),"")</f>
        <v/>
      </c>
      <c r="H205" s="58"/>
      <c r="J205" s="1" t="str">
        <f aca="false">IFERROR(IF(ISBLANK(INDEX(Backlog[Priority],MATCH($A205,Backlog[Requirement ID],0))),"",INDEX(Backlog[Priority],MATCH($A205,Backlog[Requirement ID],0))),"")</f>
        <v/>
      </c>
      <c r="L205" s="1" t="str">
        <f aca="false">IFERROR(IF(ISBLANK(INDEX(Backlog[HLE],MATCH($A205,Backlog[Requirement ID],0))),"",IF(INDEX(Backlog[HLE],MATCH($A205,Backlog[Requirement ID],0))&lt;=5,0.5,IF(INDEX(Backlog[HLE],MATCH($A205,Backlog[Requirement ID],0))&lt;=8,1,IF(INDEX(Backlog[HLE],MATCH($A205,Backlog[Requirement ID],0))&lt;=13,2,IF(INDEX(Backlog[HLE],MATCH($A205,Backlog[Requirement ID],0))&lt;=20,3,5))))),"")</f>
        <v/>
      </c>
    </row>
    <row r="206" customFormat="false" ht="23.25" hidden="false" customHeight="true" outlineLevel="0" collapsed="false">
      <c r="A206" s="1" t="str">
        <f aca="false">Backlog!A206</f>
        <v/>
      </c>
      <c r="B206" s="57" t="str">
        <f aca="false">IFERROR(IF(ISBLANK(INDEX(Backlog[Requirement Name],MATCH($A206,Backlog[Requirement ID],0))),"",INDEX(Backlog[Requirement Name],MATCH($A206,Backlog[Requirement ID],0))),"")</f>
        <v/>
      </c>
      <c r="C206" s="1" t="str">
        <f aca="false">IFERROR(IF(ISBLANK(INDEX(Backlog[Stream],MATCH($A206,Backlog[Requirement ID],0))),"",INDEX(Backlog[Stream],MATCH($A206,Backlog[Requirement ID],0))),"")</f>
        <v/>
      </c>
      <c r="D206" s="1" t="str">
        <f aca="false">IFERROR(IF(ISBLANK(INDEX(Backlog[Jira Link],MATCH($A206,Backlog[Requirement ID],0))),"",INDEX(Backlog[Jira Link],MATCH($A206,Backlog[Requirement ID],0))),"")</f>
        <v/>
      </c>
      <c r="E206" s="1" t="str">
        <f aca="false">IFERROR(IF(ISBLANK(INDEX(Backlog[Status],MATCH($A206,Backlog[Requirement ID],0))),"",INDEX(Backlog[Status],MATCH($A206,Backlog[Requirement ID],0))),"")</f>
        <v/>
      </c>
      <c r="F206" s="1" t="str">
        <f aca="false">IFERROR(IF(ISBLANK(INDEX(SprintPlanning[Sprint],MATCH($A206,SprintPlanning[Requirement ID],0))),"",INDEX(SprintPlanning[Sprint],MATCH($A206,SprintPlanning[Requirement ID],0))),"")</f>
        <v/>
      </c>
      <c r="H206" s="58"/>
      <c r="J206" s="1" t="str">
        <f aca="false">IFERROR(IF(ISBLANK(INDEX(Backlog[Priority],MATCH($A206,Backlog[Requirement ID],0))),"",INDEX(Backlog[Priority],MATCH($A206,Backlog[Requirement ID],0))),"")</f>
        <v/>
      </c>
      <c r="L206" s="1" t="str">
        <f aca="false">IFERROR(IF(ISBLANK(INDEX(Backlog[HLE],MATCH($A206,Backlog[Requirement ID],0))),"",IF(INDEX(Backlog[HLE],MATCH($A206,Backlog[Requirement ID],0))&lt;=5,0.5,IF(INDEX(Backlog[HLE],MATCH($A206,Backlog[Requirement ID],0))&lt;=8,1,IF(INDEX(Backlog[HLE],MATCH($A206,Backlog[Requirement ID],0))&lt;=13,2,IF(INDEX(Backlog[HLE],MATCH($A206,Backlog[Requirement ID],0))&lt;=20,3,5))))),"")</f>
        <v/>
      </c>
    </row>
    <row r="207" customFormat="false" ht="15" hidden="false" customHeight="true" outlineLevel="0" collapsed="false">
      <c r="A207" s="1" t="str">
        <f aca="false">Backlog!A207</f>
        <v/>
      </c>
      <c r="B207" s="57" t="str">
        <f aca="false">IFERROR(IF(ISBLANK(INDEX(Backlog[Requirement Name],MATCH($A207,Backlog[Requirement ID],0))),"",INDEX(Backlog[Requirement Name],MATCH($A207,Backlog[Requirement ID],0))),"")</f>
        <v/>
      </c>
      <c r="C207" s="1" t="str">
        <f aca="false">IFERROR(IF(ISBLANK(INDEX(Backlog[Stream],MATCH($A207,Backlog[Requirement ID],0))),"",INDEX(Backlog[Stream],MATCH($A207,Backlog[Requirement ID],0))),"")</f>
        <v/>
      </c>
      <c r="D207" s="1" t="str">
        <f aca="false">IFERROR(IF(ISBLANK(INDEX(Backlog[Jira Link],MATCH($A207,Backlog[Requirement ID],0))),"",INDEX(Backlog[Jira Link],MATCH($A207,Backlog[Requirement ID],0))),"")</f>
        <v/>
      </c>
      <c r="E207" s="1" t="str">
        <f aca="false">IFERROR(IF(ISBLANK(INDEX(Backlog[Status],MATCH($A207,Backlog[Requirement ID],0))),"",INDEX(Backlog[Status],MATCH($A207,Backlog[Requirement ID],0))),"")</f>
        <v/>
      </c>
      <c r="F207" s="1" t="str">
        <f aca="false">IFERROR(IF(ISBLANK(INDEX(SprintPlanning[Sprint],MATCH($A207,SprintPlanning[Requirement ID],0))),"",INDEX(SprintPlanning[Sprint],MATCH($A207,SprintPlanning[Requirement ID],0))),"")</f>
        <v/>
      </c>
      <c r="H207" s="58"/>
      <c r="J207" s="1" t="str">
        <f aca="false">IFERROR(IF(ISBLANK(INDEX(Backlog[Priority],MATCH($A207,Backlog[Requirement ID],0))),"",INDEX(Backlog[Priority],MATCH($A207,Backlog[Requirement ID],0))),"")</f>
        <v/>
      </c>
      <c r="L207" s="1" t="str">
        <f aca="false">IFERROR(IF(ISBLANK(INDEX(Backlog[HLE],MATCH($A207,Backlog[Requirement ID],0))),"",IF(INDEX(Backlog[HLE],MATCH($A207,Backlog[Requirement ID],0))&lt;=5,0.5,IF(INDEX(Backlog[HLE],MATCH($A207,Backlog[Requirement ID],0))&lt;=8,1,IF(INDEX(Backlog[HLE],MATCH($A207,Backlog[Requirement ID],0))&lt;=13,2,IF(INDEX(Backlog[HLE],MATCH($A207,Backlog[Requirement ID],0))&lt;=20,3,5))))),"")</f>
        <v/>
      </c>
    </row>
    <row r="208" customFormat="false" ht="15" hidden="false" customHeight="true" outlineLevel="0" collapsed="false">
      <c r="A208" s="1" t="str">
        <f aca="false">Backlog!A208</f>
        <v/>
      </c>
      <c r="B208" s="57" t="str">
        <f aca="false">IFERROR(IF(ISBLANK(INDEX(Backlog[Requirement Name],MATCH($A208,Backlog[Requirement ID],0))),"",INDEX(Backlog[Requirement Name],MATCH($A208,Backlog[Requirement ID],0))),"")</f>
        <v/>
      </c>
      <c r="C208" s="1" t="str">
        <f aca="false">IFERROR(IF(ISBLANK(INDEX(Backlog[Stream],MATCH($A208,Backlog[Requirement ID],0))),"",INDEX(Backlog[Stream],MATCH($A208,Backlog[Requirement ID],0))),"")</f>
        <v/>
      </c>
      <c r="D208" s="1" t="str">
        <f aca="false">IFERROR(IF(ISBLANK(INDEX(Backlog[Jira Link],MATCH($A208,Backlog[Requirement ID],0))),"",INDEX(Backlog[Jira Link],MATCH($A208,Backlog[Requirement ID],0))),"")</f>
        <v/>
      </c>
      <c r="E208" s="1" t="str">
        <f aca="false">IFERROR(IF(ISBLANK(INDEX(Backlog[Status],MATCH($A208,Backlog[Requirement ID],0))),"",INDEX(Backlog[Status],MATCH($A208,Backlog[Requirement ID],0))),"")</f>
        <v/>
      </c>
      <c r="F208" s="1" t="str">
        <f aca="false">IFERROR(IF(ISBLANK(INDEX(SprintPlanning[Sprint],MATCH($A208,SprintPlanning[Requirement ID],0))),"",INDEX(SprintPlanning[Sprint],MATCH($A208,SprintPlanning[Requirement ID],0))),"")</f>
        <v/>
      </c>
      <c r="H208" s="58"/>
      <c r="J208" s="1" t="str">
        <f aca="false">IFERROR(IF(ISBLANK(INDEX(Backlog[Priority],MATCH($A208,Backlog[Requirement ID],0))),"",INDEX(Backlog[Priority],MATCH($A208,Backlog[Requirement ID],0))),"")</f>
        <v/>
      </c>
      <c r="L208" s="1" t="str">
        <f aca="false">IFERROR(IF(ISBLANK(INDEX(Backlog[HLE],MATCH($A208,Backlog[Requirement ID],0))),"",IF(INDEX(Backlog[HLE],MATCH($A208,Backlog[Requirement ID],0))&lt;=5,0.5,IF(INDEX(Backlog[HLE],MATCH($A208,Backlog[Requirement ID],0))&lt;=8,1,IF(INDEX(Backlog[HLE],MATCH($A208,Backlog[Requirement ID],0))&lt;=13,2,IF(INDEX(Backlog[HLE],MATCH($A208,Backlog[Requirement ID],0))&lt;=20,3,5))))),"")</f>
        <v/>
      </c>
    </row>
    <row r="209" customFormat="false" ht="15" hidden="false" customHeight="true" outlineLevel="0" collapsed="false">
      <c r="A209" s="1" t="str">
        <f aca="false">Backlog!A209</f>
        <v/>
      </c>
      <c r="B209" s="57" t="str">
        <f aca="false">IFERROR(IF(ISBLANK(INDEX(Backlog[Requirement Name],MATCH($A209,Backlog[Requirement ID],0))),"",INDEX(Backlog[Requirement Name],MATCH($A209,Backlog[Requirement ID],0))),"")</f>
        <v/>
      </c>
      <c r="C209" s="1" t="str">
        <f aca="false">IFERROR(IF(ISBLANK(INDEX(Backlog[Stream],MATCH($A209,Backlog[Requirement ID],0))),"",INDEX(Backlog[Stream],MATCH($A209,Backlog[Requirement ID],0))),"")</f>
        <v/>
      </c>
      <c r="D209" s="1" t="str">
        <f aca="false">IFERROR(IF(ISBLANK(INDEX(Backlog[Jira Link],MATCH($A209,Backlog[Requirement ID],0))),"",INDEX(Backlog[Jira Link],MATCH($A209,Backlog[Requirement ID],0))),"")</f>
        <v/>
      </c>
      <c r="E209" s="1" t="str">
        <f aca="false">IFERROR(IF(ISBLANK(INDEX(Backlog[Status],MATCH($A209,Backlog[Requirement ID],0))),"",INDEX(Backlog[Status],MATCH($A209,Backlog[Requirement ID],0))),"")</f>
        <v/>
      </c>
      <c r="F209" s="1" t="str">
        <f aca="false">IFERROR(IF(ISBLANK(INDEX(SprintPlanning[Sprint],MATCH($A209,SprintPlanning[Requirement ID],0))),"",INDEX(SprintPlanning[Sprint],MATCH($A209,SprintPlanning[Requirement ID],0))),"")</f>
        <v/>
      </c>
      <c r="H209" s="58"/>
      <c r="J209" s="1" t="str">
        <f aca="false">IFERROR(IF(ISBLANK(INDEX(Backlog[Priority],MATCH($A209,Backlog[Requirement ID],0))),"",INDEX(Backlog[Priority],MATCH($A209,Backlog[Requirement ID],0))),"")</f>
        <v/>
      </c>
      <c r="L209" s="1" t="str">
        <f aca="false">IFERROR(IF(ISBLANK(INDEX(Backlog[HLE],MATCH($A209,Backlog[Requirement ID],0))),"",IF(INDEX(Backlog[HLE],MATCH($A209,Backlog[Requirement ID],0))&lt;=5,0.5,IF(INDEX(Backlog[HLE],MATCH($A209,Backlog[Requirement ID],0))&lt;=8,1,IF(INDEX(Backlog[HLE],MATCH($A209,Backlog[Requirement ID],0))&lt;=13,2,IF(INDEX(Backlog[HLE],MATCH($A209,Backlog[Requirement ID],0))&lt;=20,3,5))))),"")</f>
        <v/>
      </c>
    </row>
    <row r="210" customFormat="false" ht="15" hidden="false" customHeight="true" outlineLevel="0" collapsed="false">
      <c r="A210" s="1" t="str">
        <f aca="false">Backlog!A210</f>
        <v/>
      </c>
      <c r="B210" s="57" t="str">
        <f aca="false">IFERROR(IF(ISBLANK(INDEX(Backlog[Requirement Name],MATCH($A210,Backlog[Requirement ID],0))),"",INDEX(Backlog[Requirement Name],MATCH($A210,Backlog[Requirement ID],0))),"")</f>
        <v/>
      </c>
      <c r="C210" s="1" t="str">
        <f aca="false">IFERROR(IF(ISBLANK(INDEX(Backlog[Stream],MATCH($A210,Backlog[Requirement ID],0))),"",INDEX(Backlog[Stream],MATCH($A210,Backlog[Requirement ID],0))),"")</f>
        <v/>
      </c>
      <c r="D210" s="1" t="str">
        <f aca="false">IFERROR(IF(ISBLANK(INDEX(Backlog[Jira Link],MATCH($A210,Backlog[Requirement ID],0))),"",INDEX(Backlog[Jira Link],MATCH($A210,Backlog[Requirement ID],0))),"")</f>
        <v/>
      </c>
      <c r="E210" s="1" t="str">
        <f aca="false">IFERROR(IF(ISBLANK(INDEX(Backlog[Status],MATCH($A210,Backlog[Requirement ID],0))),"",INDEX(Backlog[Status],MATCH($A210,Backlog[Requirement ID],0))),"")</f>
        <v/>
      </c>
      <c r="F210" s="1" t="str">
        <f aca="false">IFERROR(IF(ISBLANK(INDEX(SprintPlanning[Sprint],MATCH($A210,SprintPlanning[Requirement ID],0))),"",INDEX(SprintPlanning[Sprint],MATCH($A210,SprintPlanning[Requirement ID],0))),"")</f>
        <v/>
      </c>
      <c r="H210" s="58"/>
      <c r="J210" s="1" t="str">
        <f aca="false">IFERROR(IF(ISBLANK(INDEX(Backlog[Priority],MATCH($A210,Backlog[Requirement ID],0))),"",INDEX(Backlog[Priority],MATCH($A210,Backlog[Requirement ID],0))),"")</f>
        <v/>
      </c>
      <c r="L210" s="1" t="str">
        <f aca="false">IFERROR(IF(ISBLANK(INDEX(Backlog[HLE],MATCH($A210,Backlog[Requirement ID],0))),"",IF(INDEX(Backlog[HLE],MATCH($A210,Backlog[Requirement ID],0))&lt;=5,0.5,IF(INDEX(Backlog[HLE],MATCH($A210,Backlog[Requirement ID],0))&lt;=8,1,IF(INDEX(Backlog[HLE],MATCH($A210,Backlog[Requirement ID],0))&lt;=13,2,IF(INDEX(Backlog[HLE],MATCH($A210,Backlog[Requirement ID],0))&lt;=20,3,5))))),"")</f>
        <v/>
      </c>
    </row>
    <row r="211" customFormat="false" ht="15" hidden="false" customHeight="true" outlineLevel="0" collapsed="false">
      <c r="A211" s="1" t="str">
        <f aca="false">Backlog!A211</f>
        <v/>
      </c>
      <c r="B211" s="57" t="str">
        <f aca="false">IFERROR(IF(ISBLANK(INDEX(Backlog[Requirement Name],MATCH($A211,Backlog[Requirement ID],0))),"",INDEX(Backlog[Requirement Name],MATCH($A211,Backlog[Requirement ID],0))),"")</f>
        <v/>
      </c>
      <c r="C211" s="1" t="str">
        <f aca="false">IFERROR(IF(ISBLANK(INDEX(Backlog[Stream],MATCH($A211,Backlog[Requirement ID],0))),"",INDEX(Backlog[Stream],MATCH($A211,Backlog[Requirement ID],0))),"")</f>
        <v/>
      </c>
      <c r="D211" s="1" t="str">
        <f aca="false">IFERROR(IF(ISBLANK(INDEX(Backlog[Jira Link],MATCH($A211,Backlog[Requirement ID],0))),"",INDEX(Backlog[Jira Link],MATCH($A211,Backlog[Requirement ID],0))),"")</f>
        <v/>
      </c>
      <c r="E211" s="1" t="str">
        <f aca="false">IFERROR(IF(ISBLANK(INDEX(Backlog[Status],MATCH($A211,Backlog[Requirement ID],0))),"",INDEX(Backlog[Status],MATCH($A211,Backlog[Requirement ID],0))),"")</f>
        <v/>
      </c>
      <c r="F211" s="1" t="str">
        <f aca="false">IFERROR(IF(ISBLANK(INDEX(SprintPlanning[Sprint],MATCH($A211,SprintPlanning[Requirement ID],0))),"",INDEX(SprintPlanning[Sprint],MATCH($A211,SprintPlanning[Requirement ID],0))),"")</f>
        <v/>
      </c>
      <c r="H211" s="58"/>
      <c r="J211" s="1" t="str">
        <f aca="false">IFERROR(IF(ISBLANK(INDEX(Backlog[Priority],MATCH($A211,Backlog[Requirement ID],0))),"",INDEX(Backlog[Priority],MATCH($A211,Backlog[Requirement ID],0))),"")</f>
        <v/>
      </c>
      <c r="L211" s="1" t="str">
        <f aca="false">IFERROR(IF(ISBLANK(INDEX(Backlog[HLE],MATCH($A211,Backlog[Requirement ID],0))),"",IF(INDEX(Backlog[HLE],MATCH($A211,Backlog[Requirement ID],0))&lt;=5,0.5,IF(INDEX(Backlog[HLE],MATCH($A211,Backlog[Requirement ID],0))&lt;=8,1,IF(INDEX(Backlog[HLE],MATCH($A211,Backlog[Requirement ID],0))&lt;=13,2,IF(INDEX(Backlog[HLE],MATCH($A211,Backlog[Requirement ID],0))&lt;=20,3,5))))),"")</f>
        <v/>
      </c>
    </row>
    <row r="212" customFormat="false" ht="15" hidden="false" customHeight="true" outlineLevel="0" collapsed="false">
      <c r="A212" s="1" t="str">
        <f aca="false">Backlog!A212</f>
        <v/>
      </c>
      <c r="B212" s="57" t="str">
        <f aca="false">IFERROR(IF(ISBLANK(INDEX(Backlog[Requirement Name],MATCH($A212,Backlog[Requirement ID],0))),"",INDEX(Backlog[Requirement Name],MATCH($A212,Backlog[Requirement ID],0))),"")</f>
        <v/>
      </c>
      <c r="C212" s="1" t="str">
        <f aca="false">IFERROR(IF(ISBLANK(INDEX(Backlog[Stream],MATCH($A212,Backlog[Requirement ID],0))),"",INDEX(Backlog[Stream],MATCH($A212,Backlog[Requirement ID],0))),"")</f>
        <v/>
      </c>
      <c r="D212" s="1" t="str">
        <f aca="false">IFERROR(IF(ISBLANK(INDEX(Backlog[Jira Link],MATCH($A212,Backlog[Requirement ID],0))),"",INDEX(Backlog[Jira Link],MATCH($A212,Backlog[Requirement ID],0))),"")</f>
        <v/>
      </c>
      <c r="E212" s="1" t="str">
        <f aca="false">IFERROR(IF(ISBLANK(INDEX(Backlog[Status],MATCH($A212,Backlog[Requirement ID],0))),"",INDEX(Backlog[Status],MATCH($A212,Backlog[Requirement ID],0))),"")</f>
        <v/>
      </c>
      <c r="F212" s="1" t="str">
        <f aca="false">IFERROR(IF(ISBLANK(INDEX(SprintPlanning[Sprint],MATCH($A212,SprintPlanning[Requirement ID],0))),"",INDEX(SprintPlanning[Sprint],MATCH($A212,SprintPlanning[Requirement ID],0))),"")</f>
        <v/>
      </c>
      <c r="H212" s="58"/>
      <c r="J212" s="1" t="str">
        <f aca="false">IFERROR(IF(ISBLANK(INDEX(Backlog[Priority],MATCH($A212,Backlog[Requirement ID],0))),"",INDEX(Backlog[Priority],MATCH($A212,Backlog[Requirement ID],0))),"")</f>
        <v/>
      </c>
      <c r="L212" s="1" t="str">
        <f aca="false">IFERROR(IF(ISBLANK(INDEX(Backlog[HLE],MATCH($A212,Backlog[Requirement ID],0))),"",IF(INDEX(Backlog[HLE],MATCH($A212,Backlog[Requirement ID],0))&lt;=5,0.5,IF(INDEX(Backlog[HLE],MATCH($A212,Backlog[Requirement ID],0))&lt;=8,1,IF(INDEX(Backlog[HLE],MATCH($A212,Backlog[Requirement ID],0))&lt;=13,2,IF(INDEX(Backlog[HLE],MATCH($A212,Backlog[Requirement ID],0))&lt;=20,3,5))))),"")</f>
        <v/>
      </c>
    </row>
    <row r="213" customFormat="false" ht="15" hidden="false" customHeight="true" outlineLevel="0" collapsed="false">
      <c r="A213" s="1" t="str">
        <f aca="false">Backlog!A213</f>
        <v/>
      </c>
      <c r="B213" s="57" t="str">
        <f aca="false">IFERROR(IF(ISBLANK(INDEX(Backlog[Requirement Name],MATCH($A213,Backlog[Requirement ID],0))),"",INDEX(Backlog[Requirement Name],MATCH($A213,Backlog[Requirement ID],0))),"")</f>
        <v/>
      </c>
      <c r="C213" s="1" t="str">
        <f aca="false">IFERROR(IF(ISBLANK(INDEX(Backlog[Stream],MATCH($A213,Backlog[Requirement ID],0))),"",INDEX(Backlog[Stream],MATCH($A213,Backlog[Requirement ID],0))),"")</f>
        <v/>
      </c>
      <c r="D213" s="1" t="str">
        <f aca="false">IFERROR(IF(ISBLANK(INDEX(Backlog[Jira Link],MATCH($A213,Backlog[Requirement ID],0))),"",INDEX(Backlog[Jira Link],MATCH($A213,Backlog[Requirement ID],0))),"")</f>
        <v/>
      </c>
      <c r="E213" s="1" t="str">
        <f aca="false">IFERROR(IF(ISBLANK(INDEX(Backlog[Status],MATCH($A213,Backlog[Requirement ID],0))),"",INDEX(Backlog[Status],MATCH($A213,Backlog[Requirement ID],0))),"")</f>
        <v/>
      </c>
      <c r="F213" s="1" t="str">
        <f aca="false">IFERROR(IF(ISBLANK(INDEX(SprintPlanning[Sprint],MATCH($A213,SprintPlanning[Requirement ID],0))),"",INDEX(SprintPlanning[Sprint],MATCH($A213,SprintPlanning[Requirement ID],0))),"")</f>
        <v/>
      </c>
      <c r="H213" s="58"/>
      <c r="J213" s="1" t="str">
        <f aca="false">IFERROR(IF(ISBLANK(INDEX(Backlog[Priority],MATCH($A213,Backlog[Requirement ID],0))),"",INDEX(Backlog[Priority],MATCH($A213,Backlog[Requirement ID],0))),"")</f>
        <v/>
      </c>
      <c r="L213" s="1" t="str">
        <f aca="false">IFERROR(IF(ISBLANK(INDEX(Backlog[HLE],MATCH($A213,Backlog[Requirement ID],0))),"",IF(INDEX(Backlog[HLE],MATCH($A213,Backlog[Requirement ID],0))&lt;=5,0.5,IF(INDEX(Backlog[HLE],MATCH($A213,Backlog[Requirement ID],0))&lt;=8,1,IF(INDEX(Backlog[HLE],MATCH($A213,Backlog[Requirement ID],0))&lt;=13,2,IF(INDEX(Backlog[HLE],MATCH($A213,Backlog[Requirement ID],0))&lt;=20,3,5))))),"")</f>
        <v/>
      </c>
    </row>
    <row r="214" customFormat="false" ht="15" hidden="false" customHeight="true" outlineLevel="0" collapsed="false">
      <c r="A214" s="1" t="str">
        <f aca="false">Backlog!A214</f>
        <v/>
      </c>
      <c r="B214" s="57" t="str">
        <f aca="false">IFERROR(IF(ISBLANK(INDEX(Backlog[Requirement Name],MATCH($A214,Backlog[Requirement ID],0))),"",INDEX(Backlog[Requirement Name],MATCH($A214,Backlog[Requirement ID],0))),"")</f>
        <v/>
      </c>
      <c r="C214" s="1" t="str">
        <f aca="false">IFERROR(IF(ISBLANK(INDEX(Backlog[Stream],MATCH($A214,Backlog[Requirement ID],0))),"",INDEX(Backlog[Stream],MATCH($A214,Backlog[Requirement ID],0))),"")</f>
        <v/>
      </c>
      <c r="D214" s="1" t="str">
        <f aca="false">IFERROR(IF(ISBLANK(INDEX(Backlog[Jira Link],MATCH($A214,Backlog[Requirement ID],0))),"",INDEX(Backlog[Jira Link],MATCH($A214,Backlog[Requirement ID],0))),"")</f>
        <v/>
      </c>
      <c r="E214" s="1" t="str">
        <f aca="false">IFERROR(IF(ISBLANK(INDEX(Backlog[Status],MATCH($A214,Backlog[Requirement ID],0))),"",INDEX(Backlog[Status],MATCH($A214,Backlog[Requirement ID],0))),"")</f>
        <v/>
      </c>
      <c r="F214" s="1" t="str">
        <f aca="false">IFERROR(IF(ISBLANK(INDEX(SprintPlanning[Sprint],MATCH($A214,SprintPlanning[Requirement ID],0))),"",INDEX(SprintPlanning[Sprint],MATCH($A214,SprintPlanning[Requirement ID],0))),"")</f>
        <v/>
      </c>
      <c r="H214" s="58"/>
      <c r="J214" s="1" t="str">
        <f aca="false">IFERROR(IF(ISBLANK(INDEX(Backlog[Priority],MATCH($A214,Backlog[Requirement ID],0))),"",INDEX(Backlog[Priority],MATCH($A214,Backlog[Requirement ID],0))),"")</f>
        <v/>
      </c>
      <c r="L214" s="1" t="str">
        <f aca="false">IFERROR(IF(ISBLANK(INDEX(Backlog[HLE],MATCH($A214,Backlog[Requirement ID],0))),"",IF(INDEX(Backlog[HLE],MATCH($A214,Backlog[Requirement ID],0))&lt;=5,0.5,IF(INDEX(Backlog[HLE],MATCH($A214,Backlog[Requirement ID],0))&lt;=8,1,IF(INDEX(Backlog[HLE],MATCH($A214,Backlog[Requirement ID],0))&lt;=13,2,IF(INDEX(Backlog[HLE],MATCH($A214,Backlog[Requirement ID],0))&lt;=20,3,5))))),"")</f>
        <v/>
      </c>
    </row>
    <row r="215" customFormat="false" ht="15" hidden="false" customHeight="true" outlineLevel="0" collapsed="false">
      <c r="A215" s="1" t="str">
        <f aca="false">Backlog!A215</f>
        <v/>
      </c>
      <c r="B215" s="57" t="str">
        <f aca="false">IFERROR(IF(ISBLANK(INDEX(Backlog[Requirement Name],MATCH($A215,Backlog[Requirement ID],0))),"",INDEX(Backlog[Requirement Name],MATCH($A215,Backlog[Requirement ID],0))),"")</f>
        <v/>
      </c>
      <c r="C215" s="1" t="str">
        <f aca="false">IFERROR(IF(ISBLANK(INDEX(Backlog[Stream],MATCH($A215,Backlog[Requirement ID],0))),"",INDEX(Backlog[Stream],MATCH($A215,Backlog[Requirement ID],0))),"")</f>
        <v/>
      </c>
      <c r="D215" s="1" t="str">
        <f aca="false">IFERROR(IF(ISBLANK(INDEX(Backlog[Jira Link],MATCH($A215,Backlog[Requirement ID],0))),"",INDEX(Backlog[Jira Link],MATCH($A215,Backlog[Requirement ID],0))),"")</f>
        <v/>
      </c>
      <c r="E215" s="1" t="str">
        <f aca="false">IFERROR(IF(ISBLANK(INDEX(Backlog[Status],MATCH($A215,Backlog[Requirement ID],0))),"",INDEX(Backlog[Status],MATCH($A215,Backlog[Requirement ID],0))),"")</f>
        <v/>
      </c>
      <c r="F215" s="1" t="str">
        <f aca="false">IFERROR(IF(ISBLANK(INDEX(SprintPlanning[Sprint],MATCH($A215,SprintPlanning[Requirement ID],0))),"",INDEX(SprintPlanning[Sprint],MATCH($A215,SprintPlanning[Requirement ID],0))),"")</f>
        <v/>
      </c>
      <c r="H215" s="58"/>
      <c r="J215" s="1" t="str">
        <f aca="false">IFERROR(IF(ISBLANK(INDEX(Backlog[Priority],MATCH($A215,Backlog[Requirement ID],0))),"",INDEX(Backlog[Priority],MATCH($A215,Backlog[Requirement ID],0))),"")</f>
        <v/>
      </c>
      <c r="L215" s="1" t="str">
        <f aca="false">IFERROR(IF(ISBLANK(INDEX(Backlog[HLE],MATCH($A215,Backlog[Requirement ID],0))),"",IF(INDEX(Backlog[HLE],MATCH($A215,Backlog[Requirement ID],0))&lt;=5,0.5,IF(INDEX(Backlog[HLE],MATCH($A215,Backlog[Requirement ID],0))&lt;=8,1,IF(INDEX(Backlog[HLE],MATCH($A215,Backlog[Requirement ID],0))&lt;=13,2,IF(INDEX(Backlog[HLE],MATCH($A215,Backlog[Requirement ID],0))&lt;=20,3,5))))),"")</f>
        <v/>
      </c>
    </row>
    <row r="216" customFormat="false" ht="15" hidden="false" customHeight="true" outlineLevel="0" collapsed="false">
      <c r="A216" s="1" t="str">
        <f aca="false">Backlog!A216</f>
        <v/>
      </c>
      <c r="B216" s="57" t="str">
        <f aca="false">IFERROR(IF(ISBLANK(INDEX(Backlog[Requirement Name],MATCH($A216,Backlog[Requirement ID],0))),"",INDEX(Backlog[Requirement Name],MATCH($A216,Backlog[Requirement ID],0))),"")</f>
        <v/>
      </c>
      <c r="C216" s="1" t="str">
        <f aca="false">IFERROR(IF(ISBLANK(INDEX(Backlog[Stream],MATCH($A216,Backlog[Requirement ID],0))),"",INDEX(Backlog[Stream],MATCH($A216,Backlog[Requirement ID],0))),"")</f>
        <v/>
      </c>
      <c r="D216" s="1" t="str">
        <f aca="false">IFERROR(IF(ISBLANK(INDEX(Backlog[Jira Link],MATCH($A216,Backlog[Requirement ID],0))),"",INDEX(Backlog[Jira Link],MATCH($A216,Backlog[Requirement ID],0))),"")</f>
        <v/>
      </c>
      <c r="E216" s="1" t="str">
        <f aca="false">IFERROR(IF(ISBLANK(INDEX(Backlog[Status],MATCH($A216,Backlog[Requirement ID],0))),"",INDEX(Backlog[Status],MATCH($A216,Backlog[Requirement ID],0))),"")</f>
        <v/>
      </c>
      <c r="F216" s="1" t="str">
        <f aca="false">IFERROR(IF(ISBLANK(INDEX(SprintPlanning[Sprint],MATCH($A216,SprintPlanning[Requirement ID],0))),"",INDEX(SprintPlanning[Sprint],MATCH($A216,SprintPlanning[Requirement ID],0))),"")</f>
        <v/>
      </c>
      <c r="H216" s="58"/>
      <c r="J216" s="1" t="str">
        <f aca="false">IFERROR(IF(ISBLANK(INDEX(Backlog[Priority],MATCH($A216,Backlog[Requirement ID],0))),"",INDEX(Backlog[Priority],MATCH($A216,Backlog[Requirement ID],0))),"")</f>
        <v/>
      </c>
      <c r="L216" s="1" t="str">
        <f aca="false">IFERROR(IF(ISBLANK(INDEX(Backlog[HLE],MATCH($A216,Backlog[Requirement ID],0))),"",IF(INDEX(Backlog[HLE],MATCH($A216,Backlog[Requirement ID],0))&lt;=5,0.5,IF(INDEX(Backlog[HLE],MATCH($A216,Backlog[Requirement ID],0))&lt;=8,1,IF(INDEX(Backlog[HLE],MATCH($A216,Backlog[Requirement ID],0))&lt;=13,2,IF(INDEX(Backlog[HLE],MATCH($A216,Backlog[Requirement ID],0))&lt;=20,3,5))))),"")</f>
        <v/>
      </c>
    </row>
    <row r="217" customFormat="false" ht="15" hidden="false" customHeight="true" outlineLevel="0" collapsed="false">
      <c r="A217" s="1" t="str">
        <f aca="false">Backlog!A217</f>
        <v/>
      </c>
      <c r="B217" s="57" t="str">
        <f aca="false">IFERROR(IF(ISBLANK(INDEX(Backlog[Requirement Name],MATCH($A217,Backlog[Requirement ID],0))),"",INDEX(Backlog[Requirement Name],MATCH($A217,Backlog[Requirement ID],0))),"")</f>
        <v/>
      </c>
      <c r="C217" s="1" t="str">
        <f aca="false">IFERROR(IF(ISBLANK(INDEX(Backlog[Stream],MATCH($A217,Backlog[Requirement ID],0))),"",INDEX(Backlog[Stream],MATCH($A217,Backlog[Requirement ID],0))),"")</f>
        <v/>
      </c>
      <c r="D217" s="1" t="str">
        <f aca="false">IFERROR(IF(ISBLANK(INDEX(Backlog[Jira Link],MATCH($A217,Backlog[Requirement ID],0))),"",INDEX(Backlog[Jira Link],MATCH($A217,Backlog[Requirement ID],0))),"")</f>
        <v/>
      </c>
      <c r="E217" s="1" t="str">
        <f aca="false">IFERROR(IF(ISBLANK(INDEX(Backlog[Status],MATCH($A217,Backlog[Requirement ID],0))),"",INDEX(Backlog[Status],MATCH($A217,Backlog[Requirement ID],0))),"")</f>
        <v/>
      </c>
      <c r="F217" s="1" t="str">
        <f aca="false">IFERROR(IF(ISBLANK(INDEX(SprintPlanning[Sprint],MATCH($A217,SprintPlanning[Requirement ID],0))),"",INDEX(SprintPlanning[Sprint],MATCH($A217,SprintPlanning[Requirement ID],0))),"")</f>
        <v/>
      </c>
      <c r="H217" s="58"/>
      <c r="J217" s="1" t="str">
        <f aca="false">IFERROR(IF(ISBLANK(INDEX(Backlog[Priority],MATCH($A217,Backlog[Requirement ID],0))),"",INDEX(Backlog[Priority],MATCH($A217,Backlog[Requirement ID],0))),"")</f>
        <v/>
      </c>
      <c r="L217" s="1" t="str">
        <f aca="false">IFERROR(IF(ISBLANK(INDEX(Backlog[HLE],MATCH($A217,Backlog[Requirement ID],0))),"",IF(INDEX(Backlog[HLE],MATCH($A217,Backlog[Requirement ID],0))&lt;=5,0.5,IF(INDEX(Backlog[HLE],MATCH($A217,Backlog[Requirement ID],0))&lt;=8,1,IF(INDEX(Backlog[HLE],MATCH($A217,Backlog[Requirement ID],0))&lt;=13,2,IF(INDEX(Backlog[HLE],MATCH($A217,Backlog[Requirement ID],0))&lt;=20,3,5))))),"")</f>
        <v/>
      </c>
    </row>
    <row r="218" customFormat="false" ht="15" hidden="false" customHeight="true" outlineLevel="0" collapsed="false">
      <c r="A218" s="1" t="str">
        <f aca="false">Backlog!A218</f>
        <v/>
      </c>
      <c r="B218" s="57" t="str">
        <f aca="false">IFERROR(IF(ISBLANK(INDEX(Backlog[Requirement Name],MATCH($A218,Backlog[Requirement ID],0))),"",INDEX(Backlog[Requirement Name],MATCH($A218,Backlog[Requirement ID],0))),"")</f>
        <v/>
      </c>
      <c r="C218" s="1" t="str">
        <f aca="false">IFERROR(IF(ISBLANK(INDEX(Backlog[Stream],MATCH($A218,Backlog[Requirement ID],0))),"",INDEX(Backlog[Stream],MATCH($A218,Backlog[Requirement ID],0))),"")</f>
        <v/>
      </c>
      <c r="D218" s="1" t="str">
        <f aca="false">IFERROR(IF(ISBLANK(INDEX(Backlog[Jira Link],MATCH($A218,Backlog[Requirement ID],0))),"",INDEX(Backlog[Jira Link],MATCH($A218,Backlog[Requirement ID],0))),"")</f>
        <v/>
      </c>
      <c r="E218" s="1" t="str">
        <f aca="false">IFERROR(IF(ISBLANK(INDEX(Backlog[Status],MATCH($A218,Backlog[Requirement ID],0))),"",INDEX(Backlog[Status],MATCH($A218,Backlog[Requirement ID],0))),"")</f>
        <v/>
      </c>
      <c r="F218" s="1" t="str">
        <f aca="false">IFERROR(IF(ISBLANK(INDEX(SprintPlanning[Sprint],MATCH($A218,SprintPlanning[Requirement ID],0))),"",INDEX(SprintPlanning[Sprint],MATCH($A218,SprintPlanning[Requirement ID],0))),"")</f>
        <v/>
      </c>
      <c r="H218" s="58"/>
      <c r="J218" s="1" t="str">
        <f aca="false">IFERROR(IF(ISBLANK(INDEX(Backlog[Priority],MATCH($A218,Backlog[Requirement ID],0))),"",INDEX(Backlog[Priority],MATCH($A218,Backlog[Requirement ID],0))),"")</f>
        <v/>
      </c>
      <c r="L218" s="1" t="str">
        <f aca="false">IFERROR(IF(ISBLANK(INDEX(Backlog[HLE],MATCH($A218,Backlog[Requirement ID],0))),"",IF(INDEX(Backlog[HLE],MATCH($A218,Backlog[Requirement ID],0))&lt;=5,0.5,IF(INDEX(Backlog[HLE],MATCH($A218,Backlog[Requirement ID],0))&lt;=8,1,IF(INDEX(Backlog[HLE],MATCH($A218,Backlog[Requirement ID],0))&lt;=13,2,IF(INDEX(Backlog[HLE],MATCH($A218,Backlog[Requirement ID],0))&lt;=20,3,5))))),"")</f>
        <v/>
      </c>
    </row>
    <row r="219" customFormat="false" ht="15" hidden="false" customHeight="true" outlineLevel="0" collapsed="false">
      <c r="A219" s="1" t="str">
        <f aca="false">Backlog!A219</f>
        <v/>
      </c>
      <c r="B219" s="57" t="str">
        <f aca="false">IFERROR(IF(ISBLANK(INDEX(Backlog[Requirement Name],MATCH($A219,Backlog[Requirement ID],0))),"",INDEX(Backlog[Requirement Name],MATCH($A219,Backlog[Requirement ID],0))),"")</f>
        <v/>
      </c>
      <c r="C219" s="1" t="str">
        <f aca="false">IFERROR(IF(ISBLANK(INDEX(Backlog[Stream],MATCH($A219,Backlog[Requirement ID],0))),"",INDEX(Backlog[Stream],MATCH($A219,Backlog[Requirement ID],0))),"")</f>
        <v/>
      </c>
      <c r="D219" s="1" t="str">
        <f aca="false">IFERROR(IF(ISBLANK(INDEX(Backlog[Jira Link],MATCH($A219,Backlog[Requirement ID],0))),"",INDEX(Backlog[Jira Link],MATCH($A219,Backlog[Requirement ID],0))),"")</f>
        <v/>
      </c>
      <c r="E219" s="1" t="str">
        <f aca="false">IFERROR(IF(ISBLANK(INDEX(Backlog[Status],MATCH($A219,Backlog[Requirement ID],0))),"",INDEX(Backlog[Status],MATCH($A219,Backlog[Requirement ID],0))),"")</f>
        <v/>
      </c>
      <c r="F219" s="1" t="str">
        <f aca="false">IFERROR(IF(ISBLANK(INDEX(SprintPlanning[Sprint],MATCH($A219,SprintPlanning[Requirement ID],0))),"",INDEX(SprintPlanning[Sprint],MATCH($A219,SprintPlanning[Requirement ID],0))),"")</f>
        <v/>
      </c>
      <c r="H219" s="58"/>
      <c r="J219" s="1" t="str">
        <f aca="false">IFERROR(IF(ISBLANK(INDEX(Backlog[Priority],MATCH($A219,Backlog[Requirement ID],0))),"",INDEX(Backlog[Priority],MATCH($A219,Backlog[Requirement ID],0))),"")</f>
        <v/>
      </c>
      <c r="L219" s="1" t="str">
        <f aca="false">IFERROR(IF(ISBLANK(INDEX(Backlog[HLE],MATCH($A219,Backlog[Requirement ID],0))),"",IF(INDEX(Backlog[HLE],MATCH($A219,Backlog[Requirement ID],0))&lt;=5,0.5,IF(INDEX(Backlog[HLE],MATCH($A219,Backlog[Requirement ID],0))&lt;=8,1,IF(INDEX(Backlog[HLE],MATCH($A219,Backlog[Requirement ID],0))&lt;=13,2,IF(INDEX(Backlog[HLE],MATCH($A219,Backlog[Requirement ID],0))&lt;=20,3,5))))),"")</f>
        <v/>
      </c>
    </row>
    <row r="220" customFormat="false" ht="15" hidden="false" customHeight="true" outlineLevel="0" collapsed="false">
      <c r="A220" s="1" t="str">
        <f aca="false">Backlog!A220</f>
        <v/>
      </c>
      <c r="B220" s="57" t="str">
        <f aca="false">IFERROR(IF(ISBLANK(INDEX(Backlog[Requirement Name],MATCH($A220,Backlog[Requirement ID],0))),"",INDEX(Backlog[Requirement Name],MATCH($A220,Backlog[Requirement ID],0))),"")</f>
        <v/>
      </c>
      <c r="C220" s="1" t="str">
        <f aca="false">IFERROR(IF(ISBLANK(INDEX(Backlog[Stream],MATCH($A220,Backlog[Requirement ID],0))),"",INDEX(Backlog[Stream],MATCH($A220,Backlog[Requirement ID],0))),"")</f>
        <v/>
      </c>
      <c r="D220" s="1" t="str">
        <f aca="false">IFERROR(IF(ISBLANK(INDEX(Backlog[Jira Link],MATCH($A220,Backlog[Requirement ID],0))),"",INDEX(Backlog[Jira Link],MATCH($A220,Backlog[Requirement ID],0))),"")</f>
        <v/>
      </c>
      <c r="E220" s="1" t="str">
        <f aca="false">IFERROR(IF(ISBLANK(INDEX(Backlog[Status],MATCH($A220,Backlog[Requirement ID],0))),"",INDEX(Backlog[Status],MATCH($A220,Backlog[Requirement ID],0))),"")</f>
        <v/>
      </c>
      <c r="F220" s="1" t="str">
        <f aca="false">IFERROR(IF(ISBLANK(INDEX(SprintPlanning[Sprint],MATCH($A220,SprintPlanning[Requirement ID],0))),"",INDEX(SprintPlanning[Sprint],MATCH($A220,SprintPlanning[Requirement ID],0))),"")</f>
        <v/>
      </c>
      <c r="H220" s="58"/>
      <c r="J220" s="1" t="str">
        <f aca="false">IFERROR(IF(ISBLANK(INDEX(Backlog[Priority],MATCH($A220,Backlog[Requirement ID],0))),"",INDEX(Backlog[Priority],MATCH($A220,Backlog[Requirement ID],0))),"")</f>
        <v/>
      </c>
      <c r="L220" s="1" t="str">
        <f aca="false">IFERROR(IF(ISBLANK(INDEX(Backlog[HLE],MATCH($A220,Backlog[Requirement ID],0))),"",IF(INDEX(Backlog[HLE],MATCH($A220,Backlog[Requirement ID],0))&lt;=5,0.5,IF(INDEX(Backlog[HLE],MATCH($A220,Backlog[Requirement ID],0))&lt;=8,1,IF(INDEX(Backlog[HLE],MATCH($A220,Backlog[Requirement ID],0))&lt;=13,2,IF(INDEX(Backlog[HLE],MATCH($A220,Backlog[Requirement ID],0))&lt;=20,3,5))))),"")</f>
        <v/>
      </c>
    </row>
    <row r="221" customFormat="false" ht="15" hidden="false" customHeight="true" outlineLevel="0" collapsed="false">
      <c r="A221" s="1" t="str">
        <f aca="false">Backlog!A221</f>
        <v/>
      </c>
      <c r="B221" s="57" t="str">
        <f aca="false">IFERROR(IF(ISBLANK(INDEX(Backlog[Requirement Name],MATCH($A221,Backlog[Requirement ID],0))),"",INDEX(Backlog[Requirement Name],MATCH($A221,Backlog[Requirement ID],0))),"")</f>
        <v/>
      </c>
      <c r="C221" s="1" t="str">
        <f aca="false">IFERROR(IF(ISBLANK(INDEX(Backlog[Stream],MATCH($A221,Backlog[Requirement ID],0))),"",INDEX(Backlog[Stream],MATCH($A221,Backlog[Requirement ID],0))),"")</f>
        <v/>
      </c>
      <c r="D221" s="1" t="str">
        <f aca="false">IFERROR(IF(ISBLANK(INDEX(Backlog[Jira Link],MATCH($A221,Backlog[Requirement ID],0))),"",INDEX(Backlog[Jira Link],MATCH($A221,Backlog[Requirement ID],0))),"")</f>
        <v/>
      </c>
      <c r="E221" s="1" t="str">
        <f aca="false">IFERROR(IF(ISBLANK(INDEX(Backlog[Status],MATCH($A221,Backlog[Requirement ID],0))),"",INDEX(Backlog[Status],MATCH($A221,Backlog[Requirement ID],0))),"")</f>
        <v/>
      </c>
      <c r="F221" s="1" t="str">
        <f aca="false">IFERROR(IF(ISBLANK(INDEX(SprintPlanning[Sprint],MATCH($A221,SprintPlanning[Requirement ID],0))),"",INDEX(SprintPlanning[Sprint],MATCH($A221,SprintPlanning[Requirement ID],0))),"")</f>
        <v/>
      </c>
      <c r="H221" s="58"/>
      <c r="J221" s="1" t="str">
        <f aca="false">IFERROR(IF(ISBLANK(INDEX(Backlog[Priority],MATCH($A221,Backlog[Requirement ID],0))),"",INDEX(Backlog[Priority],MATCH($A221,Backlog[Requirement ID],0))),"")</f>
        <v/>
      </c>
      <c r="L221" s="1" t="str">
        <f aca="false">IFERROR(IF(ISBLANK(INDEX(Backlog[HLE],MATCH($A221,Backlog[Requirement ID],0))),"",IF(INDEX(Backlog[HLE],MATCH($A221,Backlog[Requirement ID],0))&lt;=5,0.5,IF(INDEX(Backlog[HLE],MATCH($A221,Backlog[Requirement ID],0))&lt;=8,1,IF(INDEX(Backlog[HLE],MATCH($A221,Backlog[Requirement ID],0))&lt;=13,2,IF(INDEX(Backlog[HLE],MATCH($A221,Backlog[Requirement ID],0))&lt;=20,3,5))))),"")</f>
        <v/>
      </c>
    </row>
    <row r="222" customFormat="false" ht="15" hidden="false" customHeight="true" outlineLevel="0" collapsed="false">
      <c r="A222" s="1" t="str">
        <f aca="false">Backlog!A222</f>
        <v/>
      </c>
      <c r="B222" s="57" t="str">
        <f aca="false">IFERROR(IF(ISBLANK(INDEX(Backlog[Requirement Name],MATCH($A222,Backlog[Requirement ID],0))),"",INDEX(Backlog[Requirement Name],MATCH($A222,Backlog[Requirement ID],0))),"")</f>
        <v/>
      </c>
      <c r="C222" s="1" t="str">
        <f aca="false">IFERROR(IF(ISBLANK(INDEX(Backlog[Stream],MATCH($A222,Backlog[Requirement ID],0))),"",INDEX(Backlog[Stream],MATCH($A222,Backlog[Requirement ID],0))),"")</f>
        <v/>
      </c>
      <c r="D222" s="1" t="str">
        <f aca="false">IFERROR(IF(ISBLANK(INDEX(Backlog[Jira Link],MATCH($A222,Backlog[Requirement ID],0))),"",INDEX(Backlog[Jira Link],MATCH($A222,Backlog[Requirement ID],0))),"")</f>
        <v/>
      </c>
      <c r="E222" s="1" t="str">
        <f aca="false">IFERROR(IF(ISBLANK(INDEX(Backlog[Status],MATCH($A222,Backlog[Requirement ID],0))),"",INDEX(Backlog[Status],MATCH($A222,Backlog[Requirement ID],0))),"")</f>
        <v/>
      </c>
      <c r="F222" s="1" t="str">
        <f aca="false">IFERROR(IF(ISBLANK(INDEX(SprintPlanning[Sprint],MATCH($A222,SprintPlanning[Requirement ID],0))),"",INDEX(SprintPlanning[Sprint],MATCH($A222,SprintPlanning[Requirement ID],0))),"")</f>
        <v/>
      </c>
      <c r="H222" s="58"/>
      <c r="J222" s="1" t="str">
        <f aca="false">IFERROR(IF(ISBLANK(INDEX(Backlog[Priority],MATCH($A222,Backlog[Requirement ID],0))),"",INDEX(Backlog[Priority],MATCH($A222,Backlog[Requirement ID],0))),"")</f>
        <v/>
      </c>
      <c r="L222" s="1" t="str">
        <f aca="false">IFERROR(IF(ISBLANK(INDEX(Backlog[HLE],MATCH($A222,Backlog[Requirement ID],0))),"",IF(INDEX(Backlog[HLE],MATCH($A222,Backlog[Requirement ID],0))&lt;=5,0.5,IF(INDEX(Backlog[HLE],MATCH($A222,Backlog[Requirement ID],0))&lt;=8,1,IF(INDEX(Backlog[HLE],MATCH($A222,Backlog[Requirement ID],0))&lt;=13,2,IF(INDEX(Backlog[HLE],MATCH($A222,Backlog[Requirement ID],0))&lt;=20,3,5))))),"")</f>
        <v/>
      </c>
    </row>
    <row r="223" customFormat="false" ht="15" hidden="false" customHeight="true" outlineLevel="0" collapsed="false">
      <c r="A223" s="1" t="str">
        <f aca="false">Backlog!A223</f>
        <v/>
      </c>
      <c r="B223" s="57" t="str">
        <f aca="false">IFERROR(IF(ISBLANK(INDEX(Backlog[Requirement Name],MATCH($A223,Backlog[Requirement ID],0))),"",INDEX(Backlog[Requirement Name],MATCH($A223,Backlog[Requirement ID],0))),"")</f>
        <v/>
      </c>
      <c r="C223" s="1" t="str">
        <f aca="false">IFERROR(IF(ISBLANK(INDEX(Backlog[Stream],MATCH($A223,Backlog[Requirement ID],0))),"",INDEX(Backlog[Stream],MATCH($A223,Backlog[Requirement ID],0))),"")</f>
        <v/>
      </c>
      <c r="D223" s="1" t="str">
        <f aca="false">IFERROR(IF(ISBLANK(INDEX(Backlog[Jira Link],MATCH($A223,Backlog[Requirement ID],0))),"",INDEX(Backlog[Jira Link],MATCH($A223,Backlog[Requirement ID],0))),"")</f>
        <v/>
      </c>
      <c r="E223" s="1" t="str">
        <f aca="false">IFERROR(IF(ISBLANK(INDEX(Backlog[Status],MATCH($A223,Backlog[Requirement ID],0))),"",INDEX(Backlog[Status],MATCH($A223,Backlog[Requirement ID],0))),"")</f>
        <v/>
      </c>
      <c r="F223" s="1" t="str">
        <f aca="false">IFERROR(IF(ISBLANK(INDEX(SprintPlanning[Sprint],MATCH($A223,SprintPlanning[Requirement ID],0))),"",INDEX(SprintPlanning[Sprint],MATCH($A223,SprintPlanning[Requirement ID],0))),"")</f>
        <v/>
      </c>
      <c r="H223" s="58"/>
      <c r="J223" s="1" t="str">
        <f aca="false">IFERROR(IF(ISBLANK(INDEX(Backlog[Priority],MATCH($A223,Backlog[Requirement ID],0))),"",INDEX(Backlog[Priority],MATCH($A223,Backlog[Requirement ID],0))),"")</f>
        <v/>
      </c>
      <c r="L223" s="1" t="str">
        <f aca="false">IFERROR(IF(ISBLANK(INDEX(Backlog[HLE],MATCH($A223,Backlog[Requirement ID],0))),"",IF(INDEX(Backlog[HLE],MATCH($A223,Backlog[Requirement ID],0))&lt;=5,0.5,IF(INDEX(Backlog[HLE],MATCH($A223,Backlog[Requirement ID],0))&lt;=8,1,IF(INDEX(Backlog[HLE],MATCH($A223,Backlog[Requirement ID],0))&lt;=13,2,IF(INDEX(Backlog[HLE],MATCH($A223,Backlog[Requirement ID],0))&lt;=20,3,5))))),"")</f>
        <v/>
      </c>
    </row>
    <row r="224" customFormat="false" ht="15" hidden="false" customHeight="true" outlineLevel="0" collapsed="false">
      <c r="A224" s="1" t="str">
        <f aca="false">Backlog!A224</f>
        <v/>
      </c>
      <c r="B224" s="57" t="str">
        <f aca="false">IFERROR(IF(ISBLANK(INDEX(Backlog[Requirement Name],MATCH($A224,Backlog[Requirement ID],0))),"",INDEX(Backlog[Requirement Name],MATCH($A224,Backlog[Requirement ID],0))),"")</f>
        <v/>
      </c>
      <c r="C224" s="1" t="str">
        <f aca="false">IFERROR(IF(ISBLANK(INDEX(Backlog[Stream],MATCH($A224,Backlog[Requirement ID],0))),"",INDEX(Backlog[Stream],MATCH($A224,Backlog[Requirement ID],0))),"")</f>
        <v/>
      </c>
      <c r="D224" s="1" t="str">
        <f aca="false">IFERROR(IF(ISBLANK(INDEX(Backlog[Jira Link],MATCH($A224,Backlog[Requirement ID],0))),"",INDEX(Backlog[Jira Link],MATCH($A224,Backlog[Requirement ID],0))),"")</f>
        <v/>
      </c>
      <c r="E224" s="1" t="str">
        <f aca="false">IFERROR(IF(ISBLANK(INDEX(Backlog[Status],MATCH($A224,Backlog[Requirement ID],0))),"",INDEX(Backlog[Status],MATCH($A224,Backlog[Requirement ID],0))),"")</f>
        <v/>
      </c>
      <c r="F224" s="1" t="str">
        <f aca="false">IFERROR(IF(ISBLANK(INDEX(SprintPlanning[Sprint],MATCH($A224,SprintPlanning[Requirement ID],0))),"",INDEX(SprintPlanning[Sprint],MATCH($A224,SprintPlanning[Requirement ID],0))),"")</f>
        <v/>
      </c>
      <c r="H224" s="58"/>
      <c r="J224" s="1" t="str">
        <f aca="false">IFERROR(IF(ISBLANK(INDEX(Backlog[Priority],MATCH($A224,Backlog[Requirement ID],0))),"",INDEX(Backlog[Priority],MATCH($A224,Backlog[Requirement ID],0))),"")</f>
        <v/>
      </c>
      <c r="L224" s="1" t="str">
        <f aca="false">IFERROR(IF(ISBLANK(INDEX(Backlog[HLE],MATCH($A224,Backlog[Requirement ID],0))),"",IF(INDEX(Backlog[HLE],MATCH($A224,Backlog[Requirement ID],0))&lt;=5,0.5,IF(INDEX(Backlog[HLE],MATCH($A224,Backlog[Requirement ID],0))&lt;=8,1,IF(INDEX(Backlog[HLE],MATCH($A224,Backlog[Requirement ID],0))&lt;=13,2,IF(INDEX(Backlog[HLE],MATCH($A224,Backlog[Requirement ID],0))&lt;=20,3,5))))),"")</f>
        <v/>
      </c>
    </row>
    <row r="225" customFormat="false" ht="15" hidden="false" customHeight="true" outlineLevel="0" collapsed="false">
      <c r="A225" s="1" t="str">
        <f aca="false">Backlog!A225</f>
        <v/>
      </c>
      <c r="B225" s="57" t="str">
        <f aca="false">IFERROR(IF(ISBLANK(INDEX(Backlog[Requirement Name],MATCH($A225,Backlog[Requirement ID],0))),"",INDEX(Backlog[Requirement Name],MATCH($A225,Backlog[Requirement ID],0))),"")</f>
        <v/>
      </c>
      <c r="C225" s="1" t="str">
        <f aca="false">IFERROR(IF(ISBLANK(INDEX(Backlog[Stream],MATCH($A225,Backlog[Requirement ID],0))),"",INDEX(Backlog[Stream],MATCH($A225,Backlog[Requirement ID],0))),"")</f>
        <v/>
      </c>
      <c r="D225" s="1" t="str">
        <f aca="false">IFERROR(IF(ISBLANK(INDEX(Backlog[Jira Link],MATCH($A225,Backlog[Requirement ID],0))),"",INDEX(Backlog[Jira Link],MATCH($A225,Backlog[Requirement ID],0))),"")</f>
        <v/>
      </c>
      <c r="E225" s="1" t="str">
        <f aca="false">IFERROR(IF(ISBLANK(INDEX(Backlog[Status],MATCH($A225,Backlog[Requirement ID],0))),"",INDEX(Backlog[Status],MATCH($A225,Backlog[Requirement ID],0))),"")</f>
        <v/>
      </c>
      <c r="F225" s="1" t="str">
        <f aca="false">IFERROR(IF(ISBLANK(INDEX(SprintPlanning[Sprint],MATCH($A225,SprintPlanning[Requirement ID],0))),"",INDEX(SprintPlanning[Sprint],MATCH($A225,SprintPlanning[Requirement ID],0))),"")</f>
        <v/>
      </c>
      <c r="H225" s="58"/>
      <c r="J225" s="1" t="str">
        <f aca="false">IFERROR(IF(ISBLANK(INDEX(Backlog[Priority],MATCH($A225,Backlog[Requirement ID],0))),"",INDEX(Backlog[Priority],MATCH($A225,Backlog[Requirement ID],0))),"")</f>
        <v/>
      </c>
      <c r="L225" s="1" t="str">
        <f aca="false">IFERROR(IF(ISBLANK(INDEX(Backlog[HLE],MATCH($A225,Backlog[Requirement ID],0))),"",IF(INDEX(Backlog[HLE],MATCH($A225,Backlog[Requirement ID],0))&lt;=5,0.5,IF(INDEX(Backlog[HLE],MATCH($A225,Backlog[Requirement ID],0))&lt;=8,1,IF(INDEX(Backlog[HLE],MATCH($A225,Backlog[Requirement ID],0))&lt;=13,2,IF(INDEX(Backlog[HLE],MATCH($A225,Backlog[Requirement ID],0))&lt;=20,3,5))))),"")</f>
        <v/>
      </c>
    </row>
    <row r="226" customFormat="false" ht="23.25" hidden="false" customHeight="true" outlineLevel="0" collapsed="false">
      <c r="A226" s="1" t="str">
        <f aca="false">Backlog!A226</f>
        <v/>
      </c>
      <c r="B226" s="57" t="str">
        <f aca="false">IFERROR(IF(ISBLANK(INDEX(Backlog[Requirement Name],MATCH($A226,Backlog[Requirement ID],0))),"",INDEX(Backlog[Requirement Name],MATCH($A226,Backlog[Requirement ID],0))),"")</f>
        <v/>
      </c>
      <c r="C226" s="1" t="str">
        <f aca="false">IFERROR(IF(ISBLANK(INDEX(Backlog[Stream],MATCH($A226,Backlog[Requirement ID],0))),"",INDEX(Backlog[Stream],MATCH($A226,Backlog[Requirement ID],0))),"")</f>
        <v/>
      </c>
      <c r="D226" s="1" t="str">
        <f aca="false">IFERROR(IF(ISBLANK(INDEX(Backlog[Jira Link],MATCH($A226,Backlog[Requirement ID],0))),"",INDEX(Backlog[Jira Link],MATCH($A226,Backlog[Requirement ID],0))),"")</f>
        <v/>
      </c>
      <c r="E226" s="1" t="str">
        <f aca="false">IFERROR(IF(ISBLANK(INDEX(Backlog[Status],MATCH($A226,Backlog[Requirement ID],0))),"",INDEX(Backlog[Status],MATCH($A226,Backlog[Requirement ID],0))),"")</f>
        <v/>
      </c>
      <c r="F226" s="1" t="str">
        <f aca="false">IFERROR(IF(ISBLANK(INDEX(SprintPlanning[Sprint],MATCH($A226,SprintPlanning[Requirement ID],0))),"",INDEX(SprintPlanning[Sprint],MATCH($A226,SprintPlanning[Requirement ID],0))),"")</f>
        <v/>
      </c>
      <c r="H226" s="58"/>
      <c r="J226" s="1" t="str">
        <f aca="false">IFERROR(IF(ISBLANK(INDEX(Backlog[Priority],MATCH($A226,Backlog[Requirement ID],0))),"",INDEX(Backlog[Priority],MATCH($A226,Backlog[Requirement ID],0))),"")</f>
        <v/>
      </c>
      <c r="L226" s="1" t="str">
        <f aca="false">IFERROR(IF(ISBLANK(INDEX(Backlog[HLE],MATCH($A226,Backlog[Requirement ID],0))),"",IF(INDEX(Backlog[HLE],MATCH($A226,Backlog[Requirement ID],0))&lt;=5,0.5,IF(INDEX(Backlog[HLE],MATCH($A226,Backlog[Requirement ID],0))&lt;=8,1,IF(INDEX(Backlog[HLE],MATCH($A226,Backlog[Requirement ID],0))&lt;=13,2,IF(INDEX(Backlog[HLE],MATCH($A226,Backlog[Requirement ID],0))&lt;=20,3,5))))),"")</f>
        <v/>
      </c>
    </row>
    <row r="227" customFormat="false" ht="15" hidden="false" customHeight="true" outlineLevel="0" collapsed="false">
      <c r="A227" s="1" t="str">
        <f aca="false">Backlog!A227</f>
        <v/>
      </c>
      <c r="B227" s="57" t="str">
        <f aca="false">IFERROR(IF(ISBLANK(INDEX(Backlog[Requirement Name],MATCH($A227,Backlog[Requirement ID],0))),"",INDEX(Backlog[Requirement Name],MATCH($A227,Backlog[Requirement ID],0))),"")</f>
        <v/>
      </c>
      <c r="C227" s="1" t="str">
        <f aca="false">IFERROR(IF(ISBLANK(INDEX(Backlog[Stream],MATCH($A227,Backlog[Requirement ID],0))),"",INDEX(Backlog[Stream],MATCH($A227,Backlog[Requirement ID],0))),"")</f>
        <v/>
      </c>
      <c r="D227" s="1" t="str">
        <f aca="false">IFERROR(IF(ISBLANK(INDEX(Backlog[Jira Link],MATCH($A227,Backlog[Requirement ID],0))),"",INDEX(Backlog[Jira Link],MATCH($A227,Backlog[Requirement ID],0))),"")</f>
        <v/>
      </c>
      <c r="E227" s="1" t="str">
        <f aca="false">IFERROR(IF(ISBLANK(INDEX(Backlog[Status],MATCH($A227,Backlog[Requirement ID],0))),"",INDEX(Backlog[Status],MATCH($A227,Backlog[Requirement ID],0))),"")</f>
        <v/>
      </c>
      <c r="F227" s="1" t="str">
        <f aca="false">IFERROR(IF(ISBLANK(INDEX(SprintPlanning[Sprint],MATCH($A227,SprintPlanning[Requirement ID],0))),"",INDEX(SprintPlanning[Sprint],MATCH($A227,SprintPlanning[Requirement ID],0))),"")</f>
        <v/>
      </c>
      <c r="H227" s="58"/>
      <c r="J227" s="1" t="str">
        <f aca="false">IFERROR(IF(ISBLANK(INDEX(Backlog[Priority],MATCH($A227,Backlog[Requirement ID],0))),"",INDEX(Backlog[Priority],MATCH($A227,Backlog[Requirement ID],0))),"")</f>
        <v/>
      </c>
      <c r="L227" s="1" t="str">
        <f aca="false">IFERROR(IF(ISBLANK(INDEX(Backlog[HLE],MATCH($A227,Backlog[Requirement ID],0))),"",IF(INDEX(Backlog[HLE],MATCH($A227,Backlog[Requirement ID],0))&lt;=5,0.5,IF(INDEX(Backlog[HLE],MATCH($A227,Backlog[Requirement ID],0))&lt;=8,1,IF(INDEX(Backlog[HLE],MATCH($A227,Backlog[Requirement ID],0))&lt;=13,2,IF(INDEX(Backlog[HLE],MATCH($A227,Backlog[Requirement ID],0))&lt;=20,3,5))))),"")</f>
        <v/>
      </c>
    </row>
    <row r="228" customFormat="false" ht="15" hidden="false" customHeight="true" outlineLevel="0" collapsed="false">
      <c r="A228" s="1" t="str">
        <f aca="false">Backlog!A228</f>
        <v/>
      </c>
      <c r="B228" s="57" t="str">
        <f aca="false">IFERROR(IF(ISBLANK(INDEX(Backlog[Requirement Name],MATCH($A228,Backlog[Requirement ID],0))),"",INDEX(Backlog[Requirement Name],MATCH($A228,Backlog[Requirement ID],0))),"")</f>
        <v/>
      </c>
      <c r="C228" s="1" t="str">
        <f aca="false">IFERROR(IF(ISBLANK(INDEX(Backlog[Stream],MATCH($A228,Backlog[Requirement ID],0))),"",INDEX(Backlog[Stream],MATCH($A228,Backlog[Requirement ID],0))),"")</f>
        <v/>
      </c>
      <c r="D228" s="1" t="str">
        <f aca="false">IFERROR(IF(ISBLANK(INDEX(Backlog[Jira Link],MATCH($A228,Backlog[Requirement ID],0))),"",INDEX(Backlog[Jira Link],MATCH($A228,Backlog[Requirement ID],0))),"")</f>
        <v/>
      </c>
      <c r="E228" s="1" t="str">
        <f aca="false">IFERROR(IF(ISBLANK(INDEX(Backlog[Status],MATCH($A228,Backlog[Requirement ID],0))),"",INDEX(Backlog[Status],MATCH($A228,Backlog[Requirement ID],0))),"")</f>
        <v/>
      </c>
      <c r="F228" s="1" t="str">
        <f aca="false">IFERROR(IF(ISBLANK(INDEX(SprintPlanning[Sprint],MATCH($A228,SprintPlanning[Requirement ID],0))),"",INDEX(SprintPlanning[Sprint],MATCH($A228,SprintPlanning[Requirement ID],0))),"")</f>
        <v/>
      </c>
      <c r="H228" s="58"/>
      <c r="J228" s="1" t="str">
        <f aca="false">IFERROR(IF(ISBLANK(INDEX(Backlog[Priority],MATCH($A228,Backlog[Requirement ID],0))),"",INDEX(Backlog[Priority],MATCH($A228,Backlog[Requirement ID],0))),"")</f>
        <v/>
      </c>
      <c r="L228" s="1" t="str">
        <f aca="false">IFERROR(IF(ISBLANK(INDEX(Backlog[HLE],MATCH($A228,Backlog[Requirement ID],0))),"",IF(INDEX(Backlog[HLE],MATCH($A228,Backlog[Requirement ID],0))&lt;=5,0.5,IF(INDEX(Backlog[HLE],MATCH($A228,Backlog[Requirement ID],0))&lt;=8,1,IF(INDEX(Backlog[HLE],MATCH($A228,Backlog[Requirement ID],0))&lt;=13,2,IF(INDEX(Backlog[HLE],MATCH($A228,Backlog[Requirement ID],0))&lt;=20,3,5))))),"")</f>
        <v/>
      </c>
    </row>
    <row r="229" customFormat="false" ht="15" hidden="false" customHeight="true" outlineLevel="0" collapsed="false">
      <c r="A229" s="1" t="str">
        <f aca="false">Backlog!A229</f>
        <v/>
      </c>
      <c r="B229" s="57" t="str">
        <f aca="false">IFERROR(IF(ISBLANK(INDEX(Backlog[Requirement Name],MATCH($A229,Backlog[Requirement ID],0))),"",INDEX(Backlog[Requirement Name],MATCH($A229,Backlog[Requirement ID],0))),"")</f>
        <v/>
      </c>
      <c r="C229" s="1" t="str">
        <f aca="false">IFERROR(IF(ISBLANK(INDEX(Backlog[Stream],MATCH($A229,Backlog[Requirement ID],0))),"",INDEX(Backlog[Stream],MATCH($A229,Backlog[Requirement ID],0))),"")</f>
        <v/>
      </c>
      <c r="D229" s="1" t="str">
        <f aca="false">IFERROR(IF(ISBLANK(INDEX(Backlog[Jira Link],MATCH($A229,Backlog[Requirement ID],0))),"",INDEX(Backlog[Jira Link],MATCH($A229,Backlog[Requirement ID],0))),"")</f>
        <v/>
      </c>
      <c r="E229" s="1" t="str">
        <f aca="false">IFERROR(IF(ISBLANK(INDEX(Backlog[Status],MATCH($A229,Backlog[Requirement ID],0))),"",INDEX(Backlog[Status],MATCH($A229,Backlog[Requirement ID],0))),"")</f>
        <v/>
      </c>
      <c r="F229" s="1" t="str">
        <f aca="false">IFERROR(IF(ISBLANK(INDEX(SprintPlanning[Sprint],MATCH($A229,SprintPlanning[Requirement ID],0))),"",INDEX(SprintPlanning[Sprint],MATCH($A229,SprintPlanning[Requirement ID],0))),"")</f>
        <v/>
      </c>
      <c r="H229" s="58"/>
      <c r="J229" s="1" t="str">
        <f aca="false">IFERROR(IF(ISBLANK(INDEX(Backlog[Priority],MATCH($A229,Backlog[Requirement ID],0))),"",INDEX(Backlog[Priority],MATCH($A229,Backlog[Requirement ID],0))),"")</f>
        <v/>
      </c>
      <c r="L229" s="1" t="str">
        <f aca="false">IFERROR(IF(ISBLANK(INDEX(Backlog[HLE],MATCH($A229,Backlog[Requirement ID],0))),"",IF(INDEX(Backlog[HLE],MATCH($A229,Backlog[Requirement ID],0))&lt;=5,0.5,IF(INDEX(Backlog[HLE],MATCH($A229,Backlog[Requirement ID],0))&lt;=8,1,IF(INDEX(Backlog[HLE],MATCH($A229,Backlog[Requirement ID],0))&lt;=13,2,IF(INDEX(Backlog[HLE],MATCH($A229,Backlog[Requirement ID],0))&lt;=20,3,5))))),"")</f>
        <v/>
      </c>
    </row>
    <row r="230" customFormat="false" ht="15" hidden="false" customHeight="true" outlineLevel="0" collapsed="false">
      <c r="A230" s="1" t="str">
        <f aca="false">Backlog!A230</f>
        <v/>
      </c>
      <c r="B230" s="57" t="str">
        <f aca="false">IFERROR(IF(ISBLANK(INDEX(Backlog[Requirement Name],MATCH($A230,Backlog[Requirement ID],0))),"",INDEX(Backlog[Requirement Name],MATCH($A230,Backlog[Requirement ID],0))),"")</f>
        <v/>
      </c>
      <c r="C230" s="1" t="str">
        <f aca="false">IFERROR(IF(ISBLANK(INDEX(Backlog[Stream],MATCH($A230,Backlog[Requirement ID],0))),"",INDEX(Backlog[Stream],MATCH($A230,Backlog[Requirement ID],0))),"")</f>
        <v/>
      </c>
      <c r="D230" s="1" t="str">
        <f aca="false">IFERROR(IF(ISBLANK(INDEX(Backlog[Jira Link],MATCH($A230,Backlog[Requirement ID],0))),"",INDEX(Backlog[Jira Link],MATCH($A230,Backlog[Requirement ID],0))),"")</f>
        <v/>
      </c>
      <c r="E230" s="1" t="str">
        <f aca="false">IFERROR(IF(ISBLANK(INDEX(Backlog[Status],MATCH($A230,Backlog[Requirement ID],0))),"",INDEX(Backlog[Status],MATCH($A230,Backlog[Requirement ID],0))),"")</f>
        <v/>
      </c>
      <c r="F230" s="1" t="str">
        <f aca="false">IFERROR(IF(ISBLANK(INDEX(SprintPlanning[Sprint],MATCH($A230,SprintPlanning[Requirement ID],0))),"",INDEX(SprintPlanning[Sprint],MATCH($A230,SprintPlanning[Requirement ID],0))),"")</f>
        <v/>
      </c>
      <c r="H230" s="58"/>
      <c r="J230" s="1" t="str">
        <f aca="false">IFERROR(IF(ISBLANK(INDEX(Backlog[Priority],MATCH($A230,Backlog[Requirement ID],0))),"",INDEX(Backlog[Priority],MATCH($A230,Backlog[Requirement ID],0))),"")</f>
        <v/>
      </c>
      <c r="L230" s="1" t="str">
        <f aca="false">IFERROR(IF(ISBLANK(INDEX(Backlog[HLE],MATCH($A230,Backlog[Requirement ID],0))),"",IF(INDEX(Backlog[HLE],MATCH($A230,Backlog[Requirement ID],0))&lt;=5,0.5,IF(INDEX(Backlog[HLE],MATCH($A230,Backlog[Requirement ID],0))&lt;=8,1,IF(INDEX(Backlog[HLE],MATCH($A230,Backlog[Requirement ID],0))&lt;=13,2,IF(INDEX(Backlog[HLE],MATCH($A230,Backlog[Requirement ID],0))&lt;=20,3,5))))),"")</f>
        <v/>
      </c>
    </row>
    <row r="231" customFormat="false" ht="15" hidden="false" customHeight="true" outlineLevel="0" collapsed="false">
      <c r="A231" s="1" t="str">
        <f aca="false">Backlog!A231</f>
        <v/>
      </c>
      <c r="B231" s="57" t="str">
        <f aca="false">IFERROR(IF(ISBLANK(INDEX(Backlog[Requirement Name],MATCH($A231,Backlog[Requirement ID],0))),"",INDEX(Backlog[Requirement Name],MATCH($A231,Backlog[Requirement ID],0))),"")</f>
        <v/>
      </c>
      <c r="C231" s="1" t="str">
        <f aca="false">IFERROR(IF(ISBLANK(INDEX(Backlog[Stream],MATCH($A231,Backlog[Requirement ID],0))),"",INDEX(Backlog[Stream],MATCH($A231,Backlog[Requirement ID],0))),"")</f>
        <v/>
      </c>
      <c r="D231" s="1" t="str">
        <f aca="false">IFERROR(IF(ISBLANK(INDEX(Backlog[Jira Link],MATCH($A231,Backlog[Requirement ID],0))),"",INDEX(Backlog[Jira Link],MATCH($A231,Backlog[Requirement ID],0))),"")</f>
        <v/>
      </c>
      <c r="E231" s="1" t="str">
        <f aca="false">IFERROR(IF(ISBLANK(INDEX(Backlog[Status],MATCH($A231,Backlog[Requirement ID],0))),"",INDEX(Backlog[Status],MATCH($A231,Backlog[Requirement ID],0))),"")</f>
        <v/>
      </c>
      <c r="F231" s="1" t="str">
        <f aca="false">IFERROR(IF(ISBLANK(INDEX(SprintPlanning[Sprint],MATCH($A231,SprintPlanning[Requirement ID],0))),"",INDEX(SprintPlanning[Sprint],MATCH($A231,SprintPlanning[Requirement ID],0))),"")</f>
        <v/>
      </c>
      <c r="H231" s="58"/>
      <c r="J231" s="1" t="str">
        <f aca="false">IFERROR(IF(ISBLANK(INDEX(Backlog[Priority],MATCH($A231,Backlog[Requirement ID],0))),"",INDEX(Backlog[Priority],MATCH($A231,Backlog[Requirement ID],0))),"")</f>
        <v/>
      </c>
      <c r="L231" s="1" t="str">
        <f aca="false">IFERROR(IF(ISBLANK(INDEX(Backlog[HLE],MATCH($A231,Backlog[Requirement ID],0))),"",IF(INDEX(Backlog[HLE],MATCH($A231,Backlog[Requirement ID],0))&lt;=5,0.5,IF(INDEX(Backlog[HLE],MATCH($A231,Backlog[Requirement ID],0))&lt;=8,1,IF(INDEX(Backlog[HLE],MATCH($A231,Backlog[Requirement ID],0))&lt;=13,2,IF(INDEX(Backlog[HLE],MATCH($A231,Backlog[Requirement ID],0))&lt;=20,3,5))))),"")</f>
        <v/>
      </c>
    </row>
    <row r="232" customFormat="false" ht="15" hidden="false" customHeight="true" outlineLevel="0" collapsed="false">
      <c r="A232" s="1" t="str">
        <f aca="false">Backlog!A232</f>
        <v/>
      </c>
      <c r="B232" s="57" t="str">
        <f aca="false">IFERROR(IF(ISBLANK(INDEX(Backlog[Requirement Name],MATCH($A232,Backlog[Requirement ID],0))),"",INDEX(Backlog[Requirement Name],MATCH($A232,Backlog[Requirement ID],0))),"")</f>
        <v/>
      </c>
      <c r="C232" s="1" t="str">
        <f aca="false">IFERROR(IF(ISBLANK(INDEX(Backlog[Stream],MATCH($A232,Backlog[Requirement ID],0))),"",INDEX(Backlog[Stream],MATCH($A232,Backlog[Requirement ID],0))),"")</f>
        <v/>
      </c>
      <c r="D232" s="1" t="str">
        <f aca="false">IFERROR(IF(ISBLANK(INDEX(Backlog[Jira Link],MATCH($A232,Backlog[Requirement ID],0))),"",INDEX(Backlog[Jira Link],MATCH($A232,Backlog[Requirement ID],0))),"")</f>
        <v/>
      </c>
      <c r="E232" s="1" t="str">
        <f aca="false">IFERROR(IF(ISBLANK(INDEX(Backlog[Status],MATCH($A232,Backlog[Requirement ID],0))),"",INDEX(Backlog[Status],MATCH($A232,Backlog[Requirement ID],0))),"")</f>
        <v/>
      </c>
      <c r="F232" s="1" t="str">
        <f aca="false">IFERROR(IF(ISBLANK(INDEX(SprintPlanning[Sprint],MATCH($A232,SprintPlanning[Requirement ID],0))),"",INDEX(SprintPlanning[Sprint],MATCH($A232,SprintPlanning[Requirement ID],0))),"")</f>
        <v/>
      </c>
      <c r="H232" s="58"/>
      <c r="J232" s="1" t="str">
        <f aca="false">IFERROR(IF(ISBLANK(INDEX(Backlog[Priority],MATCH($A232,Backlog[Requirement ID],0))),"",INDEX(Backlog[Priority],MATCH($A232,Backlog[Requirement ID],0))),"")</f>
        <v/>
      </c>
      <c r="L232" s="1" t="str">
        <f aca="false">IFERROR(IF(ISBLANK(INDEX(Backlog[HLE],MATCH($A232,Backlog[Requirement ID],0))),"",IF(INDEX(Backlog[HLE],MATCH($A232,Backlog[Requirement ID],0))&lt;=5,0.5,IF(INDEX(Backlog[HLE],MATCH($A232,Backlog[Requirement ID],0))&lt;=8,1,IF(INDEX(Backlog[HLE],MATCH($A232,Backlog[Requirement ID],0))&lt;=13,2,IF(INDEX(Backlog[HLE],MATCH($A232,Backlog[Requirement ID],0))&lt;=20,3,5))))),"")</f>
        <v/>
      </c>
    </row>
    <row r="233" customFormat="false" ht="15" hidden="false" customHeight="true" outlineLevel="0" collapsed="false">
      <c r="A233" s="1" t="str">
        <f aca="false">Backlog!A233</f>
        <v/>
      </c>
      <c r="B233" s="57" t="str">
        <f aca="false">IFERROR(IF(ISBLANK(INDEX(Backlog[Requirement Name],MATCH($A233,Backlog[Requirement ID],0))),"",INDEX(Backlog[Requirement Name],MATCH($A233,Backlog[Requirement ID],0))),"")</f>
        <v/>
      </c>
      <c r="C233" s="1" t="str">
        <f aca="false">IFERROR(IF(ISBLANK(INDEX(Backlog[Stream],MATCH($A233,Backlog[Requirement ID],0))),"",INDEX(Backlog[Stream],MATCH($A233,Backlog[Requirement ID],0))),"")</f>
        <v/>
      </c>
      <c r="D233" s="1" t="str">
        <f aca="false">IFERROR(IF(ISBLANK(INDEX(Backlog[Jira Link],MATCH($A233,Backlog[Requirement ID],0))),"",INDEX(Backlog[Jira Link],MATCH($A233,Backlog[Requirement ID],0))),"")</f>
        <v/>
      </c>
      <c r="E233" s="1" t="str">
        <f aca="false">IFERROR(IF(ISBLANK(INDEX(Backlog[Status],MATCH($A233,Backlog[Requirement ID],0))),"",INDEX(Backlog[Status],MATCH($A233,Backlog[Requirement ID],0))),"")</f>
        <v/>
      </c>
      <c r="F233" s="1" t="str">
        <f aca="false">IFERROR(IF(ISBLANK(INDEX(SprintPlanning[Sprint],MATCH($A233,SprintPlanning[Requirement ID],0))),"",INDEX(SprintPlanning[Sprint],MATCH($A233,SprintPlanning[Requirement ID],0))),"")</f>
        <v/>
      </c>
      <c r="H233" s="58"/>
      <c r="J233" s="1" t="str">
        <f aca="false">IFERROR(IF(ISBLANK(INDEX(Backlog[Priority],MATCH($A233,Backlog[Requirement ID],0))),"",INDEX(Backlog[Priority],MATCH($A233,Backlog[Requirement ID],0))),"")</f>
        <v/>
      </c>
      <c r="L233" s="1" t="str">
        <f aca="false">IFERROR(IF(ISBLANK(INDEX(Backlog[HLE],MATCH($A233,Backlog[Requirement ID],0))),"",IF(INDEX(Backlog[HLE],MATCH($A233,Backlog[Requirement ID],0))&lt;=5,0.5,IF(INDEX(Backlog[HLE],MATCH($A233,Backlog[Requirement ID],0))&lt;=8,1,IF(INDEX(Backlog[HLE],MATCH($A233,Backlog[Requirement ID],0))&lt;=13,2,IF(INDEX(Backlog[HLE],MATCH($A233,Backlog[Requirement ID],0))&lt;=20,3,5))))),"")</f>
        <v/>
      </c>
    </row>
    <row r="234" customFormat="false" ht="15" hidden="false" customHeight="true" outlineLevel="0" collapsed="false">
      <c r="A234" s="1" t="str">
        <f aca="false">Backlog!A234</f>
        <v/>
      </c>
      <c r="B234" s="57" t="str">
        <f aca="false">IFERROR(IF(ISBLANK(INDEX(Backlog[Requirement Name],MATCH($A234,Backlog[Requirement ID],0))),"",INDEX(Backlog[Requirement Name],MATCH($A234,Backlog[Requirement ID],0))),"")</f>
        <v/>
      </c>
      <c r="C234" s="1" t="str">
        <f aca="false">IFERROR(IF(ISBLANK(INDEX(Backlog[Stream],MATCH($A234,Backlog[Requirement ID],0))),"",INDEX(Backlog[Stream],MATCH($A234,Backlog[Requirement ID],0))),"")</f>
        <v/>
      </c>
      <c r="D234" s="1" t="str">
        <f aca="false">IFERROR(IF(ISBLANK(INDEX(Backlog[Jira Link],MATCH($A234,Backlog[Requirement ID],0))),"",INDEX(Backlog[Jira Link],MATCH($A234,Backlog[Requirement ID],0))),"")</f>
        <v/>
      </c>
      <c r="E234" s="1" t="str">
        <f aca="false">IFERROR(IF(ISBLANK(INDEX(Backlog[Status],MATCH($A234,Backlog[Requirement ID],0))),"",INDEX(Backlog[Status],MATCH($A234,Backlog[Requirement ID],0))),"")</f>
        <v/>
      </c>
      <c r="F234" s="1" t="str">
        <f aca="false">IFERROR(IF(ISBLANK(INDEX(SprintPlanning[Sprint],MATCH($A234,SprintPlanning[Requirement ID],0))),"",INDEX(SprintPlanning[Sprint],MATCH($A234,SprintPlanning[Requirement ID],0))),"")</f>
        <v/>
      </c>
      <c r="H234" s="58"/>
      <c r="J234" s="1" t="str">
        <f aca="false">IFERROR(IF(ISBLANK(INDEX(Backlog[Priority],MATCH($A234,Backlog[Requirement ID],0))),"",INDEX(Backlog[Priority],MATCH($A234,Backlog[Requirement ID],0))),"")</f>
        <v/>
      </c>
      <c r="L234" s="1" t="str">
        <f aca="false">IFERROR(IF(ISBLANK(INDEX(Backlog[HLE],MATCH($A234,Backlog[Requirement ID],0))),"",IF(INDEX(Backlog[HLE],MATCH($A234,Backlog[Requirement ID],0))&lt;=5,0.5,IF(INDEX(Backlog[HLE],MATCH($A234,Backlog[Requirement ID],0))&lt;=8,1,IF(INDEX(Backlog[HLE],MATCH($A234,Backlog[Requirement ID],0))&lt;=13,2,IF(INDEX(Backlog[HLE],MATCH($A234,Backlog[Requirement ID],0))&lt;=20,3,5))))),"")</f>
        <v/>
      </c>
    </row>
    <row r="235" customFormat="false" ht="15" hidden="false" customHeight="true" outlineLevel="0" collapsed="false">
      <c r="A235" s="1" t="str">
        <f aca="false">Backlog!A235</f>
        <v/>
      </c>
      <c r="B235" s="57" t="str">
        <f aca="false">IFERROR(IF(ISBLANK(INDEX(Backlog[Requirement Name],MATCH($A235,Backlog[Requirement ID],0))),"",INDEX(Backlog[Requirement Name],MATCH($A235,Backlog[Requirement ID],0))),"")</f>
        <v/>
      </c>
      <c r="C235" s="1" t="str">
        <f aca="false">IFERROR(IF(ISBLANK(INDEX(Backlog[Stream],MATCH($A235,Backlog[Requirement ID],0))),"",INDEX(Backlog[Stream],MATCH($A235,Backlog[Requirement ID],0))),"")</f>
        <v/>
      </c>
      <c r="D235" s="1" t="str">
        <f aca="false">IFERROR(IF(ISBLANK(INDEX(Backlog[Jira Link],MATCH($A235,Backlog[Requirement ID],0))),"",INDEX(Backlog[Jira Link],MATCH($A235,Backlog[Requirement ID],0))),"")</f>
        <v/>
      </c>
      <c r="E235" s="1" t="str">
        <f aca="false">IFERROR(IF(ISBLANK(INDEX(Backlog[Status],MATCH($A235,Backlog[Requirement ID],0))),"",INDEX(Backlog[Status],MATCH($A235,Backlog[Requirement ID],0))),"")</f>
        <v/>
      </c>
      <c r="F235" s="1" t="str">
        <f aca="false">IFERROR(IF(ISBLANK(INDEX(SprintPlanning[Sprint],MATCH($A235,SprintPlanning[Requirement ID],0))),"",INDEX(SprintPlanning[Sprint],MATCH($A235,SprintPlanning[Requirement ID],0))),"")</f>
        <v/>
      </c>
      <c r="H235" s="58"/>
      <c r="J235" s="1" t="str">
        <f aca="false">IFERROR(IF(ISBLANK(INDEX(Backlog[Priority],MATCH($A235,Backlog[Requirement ID],0))),"",INDEX(Backlog[Priority],MATCH($A235,Backlog[Requirement ID],0))),"")</f>
        <v/>
      </c>
      <c r="L235" s="1" t="str">
        <f aca="false">IFERROR(IF(ISBLANK(INDEX(Backlog[HLE],MATCH($A235,Backlog[Requirement ID],0))),"",IF(INDEX(Backlog[HLE],MATCH($A235,Backlog[Requirement ID],0))&lt;=5,0.5,IF(INDEX(Backlog[HLE],MATCH($A235,Backlog[Requirement ID],0))&lt;=8,1,IF(INDEX(Backlog[HLE],MATCH($A235,Backlog[Requirement ID],0))&lt;=13,2,IF(INDEX(Backlog[HLE],MATCH($A235,Backlog[Requirement ID],0))&lt;=20,3,5))))),"")</f>
        <v/>
      </c>
    </row>
    <row r="236" customFormat="false" ht="15" hidden="false" customHeight="true" outlineLevel="0" collapsed="false">
      <c r="A236" s="1" t="str">
        <f aca="false">Backlog!A236</f>
        <v/>
      </c>
      <c r="B236" s="57" t="str">
        <f aca="false">IFERROR(IF(ISBLANK(INDEX(Backlog[Requirement Name],MATCH($A236,Backlog[Requirement ID],0))),"",INDEX(Backlog[Requirement Name],MATCH($A236,Backlog[Requirement ID],0))),"")</f>
        <v/>
      </c>
      <c r="C236" s="1" t="str">
        <f aca="false">IFERROR(IF(ISBLANK(INDEX(Backlog[Stream],MATCH($A236,Backlog[Requirement ID],0))),"",INDEX(Backlog[Stream],MATCH($A236,Backlog[Requirement ID],0))),"")</f>
        <v/>
      </c>
      <c r="D236" s="1" t="str">
        <f aca="false">IFERROR(IF(ISBLANK(INDEX(Backlog[Jira Link],MATCH($A236,Backlog[Requirement ID],0))),"",INDEX(Backlog[Jira Link],MATCH($A236,Backlog[Requirement ID],0))),"")</f>
        <v/>
      </c>
      <c r="E236" s="1" t="str">
        <f aca="false">IFERROR(IF(ISBLANK(INDEX(Backlog[Status],MATCH($A236,Backlog[Requirement ID],0))),"",INDEX(Backlog[Status],MATCH($A236,Backlog[Requirement ID],0))),"")</f>
        <v/>
      </c>
      <c r="F236" s="1" t="str">
        <f aca="false">IFERROR(IF(ISBLANK(INDEX(SprintPlanning[Sprint],MATCH($A236,SprintPlanning[Requirement ID],0))),"",INDEX(SprintPlanning[Sprint],MATCH($A236,SprintPlanning[Requirement ID],0))),"")</f>
        <v/>
      </c>
      <c r="H236" s="58"/>
      <c r="J236" s="1" t="str">
        <f aca="false">IFERROR(IF(ISBLANK(INDEX(Backlog[Priority],MATCH($A236,Backlog[Requirement ID],0))),"",INDEX(Backlog[Priority],MATCH($A236,Backlog[Requirement ID],0))),"")</f>
        <v/>
      </c>
      <c r="L236" s="1" t="str">
        <f aca="false">IFERROR(IF(ISBLANK(INDEX(Backlog[HLE],MATCH($A236,Backlog[Requirement ID],0))),"",IF(INDEX(Backlog[HLE],MATCH($A236,Backlog[Requirement ID],0))&lt;=5,0.5,IF(INDEX(Backlog[HLE],MATCH($A236,Backlog[Requirement ID],0))&lt;=8,1,IF(INDEX(Backlog[HLE],MATCH($A236,Backlog[Requirement ID],0))&lt;=13,2,IF(INDEX(Backlog[HLE],MATCH($A236,Backlog[Requirement ID],0))&lt;=20,3,5))))),"")</f>
        <v/>
      </c>
    </row>
    <row r="237" customFormat="false" ht="15" hidden="false" customHeight="true" outlineLevel="0" collapsed="false">
      <c r="A237" s="1" t="str">
        <f aca="false">Backlog!A237</f>
        <v/>
      </c>
      <c r="B237" s="57" t="str">
        <f aca="false">IFERROR(IF(ISBLANK(INDEX(Backlog[Requirement Name],MATCH($A237,Backlog[Requirement ID],0))),"",INDEX(Backlog[Requirement Name],MATCH($A237,Backlog[Requirement ID],0))),"")</f>
        <v/>
      </c>
      <c r="C237" s="1" t="str">
        <f aca="false">IFERROR(IF(ISBLANK(INDEX(Backlog[Stream],MATCH($A237,Backlog[Requirement ID],0))),"",INDEX(Backlog[Stream],MATCH($A237,Backlog[Requirement ID],0))),"")</f>
        <v/>
      </c>
      <c r="D237" s="1" t="str">
        <f aca="false">IFERROR(IF(ISBLANK(INDEX(Backlog[Jira Link],MATCH($A237,Backlog[Requirement ID],0))),"",INDEX(Backlog[Jira Link],MATCH($A237,Backlog[Requirement ID],0))),"")</f>
        <v/>
      </c>
      <c r="E237" s="1" t="str">
        <f aca="false">IFERROR(IF(ISBLANK(INDEX(Backlog[Status],MATCH($A237,Backlog[Requirement ID],0))),"",INDEX(Backlog[Status],MATCH($A237,Backlog[Requirement ID],0))),"")</f>
        <v/>
      </c>
      <c r="F237" s="1" t="str">
        <f aca="false">IFERROR(IF(ISBLANK(INDEX(SprintPlanning[Sprint],MATCH($A237,SprintPlanning[Requirement ID],0))),"",INDEX(SprintPlanning[Sprint],MATCH($A237,SprintPlanning[Requirement ID],0))),"")</f>
        <v/>
      </c>
      <c r="H237" s="58"/>
      <c r="J237" s="1" t="str">
        <f aca="false">IFERROR(IF(ISBLANK(INDEX(Backlog[Priority],MATCH($A237,Backlog[Requirement ID],0))),"",INDEX(Backlog[Priority],MATCH($A237,Backlog[Requirement ID],0))),"")</f>
        <v/>
      </c>
      <c r="L237" s="1" t="str">
        <f aca="false">IFERROR(IF(ISBLANK(INDEX(Backlog[HLE],MATCH($A237,Backlog[Requirement ID],0))),"",IF(INDEX(Backlog[HLE],MATCH($A237,Backlog[Requirement ID],0))&lt;=5,0.5,IF(INDEX(Backlog[HLE],MATCH($A237,Backlog[Requirement ID],0))&lt;=8,1,IF(INDEX(Backlog[HLE],MATCH($A237,Backlog[Requirement ID],0))&lt;=13,2,IF(INDEX(Backlog[HLE],MATCH($A237,Backlog[Requirement ID],0))&lt;=20,3,5))))),"")</f>
        <v/>
      </c>
    </row>
    <row r="238" customFormat="false" ht="15" hidden="false" customHeight="true" outlineLevel="0" collapsed="false">
      <c r="A238" s="1" t="str">
        <f aca="false">Backlog!A238</f>
        <v/>
      </c>
      <c r="B238" s="57" t="str">
        <f aca="false">IFERROR(IF(ISBLANK(INDEX(Backlog[Requirement Name],MATCH($A238,Backlog[Requirement ID],0))),"",INDEX(Backlog[Requirement Name],MATCH($A238,Backlog[Requirement ID],0))),"")</f>
        <v/>
      </c>
      <c r="C238" s="1" t="str">
        <f aca="false">IFERROR(IF(ISBLANK(INDEX(Backlog[Stream],MATCH($A238,Backlog[Requirement ID],0))),"",INDEX(Backlog[Stream],MATCH($A238,Backlog[Requirement ID],0))),"")</f>
        <v/>
      </c>
      <c r="D238" s="1" t="str">
        <f aca="false">IFERROR(IF(ISBLANK(INDEX(Backlog[Jira Link],MATCH($A238,Backlog[Requirement ID],0))),"",INDEX(Backlog[Jira Link],MATCH($A238,Backlog[Requirement ID],0))),"")</f>
        <v/>
      </c>
      <c r="E238" s="1" t="str">
        <f aca="false">IFERROR(IF(ISBLANK(INDEX(Backlog[Status],MATCH($A238,Backlog[Requirement ID],0))),"",INDEX(Backlog[Status],MATCH($A238,Backlog[Requirement ID],0))),"")</f>
        <v/>
      </c>
      <c r="F238" s="1" t="str">
        <f aca="false">IFERROR(IF(ISBLANK(INDEX(SprintPlanning[Sprint],MATCH($A238,SprintPlanning[Requirement ID],0))),"",INDEX(SprintPlanning[Sprint],MATCH($A238,SprintPlanning[Requirement ID],0))),"")</f>
        <v/>
      </c>
      <c r="H238" s="58"/>
      <c r="J238" s="1" t="str">
        <f aca="false">IFERROR(IF(ISBLANK(INDEX(Backlog[Priority],MATCH($A238,Backlog[Requirement ID],0))),"",INDEX(Backlog[Priority],MATCH($A238,Backlog[Requirement ID],0))),"")</f>
        <v/>
      </c>
      <c r="L238" s="1" t="str">
        <f aca="false">IFERROR(IF(ISBLANK(INDEX(Backlog[HLE],MATCH($A238,Backlog[Requirement ID],0))),"",IF(INDEX(Backlog[HLE],MATCH($A238,Backlog[Requirement ID],0))&lt;=5,0.5,IF(INDEX(Backlog[HLE],MATCH($A238,Backlog[Requirement ID],0))&lt;=8,1,IF(INDEX(Backlog[HLE],MATCH($A238,Backlog[Requirement ID],0))&lt;=13,2,IF(INDEX(Backlog[HLE],MATCH($A238,Backlog[Requirement ID],0))&lt;=20,3,5))))),"")</f>
        <v/>
      </c>
    </row>
    <row r="239" customFormat="false" ht="15" hidden="false" customHeight="true" outlineLevel="0" collapsed="false">
      <c r="A239" s="1" t="str">
        <f aca="false">Backlog!A239</f>
        <v/>
      </c>
      <c r="B239" s="57" t="str">
        <f aca="false">IFERROR(IF(ISBLANK(INDEX(Backlog[Requirement Name],MATCH($A239,Backlog[Requirement ID],0))),"",INDEX(Backlog[Requirement Name],MATCH($A239,Backlog[Requirement ID],0))),"")</f>
        <v/>
      </c>
      <c r="C239" s="1" t="str">
        <f aca="false">IFERROR(IF(ISBLANK(INDEX(Backlog[Stream],MATCH($A239,Backlog[Requirement ID],0))),"",INDEX(Backlog[Stream],MATCH($A239,Backlog[Requirement ID],0))),"")</f>
        <v/>
      </c>
      <c r="D239" s="1" t="str">
        <f aca="false">IFERROR(IF(ISBLANK(INDEX(Backlog[Jira Link],MATCH($A239,Backlog[Requirement ID],0))),"",INDEX(Backlog[Jira Link],MATCH($A239,Backlog[Requirement ID],0))),"")</f>
        <v/>
      </c>
      <c r="E239" s="1" t="str">
        <f aca="false">IFERROR(IF(ISBLANK(INDEX(Backlog[Status],MATCH($A239,Backlog[Requirement ID],0))),"",INDEX(Backlog[Status],MATCH($A239,Backlog[Requirement ID],0))),"")</f>
        <v/>
      </c>
      <c r="F239" s="1" t="str">
        <f aca="false">IFERROR(IF(ISBLANK(INDEX(SprintPlanning[Sprint],MATCH($A239,SprintPlanning[Requirement ID],0))),"",INDEX(SprintPlanning[Sprint],MATCH($A239,SprintPlanning[Requirement ID],0))),"")</f>
        <v/>
      </c>
      <c r="H239" s="58"/>
      <c r="J239" s="1" t="str">
        <f aca="false">IFERROR(IF(ISBLANK(INDEX(Backlog[Priority],MATCH($A239,Backlog[Requirement ID],0))),"",INDEX(Backlog[Priority],MATCH($A239,Backlog[Requirement ID],0))),"")</f>
        <v/>
      </c>
      <c r="L239" s="1" t="str">
        <f aca="false">IFERROR(IF(ISBLANK(INDEX(Backlog[HLE],MATCH($A239,Backlog[Requirement ID],0))),"",IF(INDEX(Backlog[HLE],MATCH($A239,Backlog[Requirement ID],0))&lt;=5,0.5,IF(INDEX(Backlog[HLE],MATCH($A239,Backlog[Requirement ID],0))&lt;=8,1,IF(INDEX(Backlog[HLE],MATCH($A239,Backlog[Requirement ID],0))&lt;=13,2,IF(INDEX(Backlog[HLE],MATCH($A239,Backlog[Requirement ID],0))&lt;=20,3,5))))),"")</f>
        <v/>
      </c>
    </row>
    <row r="240" customFormat="false" ht="15" hidden="false" customHeight="true" outlineLevel="0" collapsed="false">
      <c r="A240" s="1" t="str">
        <f aca="false">Backlog!A240</f>
        <v/>
      </c>
      <c r="B240" s="57" t="str">
        <f aca="false">IFERROR(IF(ISBLANK(INDEX(Backlog[Requirement Name],MATCH($A240,Backlog[Requirement ID],0))),"",INDEX(Backlog[Requirement Name],MATCH($A240,Backlog[Requirement ID],0))),"")</f>
        <v/>
      </c>
      <c r="C240" s="1" t="str">
        <f aca="false">IFERROR(IF(ISBLANK(INDEX(Backlog[Stream],MATCH($A240,Backlog[Requirement ID],0))),"",INDEX(Backlog[Stream],MATCH($A240,Backlog[Requirement ID],0))),"")</f>
        <v/>
      </c>
      <c r="D240" s="1" t="str">
        <f aca="false">IFERROR(IF(ISBLANK(INDEX(Backlog[Jira Link],MATCH($A240,Backlog[Requirement ID],0))),"",INDEX(Backlog[Jira Link],MATCH($A240,Backlog[Requirement ID],0))),"")</f>
        <v/>
      </c>
      <c r="E240" s="1" t="str">
        <f aca="false">IFERROR(IF(ISBLANK(INDEX(Backlog[Status],MATCH($A240,Backlog[Requirement ID],0))),"",INDEX(Backlog[Status],MATCH($A240,Backlog[Requirement ID],0))),"")</f>
        <v/>
      </c>
      <c r="F240" s="1" t="str">
        <f aca="false">IFERROR(IF(ISBLANK(INDEX(SprintPlanning[Sprint],MATCH($A240,SprintPlanning[Requirement ID],0))),"",INDEX(SprintPlanning[Sprint],MATCH($A240,SprintPlanning[Requirement ID],0))),"")</f>
        <v/>
      </c>
      <c r="H240" s="58"/>
      <c r="J240" s="1" t="str">
        <f aca="false">IFERROR(IF(ISBLANK(INDEX(Backlog[Priority],MATCH($A240,Backlog[Requirement ID],0))),"",INDEX(Backlog[Priority],MATCH($A240,Backlog[Requirement ID],0))),"")</f>
        <v/>
      </c>
      <c r="L240" s="1" t="str">
        <f aca="false">IFERROR(IF(ISBLANK(INDEX(Backlog[HLE],MATCH($A240,Backlog[Requirement ID],0))),"",IF(INDEX(Backlog[HLE],MATCH($A240,Backlog[Requirement ID],0))&lt;=5,0.5,IF(INDEX(Backlog[HLE],MATCH($A240,Backlog[Requirement ID],0))&lt;=8,1,IF(INDEX(Backlog[HLE],MATCH($A240,Backlog[Requirement ID],0))&lt;=13,2,IF(INDEX(Backlog[HLE],MATCH($A240,Backlog[Requirement ID],0))&lt;=20,3,5))))),"")</f>
        <v/>
      </c>
    </row>
    <row r="241" customFormat="false" ht="15" hidden="false" customHeight="true" outlineLevel="0" collapsed="false">
      <c r="A241" s="1" t="str">
        <f aca="false">Backlog!A241</f>
        <v/>
      </c>
      <c r="B241" s="57" t="str">
        <f aca="false">IFERROR(IF(ISBLANK(INDEX(Backlog[Requirement Name],MATCH($A241,Backlog[Requirement ID],0))),"",INDEX(Backlog[Requirement Name],MATCH($A241,Backlog[Requirement ID],0))),"")</f>
        <v/>
      </c>
      <c r="C241" s="1" t="str">
        <f aca="false">IFERROR(IF(ISBLANK(INDEX(Backlog[Stream],MATCH($A241,Backlog[Requirement ID],0))),"",INDEX(Backlog[Stream],MATCH($A241,Backlog[Requirement ID],0))),"")</f>
        <v/>
      </c>
      <c r="D241" s="1" t="str">
        <f aca="false">IFERROR(IF(ISBLANK(INDEX(Backlog[Jira Link],MATCH($A241,Backlog[Requirement ID],0))),"",INDEX(Backlog[Jira Link],MATCH($A241,Backlog[Requirement ID],0))),"")</f>
        <v/>
      </c>
      <c r="E241" s="1" t="str">
        <f aca="false">IFERROR(IF(ISBLANK(INDEX(Backlog[Status],MATCH($A241,Backlog[Requirement ID],0))),"",INDEX(Backlog[Status],MATCH($A241,Backlog[Requirement ID],0))),"")</f>
        <v/>
      </c>
      <c r="F241" s="1" t="str">
        <f aca="false">IFERROR(IF(ISBLANK(INDEX(SprintPlanning[Sprint],MATCH($A241,SprintPlanning[Requirement ID],0))),"",INDEX(SprintPlanning[Sprint],MATCH($A241,SprintPlanning[Requirement ID],0))),"")</f>
        <v/>
      </c>
      <c r="H241" s="58"/>
      <c r="J241" s="1" t="str">
        <f aca="false">IFERROR(IF(ISBLANK(INDEX(Backlog[Priority],MATCH($A241,Backlog[Requirement ID],0))),"",INDEX(Backlog[Priority],MATCH($A241,Backlog[Requirement ID],0))),"")</f>
        <v/>
      </c>
      <c r="L241" s="1" t="str">
        <f aca="false">IFERROR(IF(ISBLANK(INDEX(Backlog[HLE],MATCH($A241,Backlog[Requirement ID],0))),"",IF(INDEX(Backlog[HLE],MATCH($A241,Backlog[Requirement ID],0))&lt;=5,0.5,IF(INDEX(Backlog[HLE],MATCH($A241,Backlog[Requirement ID],0))&lt;=8,1,IF(INDEX(Backlog[HLE],MATCH($A241,Backlog[Requirement ID],0))&lt;=13,2,IF(INDEX(Backlog[HLE],MATCH($A241,Backlog[Requirement ID],0))&lt;=20,3,5))))),"")</f>
        <v/>
      </c>
    </row>
    <row r="242" customFormat="false" ht="15" hidden="false" customHeight="true" outlineLevel="0" collapsed="false">
      <c r="A242" s="1" t="str">
        <f aca="false">Backlog!A242</f>
        <v/>
      </c>
      <c r="B242" s="57" t="str">
        <f aca="false">IFERROR(IF(ISBLANK(INDEX(Backlog[Requirement Name],MATCH($A242,Backlog[Requirement ID],0))),"",INDEX(Backlog[Requirement Name],MATCH($A242,Backlog[Requirement ID],0))),"")</f>
        <v/>
      </c>
      <c r="C242" s="1" t="str">
        <f aca="false">IFERROR(IF(ISBLANK(INDEX(Backlog[Stream],MATCH($A242,Backlog[Requirement ID],0))),"",INDEX(Backlog[Stream],MATCH($A242,Backlog[Requirement ID],0))),"")</f>
        <v/>
      </c>
      <c r="D242" s="1" t="str">
        <f aca="false">IFERROR(IF(ISBLANK(INDEX(Backlog[Jira Link],MATCH($A242,Backlog[Requirement ID],0))),"",INDEX(Backlog[Jira Link],MATCH($A242,Backlog[Requirement ID],0))),"")</f>
        <v/>
      </c>
      <c r="E242" s="1" t="str">
        <f aca="false">IFERROR(IF(ISBLANK(INDEX(Backlog[Status],MATCH($A242,Backlog[Requirement ID],0))),"",INDEX(Backlog[Status],MATCH($A242,Backlog[Requirement ID],0))),"")</f>
        <v/>
      </c>
      <c r="F242" s="1" t="str">
        <f aca="false">IFERROR(IF(ISBLANK(INDEX(SprintPlanning[Sprint],MATCH($A242,SprintPlanning[Requirement ID],0))),"",INDEX(SprintPlanning[Sprint],MATCH($A242,SprintPlanning[Requirement ID],0))),"")</f>
        <v/>
      </c>
      <c r="H242" s="58"/>
      <c r="J242" s="1" t="str">
        <f aca="false">IFERROR(IF(ISBLANK(INDEX(Backlog[Priority],MATCH($A242,Backlog[Requirement ID],0))),"",INDEX(Backlog[Priority],MATCH($A242,Backlog[Requirement ID],0))),"")</f>
        <v/>
      </c>
      <c r="L242" s="1" t="str">
        <f aca="false">IFERROR(IF(ISBLANK(INDEX(Backlog[HLE],MATCH($A242,Backlog[Requirement ID],0))),"",IF(INDEX(Backlog[HLE],MATCH($A242,Backlog[Requirement ID],0))&lt;=5,0.5,IF(INDEX(Backlog[HLE],MATCH($A242,Backlog[Requirement ID],0))&lt;=8,1,IF(INDEX(Backlog[HLE],MATCH($A242,Backlog[Requirement ID],0))&lt;=13,2,IF(INDEX(Backlog[HLE],MATCH($A242,Backlog[Requirement ID],0))&lt;=20,3,5))))),"")</f>
        <v/>
      </c>
    </row>
    <row r="243" customFormat="false" ht="15" hidden="false" customHeight="true" outlineLevel="0" collapsed="false">
      <c r="A243" s="1" t="str">
        <f aca="false">Backlog!A243</f>
        <v/>
      </c>
      <c r="B243" s="57" t="str">
        <f aca="false">IFERROR(IF(ISBLANK(INDEX(Backlog[Requirement Name],MATCH($A243,Backlog[Requirement ID],0))),"",INDEX(Backlog[Requirement Name],MATCH($A243,Backlog[Requirement ID],0))),"")</f>
        <v/>
      </c>
      <c r="C243" s="1" t="str">
        <f aca="false">IFERROR(IF(ISBLANK(INDEX(Backlog[Stream],MATCH($A243,Backlog[Requirement ID],0))),"",INDEX(Backlog[Stream],MATCH($A243,Backlog[Requirement ID],0))),"")</f>
        <v/>
      </c>
      <c r="D243" s="1" t="str">
        <f aca="false">IFERROR(IF(ISBLANK(INDEX(Backlog[Jira Link],MATCH($A243,Backlog[Requirement ID],0))),"",INDEX(Backlog[Jira Link],MATCH($A243,Backlog[Requirement ID],0))),"")</f>
        <v/>
      </c>
      <c r="E243" s="1" t="str">
        <f aca="false">IFERROR(IF(ISBLANK(INDEX(Backlog[Status],MATCH($A243,Backlog[Requirement ID],0))),"",INDEX(Backlog[Status],MATCH($A243,Backlog[Requirement ID],0))),"")</f>
        <v/>
      </c>
      <c r="F243" s="1" t="str">
        <f aca="false">IFERROR(IF(ISBLANK(INDEX(SprintPlanning[Sprint],MATCH($A243,SprintPlanning[Requirement ID],0))),"",INDEX(SprintPlanning[Sprint],MATCH($A243,SprintPlanning[Requirement ID],0))),"")</f>
        <v/>
      </c>
      <c r="H243" s="58"/>
      <c r="J243" s="1" t="str">
        <f aca="false">IFERROR(IF(ISBLANK(INDEX(Backlog[Priority],MATCH($A243,Backlog[Requirement ID],0))),"",INDEX(Backlog[Priority],MATCH($A243,Backlog[Requirement ID],0))),"")</f>
        <v/>
      </c>
      <c r="L243" s="1" t="str">
        <f aca="false">IFERROR(IF(ISBLANK(INDEX(Backlog[HLE],MATCH($A243,Backlog[Requirement ID],0))),"",IF(INDEX(Backlog[HLE],MATCH($A243,Backlog[Requirement ID],0))&lt;=5,0.5,IF(INDEX(Backlog[HLE],MATCH($A243,Backlog[Requirement ID],0))&lt;=8,1,IF(INDEX(Backlog[HLE],MATCH($A243,Backlog[Requirement ID],0))&lt;=13,2,IF(INDEX(Backlog[HLE],MATCH($A243,Backlog[Requirement ID],0))&lt;=20,3,5))))),"")</f>
        <v/>
      </c>
    </row>
    <row r="244" customFormat="false" ht="15" hidden="false" customHeight="true" outlineLevel="0" collapsed="false">
      <c r="A244" s="1" t="str">
        <f aca="false">Backlog!A244</f>
        <v/>
      </c>
      <c r="B244" s="57" t="str">
        <f aca="false">IFERROR(IF(ISBLANK(INDEX(Backlog[Requirement Name],MATCH($A244,Backlog[Requirement ID],0))),"",INDEX(Backlog[Requirement Name],MATCH($A244,Backlog[Requirement ID],0))),"")</f>
        <v/>
      </c>
      <c r="C244" s="1" t="str">
        <f aca="false">IFERROR(IF(ISBLANK(INDEX(Backlog[Stream],MATCH($A244,Backlog[Requirement ID],0))),"",INDEX(Backlog[Stream],MATCH($A244,Backlog[Requirement ID],0))),"")</f>
        <v/>
      </c>
      <c r="D244" s="1" t="str">
        <f aca="false">IFERROR(IF(ISBLANK(INDEX(Backlog[Jira Link],MATCH($A244,Backlog[Requirement ID],0))),"",INDEX(Backlog[Jira Link],MATCH($A244,Backlog[Requirement ID],0))),"")</f>
        <v/>
      </c>
      <c r="E244" s="1" t="str">
        <f aca="false">IFERROR(IF(ISBLANK(INDEX(Backlog[Status],MATCH($A244,Backlog[Requirement ID],0))),"",INDEX(Backlog[Status],MATCH($A244,Backlog[Requirement ID],0))),"")</f>
        <v/>
      </c>
      <c r="F244" s="1" t="str">
        <f aca="false">IFERROR(IF(ISBLANK(INDEX(SprintPlanning[Sprint],MATCH($A244,SprintPlanning[Requirement ID],0))),"",INDEX(SprintPlanning[Sprint],MATCH($A244,SprintPlanning[Requirement ID],0))),"")</f>
        <v/>
      </c>
      <c r="H244" s="58"/>
      <c r="J244" s="1" t="str">
        <f aca="false">IFERROR(IF(ISBLANK(INDEX(Backlog[Priority],MATCH($A244,Backlog[Requirement ID],0))),"",INDEX(Backlog[Priority],MATCH($A244,Backlog[Requirement ID],0))),"")</f>
        <v/>
      </c>
      <c r="L244" s="1" t="str">
        <f aca="false">IFERROR(IF(ISBLANK(INDEX(Backlog[HLE],MATCH($A244,Backlog[Requirement ID],0))),"",IF(INDEX(Backlog[HLE],MATCH($A244,Backlog[Requirement ID],0))&lt;=5,0.5,IF(INDEX(Backlog[HLE],MATCH($A244,Backlog[Requirement ID],0))&lt;=8,1,IF(INDEX(Backlog[HLE],MATCH($A244,Backlog[Requirement ID],0))&lt;=13,2,IF(INDEX(Backlog[HLE],MATCH($A244,Backlog[Requirement ID],0))&lt;=20,3,5))))),"")</f>
        <v/>
      </c>
    </row>
    <row r="245" customFormat="false" ht="15" hidden="false" customHeight="true" outlineLevel="0" collapsed="false">
      <c r="A245" s="1" t="str">
        <f aca="false">Backlog!A245</f>
        <v/>
      </c>
      <c r="B245" s="57" t="str">
        <f aca="false">IFERROR(IF(ISBLANK(INDEX(Backlog[Requirement Name],MATCH($A245,Backlog[Requirement ID],0))),"",INDEX(Backlog[Requirement Name],MATCH($A245,Backlog[Requirement ID],0))),"")</f>
        <v/>
      </c>
      <c r="C245" s="1" t="str">
        <f aca="false">IFERROR(IF(ISBLANK(INDEX(Backlog[Stream],MATCH($A245,Backlog[Requirement ID],0))),"",INDEX(Backlog[Stream],MATCH($A245,Backlog[Requirement ID],0))),"")</f>
        <v/>
      </c>
      <c r="D245" s="1" t="str">
        <f aca="false">IFERROR(IF(ISBLANK(INDEX(Backlog[Jira Link],MATCH($A245,Backlog[Requirement ID],0))),"",INDEX(Backlog[Jira Link],MATCH($A245,Backlog[Requirement ID],0))),"")</f>
        <v/>
      </c>
      <c r="E245" s="1" t="str">
        <f aca="false">IFERROR(IF(ISBLANK(INDEX(Backlog[Status],MATCH($A245,Backlog[Requirement ID],0))),"",INDEX(Backlog[Status],MATCH($A245,Backlog[Requirement ID],0))),"")</f>
        <v/>
      </c>
      <c r="F245" s="1" t="str">
        <f aca="false">IFERROR(IF(ISBLANK(INDEX(SprintPlanning[Sprint],MATCH($A245,SprintPlanning[Requirement ID],0))),"",INDEX(SprintPlanning[Sprint],MATCH($A245,SprintPlanning[Requirement ID],0))),"")</f>
        <v/>
      </c>
      <c r="H245" s="58"/>
      <c r="J245" s="1" t="str">
        <f aca="false">IFERROR(IF(ISBLANK(INDEX(Backlog[Priority],MATCH($A245,Backlog[Requirement ID],0))),"",INDEX(Backlog[Priority],MATCH($A245,Backlog[Requirement ID],0))),"")</f>
        <v/>
      </c>
      <c r="L245" s="1" t="str">
        <f aca="false">IFERROR(IF(ISBLANK(INDEX(Backlog[HLE],MATCH($A245,Backlog[Requirement ID],0))),"",IF(INDEX(Backlog[HLE],MATCH($A245,Backlog[Requirement ID],0))&lt;=5,0.5,IF(INDEX(Backlog[HLE],MATCH($A245,Backlog[Requirement ID],0))&lt;=8,1,IF(INDEX(Backlog[HLE],MATCH($A245,Backlog[Requirement ID],0))&lt;=13,2,IF(INDEX(Backlog[HLE],MATCH($A245,Backlog[Requirement ID],0))&lt;=20,3,5))))),"")</f>
        <v/>
      </c>
    </row>
    <row r="246" customFormat="false" ht="15" hidden="false" customHeight="true" outlineLevel="0" collapsed="false">
      <c r="A246" s="1" t="str">
        <f aca="false">Backlog!A246</f>
        <v/>
      </c>
      <c r="B246" s="57" t="str">
        <f aca="false">IFERROR(IF(ISBLANK(INDEX(Backlog[Requirement Name],MATCH($A246,Backlog[Requirement ID],0))),"",INDEX(Backlog[Requirement Name],MATCH($A246,Backlog[Requirement ID],0))),"")</f>
        <v/>
      </c>
      <c r="C246" s="1" t="str">
        <f aca="false">IFERROR(IF(ISBLANK(INDEX(Backlog[Stream],MATCH($A246,Backlog[Requirement ID],0))),"",INDEX(Backlog[Stream],MATCH($A246,Backlog[Requirement ID],0))),"")</f>
        <v/>
      </c>
      <c r="D246" s="1" t="str">
        <f aca="false">IFERROR(IF(ISBLANK(INDEX(Backlog[Jira Link],MATCH($A246,Backlog[Requirement ID],0))),"",INDEX(Backlog[Jira Link],MATCH($A246,Backlog[Requirement ID],0))),"")</f>
        <v/>
      </c>
      <c r="E246" s="1" t="str">
        <f aca="false">IFERROR(IF(ISBLANK(INDEX(Backlog[Status],MATCH($A246,Backlog[Requirement ID],0))),"",INDEX(Backlog[Status],MATCH($A246,Backlog[Requirement ID],0))),"")</f>
        <v/>
      </c>
      <c r="F246" s="1" t="str">
        <f aca="false">IFERROR(IF(ISBLANK(INDEX(SprintPlanning[Sprint],MATCH($A246,SprintPlanning[Requirement ID],0))),"",INDEX(SprintPlanning[Sprint],MATCH($A246,SprintPlanning[Requirement ID],0))),"")</f>
        <v/>
      </c>
      <c r="H246" s="58"/>
      <c r="J246" s="1" t="str">
        <f aca="false">IFERROR(IF(ISBLANK(INDEX(Backlog[Priority],MATCH($A246,Backlog[Requirement ID],0))),"",INDEX(Backlog[Priority],MATCH($A246,Backlog[Requirement ID],0))),"")</f>
        <v/>
      </c>
      <c r="L246" s="1" t="str">
        <f aca="false">IFERROR(IF(ISBLANK(INDEX(Backlog[HLE],MATCH($A246,Backlog[Requirement ID],0))),"",IF(INDEX(Backlog[HLE],MATCH($A246,Backlog[Requirement ID],0))&lt;=5,0.5,IF(INDEX(Backlog[HLE],MATCH($A246,Backlog[Requirement ID],0))&lt;=8,1,IF(INDEX(Backlog[HLE],MATCH($A246,Backlog[Requirement ID],0))&lt;=13,2,IF(INDEX(Backlog[HLE],MATCH($A246,Backlog[Requirement ID],0))&lt;=20,3,5))))),"")</f>
        <v/>
      </c>
    </row>
    <row r="247" customFormat="false" ht="15" hidden="false" customHeight="true" outlineLevel="0" collapsed="false">
      <c r="A247" s="1" t="str">
        <f aca="false">Backlog!A247</f>
        <v/>
      </c>
      <c r="B247" s="57" t="str">
        <f aca="false">IFERROR(IF(ISBLANK(INDEX(Backlog[Requirement Name],MATCH($A247,Backlog[Requirement ID],0))),"",INDEX(Backlog[Requirement Name],MATCH($A247,Backlog[Requirement ID],0))),"")</f>
        <v/>
      </c>
      <c r="C247" s="1" t="str">
        <f aca="false">IFERROR(IF(ISBLANK(INDEX(Backlog[Stream],MATCH($A247,Backlog[Requirement ID],0))),"",INDEX(Backlog[Stream],MATCH($A247,Backlog[Requirement ID],0))),"")</f>
        <v/>
      </c>
      <c r="D247" s="1" t="str">
        <f aca="false">IFERROR(IF(ISBLANK(INDEX(Backlog[Jira Link],MATCH($A247,Backlog[Requirement ID],0))),"",INDEX(Backlog[Jira Link],MATCH($A247,Backlog[Requirement ID],0))),"")</f>
        <v/>
      </c>
      <c r="E247" s="1" t="str">
        <f aca="false">IFERROR(IF(ISBLANK(INDEX(Backlog[Status],MATCH($A247,Backlog[Requirement ID],0))),"",INDEX(Backlog[Status],MATCH($A247,Backlog[Requirement ID],0))),"")</f>
        <v/>
      </c>
      <c r="F247" s="1" t="str">
        <f aca="false">IFERROR(IF(ISBLANK(INDEX(SprintPlanning[Sprint],MATCH($A247,SprintPlanning[Requirement ID],0))),"",INDEX(SprintPlanning[Sprint],MATCH($A247,SprintPlanning[Requirement ID],0))),"")</f>
        <v/>
      </c>
      <c r="H247" s="58"/>
      <c r="J247" s="1" t="str">
        <f aca="false">IFERROR(IF(ISBLANK(INDEX(Backlog[Priority],MATCH($A247,Backlog[Requirement ID],0))),"",INDEX(Backlog[Priority],MATCH($A247,Backlog[Requirement ID],0))),"")</f>
        <v/>
      </c>
      <c r="L247" s="1" t="str">
        <f aca="false">IFERROR(IF(ISBLANK(INDEX(Backlog[HLE],MATCH($A247,Backlog[Requirement ID],0))),"",IF(INDEX(Backlog[HLE],MATCH($A247,Backlog[Requirement ID],0))&lt;=5,0.5,IF(INDEX(Backlog[HLE],MATCH($A247,Backlog[Requirement ID],0))&lt;=8,1,IF(INDEX(Backlog[HLE],MATCH($A247,Backlog[Requirement ID],0))&lt;=13,2,IF(INDEX(Backlog[HLE],MATCH($A247,Backlog[Requirement ID],0))&lt;=20,3,5))))),"")</f>
        <v/>
      </c>
    </row>
    <row r="248" customFormat="false" ht="15" hidden="false" customHeight="true" outlineLevel="0" collapsed="false">
      <c r="A248" s="1" t="str">
        <f aca="false">Backlog!A248</f>
        <v/>
      </c>
      <c r="B248" s="57" t="str">
        <f aca="false">IFERROR(IF(ISBLANK(INDEX(Backlog[Requirement Name],MATCH($A248,Backlog[Requirement ID],0))),"",INDEX(Backlog[Requirement Name],MATCH($A248,Backlog[Requirement ID],0))),"")</f>
        <v/>
      </c>
      <c r="C248" s="1" t="str">
        <f aca="false">IFERROR(IF(ISBLANK(INDEX(Backlog[Stream],MATCH($A248,Backlog[Requirement ID],0))),"",INDEX(Backlog[Stream],MATCH($A248,Backlog[Requirement ID],0))),"")</f>
        <v/>
      </c>
      <c r="D248" s="1" t="str">
        <f aca="false">IFERROR(IF(ISBLANK(INDEX(Backlog[Jira Link],MATCH($A248,Backlog[Requirement ID],0))),"",INDEX(Backlog[Jira Link],MATCH($A248,Backlog[Requirement ID],0))),"")</f>
        <v/>
      </c>
      <c r="E248" s="1" t="str">
        <f aca="false">IFERROR(IF(ISBLANK(INDEX(Backlog[Status],MATCH($A248,Backlog[Requirement ID],0))),"",INDEX(Backlog[Status],MATCH($A248,Backlog[Requirement ID],0))),"")</f>
        <v/>
      </c>
      <c r="F248" s="1" t="str">
        <f aca="false">IFERROR(IF(ISBLANK(INDEX(SprintPlanning[Sprint],MATCH($A248,SprintPlanning[Requirement ID],0))),"",INDEX(SprintPlanning[Sprint],MATCH($A248,SprintPlanning[Requirement ID],0))),"")</f>
        <v/>
      </c>
      <c r="H248" s="58"/>
      <c r="J248" s="1" t="str">
        <f aca="false">IFERROR(IF(ISBLANK(INDEX(Backlog[Priority],MATCH($A248,Backlog[Requirement ID],0))),"",INDEX(Backlog[Priority],MATCH($A248,Backlog[Requirement ID],0))),"")</f>
        <v/>
      </c>
      <c r="L248" s="1" t="str">
        <f aca="false">IFERROR(IF(ISBLANK(INDEX(Backlog[HLE],MATCH($A248,Backlog[Requirement ID],0))),"",IF(INDEX(Backlog[HLE],MATCH($A248,Backlog[Requirement ID],0))&lt;=5,0.5,IF(INDEX(Backlog[HLE],MATCH($A248,Backlog[Requirement ID],0))&lt;=8,1,IF(INDEX(Backlog[HLE],MATCH($A248,Backlog[Requirement ID],0))&lt;=13,2,IF(INDEX(Backlog[HLE],MATCH($A248,Backlog[Requirement ID],0))&lt;=20,3,5))))),"")</f>
        <v/>
      </c>
    </row>
    <row r="249" customFormat="false" ht="15" hidden="false" customHeight="true" outlineLevel="0" collapsed="false">
      <c r="A249" s="1" t="str">
        <f aca="false">Backlog!A249</f>
        <v/>
      </c>
      <c r="B249" s="57" t="str">
        <f aca="false">IFERROR(IF(ISBLANK(INDEX(Backlog[Requirement Name],MATCH($A249,Backlog[Requirement ID],0))),"",INDEX(Backlog[Requirement Name],MATCH($A249,Backlog[Requirement ID],0))),"")</f>
        <v/>
      </c>
      <c r="C249" s="1" t="str">
        <f aca="false">IFERROR(IF(ISBLANK(INDEX(Backlog[Stream],MATCH($A249,Backlog[Requirement ID],0))),"",INDEX(Backlog[Stream],MATCH($A249,Backlog[Requirement ID],0))),"")</f>
        <v/>
      </c>
      <c r="D249" s="1" t="str">
        <f aca="false">IFERROR(IF(ISBLANK(INDEX(Backlog[Jira Link],MATCH($A249,Backlog[Requirement ID],0))),"",INDEX(Backlog[Jira Link],MATCH($A249,Backlog[Requirement ID],0))),"")</f>
        <v/>
      </c>
      <c r="E249" s="1" t="str">
        <f aca="false">IFERROR(IF(ISBLANK(INDEX(Backlog[Status],MATCH($A249,Backlog[Requirement ID],0))),"",INDEX(Backlog[Status],MATCH($A249,Backlog[Requirement ID],0))),"")</f>
        <v/>
      </c>
      <c r="F249" s="1" t="str">
        <f aca="false">IFERROR(IF(ISBLANK(INDEX(SprintPlanning[Sprint],MATCH($A249,SprintPlanning[Requirement ID],0))),"",INDEX(SprintPlanning[Sprint],MATCH($A249,SprintPlanning[Requirement ID],0))),"")</f>
        <v/>
      </c>
      <c r="H249" s="58"/>
      <c r="J249" s="1" t="str">
        <f aca="false">IFERROR(IF(ISBLANK(INDEX(Backlog[Priority],MATCH($A249,Backlog[Requirement ID],0))),"",INDEX(Backlog[Priority],MATCH($A249,Backlog[Requirement ID],0))),"")</f>
        <v/>
      </c>
      <c r="L249" s="1" t="str">
        <f aca="false">IFERROR(IF(ISBLANK(INDEX(Backlog[HLE],MATCH($A249,Backlog[Requirement ID],0))),"",IF(INDEX(Backlog[HLE],MATCH($A249,Backlog[Requirement ID],0))&lt;=5,0.5,IF(INDEX(Backlog[HLE],MATCH($A249,Backlog[Requirement ID],0))&lt;=8,1,IF(INDEX(Backlog[HLE],MATCH($A249,Backlog[Requirement ID],0))&lt;=13,2,IF(INDEX(Backlog[HLE],MATCH($A249,Backlog[Requirement ID],0))&lt;=20,3,5))))),"")</f>
        <v/>
      </c>
    </row>
    <row r="250" customFormat="false" ht="15" hidden="false" customHeight="true" outlineLevel="0" collapsed="false">
      <c r="A250" s="1" t="str">
        <f aca="false">Backlog!A250</f>
        <v/>
      </c>
      <c r="B250" s="57" t="str">
        <f aca="false">IFERROR(IF(ISBLANK(INDEX(Backlog[Requirement Name],MATCH($A250,Backlog[Requirement ID],0))),"",INDEX(Backlog[Requirement Name],MATCH($A250,Backlog[Requirement ID],0))),"")</f>
        <v/>
      </c>
      <c r="C250" s="1" t="str">
        <f aca="false">IFERROR(IF(ISBLANK(INDEX(Backlog[Stream],MATCH($A250,Backlog[Requirement ID],0))),"",INDEX(Backlog[Stream],MATCH($A250,Backlog[Requirement ID],0))),"")</f>
        <v/>
      </c>
      <c r="D250" s="1" t="str">
        <f aca="false">IFERROR(IF(ISBLANK(INDEX(Backlog[Jira Link],MATCH($A250,Backlog[Requirement ID],0))),"",INDEX(Backlog[Jira Link],MATCH($A250,Backlog[Requirement ID],0))),"")</f>
        <v/>
      </c>
      <c r="E250" s="1" t="str">
        <f aca="false">IFERROR(IF(ISBLANK(INDEX(Backlog[Status],MATCH($A250,Backlog[Requirement ID],0))),"",INDEX(Backlog[Status],MATCH($A250,Backlog[Requirement ID],0))),"")</f>
        <v/>
      </c>
      <c r="F250" s="1" t="str">
        <f aca="false">IFERROR(IF(ISBLANK(INDEX(SprintPlanning[Sprint],MATCH($A250,SprintPlanning[Requirement ID],0))),"",INDEX(SprintPlanning[Sprint],MATCH($A250,SprintPlanning[Requirement ID],0))),"")</f>
        <v/>
      </c>
      <c r="H250" s="58"/>
      <c r="J250" s="1" t="str">
        <f aca="false">IFERROR(IF(ISBLANK(INDEX(Backlog[Priority],MATCH($A250,Backlog[Requirement ID],0))),"",INDEX(Backlog[Priority],MATCH($A250,Backlog[Requirement ID],0))),"")</f>
        <v/>
      </c>
      <c r="L250" s="1" t="str">
        <f aca="false">IFERROR(IF(ISBLANK(INDEX(Backlog[HLE],MATCH($A250,Backlog[Requirement ID],0))),"",IF(INDEX(Backlog[HLE],MATCH($A250,Backlog[Requirement ID],0))&lt;=5,0.5,IF(INDEX(Backlog[HLE],MATCH($A250,Backlog[Requirement ID],0))&lt;=8,1,IF(INDEX(Backlog[HLE],MATCH($A250,Backlog[Requirement ID],0))&lt;=13,2,IF(INDEX(Backlog[HLE],MATCH($A250,Backlog[Requirement ID],0))&lt;=20,3,5))))),"")</f>
        <v/>
      </c>
    </row>
    <row r="251" customFormat="false" ht="15" hidden="false" customHeight="true" outlineLevel="0" collapsed="false">
      <c r="A251" s="1" t="str">
        <f aca="false">Backlog!A251</f>
        <v/>
      </c>
      <c r="B251" s="57" t="str">
        <f aca="false">IFERROR(IF(ISBLANK(INDEX(Backlog[Requirement Name],MATCH($A251,Backlog[Requirement ID],0))),"",INDEX(Backlog[Requirement Name],MATCH($A251,Backlog[Requirement ID],0))),"")</f>
        <v/>
      </c>
      <c r="C251" s="1" t="str">
        <f aca="false">IFERROR(IF(ISBLANK(INDEX(Backlog[Stream],MATCH($A251,Backlog[Requirement ID],0))),"",INDEX(Backlog[Stream],MATCH($A251,Backlog[Requirement ID],0))),"")</f>
        <v/>
      </c>
      <c r="D251" s="1" t="str">
        <f aca="false">IFERROR(IF(ISBLANK(INDEX(Backlog[Jira Link],MATCH($A251,Backlog[Requirement ID],0))),"",INDEX(Backlog[Jira Link],MATCH($A251,Backlog[Requirement ID],0))),"")</f>
        <v/>
      </c>
      <c r="E251" s="1" t="str">
        <f aca="false">IFERROR(IF(ISBLANK(INDEX(Backlog[Status],MATCH($A251,Backlog[Requirement ID],0))),"",INDEX(Backlog[Status],MATCH($A251,Backlog[Requirement ID],0))),"")</f>
        <v/>
      </c>
      <c r="F251" s="1" t="str">
        <f aca="false">IFERROR(IF(ISBLANK(INDEX(SprintPlanning[Sprint],MATCH($A251,SprintPlanning[Requirement ID],0))),"",INDEX(SprintPlanning[Sprint],MATCH($A251,SprintPlanning[Requirement ID],0))),"")</f>
        <v/>
      </c>
      <c r="H251" s="58"/>
      <c r="J251" s="1" t="str">
        <f aca="false">IFERROR(IF(ISBLANK(INDEX(Backlog[Priority],MATCH($A251,Backlog[Requirement ID],0))),"",INDEX(Backlog[Priority],MATCH($A251,Backlog[Requirement ID],0))),"")</f>
        <v/>
      </c>
      <c r="L251" s="1" t="str">
        <f aca="false">IFERROR(IF(ISBLANK(INDEX(Backlog[HLE],MATCH($A251,Backlog[Requirement ID],0))),"",IF(INDEX(Backlog[HLE],MATCH($A251,Backlog[Requirement ID],0))&lt;=5,0.5,IF(INDEX(Backlog[HLE],MATCH($A251,Backlog[Requirement ID],0))&lt;=8,1,IF(INDEX(Backlog[HLE],MATCH($A251,Backlog[Requirement ID],0))&lt;=13,2,IF(INDEX(Backlog[HLE],MATCH($A251,Backlog[Requirement ID],0))&lt;=20,3,5))))),"")</f>
        <v/>
      </c>
    </row>
    <row r="252" customFormat="false" ht="15" hidden="false" customHeight="true" outlineLevel="0" collapsed="false">
      <c r="A252" s="1" t="str">
        <f aca="false">Backlog!A252</f>
        <v/>
      </c>
      <c r="B252" s="57" t="str">
        <f aca="false">IFERROR(IF(ISBLANK(INDEX(Backlog[Requirement Name],MATCH($A252,Backlog[Requirement ID],0))),"",INDEX(Backlog[Requirement Name],MATCH($A252,Backlog[Requirement ID],0))),"")</f>
        <v/>
      </c>
      <c r="C252" s="1" t="str">
        <f aca="false">IFERROR(IF(ISBLANK(INDEX(Backlog[Stream],MATCH($A252,Backlog[Requirement ID],0))),"",INDEX(Backlog[Stream],MATCH($A252,Backlog[Requirement ID],0))),"")</f>
        <v/>
      </c>
      <c r="D252" s="1" t="str">
        <f aca="false">IFERROR(IF(ISBLANK(INDEX(Backlog[Jira Link],MATCH($A252,Backlog[Requirement ID],0))),"",INDEX(Backlog[Jira Link],MATCH($A252,Backlog[Requirement ID],0))),"")</f>
        <v/>
      </c>
      <c r="E252" s="1" t="str">
        <f aca="false">IFERROR(IF(ISBLANK(INDEX(Backlog[Status],MATCH($A252,Backlog[Requirement ID],0))),"",INDEX(Backlog[Status],MATCH($A252,Backlog[Requirement ID],0))),"")</f>
        <v/>
      </c>
      <c r="F252" s="1" t="str">
        <f aca="false">IFERROR(IF(ISBLANK(INDEX(SprintPlanning[Sprint],MATCH($A252,SprintPlanning[Requirement ID],0))),"",INDEX(SprintPlanning[Sprint],MATCH($A252,SprintPlanning[Requirement ID],0))),"")</f>
        <v/>
      </c>
      <c r="H252" s="58"/>
      <c r="J252" s="1" t="str">
        <f aca="false">IFERROR(IF(ISBLANK(INDEX(Backlog[Priority],MATCH($A252,Backlog[Requirement ID],0))),"",INDEX(Backlog[Priority],MATCH($A252,Backlog[Requirement ID],0))),"")</f>
        <v/>
      </c>
      <c r="L252" s="1" t="str">
        <f aca="false">IFERROR(IF(ISBLANK(INDEX(Backlog[HLE],MATCH($A252,Backlog[Requirement ID],0))),"",IF(INDEX(Backlog[HLE],MATCH($A252,Backlog[Requirement ID],0))&lt;=5,0.5,IF(INDEX(Backlog[HLE],MATCH($A252,Backlog[Requirement ID],0))&lt;=8,1,IF(INDEX(Backlog[HLE],MATCH($A252,Backlog[Requirement ID],0))&lt;=13,2,IF(INDEX(Backlog[HLE],MATCH($A252,Backlog[Requirement ID],0))&lt;=20,3,5))))),"")</f>
        <v/>
      </c>
    </row>
    <row r="253" customFormat="false" ht="15" hidden="false" customHeight="true" outlineLevel="0" collapsed="false">
      <c r="A253" s="1" t="str">
        <f aca="false">Backlog!A253</f>
        <v/>
      </c>
      <c r="B253" s="57" t="str">
        <f aca="false">IFERROR(IF(ISBLANK(INDEX(Backlog[Requirement Name],MATCH($A253,Backlog[Requirement ID],0))),"",INDEX(Backlog[Requirement Name],MATCH($A253,Backlog[Requirement ID],0))),"")</f>
        <v/>
      </c>
      <c r="C253" s="1" t="str">
        <f aca="false">IFERROR(IF(ISBLANK(INDEX(Backlog[Stream],MATCH($A253,Backlog[Requirement ID],0))),"",INDEX(Backlog[Stream],MATCH($A253,Backlog[Requirement ID],0))),"")</f>
        <v/>
      </c>
      <c r="D253" s="1" t="str">
        <f aca="false">IFERROR(IF(ISBLANK(INDEX(Backlog[Jira Link],MATCH($A253,Backlog[Requirement ID],0))),"",INDEX(Backlog[Jira Link],MATCH($A253,Backlog[Requirement ID],0))),"")</f>
        <v/>
      </c>
      <c r="E253" s="1" t="str">
        <f aca="false">IFERROR(IF(ISBLANK(INDEX(Backlog[Status],MATCH($A253,Backlog[Requirement ID],0))),"",INDEX(Backlog[Status],MATCH($A253,Backlog[Requirement ID],0))),"")</f>
        <v/>
      </c>
      <c r="F253" s="1" t="str">
        <f aca="false">IFERROR(IF(ISBLANK(INDEX(SprintPlanning[Sprint],MATCH($A253,SprintPlanning[Requirement ID],0))),"",INDEX(SprintPlanning[Sprint],MATCH($A253,SprintPlanning[Requirement ID],0))),"")</f>
        <v/>
      </c>
      <c r="H253" s="58"/>
      <c r="J253" s="1" t="str">
        <f aca="false">IFERROR(IF(ISBLANK(INDEX(Backlog[Priority],MATCH($A253,Backlog[Requirement ID],0))),"",INDEX(Backlog[Priority],MATCH($A253,Backlog[Requirement ID],0))),"")</f>
        <v/>
      </c>
      <c r="L253" s="1" t="str">
        <f aca="false">IFERROR(IF(ISBLANK(INDEX(Backlog[HLE],MATCH($A253,Backlog[Requirement ID],0))),"",IF(INDEX(Backlog[HLE],MATCH($A253,Backlog[Requirement ID],0))&lt;=5,0.5,IF(INDEX(Backlog[HLE],MATCH($A253,Backlog[Requirement ID],0))&lt;=8,1,IF(INDEX(Backlog[HLE],MATCH($A253,Backlog[Requirement ID],0))&lt;=13,2,IF(INDEX(Backlog[HLE],MATCH($A253,Backlog[Requirement ID],0))&lt;=20,3,5))))),"")</f>
        <v/>
      </c>
    </row>
    <row r="254" customFormat="false" ht="15" hidden="false" customHeight="true" outlineLevel="0" collapsed="false">
      <c r="A254" s="1" t="str">
        <f aca="false">Backlog!A254</f>
        <v/>
      </c>
      <c r="B254" s="57" t="str">
        <f aca="false">IFERROR(IF(ISBLANK(INDEX(Backlog[Requirement Name],MATCH($A254,Backlog[Requirement ID],0))),"",INDEX(Backlog[Requirement Name],MATCH($A254,Backlog[Requirement ID],0))),"")</f>
        <v/>
      </c>
      <c r="C254" s="1" t="str">
        <f aca="false">IFERROR(IF(ISBLANK(INDEX(Backlog[Stream],MATCH($A254,Backlog[Requirement ID],0))),"",INDEX(Backlog[Stream],MATCH($A254,Backlog[Requirement ID],0))),"")</f>
        <v/>
      </c>
      <c r="D254" s="1" t="str">
        <f aca="false">IFERROR(IF(ISBLANK(INDEX(Backlog[Jira Link],MATCH($A254,Backlog[Requirement ID],0))),"",INDEX(Backlog[Jira Link],MATCH($A254,Backlog[Requirement ID],0))),"")</f>
        <v/>
      </c>
      <c r="E254" s="1" t="str">
        <f aca="false">IFERROR(IF(ISBLANK(INDEX(Backlog[Status],MATCH($A254,Backlog[Requirement ID],0))),"",INDEX(Backlog[Status],MATCH($A254,Backlog[Requirement ID],0))),"")</f>
        <v/>
      </c>
      <c r="F254" s="1" t="str">
        <f aca="false">IFERROR(IF(ISBLANK(INDEX(SprintPlanning[Sprint],MATCH($A254,SprintPlanning[Requirement ID],0))),"",INDEX(SprintPlanning[Sprint],MATCH($A254,SprintPlanning[Requirement ID],0))),"")</f>
        <v/>
      </c>
      <c r="H254" s="58"/>
      <c r="J254" s="1" t="str">
        <f aca="false">IFERROR(IF(ISBLANK(INDEX(Backlog[Priority],MATCH($A254,Backlog[Requirement ID],0))),"",INDEX(Backlog[Priority],MATCH($A254,Backlog[Requirement ID],0))),"")</f>
        <v/>
      </c>
      <c r="L254" s="1" t="str">
        <f aca="false">IFERROR(IF(ISBLANK(INDEX(Backlog[HLE],MATCH($A254,Backlog[Requirement ID],0))),"",IF(INDEX(Backlog[HLE],MATCH($A254,Backlog[Requirement ID],0))&lt;=5,0.5,IF(INDEX(Backlog[HLE],MATCH($A254,Backlog[Requirement ID],0))&lt;=8,1,IF(INDEX(Backlog[HLE],MATCH($A254,Backlog[Requirement ID],0))&lt;=13,2,IF(INDEX(Backlog[HLE],MATCH($A254,Backlog[Requirement ID],0))&lt;=20,3,5))))),"")</f>
        <v/>
      </c>
    </row>
    <row r="255" customFormat="false" ht="15" hidden="false" customHeight="true" outlineLevel="0" collapsed="false">
      <c r="A255" s="1" t="str">
        <f aca="false">Backlog!A255</f>
        <v/>
      </c>
      <c r="B255" s="57" t="str">
        <f aca="false">IFERROR(IF(ISBLANK(INDEX(Backlog[Requirement Name],MATCH($A255,Backlog[Requirement ID],0))),"",INDEX(Backlog[Requirement Name],MATCH($A255,Backlog[Requirement ID],0))),"")</f>
        <v/>
      </c>
      <c r="C255" s="1" t="str">
        <f aca="false">IFERROR(IF(ISBLANK(INDEX(Backlog[Stream],MATCH($A255,Backlog[Requirement ID],0))),"",INDEX(Backlog[Stream],MATCH($A255,Backlog[Requirement ID],0))),"")</f>
        <v/>
      </c>
      <c r="D255" s="1" t="str">
        <f aca="false">IFERROR(IF(ISBLANK(INDEX(Backlog[Jira Link],MATCH($A255,Backlog[Requirement ID],0))),"",INDEX(Backlog[Jira Link],MATCH($A255,Backlog[Requirement ID],0))),"")</f>
        <v/>
      </c>
      <c r="E255" s="1" t="str">
        <f aca="false">IFERROR(IF(ISBLANK(INDEX(Backlog[Status],MATCH($A255,Backlog[Requirement ID],0))),"",INDEX(Backlog[Status],MATCH($A255,Backlog[Requirement ID],0))),"")</f>
        <v/>
      </c>
      <c r="F255" s="1" t="str">
        <f aca="false">IFERROR(IF(ISBLANK(INDEX(SprintPlanning[Sprint],MATCH($A255,SprintPlanning[Requirement ID],0))),"",INDEX(SprintPlanning[Sprint],MATCH($A255,SprintPlanning[Requirement ID],0))),"")</f>
        <v/>
      </c>
      <c r="H255" s="58"/>
      <c r="J255" s="1" t="str">
        <f aca="false">IFERROR(IF(ISBLANK(INDEX(Backlog[Priority],MATCH($A255,Backlog[Requirement ID],0))),"",INDEX(Backlog[Priority],MATCH($A255,Backlog[Requirement ID],0))),"")</f>
        <v/>
      </c>
      <c r="L255" s="1" t="str">
        <f aca="false">IFERROR(IF(ISBLANK(INDEX(Backlog[HLE],MATCH($A255,Backlog[Requirement ID],0))),"",IF(INDEX(Backlog[HLE],MATCH($A255,Backlog[Requirement ID],0))&lt;=5,0.5,IF(INDEX(Backlog[HLE],MATCH($A255,Backlog[Requirement ID],0))&lt;=8,1,IF(INDEX(Backlog[HLE],MATCH($A255,Backlog[Requirement ID],0))&lt;=13,2,IF(INDEX(Backlog[HLE],MATCH($A255,Backlog[Requirement ID],0))&lt;=20,3,5))))),"")</f>
        <v/>
      </c>
    </row>
    <row r="256" customFormat="false" ht="15" hidden="false" customHeight="true" outlineLevel="0" collapsed="false">
      <c r="A256" s="1" t="str">
        <f aca="false">Backlog!A256</f>
        <v/>
      </c>
      <c r="B256" s="57" t="str">
        <f aca="false">IFERROR(IF(ISBLANK(INDEX(Backlog[Requirement Name],MATCH($A256,Backlog[Requirement ID],0))),"",INDEX(Backlog[Requirement Name],MATCH($A256,Backlog[Requirement ID],0))),"")</f>
        <v/>
      </c>
      <c r="C256" s="1" t="str">
        <f aca="false">IFERROR(IF(ISBLANK(INDEX(Backlog[Stream],MATCH($A256,Backlog[Requirement ID],0))),"",INDEX(Backlog[Stream],MATCH($A256,Backlog[Requirement ID],0))),"")</f>
        <v/>
      </c>
      <c r="D256" s="1" t="str">
        <f aca="false">IFERROR(IF(ISBLANK(INDEX(Backlog[Jira Link],MATCH($A256,Backlog[Requirement ID],0))),"",INDEX(Backlog[Jira Link],MATCH($A256,Backlog[Requirement ID],0))),"")</f>
        <v/>
      </c>
      <c r="E256" s="1" t="str">
        <f aca="false">IFERROR(IF(ISBLANK(INDEX(Backlog[Status],MATCH($A256,Backlog[Requirement ID],0))),"",INDEX(Backlog[Status],MATCH($A256,Backlog[Requirement ID],0))),"")</f>
        <v/>
      </c>
      <c r="F256" s="1" t="str">
        <f aca="false">IFERROR(IF(ISBLANK(INDEX(SprintPlanning[Sprint],MATCH($A256,SprintPlanning[Requirement ID],0))),"",INDEX(SprintPlanning[Sprint],MATCH($A256,SprintPlanning[Requirement ID],0))),"")</f>
        <v/>
      </c>
      <c r="H256" s="58"/>
      <c r="J256" s="1" t="str">
        <f aca="false">IFERROR(IF(ISBLANK(INDEX(Backlog[Priority],MATCH($A256,Backlog[Requirement ID],0))),"",INDEX(Backlog[Priority],MATCH($A256,Backlog[Requirement ID],0))),"")</f>
        <v/>
      </c>
      <c r="L256" s="1" t="str">
        <f aca="false">IFERROR(IF(ISBLANK(INDEX(Backlog[HLE],MATCH($A256,Backlog[Requirement ID],0))),"",IF(INDEX(Backlog[HLE],MATCH($A256,Backlog[Requirement ID],0))&lt;=5,0.5,IF(INDEX(Backlog[HLE],MATCH($A256,Backlog[Requirement ID],0))&lt;=8,1,IF(INDEX(Backlog[HLE],MATCH($A256,Backlog[Requirement ID],0))&lt;=13,2,IF(INDEX(Backlog[HLE],MATCH($A256,Backlog[Requirement ID],0))&lt;=20,3,5))))),"")</f>
        <v/>
      </c>
    </row>
    <row r="257" customFormat="false" ht="15" hidden="false" customHeight="true" outlineLevel="0" collapsed="false">
      <c r="A257" s="1" t="str">
        <f aca="false">Backlog!A257</f>
        <v/>
      </c>
      <c r="B257" s="57" t="str">
        <f aca="false">IFERROR(IF(ISBLANK(INDEX(Backlog[Requirement Name],MATCH($A257,Backlog[Requirement ID],0))),"",INDEX(Backlog[Requirement Name],MATCH($A257,Backlog[Requirement ID],0))),"")</f>
        <v/>
      </c>
      <c r="C257" s="1" t="str">
        <f aca="false">IFERROR(IF(ISBLANK(INDEX(Backlog[Stream],MATCH($A257,Backlog[Requirement ID],0))),"",INDEX(Backlog[Stream],MATCH($A257,Backlog[Requirement ID],0))),"")</f>
        <v/>
      </c>
      <c r="D257" s="1" t="str">
        <f aca="false">IFERROR(IF(ISBLANK(INDEX(Backlog[Jira Link],MATCH($A257,Backlog[Requirement ID],0))),"",INDEX(Backlog[Jira Link],MATCH($A257,Backlog[Requirement ID],0))),"")</f>
        <v/>
      </c>
      <c r="E257" s="1" t="str">
        <f aca="false">IFERROR(IF(ISBLANK(INDEX(Backlog[Status],MATCH($A257,Backlog[Requirement ID],0))),"",INDEX(Backlog[Status],MATCH($A257,Backlog[Requirement ID],0))),"")</f>
        <v/>
      </c>
      <c r="F257" s="1" t="str">
        <f aca="false">IFERROR(IF(ISBLANK(INDEX(SprintPlanning[Sprint],MATCH($A257,SprintPlanning[Requirement ID],0))),"",INDEX(SprintPlanning[Sprint],MATCH($A257,SprintPlanning[Requirement ID],0))),"")</f>
        <v/>
      </c>
      <c r="H257" s="58"/>
      <c r="J257" s="1" t="str">
        <f aca="false">IFERROR(IF(ISBLANK(INDEX(Backlog[Priority],MATCH($A257,Backlog[Requirement ID],0))),"",INDEX(Backlog[Priority],MATCH($A257,Backlog[Requirement ID],0))),"")</f>
        <v/>
      </c>
      <c r="L257" s="1" t="str">
        <f aca="false">IFERROR(IF(ISBLANK(INDEX(Backlog[HLE],MATCH($A257,Backlog[Requirement ID],0))),"",IF(INDEX(Backlog[HLE],MATCH($A257,Backlog[Requirement ID],0))&lt;=5,0.5,IF(INDEX(Backlog[HLE],MATCH($A257,Backlog[Requirement ID],0))&lt;=8,1,IF(INDEX(Backlog[HLE],MATCH($A257,Backlog[Requirement ID],0))&lt;=13,2,IF(INDEX(Backlog[HLE],MATCH($A257,Backlog[Requirement ID],0))&lt;=20,3,5))))),"")</f>
        <v/>
      </c>
    </row>
    <row r="258" customFormat="false" ht="15" hidden="false" customHeight="true" outlineLevel="0" collapsed="false">
      <c r="A258" s="1" t="str">
        <f aca="false">Backlog!A258</f>
        <v/>
      </c>
      <c r="B258" s="57" t="str">
        <f aca="false">IFERROR(IF(ISBLANK(INDEX(Backlog[Requirement Name],MATCH($A258,Backlog[Requirement ID],0))),"",INDEX(Backlog[Requirement Name],MATCH($A258,Backlog[Requirement ID],0))),"")</f>
        <v/>
      </c>
      <c r="C258" s="1" t="str">
        <f aca="false">IFERROR(IF(ISBLANK(INDEX(Backlog[Stream],MATCH($A258,Backlog[Requirement ID],0))),"",INDEX(Backlog[Stream],MATCH($A258,Backlog[Requirement ID],0))),"")</f>
        <v/>
      </c>
      <c r="D258" s="1" t="str">
        <f aca="false">IFERROR(IF(ISBLANK(INDEX(Backlog[Jira Link],MATCH($A258,Backlog[Requirement ID],0))),"",INDEX(Backlog[Jira Link],MATCH($A258,Backlog[Requirement ID],0))),"")</f>
        <v/>
      </c>
      <c r="E258" s="1" t="str">
        <f aca="false">IFERROR(IF(ISBLANK(INDEX(Backlog[Status],MATCH($A258,Backlog[Requirement ID],0))),"",INDEX(Backlog[Status],MATCH($A258,Backlog[Requirement ID],0))),"")</f>
        <v/>
      </c>
      <c r="F258" s="1" t="str">
        <f aca="false">IFERROR(IF(ISBLANK(INDEX(SprintPlanning[Sprint],MATCH($A258,SprintPlanning[Requirement ID],0))),"",INDEX(SprintPlanning[Sprint],MATCH($A258,SprintPlanning[Requirement ID],0))),"")</f>
        <v/>
      </c>
      <c r="H258" s="58"/>
      <c r="J258" s="1" t="str">
        <f aca="false">IFERROR(IF(ISBLANK(INDEX(Backlog[Priority],MATCH($A258,Backlog[Requirement ID],0))),"",INDEX(Backlog[Priority],MATCH($A258,Backlog[Requirement ID],0))),"")</f>
        <v/>
      </c>
      <c r="L258" s="1" t="str">
        <f aca="false">IFERROR(IF(ISBLANK(INDEX(Backlog[HLE],MATCH($A258,Backlog[Requirement ID],0))),"",IF(INDEX(Backlog[HLE],MATCH($A258,Backlog[Requirement ID],0))&lt;=5,0.5,IF(INDEX(Backlog[HLE],MATCH($A258,Backlog[Requirement ID],0))&lt;=8,1,IF(INDEX(Backlog[HLE],MATCH($A258,Backlog[Requirement ID],0))&lt;=13,2,IF(INDEX(Backlog[HLE],MATCH($A258,Backlog[Requirement ID],0))&lt;=20,3,5))))),"")</f>
        <v/>
      </c>
    </row>
    <row r="259" customFormat="false" ht="15" hidden="false" customHeight="true" outlineLevel="0" collapsed="false">
      <c r="A259" s="1" t="str">
        <f aca="false">Backlog!A259</f>
        <v/>
      </c>
      <c r="B259" s="57" t="str">
        <f aca="false">IFERROR(IF(ISBLANK(INDEX(Backlog[Requirement Name],MATCH($A259,Backlog[Requirement ID],0))),"",INDEX(Backlog[Requirement Name],MATCH($A259,Backlog[Requirement ID],0))),"")</f>
        <v/>
      </c>
      <c r="C259" s="1" t="str">
        <f aca="false">IFERROR(IF(ISBLANK(INDEX(Backlog[Stream],MATCH($A259,Backlog[Requirement ID],0))),"",INDEX(Backlog[Stream],MATCH($A259,Backlog[Requirement ID],0))),"")</f>
        <v/>
      </c>
      <c r="D259" s="1" t="str">
        <f aca="false">IFERROR(IF(ISBLANK(INDEX(Backlog[Jira Link],MATCH($A259,Backlog[Requirement ID],0))),"",INDEX(Backlog[Jira Link],MATCH($A259,Backlog[Requirement ID],0))),"")</f>
        <v/>
      </c>
      <c r="E259" s="1" t="str">
        <f aca="false">IFERROR(IF(ISBLANK(INDEX(Backlog[Status],MATCH($A259,Backlog[Requirement ID],0))),"",INDEX(Backlog[Status],MATCH($A259,Backlog[Requirement ID],0))),"")</f>
        <v/>
      </c>
      <c r="F259" s="1" t="str">
        <f aca="false">IFERROR(IF(ISBLANK(INDEX(SprintPlanning[Sprint],MATCH($A259,SprintPlanning[Requirement ID],0))),"",INDEX(SprintPlanning[Sprint],MATCH($A259,SprintPlanning[Requirement ID],0))),"")</f>
        <v/>
      </c>
      <c r="H259" s="58"/>
      <c r="J259" s="1" t="str">
        <f aca="false">IFERROR(IF(ISBLANK(INDEX(Backlog[Priority],MATCH($A259,Backlog[Requirement ID],0))),"",INDEX(Backlog[Priority],MATCH($A259,Backlog[Requirement ID],0))),"")</f>
        <v/>
      </c>
      <c r="L259" s="1" t="str">
        <f aca="false">IFERROR(IF(ISBLANK(INDEX(Backlog[HLE],MATCH($A259,Backlog[Requirement ID],0))),"",IF(INDEX(Backlog[HLE],MATCH($A259,Backlog[Requirement ID],0))&lt;=5,0.5,IF(INDEX(Backlog[HLE],MATCH($A259,Backlog[Requirement ID],0))&lt;=8,1,IF(INDEX(Backlog[HLE],MATCH($A259,Backlog[Requirement ID],0))&lt;=13,2,IF(INDEX(Backlog[HLE],MATCH($A259,Backlog[Requirement ID],0))&lt;=20,3,5))))),"")</f>
        <v/>
      </c>
    </row>
    <row r="260" customFormat="false" ht="15" hidden="false" customHeight="true" outlineLevel="0" collapsed="false">
      <c r="A260" s="1" t="str">
        <f aca="false">Backlog!A260</f>
        <v/>
      </c>
      <c r="B260" s="57" t="str">
        <f aca="false">IFERROR(IF(ISBLANK(INDEX(Backlog[Requirement Name],MATCH($A260,Backlog[Requirement ID],0))),"",INDEX(Backlog[Requirement Name],MATCH($A260,Backlog[Requirement ID],0))),"")</f>
        <v/>
      </c>
      <c r="C260" s="1" t="str">
        <f aca="false">IFERROR(IF(ISBLANK(INDEX(Backlog[Stream],MATCH($A260,Backlog[Requirement ID],0))),"",INDEX(Backlog[Stream],MATCH($A260,Backlog[Requirement ID],0))),"")</f>
        <v/>
      </c>
      <c r="D260" s="1" t="str">
        <f aca="false">IFERROR(IF(ISBLANK(INDEX(Backlog[Jira Link],MATCH($A260,Backlog[Requirement ID],0))),"",INDEX(Backlog[Jira Link],MATCH($A260,Backlog[Requirement ID],0))),"")</f>
        <v/>
      </c>
      <c r="E260" s="1" t="str">
        <f aca="false">IFERROR(IF(ISBLANK(INDEX(Backlog[Status],MATCH($A260,Backlog[Requirement ID],0))),"",INDEX(Backlog[Status],MATCH($A260,Backlog[Requirement ID],0))),"")</f>
        <v/>
      </c>
      <c r="F260" s="1" t="str">
        <f aca="false">IFERROR(IF(ISBLANK(INDEX(SprintPlanning[Sprint],MATCH($A260,SprintPlanning[Requirement ID],0))),"",INDEX(SprintPlanning[Sprint],MATCH($A260,SprintPlanning[Requirement ID],0))),"")</f>
        <v/>
      </c>
      <c r="H260" s="58"/>
      <c r="J260" s="1" t="str">
        <f aca="false">IFERROR(IF(ISBLANK(INDEX(Backlog[Priority],MATCH($A260,Backlog[Requirement ID],0))),"",INDEX(Backlog[Priority],MATCH($A260,Backlog[Requirement ID],0))),"")</f>
        <v/>
      </c>
      <c r="L260" s="1" t="str">
        <f aca="false">IFERROR(IF(ISBLANK(INDEX(Backlog[HLE],MATCH($A260,Backlog[Requirement ID],0))),"",IF(INDEX(Backlog[HLE],MATCH($A260,Backlog[Requirement ID],0))&lt;=5,0.5,IF(INDEX(Backlog[HLE],MATCH($A260,Backlog[Requirement ID],0))&lt;=8,1,IF(INDEX(Backlog[HLE],MATCH($A260,Backlog[Requirement ID],0))&lt;=13,2,IF(INDEX(Backlog[HLE],MATCH($A260,Backlog[Requirement ID],0))&lt;=20,3,5))))),"")</f>
        <v/>
      </c>
    </row>
    <row r="261" customFormat="false" ht="15" hidden="false" customHeight="true" outlineLevel="0" collapsed="false">
      <c r="A261" s="1" t="str">
        <f aca="false">Backlog!A261</f>
        <v/>
      </c>
      <c r="B261" s="57" t="str">
        <f aca="false">IFERROR(IF(ISBLANK(INDEX(Backlog[Requirement Name],MATCH($A261,Backlog[Requirement ID],0))),"",INDEX(Backlog[Requirement Name],MATCH($A261,Backlog[Requirement ID],0))),"")</f>
        <v/>
      </c>
      <c r="C261" s="1" t="str">
        <f aca="false">IFERROR(IF(ISBLANK(INDEX(Backlog[Stream],MATCH($A261,Backlog[Requirement ID],0))),"",INDEX(Backlog[Stream],MATCH($A261,Backlog[Requirement ID],0))),"")</f>
        <v/>
      </c>
      <c r="D261" s="1" t="str">
        <f aca="false">IFERROR(IF(ISBLANK(INDEX(Backlog[Jira Link],MATCH($A261,Backlog[Requirement ID],0))),"",INDEX(Backlog[Jira Link],MATCH($A261,Backlog[Requirement ID],0))),"")</f>
        <v/>
      </c>
      <c r="E261" s="1" t="str">
        <f aca="false">IFERROR(IF(ISBLANK(INDEX(Backlog[Status],MATCH($A261,Backlog[Requirement ID],0))),"",INDEX(Backlog[Status],MATCH($A261,Backlog[Requirement ID],0))),"")</f>
        <v/>
      </c>
      <c r="F261" s="1" t="str">
        <f aca="false">IFERROR(IF(ISBLANK(INDEX(SprintPlanning[Sprint],MATCH($A261,SprintPlanning[Requirement ID],0))),"",INDEX(SprintPlanning[Sprint],MATCH($A261,SprintPlanning[Requirement ID],0))),"")</f>
        <v/>
      </c>
      <c r="H261" s="58"/>
      <c r="J261" s="1" t="str">
        <f aca="false">IFERROR(IF(ISBLANK(INDEX(Backlog[Priority],MATCH($A261,Backlog[Requirement ID],0))),"",INDEX(Backlog[Priority],MATCH($A261,Backlog[Requirement ID],0))),"")</f>
        <v/>
      </c>
      <c r="L261" s="1" t="str">
        <f aca="false">IFERROR(IF(ISBLANK(INDEX(Backlog[HLE],MATCH($A261,Backlog[Requirement ID],0))),"",IF(INDEX(Backlog[HLE],MATCH($A261,Backlog[Requirement ID],0))&lt;=5,0.5,IF(INDEX(Backlog[HLE],MATCH($A261,Backlog[Requirement ID],0))&lt;=8,1,IF(INDEX(Backlog[HLE],MATCH($A261,Backlog[Requirement ID],0))&lt;=13,2,IF(INDEX(Backlog[HLE],MATCH($A261,Backlog[Requirement ID],0))&lt;=20,3,5))))),"")</f>
        <v/>
      </c>
    </row>
    <row r="262" customFormat="false" ht="15" hidden="false" customHeight="true" outlineLevel="0" collapsed="false">
      <c r="A262" s="1" t="str">
        <f aca="false">Backlog!A262</f>
        <v/>
      </c>
      <c r="B262" s="57" t="str">
        <f aca="false">IFERROR(IF(ISBLANK(INDEX(Backlog[Requirement Name],MATCH($A262,Backlog[Requirement ID],0))),"",INDEX(Backlog[Requirement Name],MATCH($A262,Backlog[Requirement ID],0))),"")</f>
        <v/>
      </c>
      <c r="C262" s="1" t="str">
        <f aca="false">IFERROR(IF(ISBLANK(INDEX(Backlog[Stream],MATCH($A262,Backlog[Requirement ID],0))),"",INDEX(Backlog[Stream],MATCH($A262,Backlog[Requirement ID],0))),"")</f>
        <v/>
      </c>
      <c r="D262" s="1" t="str">
        <f aca="false">IFERROR(IF(ISBLANK(INDEX(Backlog[Jira Link],MATCH($A262,Backlog[Requirement ID],0))),"",INDEX(Backlog[Jira Link],MATCH($A262,Backlog[Requirement ID],0))),"")</f>
        <v/>
      </c>
      <c r="E262" s="1" t="str">
        <f aca="false">IFERROR(IF(ISBLANK(INDEX(Backlog[Status],MATCH($A262,Backlog[Requirement ID],0))),"",INDEX(Backlog[Status],MATCH($A262,Backlog[Requirement ID],0))),"")</f>
        <v/>
      </c>
      <c r="F262" s="1" t="str">
        <f aca="false">IFERROR(IF(ISBLANK(INDEX(SprintPlanning[Sprint],MATCH($A262,SprintPlanning[Requirement ID],0))),"",INDEX(SprintPlanning[Sprint],MATCH($A262,SprintPlanning[Requirement ID],0))),"")</f>
        <v/>
      </c>
      <c r="H262" s="58"/>
      <c r="J262" s="1" t="str">
        <f aca="false">IFERROR(IF(ISBLANK(INDEX(Backlog[Priority],MATCH($A262,Backlog[Requirement ID],0))),"",INDEX(Backlog[Priority],MATCH($A262,Backlog[Requirement ID],0))),"")</f>
        <v/>
      </c>
      <c r="L262" s="1" t="str">
        <f aca="false">IFERROR(IF(ISBLANK(INDEX(Backlog[HLE],MATCH($A262,Backlog[Requirement ID],0))),"",IF(INDEX(Backlog[HLE],MATCH($A262,Backlog[Requirement ID],0))&lt;=5,0.5,IF(INDEX(Backlog[HLE],MATCH($A262,Backlog[Requirement ID],0))&lt;=8,1,IF(INDEX(Backlog[HLE],MATCH($A262,Backlog[Requirement ID],0))&lt;=13,2,IF(INDEX(Backlog[HLE],MATCH($A262,Backlog[Requirement ID],0))&lt;=20,3,5))))),"")</f>
        <v/>
      </c>
    </row>
    <row r="263" customFormat="false" ht="15" hidden="false" customHeight="true" outlineLevel="0" collapsed="false">
      <c r="A263" s="1" t="str">
        <f aca="false">Backlog!A263</f>
        <v/>
      </c>
      <c r="B263" s="57" t="str">
        <f aca="false">IFERROR(IF(ISBLANK(INDEX(Backlog[Requirement Name],MATCH($A263,Backlog[Requirement ID],0))),"",INDEX(Backlog[Requirement Name],MATCH($A263,Backlog[Requirement ID],0))),"")</f>
        <v/>
      </c>
      <c r="C263" s="1" t="str">
        <f aca="false">IFERROR(IF(ISBLANK(INDEX(Backlog[Stream],MATCH($A263,Backlog[Requirement ID],0))),"",INDEX(Backlog[Stream],MATCH($A263,Backlog[Requirement ID],0))),"")</f>
        <v/>
      </c>
      <c r="D263" s="1" t="str">
        <f aca="false">IFERROR(IF(ISBLANK(INDEX(Backlog[Jira Link],MATCH($A263,Backlog[Requirement ID],0))),"",INDEX(Backlog[Jira Link],MATCH($A263,Backlog[Requirement ID],0))),"")</f>
        <v/>
      </c>
      <c r="E263" s="1" t="str">
        <f aca="false">IFERROR(IF(ISBLANK(INDEX(Backlog[Status],MATCH($A263,Backlog[Requirement ID],0))),"",INDEX(Backlog[Status],MATCH($A263,Backlog[Requirement ID],0))),"")</f>
        <v/>
      </c>
      <c r="F263" s="1" t="str">
        <f aca="false">IFERROR(IF(ISBLANK(INDEX(SprintPlanning[Sprint],MATCH($A263,SprintPlanning[Requirement ID],0))),"",INDEX(SprintPlanning[Sprint],MATCH($A263,SprintPlanning[Requirement ID],0))),"")</f>
        <v/>
      </c>
      <c r="H263" s="58"/>
      <c r="J263" s="1" t="str">
        <f aca="false">IFERROR(IF(ISBLANK(INDEX(Backlog[Priority],MATCH($A263,Backlog[Requirement ID],0))),"",INDEX(Backlog[Priority],MATCH($A263,Backlog[Requirement ID],0))),"")</f>
        <v/>
      </c>
      <c r="L263" s="1" t="str">
        <f aca="false">IFERROR(IF(ISBLANK(INDEX(Backlog[HLE],MATCH($A263,Backlog[Requirement ID],0))),"",IF(INDEX(Backlog[HLE],MATCH($A263,Backlog[Requirement ID],0))&lt;=5,0.5,IF(INDEX(Backlog[HLE],MATCH($A263,Backlog[Requirement ID],0))&lt;=8,1,IF(INDEX(Backlog[HLE],MATCH($A263,Backlog[Requirement ID],0))&lt;=13,2,IF(INDEX(Backlog[HLE],MATCH($A263,Backlog[Requirement ID],0))&lt;=20,3,5))))),"")</f>
        <v/>
      </c>
    </row>
    <row r="264" customFormat="false" ht="15" hidden="false" customHeight="true" outlineLevel="0" collapsed="false">
      <c r="A264" s="1" t="str">
        <f aca="false">Backlog!A264</f>
        <v/>
      </c>
      <c r="B264" s="57" t="str">
        <f aca="false">IFERROR(IF(ISBLANK(INDEX(Backlog[Requirement Name],MATCH($A264,Backlog[Requirement ID],0))),"",INDEX(Backlog[Requirement Name],MATCH($A264,Backlog[Requirement ID],0))),"")</f>
        <v/>
      </c>
      <c r="C264" s="1" t="str">
        <f aca="false">IFERROR(IF(ISBLANK(INDEX(Backlog[Stream],MATCH($A264,Backlog[Requirement ID],0))),"",INDEX(Backlog[Stream],MATCH($A264,Backlog[Requirement ID],0))),"")</f>
        <v/>
      </c>
      <c r="D264" s="1" t="str">
        <f aca="false">IFERROR(IF(ISBLANK(INDEX(Backlog[Jira Link],MATCH($A264,Backlog[Requirement ID],0))),"",INDEX(Backlog[Jira Link],MATCH($A264,Backlog[Requirement ID],0))),"")</f>
        <v/>
      </c>
      <c r="E264" s="1" t="str">
        <f aca="false">IFERROR(IF(ISBLANK(INDEX(Backlog[Status],MATCH($A264,Backlog[Requirement ID],0))),"",INDEX(Backlog[Status],MATCH($A264,Backlog[Requirement ID],0))),"")</f>
        <v/>
      </c>
      <c r="F264" s="1" t="str">
        <f aca="false">IFERROR(IF(ISBLANK(INDEX(SprintPlanning[Sprint],MATCH($A264,SprintPlanning[Requirement ID],0))),"",INDEX(SprintPlanning[Sprint],MATCH($A264,SprintPlanning[Requirement ID],0))),"")</f>
        <v/>
      </c>
      <c r="H264" s="58"/>
      <c r="J264" s="1" t="str">
        <f aca="false">IFERROR(IF(ISBLANK(INDEX(Backlog[Priority],MATCH($A264,Backlog[Requirement ID],0))),"",INDEX(Backlog[Priority],MATCH($A264,Backlog[Requirement ID],0))),"")</f>
        <v/>
      </c>
      <c r="L264" s="1" t="str">
        <f aca="false">IFERROR(IF(ISBLANK(INDEX(Backlog[HLE],MATCH($A264,Backlog[Requirement ID],0))),"",IF(INDEX(Backlog[HLE],MATCH($A264,Backlog[Requirement ID],0))&lt;=5,0.5,IF(INDEX(Backlog[HLE],MATCH($A264,Backlog[Requirement ID],0))&lt;=8,1,IF(INDEX(Backlog[HLE],MATCH($A264,Backlog[Requirement ID],0))&lt;=13,2,IF(INDEX(Backlog[HLE],MATCH($A264,Backlog[Requirement ID],0))&lt;=20,3,5))))),"")</f>
        <v/>
      </c>
    </row>
    <row r="265" customFormat="false" ht="15" hidden="false" customHeight="true" outlineLevel="0" collapsed="false">
      <c r="A265" s="1" t="str">
        <f aca="false">Backlog!A265</f>
        <v/>
      </c>
      <c r="B265" s="57" t="str">
        <f aca="false">IFERROR(IF(ISBLANK(INDEX(Backlog[Requirement Name],MATCH($A265,Backlog[Requirement ID],0))),"",INDEX(Backlog[Requirement Name],MATCH($A265,Backlog[Requirement ID],0))),"")</f>
        <v/>
      </c>
      <c r="C265" s="1" t="str">
        <f aca="false">IFERROR(IF(ISBLANK(INDEX(Backlog[Stream],MATCH($A265,Backlog[Requirement ID],0))),"",INDEX(Backlog[Stream],MATCH($A265,Backlog[Requirement ID],0))),"")</f>
        <v/>
      </c>
      <c r="D265" s="1" t="str">
        <f aca="false">IFERROR(IF(ISBLANK(INDEX(Backlog[Jira Link],MATCH($A265,Backlog[Requirement ID],0))),"",INDEX(Backlog[Jira Link],MATCH($A265,Backlog[Requirement ID],0))),"")</f>
        <v/>
      </c>
      <c r="E265" s="1" t="str">
        <f aca="false">IFERROR(IF(ISBLANK(INDEX(Backlog[Status],MATCH($A265,Backlog[Requirement ID],0))),"",INDEX(Backlog[Status],MATCH($A265,Backlog[Requirement ID],0))),"")</f>
        <v/>
      </c>
      <c r="F265" s="1" t="str">
        <f aca="false">IFERROR(IF(ISBLANK(INDEX(SprintPlanning[Sprint],MATCH($A265,SprintPlanning[Requirement ID],0))),"",INDEX(SprintPlanning[Sprint],MATCH($A265,SprintPlanning[Requirement ID],0))),"")</f>
        <v/>
      </c>
      <c r="H265" s="58"/>
      <c r="J265" s="1" t="str">
        <f aca="false">IFERROR(IF(ISBLANK(INDEX(Backlog[Priority],MATCH($A265,Backlog[Requirement ID],0))),"",INDEX(Backlog[Priority],MATCH($A265,Backlog[Requirement ID],0))),"")</f>
        <v/>
      </c>
      <c r="L265" s="1" t="str">
        <f aca="false">IFERROR(IF(ISBLANK(INDEX(Backlog[HLE],MATCH($A265,Backlog[Requirement ID],0))),"",IF(INDEX(Backlog[HLE],MATCH($A265,Backlog[Requirement ID],0))&lt;=5,0.5,IF(INDEX(Backlog[HLE],MATCH($A265,Backlog[Requirement ID],0))&lt;=8,1,IF(INDEX(Backlog[HLE],MATCH($A265,Backlog[Requirement ID],0))&lt;=13,2,IF(INDEX(Backlog[HLE],MATCH($A265,Backlog[Requirement ID],0))&lt;=20,3,5))))),"")</f>
        <v/>
      </c>
    </row>
    <row r="266" customFormat="false" ht="15" hidden="false" customHeight="true" outlineLevel="0" collapsed="false">
      <c r="A266" s="1" t="str">
        <f aca="false">Backlog!A266</f>
        <v/>
      </c>
      <c r="B266" s="57" t="str">
        <f aca="false">IFERROR(IF(ISBLANK(INDEX(Backlog[Requirement Name],MATCH($A266,Backlog[Requirement ID],0))),"",INDEX(Backlog[Requirement Name],MATCH($A266,Backlog[Requirement ID],0))),"")</f>
        <v/>
      </c>
      <c r="C266" s="1" t="str">
        <f aca="false">IFERROR(IF(ISBLANK(INDEX(Backlog[Stream],MATCH($A266,Backlog[Requirement ID],0))),"",INDEX(Backlog[Stream],MATCH($A266,Backlog[Requirement ID],0))),"")</f>
        <v/>
      </c>
      <c r="D266" s="1" t="str">
        <f aca="false">IFERROR(IF(ISBLANK(INDEX(Backlog[Jira Link],MATCH($A266,Backlog[Requirement ID],0))),"",INDEX(Backlog[Jira Link],MATCH($A266,Backlog[Requirement ID],0))),"")</f>
        <v/>
      </c>
      <c r="E266" s="1" t="str">
        <f aca="false">IFERROR(IF(ISBLANK(INDEX(Backlog[Status],MATCH($A266,Backlog[Requirement ID],0))),"",INDEX(Backlog[Status],MATCH($A266,Backlog[Requirement ID],0))),"")</f>
        <v/>
      </c>
      <c r="F266" s="1" t="str">
        <f aca="false">IFERROR(IF(ISBLANK(INDEX(SprintPlanning[Sprint],MATCH($A266,SprintPlanning[Requirement ID],0))),"",INDEX(SprintPlanning[Sprint],MATCH($A266,SprintPlanning[Requirement ID],0))),"")</f>
        <v/>
      </c>
      <c r="H266" s="58"/>
      <c r="J266" s="1" t="str">
        <f aca="false">IFERROR(IF(ISBLANK(INDEX(Backlog[Priority],MATCH($A266,Backlog[Requirement ID],0))),"",INDEX(Backlog[Priority],MATCH($A266,Backlog[Requirement ID],0))),"")</f>
        <v/>
      </c>
      <c r="L266" s="1" t="str">
        <f aca="false">IFERROR(IF(ISBLANK(INDEX(Backlog[HLE],MATCH($A266,Backlog[Requirement ID],0))),"",IF(INDEX(Backlog[HLE],MATCH($A266,Backlog[Requirement ID],0))&lt;=5,0.5,IF(INDEX(Backlog[HLE],MATCH($A266,Backlog[Requirement ID],0))&lt;=8,1,IF(INDEX(Backlog[HLE],MATCH($A266,Backlog[Requirement ID],0))&lt;=13,2,IF(INDEX(Backlog[HLE],MATCH($A266,Backlog[Requirement ID],0))&lt;=20,3,5))))),"")</f>
        <v/>
      </c>
    </row>
    <row r="267" customFormat="false" ht="15" hidden="false" customHeight="true" outlineLevel="0" collapsed="false">
      <c r="A267" s="1" t="str">
        <f aca="false">Backlog!A267</f>
        <v/>
      </c>
      <c r="B267" s="57" t="str">
        <f aca="false">IFERROR(IF(ISBLANK(INDEX(Backlog[Requirement Name],MATCH($A267,Backlog[Requirement ID],0))),"",INDEX(Backlog[Requirement Name],MATCH($A267,Backlog[Requirement ID],0))),"")</f>
        <v/>
      </c>
      <c r="C267" s="1" t="str">
        <f aca="false">IFERROR(IF(ISBLANK(INDEX(Backlog[Stream],MATCH($A267,Backlog[Requirement ID],0))),"",INDEX(Backlog[Stream],MATCH($A267,Backlog[Requirement ID],0))),"")</f>
        <v/>
      </c>
      <c r="D267" s="1" t="str">
        <f aca="false">IFERROR(IF(ISBLANK(INDEX(Backlog[Jira Link],MATCH($A267,Backlog[Requirement ID],0))),"",INDEX(Backlog[Jira Link],MATCH($A267,Backlog[Requirement ID],0))),"")</f>
        <v/>
      </c>
      <c r="E267" s="1" t="str">
        <f aca="false">IFERROR(IF(ISBLANK(INDEX(Backlog[Status],MATCH($A267,Backlog[Requirement ID],0))),"",INDEX(Backlog[Status],MATCH($A267,Backlog[Requirement ID],0))),"")</f>
        <v/>
      </c>
      <c r="F267" s="1" t="str">
        <f aca="false">IFERROR(IF(ISBLANK(INDEX(SprintPlanning[Sprint],MATCH($A267,SprintPlanning[Requirement ID],0))),"",INDEX(SprintPlanning[Sprint],MATCH($A267,SprintPlanning[Requirement ID],0))),"")</f>
        <v/>
      </c>
      <c r="H267" s="58"/>
      <c r="J267" s="1" t="str">
        <f aca="false">IFERROR(IF(ISBLANK(INDEX(Backlog[Priority],MATCH($A267,Backlog[Requirement ID],0))),"",INDEX(Backlog[Priority],MATCH($A267,Backlog[Requirement ID],0))),"")</f>
        <v/>
      </c>
      <c r="L267" s="1" t="str">
        <f aca="false">IFERROR(IF(ISBLANK(INDEX(Backlog[HLE],MATCH($A267,Backlog[Requirement ID],0))),"",IF(INDEX(Backlog[HLE],MATCH($A267,Backlog[Requirement ID],0))&lt;=5,0.5,IF(INDEX(Backlog[HLE],MATCH($A267,Backlog[Requirement ID],0))&lt;=8,1,IF(INDEX(Backlog[HLE],MATCH($A267,Backlog[Requirement ID],0))&lt;=13,2,IF(INDEX(Backlog[HLE],MATCH($A267,Backlog[Requirement ID],0))&lt;=20,3,5))))),"")</f>
        <v/>
      </c>
    </row>
    <row r="268" customFormat="false" ht="15" hidden="false" customHeight="true" outlineLevel="0" collapsed="false">
      <c r="A268" s="1" t="str">
        <f aca="false">Backlog!A268</f>
        <v/>
      </c>
      <c r="B268" s="57" t="str">
        <f aca="false">IFERROR(IF(ISBLANK(INDEX(Backlog[Requirement Name],MATCH($A268,Backlog[Requirement ID],0))),"",INDEX(Backlog[Requirement Name],MATCH($A268,Backlog[Requirement ID],0))),"")</f>
        <v/>
      </c>
      <c r="C268" s="1" t="str">
        <f aca="false">IFERROR(IF(ISBLANK(INDEX(Backlog[Stream],MATCH($A268,Backlog[Requirement ID],0))),"",INDEX(Backlog[Stream],MATCH($A268,Backlog[Requirement ID],0))),"")</f>
        <v/>
      </c>
      <c r="D268" s="1" t="str">
        <f aca="false">IFERROR(IF(ISBLANK(INDEX(Backlog[Jira Link],MATCH($A268,Backlog[Requirement ID],0))),"",INDEX(Backlog[Jira Link],MATCH($A268,Backlog[Requirement ID],0))),"")</f>
        <v/>
      </c>
      <c r="E268" s="1" t="str">
        <f aca="false">IFERROR(IF(ISBLANK(INDEX(Backlog[Status],MATCH($A268,Backlog[Requirement ID],0))),"",INDEX(Backlog[Status],MATCH($A268,Backlog[Requirement ID],0))),"")</f>
        <v/>
      </c>
      <c r="F268" s="1" t="str">
        <f aca="false">IFERROR(IF(ISBLANK(INDEX(SprintPlanning[Sprint],MATCH($A268,SprintPlanning[Requirement ID],0))),"",INDEX(SprintPlanning[Sprint],MATCH($A268,SprintPlanning[Requirement ID],0))),"")</f>
        <v/>
      </c>
      <c r="H268" s="58"/>
      <c r="J268" s="1" t="str">
        <f aca="false">IFERROR(IF(ISBLANK(INDEX(Backlog[Priority],MATCH($A268,Backlog[Requirement ID],0))),"",INDEX(Backlog[Priority],MATCH($A268,Backlog[Requirement ID],0))),"")</f>
        <v/>
      </c>
      <c r="L268" s="1" t="str">
        <f aca="false">IFERROR(IF(ISBLANK(INDEX(Backlog[HLE],MATCH($A268,Backlog[Requirement ID],0))),"",IF(INDEX(Backlog[HLE],MATCH($A268,Backlog[Requirement ID],0))&lt;=5,0.5,IF(INDEX(Backlog[HLE],MATCH($A268,Backlog[Requirement ID],0))&lt;=8,1,IF(INDEX(Backlog[HLE],MATCH($A268,Backlog[Requirement ID],0))&lt;=13,2,IF(INDEX(Backlog[HLE],MATCH($A268,Backlog[Requirement ID],0))&lt;=20,3,5))))),"")</f>
        <v/>
      </c>
    </row>
    <row r="269" customFormat="false" ht="15" hidden="false" customHeight="true" outlineLevel="0" collapsed="false">
      <c r="A269" s="1" t="str">
        <f aca="false">Backlog!A269</f>
        <v/>
      </c>
      <c r="B269" s="57" t="str">
        <f aca="false">IFERROR(IF(ISBLANK(INDEX(Backlog[Requirement Name],MATCH($A269,Backlog[Requirement ID],0))),"",INDEX(Backlog[Requirement Name],MATCH($A269,Backlog[Requirement ID],0))),"")</f>
        <v/>
      </c>
      <c r="C269" s="1" t="str">
        <f aca="false">IFERROR(IF(ISBLANK(INDEX(Backlog[Stream],MATCH($A269,Backlog[Requirement ID],0))),"",INDEX(Backlog[Stream],MATCH($A269,Backlog[Requirement ID],0))),"")</f>
        <v/>
      </c>
      <c r="D269" s="1" t="str">
        <f aca="false">IFERROR(IF(ISBLANK(INDEX(Backlog[Jira Link],MATCH($A269,Backlog[Requirement ID],0))),"",INDEX(Backlog[Jira Link],MATCH($A269,Backlog[Requirement ID],0))),"")</f>
        <v/>
      </c>
      <c r="E269" s="1" t="str">
        <f aca="false">IFERROR(IF(ISBLANK(INDEX(Backlog[Status],MATCH($A269,Backlog[Requirement ID],0))),"",INDEX(Backlog[Status],MATCH($A269,Backlog[Requirement ID],0))),"")</f>
        <v/>
      </c>
      <c r="F269" s="1" t="str">
        <f aca="false">IFERROR(IF(ISBLANK(INDEX(SprintPlanning[Sprint],MATCH($A269,SprintPlanning[Requirement ID],0))),"",INDEX(SprintPlanning[Sprint],MATCH($A269,SprintPlanning[Requirement ID],0))),"")</f>
        <v/>
      </c>
      <c r="H269" s="58"/>
      <c r="J269" s="1" t="str">
        <f aca="false">IFERROR(IF(ISBLANK(INDEX(Backlog[Priority],MATCH($A269,Backlog[Requirement ID],0))),"",INDEX(Backlog[Priority],MATCH($A269,Backlog[Requirement ID],0))),"")</f>
        <v/>
      </c>
      <c r="L269" s="1" t="str">
        <f aca="false">IFERROR(IF(ISBLANK(INDEX(Backlog[HLE],MATCH($A269,Backlog[Requirement ID],0))),"",IF(INDEX(Backlog[HLE],MATCH($A269,Backlog[Requirement ID],0))&lt;=5,0.5,IF(INDEX(Backlog[HLE],MATCH($A269,Backlog[Requirement ID],0))&lt;=8,1,IF(INDEX(Backlog[HLE],MATCH($A269,Backlog[Requirement ID],0))&lt;=13,2,IF(INDEX(Backlog[HLE],MATCH($A269,Backlog[Requirement ID],0))&lt;=20,3,5))))),"")</f>
        <v/>
      </c>
    </row>
    <row r="270" customFormat="false" ht="15" hidden="false" customHeight="true" outlineLevel="0" collapsed="false">
      <c r="A270" s="1" t="str">
        <f aca="false">Backlog!A270</f>
        <v/>
      </c>
      <c r="B270" s="57" t="str">
        <f aca="false">IFERROR(IF(ISBLANK(INDEX(Backlog[Requirement Name],MATCH($A270,Backlog[Requirement ID],0))),"",INDEX(Backlog[Requirement Name],MATCH($A270,Backlog[Requirement ID],0))),"")</f>
        <v/>
      </c>
      <c r="C270" s="1" t="str">
        <f aca="false">IFERROR(IF(ISBLANK(INDEX(Backlog[Stream],MATCH($A270,Backlog[Requirement ID],0))),"",INDEX(Backlog[Stream],MATCH($A270,Backlog[Requirement ID],0))),"")</f>
        <v/>
      </c>
      <c r="D270" s="1" t="str">
        <f aca="false">IFERROR(IF(ISBLANK(INDEX(Backlog[Jira Link],MATCH($A270,Backlog[Requirement ID],0))),"",INDEX(Backlog[Jira Link],MATCH($A270,Backlog[Requirement ID],0))),"")</f>
        <v/>
      </c>
      <c r="E270" s="1" t="str">
        <f aca="false">IFERROR(IF(ISBLANK(INDEX(Backlog[Status],MATCH($A270,Backlog[Requirement ID],0))),"",INDEX(Backlog[Status],MATCH($A270,Backlog[Requirement ID],0))),"")</f>
        <v/>
      </c>
      <c r="F270" s="1" t="str">
        <f aca="false">IFERROR(IF(ISBLANK(INDEX(SprintPlanning[Sprint],MATCH($A270,SprintPlanning[Requirement ID],0))),"",INDEX(SprintPlanning[Sprint],MATCH($A270,SprintPlanning[Requirement ID],0))),"")</f>
        <v/>
      </c>
      <c r="H270" s="58"/>
      <c r="J270" s="1" t="str">
        <f aca="false">IFERROR(IF(ISBLANK(INDEX(Backlog[Priority],MATCH($A270,Backlog[Requirement ID],0))),"",INDEX(Backlog[Priority],MATCH($A270,Backlog[Requirement ID],0))),"")</f>
        <v/>
      </c>
      <c r="L270" s="1" t="str">
        <f aca="false">IFERROR(IF(ISBLANK(INDEX(Backlog[HLE],MATCH($A270,Backlog[Requirement ID],0))),"",IF(INDEX(Backlog[HLE],MATCH($A270,Backlog[Requirement ID],0))&lt;=5,0.5,IF(INDEX(Backlog[HLE],MATCH($A270,Backlog[Requirement ID],0))&lt;=8,1,IF(INDEX(Backlog[HLE],MATCH($A270,Backlog[Requirement ID],0))&lt;=13,2,IF(INDEX(Backlog[HLE],MATCH($A270,Backlog[Requirement ID],0))&lt;=20,3,5))))),"")</f>
        <v/>
      </c>
    </row>
    <row r="271" customFormat="false" ht="15" hidden="false" customHeight="true" outlineLevel="0" collapsed="false">
      <c r="A271" s="1" t="str">
        <f aca="false">Backlog!A271</f>
        <v/>
      </c>
      <c r="B271" s="57" t="str">
        <f aca="false">IFERROR(IF(ISBLANK(INDEX(Backlog[Requirement Name],MATCH($A271,Backlog[Requirement ID],0))),"",INDEX(Backlog[Requirement Name],MATCH($A271,Backlog[Requirement ID],0))),"")</f>
        <v/>
      </c>
      <c r="C271" s="1" t="str">
        <f aca="false">IFERROR(IF(ISBLANK(INDEX(Backlog[Stream],MATCH($A271,Backlog[Requirement ID],0))),"",INDEX(Backlog[Stream],MATCH($A271,Backlog[Requirement ID],0))),"")</f>
        <v/>
      </c>
      <c r="D271" s="1" t="str">
        <f aca="false">IFERROR(IF(ISBLANK(INDEX(Backlog[Jira Link],MATCH($A271,Backlog[Requirement ID],0))),"",INDEX(Backlog[Jira Link],MATCH($A271,Backlog[Requirement ID],0))),"")</f>
        <v/>
      </c>
      <c r="E271" s="1" t="str">
        <f aca="false">IFERROR(IF(ISBLANK(INDEX(Backlog[Status],MATCH($A271,Backlog[Requirement ID],0))),"",INDEX(Backlog[Status],MATCH($A271,Backlog[Requirement ID],0))),"")</f>
        <v/>
      </c>
      <c r="F271" s="1" t="str">
        <f aca="false">IFERROR(IF(ISBLANK(INDEX(SprintPlanning[Sprint],MATCH($A271,SprintPlanning[Requirement ID],0))),"",INDEX(SprintPlanning[Sprint],MATCH($A271,SprintPlanning[Requirement ID],0))),"")</f>
        <v/>
      </c>
      <c r="H271" s="58"/>
      <c r="J271" s="1" t="str">
        <f aca="false">IFERROR(IF(ISBLANK(INDEX(Backlog[Priority],MATCH($A271,Backlog[Requirement ID],0))),"",INDEX(Backlog[Priority],MATCH($A271,Backlog[Requirement ID],0))),"")</f>
        <v/>
      </c>
      <c r="L271" s="1" t="str">
        <f aca="false">IFERROR(IF(ISBLANK(INDEX(Backlog[HLE],MATCH($A271,Backlog[Requirement ID],0))),"",IF(INDEX(Backlog[HLE],MATCH($A271,Backlog[Requirement ID],0))&lt;=5,0.5,IF(INDEX(Backlog[HLE],MATCH($A271,Backlog[Requirement ID],0))&lt;=8,1,IF(INDEX(Backlog[HLE],MATCH($A271,Backlog[Requirement ID],0))&lt;=13,2,IF(INDEX(Backlog[HLE],MATCH($A271,Backlog[Requirement ID],0))&lt;=20,3,5))))),"")</f>
        <v/>
      </c>
    </row>
    <row r="272" customFormat="false" ht="15" hidden="false" customHeight="true" outlineLevel="0" collapsed="false">
      <c r="A272" s="1" t="str">
        <f aca="false">Backlog!A272</f>
        <v/>
      </c>
      <c r="B272" s="57" t="str">
        <f aca="false">IFERROR(IF(ISBLANK(INDEX(Backlog[Requirement Name],MATCH($A272,Backlog[Requirement ID],0))),"",INDEX(Backlog[Requirement Name],MATCH($A272,Backlog[Requirement ID],0))),"")</f>
        <v/>
      </c>
      <c r="C272" s="1" t="str">
        <f aca="false">IFERROR(IF(ISBLANK(INDEX(Backlog[Stream],MATCH($A272,Backlog[Requirement ID],0))),"",INDEX(Backlog[Stream],MATCH($A272,Backlog[Requirement ID],0))),"")</f>
        <v/>
      </c>
      <c r="D272" s="1" t="str">
        <f aca="false">IFERROR(IF(ISBLANK(INDEX(Backlog[Jira Link],MATCH($A272,Backlog[Requirement ID],0))),"",INDEX(Backlog[Jira Link],MATCH($A272,Backlog[Requirement ID],0))),"")</f>
        <v/>
      </c>
      <c r="E272" s="1" t="str">
        <f aca="false">IFERROR(IF(ISBLANK(INDEX(Backlog[Status],MATCH($A272,Backlog[Requirement ID],0))),"",INDEX(Backlog[Status],MATCH($A272,Backlog[Requirement ID],0))),"")</f>
        <v/>
      </c>
      <c r="F272" s="1" t="str">
        <f aca="false">IFERROR(IF(ISBLANK(INDEX(SprintPlanning[Sprint],MATCH($A272,SprintPlanning[Requirement ID],0))),"",INDEX(SprintPlanning[Sprint],MATCH($A272,SprintPlanning[Requirement ID],0))),"")</f>
        <v/>
      </c>
      <c r="H272" s="58"/>
      <c r="J272" s="1" t="str">
        <f aca="false">IFERROR(IF(ISBLANK(INDEX(Backlog[Priority],MATCH($A272,Backlog[Requirement ID],0))),"",INDEX(Backlog[Priority],MATCH($A272,Backlog[Requirement ID],0))),"")</f>
        <v/>
      </c>
      <c r="L272" s="1" t="str">
        <f aca="false">IFERROR(IF(ISBLANK(INDEX(Backlog[HLE],MATCH($A272,Backlog[Requirement ID],0))),"",IF(INDEX(Backlog[HLE],MATCH($A272,Backlog[Requirement ID],0))&lt;=5,0.5,IF(INDEX(Backlog[HLE],MATCH($A272,Backlog[Requirement ID],0))&lt;=8,1,IF(INDEX(Backlog[HLE],MATCH($A272,Backlog[Requirement ID],0))&lt;=13,2,IF(INDEX(Backlog[HLE],MATCH($A272,Backlog[Requirement ID],0))&lt;=20,3,5))))),"")</f>
        <v/>
      </c>
    </row>
    <row r="273" customFormat="false" ht="15" hidden="false" customHeight="true" outlineLevel="0" collapsed="false">
      <c r="A273" s="1" t="str">
        <f aca="false">Backlog!A273</f>
        <v/>
      </c>
      <c r="B273" s="57" t="str">
        <f aca="false">IFERROR(IF(ISBLANK(INDEX(Backlog[Requirement Name],MATCH($A273,Backlog[Requirement ID],0))),"",INDEX(Backlog[Requirement Name],MATCH($A273,Backlog[Requirement ID],0))),"")</f>
        <v/>
      </c>
      <c r="C273" s="1" t="str">
        <f aca="false">IFERROR(IF(ISBLANK(INDEX(Backlog[Stream],MATCH($A273,Backlog[Requirement ID],0))),"",INDEX(Backlog[Stream],MATCH($A273,Backlog[Requirement ID],0))),"")</f>
        <v/>
      </c>
      <c r="D273" s="1" t="str">
        <f aca="false">IFERROR(IF(ISBLANK(INDEX(Backlog[Jira Link],MATCH($A273,Backlog[Requirement ID],0))),"",INDEX(Backlog[Jira Link],MATCH($A273,Backlog[Requirement ID],0))),"")</f>
        <v/>
      </c>
      <c r="E273" s="1" t="str">
        <f aca="false">IFERROR(IF(ISBLANK(INDEX(Backlog[Status],MATCH($A273,Backlog[Requirement ID],0))),"",INDEX(Backlog[Status],MATCH($A273,Backlog[Requirement ID],0))),"")</f>
        <v/>
      </c>
      <c r="F273" s="1" t="str">
        <f aca="false">IFERROR(IF(ISBLANK(INDEX(SprintPlanning[Sprint],MATCH($A273,SprintPlanning[Requirement ID],0))),"",INDEX(SprintPlanning[Sprint],MATCH($A273,SprintPlanning[Requirement ID],0))),"")</f>
        <v/>
      </c>
      <c r="H273" s="58"/>
      <c r="J273" s="1" t="str">
        <f aca="false">IFERROR(IF(ISBLANK(INDEX(Backlog[Priority],MATCH($A273,Backlog[Requirement ID],0))),"",INDEX(Backlog[Priority],MATCH($A273,Backlog[Requirement ID],0))),"")</f>
        <v/>
      </c>
      <c r="L273" s="1" t="str">
        <f aca="false">IFERROR(IF(ISBLANK(INDEX(Backlog[HLE],MATCH($A273,Backlog[Requirement ID],0))),"",IF(INDEX(Backlog[HLE],MATCH($A273,Backlog[Requirement ID],0))&lt;=5,0.5,IF(INDEX(Backlog[HLE],MATCH($A273,Backlog[Requirement ID],0))&lt;=8,1,IF(INDEX(Backlog[HLE],MATCH($A273,Backlog[Requirement ID],0))&lt;=13,2,IF(INDEX(Backlog[HLE],MATCH($A273,Backlog[Requirement ID],0))&lt;=20,3,5))))),"")</f>
        <v/>
      </c>
    </row>
    <row r="274" customFormat="false" ht="15" hidden="false" customHeight="true" outlineLevel="0" collapsed="false">
      <c r="A274" s="1" t="str">
        <f aca="false">Backlog!A274</f>
        <v/>
      </c>
      <c r="B274" s="57" t="str">
        <f aca="false">IFERROR(IF(ISBLANK(INDEX(Backlog[Requirement Name],MATCH($A274,Backlog[Requirement ID],0))),"",INDEX(Backlog[Requirement Name],MATCH($A274,Backlog[Requirement ID],0))),"")</f>
        <v/>
      </c>
      <c r="C274" s="1" t="str">
        <f aca="false">IFERROR(IF(ISBLANK(INDEX(Backlog[Stream],MATCH($A274,Backlog[Requirement ID],0))),"",INDEX(Backlog[Stream],MATCH($A274,Backlog[Requirement ID],0))),"")</f>
        <v/>
      </c>
      <c r="D274" s="1" t="str">
        <f aca="false">IFERROR(IF(ISBLANK(INDEX(Backlog[Jira Link],MATCH($A274,Backlog[Requirement ID],0))),"",INDEX(Backlog[Jira Link],MATCH($A274,Backlog[Requirement ID],0))),"")</f>
        <v/>
      </c>
      <c r="E274" s="1" t="str">
        <f aca="false">IFERROR(IF(ISBLANK(INDEX(Backlog[Status],MATCH($A274,Backlog[Requirement ID],0))),"",INDEX(Backlog[Status],MATCH($A274,Backlog[Requirement ID],0))),"")</f>
        <v/>
      </c>
      <c r="F274" s="1" t="str">
        <f aca="false">IFERROR(IF(ISBLANK(INDEX(SprintPlanning[Sprint],MATCH($A274,SprintPlanning[Requirement ID],0))),"",INDEX(SprintPlanning[Sprint],MATCH($A274,SprintPlanning[Requirement ID],0))),"")</f>
        <v/>
      </c>
      <c r="H274" s="58"/>
      <c r="J274" s="1" t="str">
        <f aca="false">IFERROR(IF(ISBLANK(INDEX(Backlog[Priority],MATCH($A274,Backlog[Requirement ID],0))),"",INDEX(Backlog[Priority],MATCH($A274,Backlog[Requirement ID],0))),"")</f>
        <v/>
      </c>
      <c r="L274" s="1" t="str">
        <f aca="false">IFERROR(IF(ISBLANK(INDEX(Backlog[HLE],MATCH($A274,Backlog[Requirement ID],0))),"",IF(INDEX(Backlog[HLE],MATCH($A274,Backlog[Requirement ID],0))&lt;=5,0.5,IF(INDEX(Backlog[HLE],MATCH($A274,Backlog[Requirement ID],0))&lt;=8,1,IF(INDEX(Backlog[HLE],MATCH($A274,Backlog[Requirement ID],0))&lt;=13,2,IF(INDEX(Backlog[HLE],MATCH($A274,Backlog[Requirement ID],0))&lt;=20,3,5))))),"")</f>
        <v/>
      </c>
    </row>
    <row r="275" customFormat="false" ht="15" hidden="false" customHeight="true" outlineLevel="0" collapsed="false">
      <c r="A275" s="1" t="str">
        <f aca="false">Backlog!A275</f>
        <v/>
      </c>
      <c r="B275" s="57" t="str">
        <f aca="false">IFERROR(IF(ISBLANK(INDEX(Backlog[Requirement Name],MATCH($A275,Backlog[Requirement ID],0))),"",INDEX(Backlog[Requirement Name],MATCH($A275,Backlog[Requirement ID],0))),"")</f>
        <v/>
      </c>
      <c r="C275" s="1" t="str">
        <f aca="false">IFERROR(IF(ISBLANK(INDEX(Backlog[Stream],MATCH($A275,Backlog[Requirement ID],0))),"",INDEX(Backlog[Stream],MATCH($A275,Backlog[Requirement ID],0))),"")</f>
        <v/>
      </c>
      <c r="D275" s="1" t="str">
        <f aca="false">IFERROR(IF(ISBLANK(INDEX(Backlog[Jira Link],MATCH($A275,Backlog[Requirement ID],0))),"",INDEX(Backlog[Jira Link],MATCH($A275,Backlog[Requirement ID],0))),"")</f>
        <v/>
      </c>
      <c r="E275" s="1" t="str">
        <f aca="false">IFERROR(IF(ISBLANK(INDEX(Backlog[Status],MATCH($A275,Backlog[Requirement ID],0))),"",INDEX(Backlog[Status],MATCH($A275,Backlog[Requirement ID],0))),"")</f>
        <v/>
      </c>
      <c r="F275" s="1" t="str">
        <f aca="false">IFERROR(IF(ISBLANK(INDEX(SprintPlanning[Sprint],MATCH($A275,SprintPlanning[Requirement ID],0))),"",INDEX(SprintPlanning[Sprint],MATCH($A275,SprintPlanning[Requirement ID],0))),"")</f>
        <v/>
      </c>
      <c r="H275" s="58"/>
      <c r="J275" s="1" t="str">
        <f aca="false">IFERROR(IF(ISBLANK(INDEX(Backlog[Priority],MATCH($A275,Backlog[Requirement ID],0))),"",INDEX(Backlog[Priority],MATCH($A275,Backlog[Requirement ID],0))),"")</f>
        <v/>
      </c>
      <c r="L275" s="1" t="str">
        <f aca="false">IFERROR(IF(ISBLANK(INDEX(Backlog[HLE],MATCH($A275,Backlog[Requirement ID],0))),"",IF(INDEX(Backlog[HLE],MATCH($A275,Backlog[Requirement ID],0))&lt;=5,0.5,IF(INDEX(Backlog[HLE],MATCH($A275,Backlog[Requirement ID],0))&lt;=8,1,IF(INDEX(Backlog[HLE],MATCH($A275,Backlog[Requirement ID],0))&lt;=13,2,IF(INDEX(Backlog[HLE],MATCH($A275,Backlog[Requirement ID],0))&lt;=20,3,5))))),"")</f>
        <v/>
      </c>
    </row>
    <row r="276" customFormat="false" ht="15" hidden="false" customHeight="true" outlineLevel="0" collapsed="false">
      <c r="A276" s="1" t="str">
        <f aca="false">Backlog!A276</f>
        <v/>
      </c>
      <c r="B276" s="57" t="str">
        <f aca="false">IFERROR(IF(ISBLANK(INDEX(Backlog[Requirement Name],MATCH($A276,Backlog[Requirement ID],0))),"",INDEX(Backlog[Requirement Name],MATCH($A276,Backlog[Requirement ID],0))),"")</f>
        <v/>
      </c>
      <c r="C276" s="1" t="str">
        <f aca="false">IFERROR(IF(ISBLANK(INDEX(Backlog[Stream],MATCH($A276,Backlog[Requirement ID],0))),"",INDEX(Backlog[Stream],MATCH($A276,Backlog[Requirement ID],0))),"")</f>
        <v/>
      </c>
      <c r="D276" s="1" t="str">
        <f aca="false">IFERROR(IF(ISBLANK(INDEX(Backlog[Jira Link],MATCH($A276,Backlog[Requirement ID],0))),"",INDEX(Backlog[Jira Link],MATCH($A276,Backlog[Requirement ID],0))),"")</f>
        <v/>
      </c>
      <c r="E276" s="1" t="str">
        <f aca="false">IFERROR(IF(ISBLANK(INDEX(Backlog[Status],MATCH($A276,Backlog[Requirement ID],0))),"",INDEX(Backlog[Status],MATCH($A276,Backlog[Requirement ID],0))),"")</f>
        <v/>
      </c>
      <c r="F276" s="1" t="str">
        <f aca="false">IFERROR(IF(ISBLANK(INDEX(SprintPlanning[Sprint],MATCH($A276,SprintPlanning[Requirement ID],0))),"",INDEX(SprintPlanning[Sprint],MATCH($A276,SprintPlanning[Requirement ID],0))),"")</f>
        <v/>
      </c>
      <c r="H276" s="58"/>
      <c r="J276" s="1" t="str">
        <f aca="false">IFERROR(IF(ISBLANK(INDEX(Backlog[Priority],MATCH($A276,Backlog[Requirement ID],0))),"",INDEX(Backlog[Priority],MATCH($A276,Backlog[Requirement ID],0))),"")</f>
        <v/>
      </c>
      <c r="L276" s="1" t="str">
        <f aca="false">IFERROR(IF(ISBLANK(INDEX(Backlog[HLE],MATCH($A276,Backlog[Requirement ID],0))),"",IF(INDEX(Backlog[HLE],MATCH($A276,Backlog[Requirement ID],0))&lt;=5,0.5,IF(INDEX(Backlog[HLE],MATCH($A276,Backlog[Requirement ID],0))&lt;=8,1,IF(INDEX(Backlog[HLE],MATCH($A276,Backlog[Requirement ID],0))&lt;=13,2,IF(INDEX(Backlog[HLE],MATCH($A276,Backlog[Requirement ID],0))&lt;=20,3,5))))),"")</f>
        <v/>
      </c>
    </row>
    <row r="277" customFormat="false" ht="15" hidden="false" customHeight="true" outlineLevel="0" collapsed="false">
      <c r="A277" s="1" t="str">
        <f aca="false">Backlog!A277</f>
        <v/>
      </c>
      <c r="B277" s="57" t="str">
        <f aca="false">IFERROR(IF(ISBLANK(INDEX(Backlog[Requirement Name],MATCH($A277,Backlog[Requirement ID],0))),"",INDEX(Backlog[Requirement Name],MATCH($A277,Backlog[Requirement ID],0))),"")</f>
        <v/>
      </c>
      <c r="C277" s="1" t="str">
        <f aca="false">IFERROR(IF(ISBLANK(INDEX(Backlog[Stream],MATCH($A277,Backlog[Requirement ID],0))),"",INDEX(Backlog[Stream],MATCH($A277,Backlog[Requirement ID],0))),"")</f>
        <v/>
      </c>
      <c r="D277" s="1" t="str">
        <f aca="false">IFERROR(IF(ISBLANK(INDEX(Backlog[Jira Link],MATCH($A277,Backlog[Requirement ID],0))),"",INDEX(Backlog[Jira Link],MATCH($A277,Backlog[Requirement ID],0))),"")</f>
        <v/>
      </c>
      <c r="E277" s="1" t="str">
        <f aca="false">IFERROR(IF(ISBLANK(INDEX(Backlog[Status],MATCH($A277,Backlog[Requirement ID],0))),"",INDEX(Backlog[Status],MATCH($A277,Backlog[Requirement ID],0))),"")</f>
        <v/>
      </c>
      <c r="F277" s="1" t="str">
        <f aca="false">IFERROR(IF(ISBLANK(INDEX(SprintPlanning[Sprint],MATCH($A277,SprintPlanning[Requirement ID],0))),"",INDEX(SprintPlanning[Sprint],MATCH($A277,SprintPlanning[Requirement ID],0))),"")</f>
        <v/>
      </c>
      <c r="H277" s="58"/>
      <c r="J277" s="1" t="str">
        <f aca="false">IFERROR(IF(ISBLANK(INDEX(Backlog[Priority],MATCH($A277,Backlog[Requirement ID],0))),"",INDEX(Backlog[Priority],MATCH($A277,Backlog[Requirement ID],0))),"")</f>
        <v/>
      </c>
      <c r="L277" s="1" t="str">
        <f aca="false">IFERROR(IF(ISBLANK(INDEX(Backlog[HLE],MATCH($A277,Backlog[Requirement ID],0))),"",IF(INDEX(Backlog[HLE],MATCH($A277,Backlog[Requirement ID],0))&lt;=5,0.5,IF(INDEX(Backlog[HLE],MATCH($A277,Backlog[Requirement ID],0))&lt;=8,1,IF(INDEX(Backlog[HLE],MATCH($A277,Backlog[Requirement ID],0))&lt;=13,2,IF(INDEX(Backlog[HLE],MATCH($A277,Backlog[Requirement ID],0))&lt;=20,3,5))))),"")</f>
        <v/>
      </c>
    </row>
    <row r="278" customFormat="false" ht="15" hidden="false" customHeight="true" outlineLevel="0" collapsed="false">
      <c r="A278" s="1" t="str">
        <f aca="false">Backlog!A278</f>
        <v/>
      </c>
      <c r="B278" s="57" t="str">
        <f aca="false">IFERROR(IF(ISBLANK(INDEX(Backlog[Requirement Name],MATCH($A278,Backlog[Requirement ID],0))),"",INDEX(Backlog[Requirement Name],MATCH($A278,Backlog[Requirement ID],0))),"")</f>
        <v/>
      </c>
      <c r="C278" s="1" t="str">
        <f aca="false">IFERROR(IF(ISBLANK(INDEX(Backlog[Stream],MATCH($A278,Backlog[Requirement ID],0))),"",INDEX(Backlog[Stream],MATCH($A278,Backlog[Requirement ID],0))),"")</f>
        <v/>
      </c>
      <c r="D278" s="1" t="str">
        <f aca="false">IFERROR(IF(ISBLANK(INDEX(Backlog[Jira Link],MATCH($A278,Backlog[Requirement ID],0))),"",INDEX(Backlog[Jira Link],MATCH($A278,Backlog[Requirement ID],0))),"")</f>
        <v/>
      </c>
      <c r="E278" s="1" t="str">
        <f aca="false">IFERROR(IF(ISBLANK(INDEX(Backlog[Status],MATCH($A278,Backlog[Requirement ID],0))),"",INDEX(Backlog[Status],MATCH($A278,Backlog[Requirement ID],0))),"")</f>
        <v/>
      </c>
      <c r="F278" s="1" t="str">
        <f aca="false">IFERROR(IF(ISBLANK(INDEX(SprintPlanning[Sprint],MATCH($A278,SprintPlanning[Requirement ID],0))),"",INDEX(SprintPlanning[Sprint],MATCH($A278,SprintPlanning[Requirement ID],0))),"")</f>
        <v/>
      </c>
      <c r="H278" s="58"/>
      <c r="J278" s="1" t="str">
        <f aca="false">IFERROR(IF(ISBLANK(INDEX(Backlog[Priority],MATCH($A278,Backlog[Requirement ID],0))),"",INDEX(Backlog[Priority],MATCH($A278,Backlog[Requirement ID],0))),"")</f>
        <v/>
      </c>
      <c r="L278" s="1" t="str">
        <f aca="false">IFERROR(IF(ISBLANK(INDEX(Backlog[HLE],MATCH($A278,Backlog[Requirement ID],0))),"",IF(INDEX(Backlog[HLE],MATCH($A278,Backlog[Requirement ID],0))&lt;=5,0.5,IF(INDEX(Backlog[HLE],MATCH($A278,Backlog[Requirement ID],0))&lt;=8,1,IF(INDEX(Backlog[HLE],MATCH($A278,Backlog[Requirement ID],0))&lt;=13,2,IF(INDEX(Backlog[HLE],MATCH($A278,Backlog[Requirement ID],0))&lt;=20,3,5))))),"")</f>
        <v/>
      </c>
    </row>
    <row r="279" customFormat="false" ht="15" hidden="false" customHeight="true" outlineLevel="0" collapsed="false">
      <c r="A279" s="1" t="str">
        <f aca="false">Backlog!A279</f>
        <v/>
      </c>
      <c r="B279" s="57" t="str">
        <f aca="false">IFERROR(IF(ISBLANK(INDEX(Backlog[Requirement Name],MATCH($A279,Backlog[Requirement ID],0))),"",INDEX(Backlog[Requirement Name],MATCH($A279,Backlog[Requirement ID],0))),"")</f>
        <v/>
      </c>
      <c r="C279" s="1" t="str">
        <f aca="false">IFERROR(IF(ISBLANK(INDEX(Backlog[Stream],MATCH($A279,Backlog[Requirement ID],0))),"",INDEX(Backlog[Stream],MATCH($A279,Backlog[Requirement ID],0))),"")</f>
        <v/>
      </c>
      <c r="D279" s="1" t="str">
        <f aca="false">IFERROR(IF(ISBLANK(INDEX(Backlog[Jira Link],MATCH($A279,Backlog[Requirement ID],0))),"",INDEX(Backlog[Jira Link],MATCH($A279,Backlog[Requirement ID],0))),"")</f>
        <v/>
      </c>
      <c r="E279" s="1" t="str">
        <f aca="false">IFERROR(IF(ISBLANK(INDEX(Backlog[Status],MATCH($A279,Backlog[Requirement ID],0))),"",INDEX(Backlog[Status],MATCH($A279,Backlog[Requirement ID],0))),"")</f>
        <v/>
      </c>
      <c r="F279" s="1" t="str">
        <f aca="false">IFERROR(IF(ISBLANK(INDEX(SprintPlanning[Sprint],MATCH($A279,SprintPlanning[Requirement ID],0))),"",INDEX(SprintPlanning[Sprint],MATCH($A279,SprintPlanning[Requirement ID],0))),"")</f>
        <v/>
      </c>
      <c r="H279" s="58"/>
      <c r="J279" s="1" t="str">
        <f aca="false">IFERROR(IF(ISBLANK(INDEX(Backlog[Priority],MATCH($A279,Backlog[Requirement ID],0))),"",INDEX(Backlog[Priority],MATCH($A279,Backlog[Requirement ID],0))),"")</f>
        <v/>
      </c>
      <c r="L279" s="1" t="str">
        <f aca="false">IFERROR(IF(ISBLANK(INDEX(Backlog[HLE],MATCH($A279,Backlog[Requirement ID],0))),"",IF(INDEX(Backlog[HLE],MATCH($A279,Backlog[Requirement ID],0))&lt;=5,0.5,IF(INDEX(Backlog[HLE],MATCH($A279,Backlog[Requirement ID],0))&lt;=8,1,IF(INDEX(Backlog[HLE],MATCH($A279,Backlog[Requirement ID],0))&lt;=13,2,IF(INDEX(Backlog[HLE],MATCH($A279,Backlog[Requirement ID],0))&lt;=20,3,5))))),"")</f>
        <v/>
      </c>
    </row>
    <row r="280" customFormat="false" ht="15" hidden="false" customHeight="true" outlineLevel="0" collapsed="false">
      <c r="A280" s="1" t="str">
        <f aca="false">Backlog!A280</f>
        <v/>
      </c>
      <c r="B280" s="57" t="str">
        <f aca="false">IFERROR(IF(ISBLANK(INDEX(Backlog[Requirement Name],MATCH($A280,Backlog[Requirement ID],0))),"",INDEX(Backlog[Requirement Name],MATCH($A280,Backlog[Requirement ID],0))),"")</f>
        <v/>
      </c>
      <c r="C280" s="1" t="str">
        <f aca="false">IFERROR(IF(ISBLANK(INDEX(Backlog[Stream],MATCH($A280,Backlog[Requirement ID],0))),"",INDEX(Backlog[Stream],MATCH($A280,Backlog[Requirement ID],0))),"")</f>
        <v/>
      </c>
      <c r="D280" s="1" t="str">
        <f aca="false">IFERROR(IF(ISBLANK(INDEX(Backlog[Jira Link],MATCH($A280,Backlog[Requirement ID],0))),"",INDEX(Backlog[Jira Link],MATCH($A280,Backlog[Requirement ID],0))),"")</f>
        <v/>
      </c>
      <c r="E280" s="1" t="str">
        <f aca="false">IFERROR(IF(ISBLANK(INDEX(Backlog[Status],MATCH($A280,Backlog[Requirement ID],0))),"",INDEX(Backlog[Status],MATCH($A280,Backlog[Requirement ID],0))),"")</f>
        <v/>
      </c>
      <c r="F280" s="1" t="str">
        <f aca="false">IFERROR(IF(ISBLANK(INDEX(SprintPlanning[Sprint],MATCH($A280,SprintPlanning[Requirement ID],0))),"",INDEX(SprintPlanning[Sprint],MATCH($A280,SprintPlanning[Requirement ID],0))),"")</f>
        <v/>
      </c>
      <c r="H280" s="58"/>
      <c r="J280" s="1" t="str">
        <f aca="false">IFERROR(IF(ISBLANK(INDEX(Backlog[Priority],MATCH($A280,Backlog[Requirement ID],0))),"",INDEX(Backlog[Priority],MATCH($A280,Backlog[Requirement ID],0))),"")</f>
        <v/>
      </c>
      <c r="L280" s="1" t="str">
        <f aca="false">IFERROR(IF(ISBLANK(INDEX(Backlog[HLE],MATCH($A280,Backlog[Requirement ID],0))),"",IF(INDEX(Backlog[HLE],MATCH($A280,Backlog[Requirement ID],0))&lt;=5,0.5,IF(INDEX(Backlog[HLE],MATCH($A280,Backlog[Requirement ID],0))&lt;=8,1,IF(INDEX(Backlog[HLE],MATCH($A280,Backlog[Requirement ID],0))&lt;=13,2,IF(INDEX(Backlog[HLE],MATCH($A280,Backlog[Requirement ID],0))&lt;=20,3,5))))),"")</f>
        <v/>
      </c>
    </row>
    <row r="281" customFormat="false" ht="15" hidden="false" customHeight="true" outlineLevel="0" collapsed="false">
      <c r="A281" s="1" t="str">
        <f aca="false">Backlog!A281</f>
        <v/>
      </c>
      <c r="B281" s="57" t="str">
        <f aca="false">IFERROR(IF(ISBLANK(INDEX(Backlog[Requirement Name],MATCH($A281,Backlog[Requirement ID],0))),"",INDEX(Backlog[Requirement Name],MATCH($A281,Backlog[Requirement ID],0))),"")</f>
        <v/>
      </c>
      <c r="C281" s="1" t="str">
        <f aca="false">IFERROR(IF(ISBLANK(INDEX(Backlog[Stream],MATCH($A281,Backlog[Requirement ID],0))),"",INDEX(Backlog[Stream],MATCH($A281,Backlog[Requirement ID],0))),"")</f>
        <v/>
      </c>
      <c r="D281" s="1" t="str">
        <f aca="false">IFERROR(IF(ISBLANK(INDEX(Backlog[Jira Link],MATCH($A281,Backlog[Requirement ID],0))),"",INDEX(Backlog[Jira Link],MATCH($A281,Backlog[Requirement ID],0))),"")</f>
        <v/>
      </c>
      <c r="E281" s="1" t="str">
        <f aca="false">IFERROR(IF(ISBLANK(INDEX(Backlog[Status],MATCH($A281,Backlog[Requirement ID],0))),"",INDEX(Backlog[Status],MATCH($A281,Backlog[Requirement ID],0))),"")</f>
        <v/>
      </c>
      <c r="F281" s="1" t="str">
        <f aca="false">IFERROR(IF(ISBLANK(INDEX(SprintPlanning[Sprint],MATCH($A281,SprintPlanning[Requirement ID],0))),"",INDEX(SprintPlanning[Sprint],MATCH($A281,SprintPlanning[Requirement ID],0))),"")</f>
        <v/>
      </c>
      <c r="H281" s="58"/>
      <c r="J281" s="1" t="str">
        <f aca="false">IFERROR(IF(ISBLANK(INDEX(Backlog[Priority],MATCH($A281,Backlog[Requirement ID],0))),"",INDEX(Backlog[Priority],MATCH($A281,Backlog[Requirement ID],0))),"")</f>
        <v/>
      </c>
      <c r="L281" s="1" t="str">
        <f aca="false">IFERROR(IF(ISBLANK(INDEX(Backlog[HLE],MATCH($A281,Backlog[Requirement ID],0))),"",IF(INDEX(Backlog[HLE],MATCH($A281,Backlog[Requirement ID],0))&lt;=5,0.5,IF(INDEX(Backlog[HLE],MATCH($A281,Backlog[Requirement ID],0))&lt;=8,1,IF(INDEX(Backlog[HLE],MATCH($A281,Backlog[Requirement ID],0))&lt;=13,2,IF(INDEX(Backlog[HLE],MATCH($A281,Backlog[Requirement ID],0))&lt;=20,3,5))))),"")</f>
        <v/>
      </c>
    </row>
    <row r="282" customFormat="false" ht="15" hidden="false" customHeight="true" outlineLevel="0" collapsed="false">
      <c r="A282" s="1" t="str">
        <f aca="false">Backlog!A282</f>
        <v/>
      </c>
      <c r="B282" s="57" t="str">
        <f aca="false">IFERROR(IF(ISBLANK(INDEX(Backlog[Requirement Name],MATCH($A282,Backlog[Requirement ID],0))),"",INDEX(Backlog[Requirement Name],MATCH($A282,Backlog[Requirement ID],0))),"")</f>
        <v/>
      </c>
      <c r="C282" s="1" t="str">
        <f aca="false">IFERROR(IF(ISBLANK(INDEX(Backlog[Stream],MATCH($A282,Backlog[Requirement ID],0))),"",INDEX(Backlog[Stream],MATCH($A282,Backlog[Requirement ID],0))),"")</f>
        <v/>
      </c>
      <c r="D282" s="1" t="str">
        <f aca="false">IFERROR(IF(ISBLANK(INDEX(Backlog[Jira Link],MATCH($A282,Backlog[Requirement ID],0))),"",INDEX(Backlog[Jira Link],MATCH($A282,Backlog[Requirement ID],0))),"")</f>
        <v/>
      </c>
      <c r="E282" s="1" t="str">
        <f aca="false">IFERROR(IF(ISBLANK(INDEX(Backlog[Status],MATCH($A282,Backlog[Requirement ID],0))),"",INDEX(Backlog[Status],MATCH($A282,Backlog[Requirement ID],0))),"")</f>
        <v/>
      </c>
      <c r="F282" s="1" t="str">
        <f aca="false">IFERROR(IF(ISBLANK(INDEX(SprintPlanning[Sprint],MATCH($A282,SprintPlanning[Requirement ID],0))),"",INDEX(SprintPlanning[Sprint],MATCH($A282,SprintPlanning[Requirement ID],0))),"")</f>
        <v/>
      </c>
      <c r="H282" s="58"/>
      <c r="J282" s="1" t="str">
        <f aca="false">IFERROR(IF(ISBLANK(INDEX(Backlog[Priority],MATCH($A282,Backlog[Requirement ID],0))),"",INDEX(Backlog[Priority],MATCH($A282,Backlog[Requirement ID],0))),"")</f>
        <v/>
      </c>
      <c r="L282" s="1" t="str">
        <f aca="false">IFERROR(IF(ISBLANK(INDEX(Backlog[HLE],MATCH($A282,Backlog[Requirement ID],0))),"",IF(INDEX(Backlog[HLE],MATCH($A282,Backlog[Requirement ID],0))&lt;=5,0.5,IF(INDEX(Backlog[HLE],MATCH($A282,Backlog[Requirement ID],0))&lt;=8,1,IF(INDEX(Backlog[HLE],MATCH($A282,Backlog[Requirement ID],0))&lt;=13,2,IF(INDEX(Backlog[HLE],MATCH($A282,Backlog[Requirement ID],0))&lt;=20,3,5))))),"")</f>
        <v/>
      </c>
    </row>
    <row r="283" customFormat="false" ht="15" hidden="false" customHeight="true" outlineLevel="0" collapsed="false">
      <c r="A283" s="1" t="str">
        <f aca="false">Backlog!A283</f>
        <v/>
      </c>
      <c r="B283" s="57" t="str">
        <f aca="false">IFERROR(IF(ISBLANK(INDEX(Backlog[Requirement Name],MATCH($A283,Backlog[Requirement ID],0))),"",INDEX(Backlog[Requirement Name],MATCH($A283,Backlog[Requirement ID],0))),"")</f>
        <v/>
      </c>
      <c r="C283" s="1" t="str">
        <f aca="false">IFERROR(IF(ISBLANK(INDEX(Backlog[Stream],MATCH($A283,Backlog[Requirement ID],0))),"",INDEX(Backlog[Stream],MATCH($A283,Backlog[Requirement ID],0))),"")</f>
        <v/>
      </c>
      <c r="D283" s="1" t="str">
        <f aca="false">IFERROR(IF(ISBLANK(INDEX(Backlog[Jira Link],MATCH($A283,Backlog[Requirement ID],0))),"",INDEX(Backlog[Jira Link],MATCH($A283,Backlog[Requirement ID],0))),"")</f>
        <v/>
      </c>
      <c r="E283" s="1" t="str">
        <f aca="false">IFERROR(IF(ISBLANK(INDEX(Backlog[Status],MATCH($A283,Backlog[Requirement ID],0))),"",INDEX(Backlog[Status],MATCH($A283,Backlog[Requirement ID],0))),"")</f>
        <v/>
      </c>
      <c r="F283" s="1" t="str">
        <f aca="false">IFERROR(IF(ISBLANK(INDEX(SprintPlanning[Sprint],MATCH($A283,SprintPlanning[Requirement ID],0))),"",INDEX(SprintPlanning[Sprint],MATCH($A283,SprintPlanning[Requirement ID],0))),"")</f>
        <v/>
      </c>
      <c r="H283" s="58"/>
      <c r="J283" s="1" t="str">
        <f aca="false">IFERROR(IF(ISBLANK(INDEX(Backlog[Priority],MATCH($A283,Backlog[Requirement ID],0))),"",INDEX(Backlog[Priority],MATCH($A283,Backlog[Requirement ID],0))),"")</f>
        <v/>
      </c>
      <c r="L283" s="1" t="str">
        <f aca="false">IFERROR(IF(ISBLANK(INDEX(Backlog[HLE],MATCH($A283,Backlog[Requirement ID],0))),"",IF(INDEX(Backlog[HLE],MATCH($A283,Backlog[Requirement ID],0))&lt;=5,0.5,IF(INDEX(Backlog[HLE],MATCH($A283,Backlog[Requirement ID],0))&lt;=8,1,IF(INDEX(Backlog[HLE],MATCH($A283,Backlog[Requirement ID],0))&lt;=13,2,IF(INDEX(Backlog[HLE],MATCH($A283,Backlog[Requirement ID],0))&lt;=20,3,5))))),"")</f>
        <v/>
      </c>
    </row>
    <row r="284" customFormat="false" ht="15" hidden="false" customHeight="true" outlineLevel="0" collapsed="false">
      <c r="A284" s="1" t="str">
        <f aca="false">Backlog!A284</f>
        <v/>
      </c>
      <c r="B284" s="57" t="str">
        <f aca="false">IFERROR(IF(ISBLANK(INDEX(Backlog[Requirement Name],MATCH($A284,Backlog[Requirement ID],0))),"",INDEX(Backlog[Requirement Name],MATCH($A284,Backlog[Requirement ID],0))),"")</f>
        <v/>
      </c>
      <c r="C284" s="1" t="str">
        <f aca="false">IFERROR(IF(ISBLANK(INDEX(Backlog[Stream],MATCH($A284,Backlog[Requirement ID],0))),"",INDEX(Backlog[Stream],MATCH($A284,Backlog[Requirement ID],0))),"")</f>
        <v/>
      </c>
      <c r="D284" s="1" t="str">
        <f aca="false">IFERROR(IF(ISBLANK(INDEX(Backlog[Jira Link],MATCH($A284,Backlog[Requirement ID],0))),"",INDEX(Backlog[Jira Link],MATCH($A284,Backlog[Requirement ID],0))),"")</f>
        <v/>
      </c>
      <c r="E284" s="1" t="str">
        <f aca="false">IFERROR(IF(ISBLANK(INDEX(Backlog[Status],MATCH($A284,Backlog[Requirement ID],0))),"",INDEX(Backlog[Status],MATCH($A284,Backlog[Requirement ID],0))),"")</f>
        <v/>
      </c>
      <c r="F284" s="1" t="str">
        <f aca="false">IFERROR(IF(ISBLANK(INDEX(SprintPlanning[Sprint],MATCH($A284,SprintPlanning[Requirement ID],0))),"",INDEX(SprintPlanning[Sprint],MATCH($A284,SprintPlanning[Requirement ID],0))),"")</f>
        <v/>
      </c>
      <c r="H284" s="58"/>
      <c r="J284" s="1" t="str">
        <f aca="false">IFERROR(IF(ISBLANK(INDEX(Backlog[Priority],MATCH($A284,Backlog[Requirement ID],0))),"",INDEX(Backlog[Priority],MATCH($A284,Backlog[Requirement ID],0))),"")</f>
        <v/>
      </c>
      <c r="L284" s="1" t="str">
        <f aca="false">IFERROR(IF(ISBLANK(INDEX(Backlog[HLE],MATCH($A284,Backlog[Requirement ID],0))),"",IF(INDEX(Backlog[HLE],MATCH($A284,Backlog[Requirement ID],0))&lt;=5,0.5,IF(INDEX(Backlog[HLE],MATCH($A284,Backlog[Requirement ID],0))&lt;=8,1,IF(INDEX(Backlog[HLE],MATCH($A284,Backlog[Requirement ID],0))&lt;=13,2,IF(INDEX(Backlog[HLE],MATCH($A284,Backlog[Requirement ID],0))&lt;=20,3,5))))),"")</f>
        <v/>
      </c>
    </row>
    <row r="285" customFormat="false" ht="15" hidden="false" customHeight="true" outlineLevel="0" collapsed="false">
      <c r="A285" s="1" t="str">
        <f aca="false">Backlog!A285</f>
        <v/>
      </c>
      <c r="B285" s="57" t="str">
        <f aca="false">IFERROR(IF(ISBLANK(INDEX(Backlog[Requirement Name],MATCH($A285,Backlog[Requirement ID],0))),"",INDEX(Backlog[Requirement Name],MATCH($A285,Backlog[Requirement ID],0))),"")</f>
        <v/>
      </c>
      <c r="C285" s="1" t="str">
        <f aca="false">IFERROR(IF(ISBLANK(INDEX(Backlog[Stream],MATCH($A285,Backlog[Requirement ID],0))),"",INDEX(Backlog[Stream],MATCH($A285,Backlog[Requirement ID],0))),"")</f>
        <v/>
      </c>
      <c r="D285" s="1" t="str">
        <f aca="false">IFERROR(IF(ISBLANK(INDEX(Backlog[Jira Link],MATCH($A285,Backlog[Requirement ID],0))),"",INDEX(Backlog[Jira Link],MATCH($A285,Backlog[Requirement ID],0))),"")</f>
        <v/>
      </c>
      <c r="E285" s="1" t="str">
        <f aca="false">IFERROR(IF(ISBLANK(INDEX(Backlog[Status],MATCH($A285,Backlog[Requirement ID],0))),"",INDEX(Backlog[Status],MATCH($A285,Backlog[Requirement ID],0))),"")</f>
        <v/>
      </c>
      <c r="F285" s="1" t="str">
        <f aca="false">IFERROR(IF(ISBLANK(INDEX(SprintPlanning[Sprint],MATCH($A285,SprintPlanning[Requirement ID],0))),"",INDEX(SprintPlanning[Sprint],MATCH($A285,SprintPlanning[Requirement ID],0))),"")</f>
        <v/>
      </c>
      <c r="H285" s="58"/>
      <c r="J285" s="1" t="str">
        <f aca="false">IFERROR(IF(ISBLANK(INDEX(Backlog[Priority],MATCH($A285,Backlog[Requirement ID],0))),"",INDEX(Backlog[Priority],MATCH($A285,Backlog[Requirement ID],0))),"")</f>
        <v/>
      </c>
      <c r="L285" s="1" t="str">
        <f aca="false">IFERROR(IF(ISBLANK(INDEX(Backlog[HLE],MATCH($A285,Backlog[Requirement ID],0))),"",IF(INDEX(Backlog[HLE],MATCH($A285,Backlog[Requirement ID],0))&lt;=5,0.5,IF(INDEX(Backlog[HLE],MATCH($A285,Backlog[Requirement ID],0))&lt;=8,1,IF(INDEX(Backlog[HLE],MATCH($A285,Backlog[Requirement ID],0))&lt;=13,2,IF(INDEX(Backlog[HLE],MATCH($A285,Backlog[Requirement ID],0))&lt;=20,3,5))))),"")</f>
        <v/>
      </c>
    </row>
    <row r="286" customFormat="false" ht="15" hidden="false" customHeight="true" outlineLevel="0" collapsed="false">
      <c r="A286" s="1" t="str">
        <f aca="false">Backlog!A286</f>
        <v/>
      </c>
      <c r="B286" s="57" t="str">
        <f aca="false">IFERROR(IF(ISBLANK(INDEX(Backlog[Requirement Name],MATCH($A286,Backlog[Requirement ID],0))),"",INDEX(Backlog[Requirement Name],MATCH($A286,Backlog[Requirement ID],0))),"")</f>
        <v/>
      </c>
      <c r="C286" s="1" t="str">
        <f aca="false">IFERROR(IF(ISBLANK(INDEX(Backlog[Stream],MATCH($A286,Backlog[Requirement ID],0))),"",INDEX(Backlog[Stream],MATCH($A286,Backlog[Requirement ID],0))),"")</f>
        <v/>
      </c>
      <c r="D286" s="1" t="str">
        <f aca="false">IFERROR(IF(ISBLANK(INDEX(Backlog[Jira Link],MATCH($A286,Backlog[Requirement ID],0))),"",INDEX(Backlog[Jira Link],MATCH($A286,Backlog[Requirement ID],0))),"")</f>
        <v/>
      </c>
      <c r="E286" s="1" t="str">
        <f aca="false">IFERROR(IF(ISBLANK(INDEX(Backlog[Status],MATCH($A286,Backlog[Requirement ID],0))),"",INDEX(Backlog[Status],MATCH($A286,Backlog[Requirement ID],0))),"")</f>
        <v/>
      </c>
      <c r="F286" s="1" t="str">
        <f aca="false">IFERROR(IF(ISBLANK(INDEX(SprintPlanning[Sprint],MATCH($A286,SprintPlanning[Requirement ID],0))),"",INDEX(SprintPlanning[Sprint],MATCH($A286,SprintPlanning[Requirement ID],0))),"")</f>
        <v/>
      </c>
      <c r="H286" s="58"/>
      <c r="J286" s="1" t="str">
        <f aca="false">IFERROR(IF(ISBLANK(INDEX(Backlog[Priority],MATCH($A286,Backlog[Requirement ID],0))),"",INDEX(Backlog[Priority],MATCH($A286,Backlog[Requirement ID],0))),"")</f>
        <v/>
      </c>
      <c r="L286" s="1" t="str">
        <f aca="false">IFERROR(IF(ISBLANK(INDEX(Backlog[HLE],MATCH($A286,Backlog[Requirement ID],0))),"",IF(INDEX(Backlog[HLE],MATCH($A286,Backlog[Requirement ID],0))&lt;=5,0.5,IF(INDEX(Backlog[HLE],MATCH($A286,Backlog[Requirement ID],0))&lt;=8,1,IF(INDEX(Backlog[HLE],MATCH($A286,Backlog[Requirement ID],0))&lt;=13,2,IF(INDEX(Backlog[HLE],MATCH($A286,Backlog[Requirement ID],0))&lt;=20,3,5))))),"")</f>
        <v/>
      </c>
    </row>
    <row r="287" customFormat="false" ht="15" hidden="false" customHeight="true" outlineLevel="0" collapsed="false">
      <c r="A287" s="1" t="str">
        <f aca="false">Backlog!A287</f>
        <v/>
      </c>
      <c r="B287" s="57" t="str">
        <f aca="false">IFERROR(IF(ISBLANK(INDEX(Backlog[Requirement Name],MATCH($A287,Backlog[Requirement ID],0))),"",INDEX(Backlog[Requirement Name],MATCH($A287,Backlog[Requirement ID],0))),"")</f>
        <v/>
      </c>
      <c r="C287" s="1" t="str">
        <f aca="false">IFERROR(IF(ISBLANK(INDEX(Backlog[Stream],MATCH($A287,Backlog[Requirement ID],0))),"",INDEX(Backlog[Stream],MATCH($A287,Backlog[Requirement ID],0))),"")</f>
        <v/>
      </c>
      <c r="D287" s="1" t="str">
        <f aca="false">IFERROR(IF(ISBLANK(INDEX(Backlog[Jira Link],MATCH($A287,Backlog[Requirement ID],0))),"",INDEX(Backlog[Jira Link],MATCH($A287,Backlog[Requirement ID],0))),"")</f>
        <v/>
      </c>
      <c r="E287" s="1" t="str">
        <f aca="false">IFERROR(IF(ISBLANK(INDEX(Backlog[Status],MATCH($A287,Backlog[Requirement ID],0))),"",INDEX(Backlog[Status],MATCH($A287,Backlog[Requirement ID],0))),"")</f>
        <v/>
      </c>
      <c r="F287" s="1" t="str">
        <f aca="false">IFERROR(IF(ISBLANK(INDEX(SprintPlanning[Sprint],MATCH($A287,SprintPlanning[Requirement ID],0))),"",INDEX(SprintPlanning[Sprint],MATCH($A287,SprintPlanning[Requirement ID],0))),"")</f>
        <v/>
      </c>
      <c r="H287" s="58"/>
      <c r="J287" s="1" t="str">
        <f aca="false">IFERROR(IF(ISBLANK(INDEX(Backlog[Priority],MATCH($A287,Backlog[Requirement ID],0))),"",INDEX(Backlog[Priority],MATCH($A287,Backlog[Requirement ID],0))),"")</f>
        <v/>
      </c>
      <c r="L287" s="1" t="str">
        <f aca="false">IFERROR(IF(ISBLANK(INDEX(Backlog[HLE],MATCH($A287,Backlog[Requirement ID],0))),"",IF(INDEX(Backlog[HLE],MATCH($A287,Backlog[Requirement ID],0))&lt;=5,0.5,IF(INDEX(Backlog[HLE],MATCH($A287,Backlog[Requirement ID],0))&lt;=8,1,IF(INDEX(Backlog[HLE],MATCH($A287,Backlog[Requirement ID],0))&lt;=13,2,IF(INDEX(Backlog[HLE],MATCH($A287,Backlog[Requirement ID],0))&lt;=20,3,5))))),"")</f>
        <v/>
      </c>
    </row>
    <row r="288" customFormat="false" ht="15" hidden="false" customHeight="true" outlineLevel="0" collapsed="false">
      <c r="A288" s="1" t="str">
        <f aca="false">Backlog!A288</f>
        <v/>
      </c>
      <c r="B288" s="57" t="str">
        <f aca="false">IFERROR(IF(ISBLANK(INDEX(Backlog[Requirement Name],MATCH($A288,Backlog[Requirement ID],0))),"",INDEX(Backlog[Requirement Name],MATCH($A288,Backlog[Requirement ID],0))),"")</f>
        <v/>
      </c>
      <c r="C288" s="1" t="str">
        <f aca="false">IFERROR(IF(ISBLANK(INDEX(Backlog[Stream],MATCH($A288,Backlog[Requirement ID],0))),"",INDEX(Backlog[Stream],MATCH($A288,Backlog[Requirement ID],0))),"")</f>
        <v/>
      </c>
      <c r="D288" s="1" t="str">
        <f aca="false">IFERROR(IF(ISBLANK(INDEX(Backlog[Jira Link],MATCH($A288,Backlog[Requirement ID],0))),"",INDEX(Backlog[Jira Link],MATCH($A288,Backlog[Requirement ID],0))),"")</f>
        <v/>
      </c>
      <c r="E288" s="1" t="str">
        <f aca="false">IFERROR(IF(ISBLANK(INDEX(Backlog[Status],MATCH($A288,Backlog[Requirement ID],0))),"",INDEX(Backlog[Status],MATCH($A288,Backlog[Requirement ID],0))),"")</f>
        <v/>
      </c>
      <c r="F288" s="1" t="str">
        <f aca="false">IFERROR(IF(ISBLANK(INDEX(SprintPlanning[Sprint],MATCH($A288,SprintPlanning[Requirement ID],0))),"",INDEX(SprintPlanning[Sprint],MATCH($A288,SprintPlanning[Requirement ID],0))),"")</f>
        <v/>
      </c>
      <c r="H288" s="58"/>
      <c r="J288" s="1" t="str">
        <f aca="false">IFERROR(IF(ISBLANK(INDEX(Backlog[Priority],MATCH($A288,Backlog[Requirement ID],0))),"",INDEX(Backlog[Priority],MATCH($A288,Backlog[Requirement ID],0))),"")</f>
        <v/>
      </c>
      <c r="L288" s="1" t="str">
        <f aca="false">IFERROR(IF(ISBLANK(INDEX(Backlog[HLE],MATCH($A288,Backlog[Requirement ID],0))),"",IF(INDEX(Backlog[HLE],MATCH($A288,Backlog[Requirement ID],0))&lt;=5,0.5,IF(INDEX(Backlog[HLE],MATCH($A288,Backlog[Requirement ID],0))&lt;=8,1,IF(INDEX(Backlog[HLE],MATCH($A288,Backlog[Requirement ID],0))&lt;=13,2,IF(INDEX(Backlog[HLE],MATCH($A288,Backlog[Requirement ID],0))&lt;=20,3,5))))),"")</f>
        <v/>
      </c>
    </row>
    <row r="289" customFormat="false" ht="15" hidden="false" customHeight="true" outlineLevel="0" collapsed="false">
      <c r="A289" s="1" t="str">
        <f aca="false">Backlog!A289</f>
        <v/>
      </c>
      <c r="B289" s="57" t="str">
        <f aca="false">IFERROR(IF(ISBLANK(INDEX(Backlog[Requirement Name],MATCH($A289,Backlog[Requirement ID],0))),"",INDEX(Backlog[Requirement Name],MATCH($A289,Backlog[Requirement ID],0))),"")</f>
        <v/>
      </c>
      <c r="C289" s="1" t="str">
        <f aca="false">IFERROR(IF(ISBLANK(INDEX(Backlog[Stream],MATCH($A289,Backlog[Requirement ID],0))),"",INDEX(Backlog[Stream],MATCH($A289,Backlog[Requirement ID],0))),"")</f>
        <v/>
      </c>
      <c r="D289" s="1" t="str">
        <f aca="false">IFERROR(IF(ISBLANK(INDEX(Backlog[Jira Link],MATCH($A289,Backlog[Requirement ID],0))),"",INDEX(Backlog[Jira Link],MATCH($A289,Backlog[Requirement ID],0))),"")</f>
        <v/>
      </c>
      <c r="E289" s="1" t="str">
        <f aca="false">IFERROR(IF(ISBLANK(INDEX(Backlog[Status],MATCH($A289,Backlog[Requirement ID],0))),"",INDEX(Backlog[Status],MATCH($A289,Backlog[Requirement ID],0))),"")</f>
        <v/>
      </c>
      <c r="F289" s="1" t="str">
        <f aca="false">IFERROR(IF(ISBLANK(INDEX(SprintPlanning[Sprint],MATCH($A289,SprintPlanning[Requirement ID],0))),"",INDEX(SprintPlanning[Sprint],MATCH($A289,SprintPlanning[Requirement ID],0))),"")</f>
        <v/>
      </c>
      <c r="H289" s="58"/>
      <c r="J289" s="1" t="str">
        <f aca="false">IFERROR(IF(ISBLANK(INDEX(Backlog[Priority],MATCH($A289,Backlog[Requirement ID],0))),"",INDEX(Backlog[Priority],MATCH($A289,Backlog[Requirement ID],0))),"")</f>
        <v/>
      </c>
      <c r="L289" s="1" t="str">
        <f aca="false">IFERROR(IF(ISBLANK(INDEX(Backlog[HLE],MATCH($A289,Backlog[Requirement ID],0))),"",IF(INDEX(Backlog[HLE],MATCH($A289,Backlog[Requirement ID],0))&lt;=5,0.5,IF(INDEX(Backlog[HLE],MATCH($A289,Backlog[Requirement ID],0))&lt;=8,1,IF(INDEX(Backlog[HLE],MATCH($A289,Backlog[Requirement ID],0))&lt;=13,2,IF(INDEX(Backlog[HLE],MATCH($A289,Backlog[Requirement ID],0))&lt;=20,3,5))))),"")</f>
        <v/>
      </c>
    </row>
    <row r="290" customFormat="false" ht="15" hidden="false" customHeight="true" outlineLevel="0" collapsed="false">
      <c r="A290" s="1" t="str">
        <f aca="false">Backlog!A290</f>
        <v/>
      </c>
      <c r="B290" s="57" t="str">
        <f aca="false">IFERROR(IF(ISBLANK(INDEX(Backlog[Requirement Name],MATCH($A290,Backlog[Requirement ID],0))),"",INDEX(Backlog[Requirement Name],MATCH($A290,Backlog[Requirement ID],0))),"")</f>
        <v/>
      </c>
      <c r="C290" s="1" t="str">
        <f aca="false">IFERROR(IF(ISBLANK(INDEX(Backlog[Stream],MATCH($A290,Backlog[Requirement ID],0))),"",INDEX(Backlog[Stream],MATCH($A290,Backlog[Requirement ID],0))),"")</f>
        <v/>
      </c>
      <c r="D290" s="1" t="str">
        <f aca="false">IFERROR(IF(ISBLANK(INDEX(Backlog[Jira Link],MATCH($A290,Backlog[Requirement ID],0))),"",INDEX(Backlog[Jira Link],MATCH($A290,Backlog[Requirement ID],0))),"")</f>
        <v/>
      </c>
      <c r="E290" s="1" t="str">
        <f aca="false">IFERROR(IF(ISBLANK(INDEX(Backlog[Status],MATCH($A290,Backlog[Requirement ID],0))),"",INDEX(Backlog[Status],MATCH($A290,Backlog[Requirement ID],0))),"")</f>
        <v/>
      </c>
      <c r="F290" s="1" t="str">
        <f aca="false">IFERROR(IF(ISBLANK(INDEX(SprintPlanning[Sprint],MATCH($A290,SprintPlanning[Requirement ID],0))),"",INDEX(SprintPlanning[Sprint],MATCH($A290,SprintPlanning[Requirement ID],0))),"")</f>
        <v/>
      </c>
      <c r="H290" s="58"/>
      <c r="J290" s="1" t="str">
        <f aca="false">IFERROR(IF(ISBLANK(INDEX(Backlog[Priority],MATCH($A290,Backlog[Requirement ID],0))),"",INDEX(Backlog[Priority],MATCH($A290,Backlog[Requirement ID],0))),"")</f>
        <v/>
      </c>
      <c r="L290" s="1" t="str">
        <f aca="false">IFERROR(IF(ISBLANK(INDEX(Backlog[HLE],MATCH($A290,Backlog[Requirement ID],0))),"",IF(INDEX(Backlog[HLE],MATCH($A290,Backlog[Requirement ID],0))&lt;=5,0.5,IF(INDEX(Backlog[HLE],MATCH($A290,Backlog[Requirement ID],0))&lt;=8,1,IF(INDEX(Backlog[HLE],MATCH($A290,Backlog[Requirement ID],0))&lt;=13,2,IF(INDEX(Backlog[HLE],MATCH($A290,Backlog[Requirement ID],0))&lt;=20,3,5))))),"")</f>
        <v/>
      </c>
    </row>
    <row r="291" customFormat="false" ht="15" hidden="false" customHeight="true" outlineLevel="0" collapsed="false">
      <c r="A291" s="1" t="str">
        <f aca="false">Backlog!A291</f>
        <v/>
      </c>
      <c r="B291" s="57" t="str">
        <f aca="false">IFERROR(IF(ISBLANK(INDEX(Backlog[Requirement Name],MATCH($A291,Backlog[Requirement ID],0))),"",INDEX(Backlog[Requirement Name],MATCH($A291,Backlog[Requirement ID],0))),"")</f>
        <v/>
      </c>
      <c r="C291" s="1" t="str">
        <f aca="false">IFERROR(IF(ISBLANK(INDEX(Backlog[Stream],MATCH($A291,Backlog[Requirement ID],0))),"",INDEX(Backlog[Stream],MATCH($A291,Backlog[Requirement ID],0))),"")</f>
        <v/>
      </c>
      <c r="D291" s="1" t="str">
        <f aca="false">IFERROR(IF(ISBLANK(INDEX(Backlog[Jira Link],MATCH($A291,Backlog[Requirement ID],0))),"",INDEX(Backlog[Jira Link],MATCH($A291,Backlog[Requirement ID],0))),"")</f>
        <v/>
      </c>
      <c r="E291" s="1" t="str">
        <f aca="false">IFERROR(IF(ISBLANK(INDEX(Backlog[Status],MATCH($A291,Backlog[Requirement ID],0))),"",INDEX(Backlog[Status],MATCH($A291,Backlog[Requirement ID],0))),"")</f>
        <v/>
      </c>
      <c r="F291" s="1" t="str">
        <f aca="false">IFERROR(IF(ISBLANK(INDEX(SprintPlanning[Sprint],MATCH($A291,SprintPlanning[Requirement ID],0))),"",INDEX(SprintPlanning[Sprint],MATCH($A291,SprintPlanning[Requirement ID],0))),"")</f>
        <v/>
      </c>
      <c r="H291" s="58"/>
      <c r="J291" s="1" t="str">
        <f aca="false">IFERROR(IF(ISBLANK(INDEX(Backlog[Priority],MATCH($A291,Backlog[Requirement ID],0))),"",INDEX(Backlog[Priority],MATCH($A291,Backlog[Requirement ID],0))),"")</f>
        <v/>
      </c>
      <c r="L291" s="1" t="str">
        <f aca="false">IFERROR(IF(ISBLANK(INDEX(Backlog[HLE],MATCH($A291,Backlog[Requirement ID],0))),"",IF(INDEX(Backlog[HLE],MATCH($A291,Backlog[Requirement ID],0))&lt;=5,0.5,IF(INDEX(Backlog[HLE],MATCH($A291,Backlog[Requirement ID],0))&lt;=8,1,IF(INDEX(Backlog[HLE],MATCH($A291,Backlog[Requirement ID],0))&lt;=13,2,IF(INDEX(Backlog[HLE],MATCH($A291,Backlog[Requirement ID],0))&lt;=20,3,5))))),"")</f>
        <v/>
      </c>
    </row>
    <row r="292" customFormat="false" ht="15" hidden="false" customHeight="true" outlineLevel="0" collapsed="false">
      <c r="A292" s="1" t="str">
        <f aca="false">Backlog!A292</f>
        <v/>
      </c>
      <c r="B292" s="57" t="str">
        <f aca="false">IFERROR(IF(ISBLANK(INDEX(Backlog[Requirement Name],MATCH($A292,Backlog[Requirement ID],0))),"",INDEX(Backlog[Requirement Name],MATCH($A292,Backlog[Requirement ID],0))),"")</f>
        <v/>
      </c>
      <c r="C292" s="1" t="str">
        <f aca="false">IFERROR(IF(ISBLANK(INDEX(Backlog[Stream],MATCH($A292,Backlog[Requirement ID],0))),"",INDEX(Backlog[Stream],MATCH($A292,Backlog[Requirement ID],0))),"")</f>
        <v/>
      </c>
      <c r="D292" s="1" t="str">
        <f aca="false">IFERROR(IF(ISBLANK(INDEX(Backlog[Jira Link],MATCH($A292,Backlog[Requirement ID],0))),"",INDEX(Backlog[Jira Link],MATCH($A292,Backlog[Requirement ID],0))),"")</f>
        <v/>
      </c>
      <c r="E292" s="1" t="str">
        <f aca="false">IFERROR(IF(ISBLANK(INDEX(Backlog[Status],MATCH($A292,Backlog[Requirement ID],0))),"",INDEX(Backlog[Status],MATCH($A292,Backlog[Requirement ID],0))),"")</f>
        <v/>
      </c>
      <c r="F292" s="1" t="str">
        <f aca="false">IFERROR(IF(ISBLANK(INDEX(SprintPlanning[Sprint],MATCH($A292,SprintPlanning[Requirement ID],0))),"",INDEX(SprintPlanning[Sprint],MATCH($A292,SprintPlanning[Requirement ID],0))),"")</f>
        <v/>
      </c>
      <c r="H292" s="58"/>
      <c r="J292" s="1" t="str">
        <f aca="false">IFERROR(IF(ISBLANK(INDEX(Backlog[Priority],MATCH($A292,Backlog[Requirement ID],0))),"",INDEX(Backlog[Priority],MATCH($A292,Backlog[Requirement ID],0))),"")</f>
        <v/>
      </c>
      <c r="L292" s="1" t="str">
        <f aca="false">IFERROR(IF(ISBLANK(INDEX(Backlog[HLE],MATCH($A292,Backlog[Requirement ID],0))),"",IF(INDEX(Backlog[HLE],MATCH($A292,Backlog[Requirement ID],0))&lt;=5,0.5,IF(INDEX(Backlog[HLE],MATCH($A292,Backlog[Requirement ID],0))&lt;=8,1,IF(INDEX(Backlog[HLE],MATCH($A292,Backlog[Requirement ID],0))&lt;=13,2,IF(INDEX(Backlog[HLE],MATCH($A292,Backlog[Requirement ID],0))&lt;=20,3,5))))),"")</f>
        <v/>
      </c>
    </row>
    <row r="293" customFormat="false" ht="15" hidden="false" customHeight="true" outlineLevel="0" collapsed="false">
      <c r="A293" s="1" t="str">
        <f aca="false">Backlog!A293</f>
        <v/>
      </c>
      <c r="B293" s="57" t="str">
        <f aca="false">IFERROR(IF(ISBLANK(INDEX(Backlog[Requirement Name],MATCH($A293,Backlog[Requirement ID],0))),"",INDEX(Backlog[Requirement Name],MATCH($A293,Backlog[Requirement ID],0))),"")</f>
        <v/>
      </c>
      <c r="C293" s="1" t="str">
        <f aca="false">IFERROR(IF(ISBLANK(INDEX(Backlog[Stream],MATCH($A293,Backlog[Requirement ID],0))),"",INDEX(Backlog[Stream],MATCH($A293,Backlog[Requirement ID],0))),"")</f>
        <v/>
      </c>
      <c r="D293" s="1" t="str">
        <f aca="false">IFERROR(IF(ISBLANK(INDEX(Backlog[Jira Link],MATCH($A293,Backlog[Requirement ID],0))),"",INDEX(Backlog[Jira Link],MATCH($A293,Backlog[Requirement ID],0))),"")</f>
        <v/>
      </c>
      <c r="E293" s="1" t="str">
        <f aca="false">IFERROR(IF(ISBLANK(INDEX(Backlog[Status],MATCH($A293,Backlog[Requirement ID],0))),"",INDEX(Backlog[Status],MATCH($A293,Backlog[Requirement ID],0))),"")</f>
        <v/>
      </c>
      <c r="F293" s="1" t="str">
        <f aca="false">IFERROR(IF(ISBLANK(INDEX(SprintPlanning[Sprint],MATCH($A293,SprintPlanning[Requirement ID],0))),"",INDEX(SprintPlanning[Sprint],MATCH($A293,SprintPlanning[Requirement ID],0))),"")</f>
        <v/>
      </c>
      <c r="H293" s="58"/>
      <c r="J293" s="1" t="str">
        <f aca="false">IFERROR(IF(ISBLANK(INDEX(Backlog[Priority],MATCH($A293,Backlog[Requirement ID],0))),"",INDEX(Backlog[Priority],MATCH($A293,Backlog[Requirement ID],0))),"")</f>
        <v/>
      </c>
      <c r="L293" s="1" t="str">
        <f aca="false">IFERROR(IF(ISBLANK(INDEX(Backlog[HLE],MATCH($A293,Backlog[Requirement ID],0))),"",IF(INDEX(Backlog[HLE],MATCH($A293,Backlog[Requirement ID],0))&lt;=5,0.5,IF(INDEX(Backlog[HLE],MATCH($A293,Backlog[Requirement ID],0))&lt;=8,1,IF(INDEX(Backlog[HLE],MATCH($A293,Backlog[Requirement ID],0))&lt;=13,2,IF(INDEX(Backlog[HLE],MATCH($A293,Backlog[Requirement ID],0))&lt;=20,3,5))))),"")</f>
        <v/>
      </c>
    </row>
    <row r="294" customFormat="false" ht="15" hidden="false" customHeight="true" outlineLevel="0" collapsed="false">
      <c r="A294" s="1" t="str">
        <f aca="false">Backlog!A294</f>
        <v/>
      </c>
      <c r="B294" s="57" t="str">
        <f aca="false">IFERROR(IF(ISBLANK(INDEX(Backlog[Requirement Name],MATCH($A294,Backlog[Requirement ID],0))),"",INDEX(Backlog[Requirement Name],MATCH($A294,Backlog[Requirement ID],0))),"")</f>
        <v/>
      </c>
      <c r="C294" s="1" t="str">
        <f aca="false">IFERROR(IF(ISBLANK(INDEX(Backlog[Stream],MATCH($A294,Backlog[Requirement ID],0))),"",INDEX(Backlog[Stream],MATCH($A294,Backlog[Requirement ID],0))),"")</f>
        <v/>
      </c>
      <c r="D294" s="1" t="str">
        <f aca="false">IFERROR(IF(ISBLANK(INDEX(Backlog[Jira Link],MATCH($A294,Backlog[Requirement ID],0))),"",INDEX(Backlog[Jira Link],MATCH($A294,Backlog[Requirement ID],0))),"")</f>
        <v/>
      </c>
      <c r="E294" s="1" t="str">
        <f aca="false">IFERROR(IF(ISBLANK(INDEX(Backlog[Status],MATCH($A294,Backlog[Requirement ID],0))),"",INDEX(Backlog[Status],MATCH($A294,Backlog[Requirement ID],0))),"")</f>
        <v/>
      </c>
      <c r="F294" s="1" t="str">
        <f aca="false">IFERROR(IF(ISBLANK(INDEX(SprintPlanning[Sprint],MATCH($A294,SprintPlanning[Requirement ID],0))),"",INDEX(SprintPlanning[Sprint],MATCH($A294,SprintPlanning[Requirement ID],0))),"")</f>
        <v/>
      </c>
      <c r="H294" s="58"/>
      <c r="J294" s="1" t="str">
        <f aca="false">IFERROR(IF(ISBLANK(INDEX(Backlog[Priority],MATCH($A294,Backlog[Requirement ID],0))),"",INDEX(Backlog[Priority],MATCH($A294,Backlog[Requirement ID],0))),"")</f>
        <v/>
      </c>
      <c r="L294" s="1" t="str">
        <f aca="false">IFERROR(IF(ISBLANK(INDEX(Backlog[HLE],MATCH($A294,Backlog[Requirement ID],0))),"",IF(INDEX(Backlog[HLE],MATCH($A294,Backlog[Requirement ID],0))&lt;=5,0.5,IF(INDEX(Backlog[HLE],MATCH($A294,Backlog[Requirement ID],0))&lt;=8,1,IF(INDEX(Backlog[HLE],MATCH($A294,Backlog[Requirement ID],0))&lt;=13,2,IF(INDEX(Backlog[HLE],MATCH($A294,Backlog[Requirement ID],0))&lt;=20,3,5))))),"")</f>
        <v/>
      </c>
    </row>
    <row r="295" customFormat="false" ht="15" hidden="false" customHeight="true" outlineLevel="0" collapsed="false">
      <c r="A295" s="1" t="str">
        <f aca="false">Backlog!A295</f>
        <v/>
      </c>
      <c r="B295" s="57" t="str">
        <f aca="false">IFERROR(IF(ISBLANK(INDEX(Backlog[Requirement Name],MATCH($A295,Backlog[Requirement ID],0))),"",INDEX(Backlog[Requirement Name],MATCH($A295,Backlog[Requirement ID],0))),"")</f>
        <v/>
      </c>
      <c r="C295" s="1" t="str">
        <f aca="false">IFERROR(IF(ISBLANK(INDEX(Backlog[Stream],MATCH($A295,Backlog[Requirement ID],0))),"",INDEX(Backlog[Stream],MATCH($A295,Backlog[Requirement ID],0))),"")</f>
        <v/>
      </c>
      <c r="D295" s="1" t="str">
        <f aca="false">IFERROR(IF(ISBLANK(INDEX(Backlog[Jira Link],MATCH($A295,Backlog[Requirement ID],0))),"",INDEX(Backlog[Jira Link],MATCH($A295,Backlog[Requirement ID],0))),"")</f>
        <v/>
      </c>
      <c r="E295" s="1" t="str">
        <f aca="false">IFERROR(IF(ISBLANK(INDEX(Backlog[Status],MATCH($A295,Backlog[Requirement ID],0))),"",INDEX(Backlog[Status],MATCH($A295,Backlog[Requirement ID],0))),"")</f>
        <v/>
      </c>
      <c r="F295" s="1" t="str">
        <f aca="false">IFERROR(IF(ISBLANK(INDEX(SprintPlanning[Sprint],MATCH($A295,SprintPlanning[Requirement ID],0))),"",INDEX(SprintPlanning[Sprint],MATCH($A295,SprintPlanning[Requirement ID],0))),"")</f>
        <v/>
      </c>
      <c r="H295" s="58"/>
      <c r="J295" s="1" t="str">
        <f aca="false">IFERROR(IF(ISBLANK(INDEX(Backlog[Priority],MATCH($A295,Backlog[Requirement ID],0))),"",INDEX(Backlog[Priority],MATCH($A295,Backlog[Requirement ID],0))),"")</f>
        <v/>
      </c>
      <c r="L295" s="1" t="str">
        <f aca="false">IFERROR(IF(ISBLANK(INDEX(Backlog[HLE],MATCH($A295,Backlog[Requirement ID],0))),"",IF(INDEX(Backlog[HLE],MATCH($A295,Backlog[Requirement ID],0))&lt;=5,0.5,IF(INDEX(Backlog[HLE],MATCH($A295,Backlog[Requirement ID],0))&lt;=8,1,IF(INDEX(Backlog[HLE],MATCH($A295,Backlog[Requirement ID],0))&lt;=13,2,IF(INDEX(Backlog[HLE],MATCH($A295,Backlog[Requirement ID],0))&lt;=20,3,5))))),"")</f>
        <v/>
      </c>
    </row>
    <row r="296" customFormat="false" ht="15" hidden="false" customHeight="true" outlineLevel="0" collapsed="false">
      <c r="A296" s="1" t="str">
        <f aca="false">Backlog!A296</f>
        <v/>
      </c>
      <c r="B296" s="57" t="str">
        <f aca="false">IFERROR(IF(ISBLANK(INDEX(Backlog[Requirement Name],MATCH($A296,Backlog[Requirement ID],0))),"",INDEX(Backlog[Requirement Name],MATCH($A296,Backlog[Requirement ID],0))),"")</f>
        <v/>
      </c>
      <c r="C296" s="1" t="str">
        <f aca="false">IFERROR(IF(ISBLANK(INDEX(Backlog[Stream],MATCH($A296,Backlog[Requirement ID],0))),"",INDEX(Backlog[Stream],MATCH($A296,Backlog[Requirement ID],0))),"")</f>
        <v/>
      </c>
      <c r="D296" s="1" t="str">
        <f aca="false">IFERROR(IF(ISBLANK(INDEX(Backlog[Jira Link],MATCH($A296,Backlog[Requirement ID],0))),"",INDEX(Backlog[Jira Link],MATCH($A296,Backlog[Requirement ID],0))),"")</f>
        <v/>
      </c>
      <c r="E296" s="1" t="str">
        <f aca="false">IFERROR(IF(ISBLANK(INDEX(Backlog[Status],MATCH($A296,Backlog[Requirement ID],0))),"",INDEX(Backlog[Status],MATCH($A296,Backlog[Requirement ID],0))),"")</f>
        <v/>
      </c>
      <c r="F296" s="1" t="str">
        <f aca="false">IFERROR(IF(ISBLANK(INDEX(SprintPlanning[Sprint],MATCH($A296,SprintPlanning[Requirement ID],0))),"",INDEX(SprintPlanning[Sprint],MATCH($A296,SprintPlanning[Requirement ID],0))),"")</f>
        <v/>
      </c>
      <c r="H296" s="58"/>
      <c r="J296" s="1" t="str">
        <f aca="false">IFERROR(IF(ISBLANK(INDEX(Backlog[Priority],MATCH($A296,Backlog[Requirement ID],0))),"",INDEX(Backlog[Priority],MATCH($A296,Backlog[Requirement ID],0))),"")</f>
        <v/>
      </c>
      <c r="L296" s="1" t="str">
        <f aca="false">IFERROR(IF(ISBLANK(INDEX(Backlog[HLE],MATCH($A296,Backlog[Requirement ID],0))),"",IF(INDEX(Backlog[HLE],MATCH($A296,Backlog[Requirement ID],0))&lt;=5,0.5,IF(INDEX(Backlog[HLE],MATCH($A296,Backlog[Requirement ID],0))&lt;=8,1,IF(INDEX(Backlog[HLE],MATCH($A296,Backlog[Requirement ID],0))&lt;=13,2,IF(INDEX(Backlog[HLE],MATCH($A296,Backlog[Requirement ID],0))&lt;=20,3,5))))),"")</f>
        <v/>
      </c>
    </row>
    <row r="297" customFormat="false" ht="15" hidden="false" customHeight="true" outlineLevel="0" collapsed="false">
      <c r="A297" s="1" t="str">
        <f aca="false">Backlog!A297</f>
        <v/>
      </c>
      <c r="B297" s="57" t="str">
        <f aca="false">IFERROR(IF(ISBLANK(INDEX(Backlog[Requirement Name],MATCH($A297,Backlog[Requirement ID],0))),"",INDEX(Backlog[Requirement Name],MATCH($A297,Backlog[Requirement ID],0))),"")</f>
        <v/>
      </c>
      <c r="C297" s="1" t="str">
        <f aca="false">IFERROR(IF(ISBLANK(INDEX(Backlog[Stream],MATCH($A297,Backlog[Requirement ID],0))),"",INDEX(Backlog[Stream],MATCH($A297,Backlog[Requirement ID],0))),"")</f>
        <v/>
      </c>
      <c r="D297" s="1" t="str">
        <f aca="false">IFERROR(IF(ISBLANK(INDEX(Backlog[Jira Link],MATCH($A297,Backlog[Requirement ID],0))),"",INDEX(Backlog[Jira Link],MATCH($A297,Backlog[Requirement ID],0))),"")</f>
        <v/>
      </c>
      <c r="E297" s="1" t="str">
        <f aca="false">IFERROR(IF(ISBLANK(INDEX(Backlog[Status],MATCH($A297,Backlog[Requirement ID],0))),"",INDEX(Backlog[Status],MATCH($A297,Backlog[Requirement ID],0))),"")</f>
        <v/>
      </c>
      <c r="F297" s="1" t="str">
        <f aca="false">IFERROR(IF(ISBLANK(INDEX(SprintPlanning[Sprint],MATCH($A297,SprintPlanning[Requirement ID],0))),"",INDEX(SprintPlanning[Sprint],MATCH($A297,SprintPlanning[Requirement ID],0))),"")</f>
        <v/>
      </c>
      <c r="H297" s="58"/>
      <c r="J297" s="1" t="str">
        <f aca="false">IFERROR(IF(ISBLANK(INDEX(Backlog[Priority],MATCH($A297,Backlog[Requirement ID],0))),"",INDEX(Backlog[Priority],MATCH($A297,Backlog[Requirement ID],0))),"")</f>
        <v/>
      </c>
      <c r="L297" s="1" t="str">
        <f aca="false">IFERROR(IF(ISBLANK(INDEX(Backlog[HLE],MATCH($A297,Backlog[Requirement ID],0))),"",IF(INDEX(Backlog[HLE],MATCH($A297,Backlog[Requirement ID],0))&lt;=5,0.5,IF(INDEX(Backlog[HLE],MATCH($A297,Backlog[Requirement ID],0))&lt;=8,1,IF(INDEX(Backlog[HLE],MATCH($A297,Backlog[Requirement ID],0))&lt;=13,2,IF(INDEX(Backlog[HLE],MATCH($A297,Backlog[Requirement ID],0))&lt;=20,3,5))))),"")</f>
        <v/>
      </c>
    </row>
    <row r="298" customFormat="false" ht="15" hidden="false" customHeight="true" outlineLevel="0" collapsed="false">
      <c r="A298" s="1" t="str">
        <f aca="false">Backlog!A298</f>
        <v/>
      </c>
      <c r="B298" s="57" t="str">
        <f aca="false">IFERROR(IF(ISBLANK(INDEX(Backlog[Requirement Name],MATCH($A298,Backlog[Requirement ID],0))),"",INDEX(Backlog[Requirement Name],MATCH($A298,Backlog[Requirement ID],0))),"")</f>
        <v/>
      </c>
      <c r="C298" s="1" t="str">
        <f aca="false">IFERROR(IF(ISBLANK(INDEX(Backlog[Stream],MATCH($A298,Backlog[Requirement ID],0))),"",INDEX(Backlog[Stream],MATCH($A298,Backlog[Requirement ID],0))),"")</f>
        <v/>
      </c>
      <c r="D298" s="1" t="str">
        <f aca="false">IFERROR(IF(ISBLANK(INDEX(Backlog[Jira Link],MATCH($A298,Backlog[Requirement ID],0))),"",INDEX(Backlog[Jira Link],MATCH($A298,Backlog[Requirement ID],0))),"")</f>
        <v/>
      </c>
      <c r="E298" s="1" t="str">
        <f aca="false">IFERROR(IF(ISBLANK(INDEX(Backlog[Status],MATCH($A298,Backlog[Requirement ID],0))),"",INDEX(Backlog[Status],MATCH($A298,Backlog[Requirement ID],0))),"")</f>
        <v/>
      </c>
      <c r="F298" s="1" t="str">
        <f aca="false">IFERROR(IF(ISBLANK(INDEX(SprintPlanning[Sprint],MATCH($A298,SprintPlanning[Requirement ID],0))),"",INDEX(SprintPlanning[Sprint],MATCH($A298,SprintPlanning[Requirement ID],0))),"")</f>
        <v/>
      </c>
      <c r="H298" s="58"/>
      <c r="J298" s="1" t="str">
        <f aca="false">IFERROR(IF(ISBLANK(INDEX(Backlog[Priority],MATCH($A298,Backlog[Requirement ID],0))),"",INDEX(Backlog[Priority],MATCH($A298,Backlog[Requirement ID],0))),"")</f>
        <v/>
      </c>
      <c r="L298" s="1" t="str">
        <f aca="false">IFERROR(IF(ISBLANK(INDEX(Backlog[HLE],MATCH($A298,Backlog[Requirement ID],0))),"",IF(INDEX(Backlog[HLE],MATCH($A298,Backlog[Requirement ID],0))&lt;=5,0.5,IF(INDEX(Backlog[HLE],MATCH($A298,Backlog[Requirement ID],0))&lt;=8,1,IF(INDEX(Backlog[HLE],MATCH($A298,Backlog[Requirement ID],0))&lt;=13,2,IF(INDEX(Backlog[HLE],MATCH($A298,Backlog[Requirement ID],0))&lt;=20,3,5))))),"")</f>
        <v/>
      </c>
    </row>
    <row r="299" customFormat="false" ht="15" hidden="false" customHeight="true" outlineLevel="0" collapsed="false">
      <c r="A299" s="1" t="str">
        <f aca="false">Backlog!A299</f>
        <v/>
      </c>
      <c r="B299" s="57" t="str">
        <f aca="false">IFERROR(IF(ISBLANK(INDEX(Backlog[Requirement Name],MATCH($A299,Backlog[Requirement ID],0))),"",INDEX(Backlog[Requirement Name],MATCH($A299,Backlog[Requirement ID],0))),"")</f>
        <v/>
      </c>
      <c r="C299" s="1" t="str">
        <f aca="false">IFERROR(IF(ISBLANK(INDEX(Backlog[Stream],MATCH($A299,Backlog[Requirement ID],0))),"",INDEX(Backlog[Stream],MATCH($A299,Backlog[Requirement ID],0))),"")</f>
        <v/>
      </c>
      <c r="D299" s="1" t="str">
        <f aca="false">IFERROR(IF(ISBLANK(INDEX(Backlog[Jira Link],MATCH($A299,Backlog[Requirement ID],0))),"",INDEX(Backlog[Jira Link],MATCH($A299,Backlog[Requirement ID],0))),"")</f>
        <v/>
      </c>
      <c r="E299" s="1" t="str">
        <f aca="false">IFERROR(IF(ISBLANK(INDEX(Backlog[Status],MATCH($A299,Backlog[Requirement ID],0))),"",INDEX(Backlog[Status],MATCH($A299,Backlog[Requirement ID],0))),"")</f>
        <v/>
      </c>
      <c r="F299" s="1" t="str">
        <f aca="false">IFERROR(IF(ISBLANK(INDEX(SprintPlanning[Sprint],MATCH($A299,SprintPlanning[Requirement ID],0))),"",INDEX(SprintPlanning[Sprint],MATCH($A299,SprintPlanning[Requirement ID],0))),"")</f>
        <v/>
      </c>
      <c r="H299" s="58"/>
      <c r="J299" s="1" t="str">
        <f aca="false">IFERROR(IF(ISBLANK(INDEX(Backlog[Priority],MATCH($A299,Backlog[Requirement ID],0))),"",INDEX(Backlog[Priority],MATCH($A299,Backlog[Requirement ID],0))),"")</f>
        <v/>
      </c>
      <c r="L299" s="1" t="str">
        <f aca="false">IFERROR(IF(ISBLANK(INDEX(Backlog[HLE],MATCH($A299,Backlog[Requirement ID],0))),"",IF(INDEX(Backlog[HLE],MATCH($A299,Backlog[Requirement ID],0))&lt;=5,0.5,IF(INDEX(Backlog[HLE],MATCH($A299,Backlog[Requirement ID],0))&lt;=8,1,IF(INDEX(Backlog[HLE],MATCH($A299,Backlog[Requirement ID],0))&lt;=13,2,IF(INDEX(Backlog[HLE],MATCH($A299,Backlog[Requirement ID],0))&lt;=20,3,5))))),"")</f>
        <v/>
      </c>
    </row>
    <row r="300" customFormat="false" ht="15" hidden="false" customHeight="true" outlineLevel="0" collapsed="false">
      <c r="A300" s="1" t="str">
        <f aca="false">Backlog!A300</f>
        <v/>
      </c>
      <c r="B300" s="57" t="str">
        <f aca="false">IFERROR(IF(ISBLANK(INDEX(Backlog[Requirement Name],MATCH($A300,Backlog[Requirement ID],0))),"",INDEX(Backlog[Requirement Name],MATCH($A300,Backlog[Requirement ID],0))),"")</f>
        <v/>
      </c>
      <c r="C300" s="1" t="str">
        <f aca="false">IFERROR(IF(ISBLANK(INDEX(Backlog[Stream],MATCH($A300,Backlog[Requirement ID],0))),"",INDEX(Backlog[Stream],MATCH($A300,Backlog[Requirement ID],0))),"")</f>
        <v/>
      </c>
      <c r="D300" s="1" t="str">
        <f aca="false">IFERROR(IF(ISBLANK(INDEX(Backlog[Jira Link],MATCH($A300,Backlog[Requirement ID],0))),"",INDEX(Backlog[Jira Link],MATCH($A300,Backlog[Requirement ID],0))),"")</f>
        <v/>
      </c>
      <c r="E300" s="1" t="str">
        <f aca="false">IFERROR(IF(ISBLANK(INDEX(Backlog[Status],MATCH($A300,Backlog[Requirement ID],0))),"",INDEX(Backlog[Status],MATCH($A300,Backlog[Requirement ID],0))),"")</f>
        <v/>
      </c>
      <c r="F300" s="1" t="str">
        <f aca="false">IFERROR(IF(ISBLANK(INDEX(SprintPlanning[Sprint],MATCH($A300,SprintPlanning[Requirement ID],0))),"",INDEX(SprintPlanning[Sprint],MATCH($A300,SprintPlanning[Requirement ID],0))),"")</f>
        <v/>
      </c>
      <c r="H300" s="58"/>
      <c r="J300" s="1" t="str">
        <f aca="false">IFERROR(IF(ISBLANK(INDEX(Backlog[Priority],MATCH($A300,Backlog[Requirement ID],0))),"",INDEX(Backlog[Priority],MATCH($A300,Backlog[Requirement ID],0))),"")</f>
        <v/>
      </c>
      <c r="L300" s="1" t="str">
        <f aca="false">IFERROR(IF(ISBLANK(INDEX(Backlog[HLE],MATCH($A300,Backlog[Requirement ID],0))),"",IF(INDEX(Backlog[HLE],MATCH($A300,Backlog[Requirement ID],0))&lt;=5,0.5,IF(INDEX(Backlog[HLE],MATCH($A300,Backlog[Requirement ID],0))&lt;=8,1,IF(INDEX(Backlog[HLE],MATCH($A300,Backlog[Requirement ID],0))&lt;=13,2,IF(INDEX(Backlog[HLE],MATCH($A300,Backlog[Requirement ID],0))&lt;=20,3,5))))),"")</f>
        <v/>
      </c>
    </row>
    <row r="301" customFormat="false" ht="15" hidden="false" customHeight="true" outlineLevel="0" collapsed="false">
      <c r="A301" s="1" t="str">
        <f aca="false">Backlog!A301</f>
        <v/>
      </c>
      <c r="B301" s="57" t="str">
        <f aca="false">IFERROR(IF(ISBLANK(INDEX(Backlog[Requirement Name],MATCH($A301,Backlog[Requirement ID],0))),"",INDEX(Backlog[Requirement Name],MATCH($A301,Backlog[Requirement ID],0))),"")</f>
        <v/>
      </c>
      <c r="C301" s="1" t="str">
        <f aca="false">IFERROR(IF(ISBLANK(INDEX(Backlog[Stream],MATCH($A301,Backlog[Requirement ID],0))),"",INDEX(Backlog[Stream],MATCH($A301,Backlog[Requirement ID],0))),"")</f>
        <v/>
      </c>
      <c r="D301" s="1" t="str">
        <f aca="false">IFERROR(IF(ISBLANK(INDEX(Backlog[Jira Link],MATCH($A301,Backlog[Requirement ID],0))),"",INDEX(Backlog[Jira Link],MATCH($A301,Backlog[Requirement ID],0))),"")</f>
        <v/>
      </c>
      <c r="E301" s="1" t="str">
        <f aca="false">IFERROR(IF(ISBLANK(INDEX(Backlog[Status],MATCH($A301,Backlog[Requirement ID],0))),"",INDEX(Backlog[Status],MATCH($A301,Backlog[Requirement ID],0))),"")</f>
        <v/>
      </c>
      <c r="F301" s="1" t="str">
        <f aca="false">IFERROR(IF(ISBLANK(INDEX(SprintPlanning[Sprint],MATCH($A301,SprintPlanning[Requirement ID],0))),"",INDEX(SprintPlanning[Sprint],MATCH($A301,SprintPlanning[Requirement ID],0))),"")</f>
        <v/>
      </c>
      <c r="H301" s="58"/>
      <c r="J301" s="1" t="str">
        <f aca="false">IFERROR(IF(ISBLANK(INDEX(Backlog[Priority],MATCH($A301,Backlog[Requirement ID],0))),"",INDEX(Backlog[Priority],MATCH($A301,Backlog[Requirement ID],0))),"")</f>
        <v/>
      </c>
      <c r="L301" s="1" t="str">
        <f aca="false">IFERROR(IF(ISBLANK(INDEX(Backlog[HLE],MATCH($A301,Backlog[Requirement ID],0))),"",IF(INDEX(Backlog[HLE],MATCH($A301,Backlog[Requirement ID],0))&lt;=5,0.5,IF(INDEX(Backlog[HLE],MATCH($A301,Backlog[Requirement ID],0))&lt;=8,1,IF(INDEX(Backlog[HLE],MATCH($A301,Backlog[Requirement ID],0))&lt;=13,2,IF(INDEX(Backlog[HLE],MATCH($A301,Backlog[Requirement ID],0))&lt;=20,3,5))))),"")</f>
        <v/>
      </c>
    </row>
    <row r="302" customFormat="false" ht="15" hidden="false" customHeight="true" outlineLevel="0" collapsed="false">
      <c r="A302" s="1" t="str">
        <f aca="false">Backlog!A302</f>
        <v/>
      </c>
      <c r="B302" s="57" t="str">
        <f aca="false">IFERROR(IF(ISBLANK(INDEX(Backlog[Requirement Name],MATCH($A302,Backlog[Requirement ID],0))),"",INDEX(Backlog[Requirement Name],MATCH($A302,Backlog[Requirement ID],0))),"")</f>
        <v/>
      </c>
      <c r="C302" s="1" t="str">
        <f aca="false">IFERROR(IF(ISBLANK(INDEX(Backlog[Stream],MATCH($A302,Backlog[Requirement ID],0))),"",INDEX(Backlog[Stream],MATCH($A302,Backlog[Requirement ID],0))),"")</f>
        <v/>
      </c>
      <c r="D302" s="1" t="str">
        <f aca="false">IFERROR(IF(ISBLANK(INDEX(Backlog[Jira Link],MATCH($A302,Backlog[Requirement ID],0))),"",INDEX(Backlog[Jira Link],MATCH($A302,Backlog[Requirement ID],0))),"")</f>
        <v/>
      </c>
      <c r="E302" s="1" t="str">
        <f aca="false">IFERROR(IF(ISBLANK(INDEX(Backlog[Status],MATCH($A302,Backlog[Requirement ID],0))),"",INDEX(Backlog[Status],MATCH($A302,Backlog[Requirement ID],0))),"")</f>
        <v/>
      </c>
      <c r="F302" s="1" t="str">
        <f aca="false">IFERROR(IF(ISBLANK(INDEX(SprintPlanning[Sprint],MATCH($A302,SprintPlanning[Requirement ID],0))),"",INDEX(SprintPlanning[Sprint],MATCH($A302,SprintPlanning[Requirement ID],0))),"")</f>
        <v/>
      </c>
      <c r="H302" s="58"/>
      <c r="J302" s="1" t="str">
        <f aca="false">IFERROR(IF(ISBLANK(INDEX(Backlog[Priority],MATCH($A302,Backlog[Requirement ID],0))),"",INDEX(Backlog[Priority],MATCH($A302,Backlog[Requirement ID],0))),"")</f>
        <v/>
      </c>
      <c r="L302" s="1" t="str">
        <f aca="false">IFERROR(IF(ISBLANK(INDEX(Backlog[HLE],MATCH($A302,Backlog[Requirement ID],0))),"",IF(INDEX(Backlog[HLE],MATCH($A302,Backlog[Requirement ID],0))&lt;=5,0.5,IF(INDEX(Backlog[HLE],MATCH($A302,Backlog[Requirement ID],0))&lt;=8,1,IF(INDEX(Backlog[HLE],MATCH($A302,Backlog[Requirement ID],0))&lt;=13,2,IF(INDEX(Backlog[HLE],MATCH($A302,Backlog[Requirement ID],0))&lt;=20,3,5))))),"")</f>
        <v/>
      </c>
    </row>
    <row r="303" customFormat="false" ht="15" hidden="false" customHeight="true" outlineLevel="0" collapsed="false">
      <c r="A303" s="1" t="str">
        <f aca="false">Backlog!A303</f>
        <v/>
      </c>
      <c r="B303" s="57" t="str">
        <f aca="false">IFERROR(IF(ISBLANK(INDEX(Backlog[Requirement Name],MATCH($A303,Backlog[Requirement ID],0))),"",INDEX(Backlog[Requirement Name],MATCH($A303,Backlog[Requirement ID],0))),"")</f>
        <v/>
      </c>
      <c r="C303" s="1" t="str">
        <f aca="false">IFERROR(IF(ISBLANK(INDEX(Backlog[Stream],MATCH($A303,Backlog[Requirement ID],0))),"",INDEX(Backlog[Stream],MATCH($A303,Backlog[Requirement ID],0))),"")</f>
        <v/>
      </c>
      <c r="D303" s="1" t="str">
        <f aca="false">IFERROR(IF(ISBLANK(INDEX(Backlog[Jira Link],MATCH($A303,Backlog[Requirement ID],0))),"",INDEX(Backlog[Jira Link],MATCH($A303,Backlog[Requirement ID],0))),"")</f>
        <v/>
      </c>
      <c r="E303" s="1" t="str">
        <f aca="false">IFERROR(IF(ISBLANK(INDEX(Backlog[Status],MATCH($A303,Backlog[Requirement ID],0))),"",INDEX(Backlog[Status],MATCH($A303,Backlog[Requirement ID],0))),"")</f>
        <v/>
      </c>
      <c r="F303" s="1" t="str">
        <f aca="false">IFERROR(IF(ISBLANK(INDEX(SprintPlanning[Sprint],MATCH($A303,SprintPlanning[Requirement ID],0))),"",INDEX(SprintPlanning[Sprint],MATCH($A303,SprintPlanning[Requirement ID],0))),"")</f>
        <v/>
      </c>
      <c r="J303" s="1" t="str">
        <f aca="false">IFERROR(IF(ISBLANK(INDEX(Backlog[Priority],MATCH($A303,Backlog[Requirement ID],0))),"",INDEX(Backlog[Priority],MATCH($A303,Backlog[Requirement ID],0))),"")</f>
        <v/>
      </c>
      <c r="L303" s="1" t="str">
        <f aca="false">IFERROR(IF(ISBLANK(INDEX(Backlog[HLE],MATCH($A303,Backlog[Requirement ID],0))),"",IF(INDEX(Backlog[HLE],MATCH($A303,Backlog[Requirement ID],0))&lt;=5,0.5,IF(INDEX(Backlog[HLE],MATCH($A303,Backlog[Requirement ID],0))&lt;=8,1,IF(INDEX(Backlog[HLE],MATCH($A303,Backlog[Requirement ID],0))&lt;=13,2,IF(INDEX(Backlog[HLE],MATCH($A303,Backlog[Requirement ID],0))&lt;=20,3,5))))),"")</f>
        <v/>
      </c>
    </row>
    <row r="304" customFormat="false" ht="15" hidden="false" customHeight="true" outlineLevel="0" collapsed="false">
      <c r="A304" s="1" t="str">
        <f aca="false">Backlog!A304</f>
        <v/>
      </c>
      <c r="B304" s="57" t="str">
        <f aca="false">IFERROR(IF(ISBLANK(INDEX(Backlog[Requirement Name],MATCH($A304,Backlog[Requirement ID],0))),"",INDEX(Backlog[Requirement Name],MATCH($A304,Backlog[Requirement ID],0))),"")</f>
        <v/>
      </c>
      <c r="C304" s="1" t="str">
        <f aca="false">IFERROR(IF(ISBLANK(INDEX(Backlog[Stream],MATCH($A304,Backlog[Requirement ID],0))),"",INDEX(Backlog[Stream],MATCH($A304,Backlog[Requirement ID],0))),"")</f>
        <v/>
      </c>
      <c r="D304" s="1" t="str">
        <f aca="false">IFERROR(IF(ISBLANK(INDEX(Backlog[Jira Link],MATCH($A304,Backlog[Requirement ID],0))),"",INDEX(Backlog[Jira Link],MATCH($A304,Backlog[Requirement ID],0))),"")</f>
        <v/>
      </c>
      <c r="E304" s="1" t="str">
        <f aca="false">IFERROR(IF(ISBLANK(INDEX(Backlog[Status],MATCH($A304,Backlog[Requirement ID],0))),"",INDEX(Backlog[Status],MATCH($A304,Backlog[Requirement ID],0))),"")</f>
        <v/>
      </c>
      <c r="F304" s="1" t="str">
        <f aca="false">IFERROR(IF(ISBLANK(INDEX(SprintPlanning[Sprint],MATCH($A304,SprintPlanning[Requirement ID],0))),"",INDEX(SprintPlanning[Sprint],MATCH($A304,SprintPlanning[Requirement ID],0))),"")</f>
        <v/>
      </c>
      <c r="J304" s="1" t="str">
        <f aca="false">IFERROR(IF(ISBLANK(INDEX(Backlog[Priority],MATCH($A304,Backlog[Requirement ID],0))),"",INDEX(Backlog[Priority],MATCH($A304,Backlog[Requirement ID],0))),"")</f>
        <v/>
      </c>
      <c r="L304" s="1" t="str">
        <f aca="false">IFERROR(IF(ISBLANK(INDEX(Backlog[HLE],MATCH($A304,Backlog[Requirement ID],0))),"",IF(INDEX(Backlog[HLE],MATCH($A304,Backlog[Requirement ID],0))&lt;=5,0.5,IF(INDEX(Backlog[HLE],MATCH($A304,Backlog[Requirement ID],0))&lt;=8,1,IF(INDEX(Backlog[HLE],MATCH($A304,Backlog[Requirement ID],0))&lt;=13,2,IF(INDEX(Backlog[HLE],MATCH($A304,Backlog[Requirement ID],0))&lt;=20,3,5))))),"")</f>
        <v/>
      </c>
    </row>
    <row r="305" customFormat="false" ht="15" hidden="false" customHeight="true" outlineLevel="0" collapsed="false">
      <c r="A305" s="1" t="str">
        <f aca="false">Backlog!A305</f>
        <v/>
      </c>
      <c r="B305" s="57" t="str">
        <f aca="false">IFERROR(IF(ISBLANK(INDEX(Backlog[Requirement Name],MATCH($A305,Backlog[Requirement ID],0))),"",INDEX(Backlog[Requirement Name],MATCH($A305,Backlog[Requirement ID],0))),"")</f>
        <v/>
      </c>
      <c r="C305" s="1" t="str">
        <f aca="false">IFERROR(IF(ISBLANK(INDEX(Backlog[Stream],MATCH($A305,Backlog[Requirement ID],0))),"",INDEX(Backlog[Stream],MATCH($A305,Backlog[Requirement ID],0))),"")</f>
        <v/>
      </c>
      <c r="D305" s="1" t="str">
        <f aca="false">IFERROR(IF(ISBLANK(INDEX(Backlog[Jira Link],MATCH($A305,Backlog[Requirement ID],0))),"",INDEX(Backlog[Jira Link],MATCH($A305,Backlog[Requirement ID],0))),"")</f>
        <v/>
      </c>
      <c r="E305" s="1" t="str">
        <f aca="false">IFERROR(IF(ISBLANK(INDEX(Backlog[Status],MATCH($A305,Backlog[Requirement ID],0))),"",INDEX(Backlog[Status],MATCH($A305,Backlog[Requirement ID],0))),"")</f>
        <v/>
      </c>
      <c r="F305" s="1" t="str">
        <f aca="false">IFERROR(IF(ISBLANK(INDEX(SprintPlanning[Sprint],MATCH($A305,SprintPlanning[Requirement ID],0))),"",INDEX(SprintPlanning[Sprint],MATCH($A305,SprintPlanning[Requirement ID],0))),"")</f>
        <v/>
      </c>
      <c r="J305" s="1" t="str">
        <f aca="false">IFERROR(IF(ISBLANK(INDEX(Backlog[Priority],MATCH($A305,Backlog[Requirement ID],0))),"",INDEX(Backlog[Priority],MATCH($A305,Backlog[Requirement ID],0))),"")</f>
        <v/>
      </c>
      <c r="L305" s="1" t="str">
        <f aca="false">IFERROR(IF(ISBLANK(INDEX(Backlog[HLE],MATCH($A305,Backlog[Requirement ID],0))),"",IF(INDEX(Backlog[HLE],MATCH($A305,Backlog[Requirement ID],0))&lt;=5,0.5,IF(INDEX(Backlog[HLE],MATCH($A305,Backlog[Requirement ID],0))&lt;=8,1,IF(INDEX(Backlog[HLE],MATCH($A305,Backlog[Requirement ID],0))&lt;=13,2,IF(INDEX(Backlog[HLE],MATCH($A305,Backlog[Requirement ID],0))&lt;=20,3,5))))),"")</f>
        <v/>
      </c>
    </row>
    <row r="306" customFormat="false" ht="15" hidden="false" customHeight="true" outlineLevel="0" collapsed="false">
      <c r="A306" s="1" t="str">
        <f aca="false">Backlog!A306</f>
        <v/>
      </c>
      <c r="B306" s="57" t="str">
        <f aca="false">IFERROR(IF(ISBLANK(INDEX(Backlog[Requirement Name],MATCH($A306,Backlog[Requirement ID],0))),"",INDEX(Backlog[Requirement Name],MATCH($A306,Backlog[Requirement ID],0))),"")</f>
        <v/>
      </c>
      <c r="C306" s="1" t="str">
        <f aca="false">IFERROR(IF(ISBLANK(INDEX(Backlog[Stream],MATCH($A306,Backlog[Requirement ID],0))),"",INDEX(Backlog[Stream],MATCH($A306,Backlog[Requirement ID],0))),"")</f>
        <v/>
      </c>
      <c r="D306" s="1" t="str">
        <f aca="false">IFERROR(IF(ISBLANK(INDEX(Backlog[Jira Link],MATCH($A306,Backlog[Requirement ID],0))),"",INDEX(Backlog[Jira Link],MATCH($A306,Backlog[Requirement ID],0))),"")</f>
        <v/>
      </c>
      <c r="E306" s="1" t="str">
        <f aca="false">IFERROR(IF(ISBLANK(INDEX(Backlog[Status],MATCH($A306,Backlog[Requirement ID],0))),"",INDEX(Backlog[Status],MATCH($A306,Backlog[Requirement ID],0))),"")</f>
        <v/>
      </c>
      <c r="F306" s="1" t="str">
        <f aca="false">IFERROR(IF(ISBLANK(INDEX(SprintPlanning[Sprint],MATCH($A306,SprintPlanning[Requirement ID],0))),"",INDEX(SprintPlanning[Sprint],MATCH($A306,SprintPlanning[Requirement ID],0))),"")</f>
        <v/>
      </c>
      <c r="J306" s="1" t="str">
        <f aca="false">IFERROR(IF(ISBLANK(INDEX(Backlog[Priority],MATCH($A306,Backlog[Requirement ID],0))),"",INDEX(Backlog[Priority],MATCH($A306,Backlog[Requirement ID],0))),"")</f>
        <v/>
      </c>
      <c r="L306" s="1" t="str">
        <f aca="false">IFERROR(IF(ISBLANK(INDEX(Backlog[HLE],MATCH($A306,Backlog[Requirement ID],0))),"",IF(INDEX(Backlog[HLE],MATCH($A306,Backlog[Requirement ID],0))&lt;=5,0.5,IF(INDEX(Backlog[HLE],MATCH($A306,Backlog[Requirement ID],0))&lt;=8,1,IF(INDEX(Backlog[HLE],MATCH($A306,Backlog[Requirement ID],0))&lt;=13,2,IF(INDEX(Backlog[HLE],MATCH($A306,Backlog[Requirement ID],0))&lt;=20,3,5))))),"")</f>
        <v/>
      </c>
    </row>
    <row r="307" customFormat="false" ht="15" hidden="false" customHeight="true" outlineLevel="0" collapsed="false">
      <c r="A307" s="1" t="str">
        <f aca="false">Backlog!A307</f>
        <v/>
      </c>
      <c r="B307" s="57" t="str">
        <f aca="false">IFERROR(IF(ISBLANK(INDEX(Backlog[Requirement Name],MATCH($A307,Backlog[Requirement ID],0))),"",INDEX(Backlog[Requirement Name],MATCH($A307,Backlog[Requirement ID],0))),"")</f>
        <v/>
      </c>
      <c r="C307" s="1" t="str">
        <f aca="false">IFERROR(IF(ISBLANK(INDEX(Backlog[Stream],MATCH($A307,Backlog[Requirement ID],0))),"",INDEX(Backlog[Stream],MATCH($A307,Backlog[Requirement ID],0))),"")</f>
        <v/>
      </c>
      <c r="D307" s="1" t="str">
        <f aca="false">IFERROR(IF(ISBLANK(INDEX(Backlog[Jira Link],MATCH($A307,Backlog[Requirement ID],0))),"",INDEX(Backlog[Jira Link],MATCH($A307,Backlog[Requirement ID],0))),"")</f>
        <v/>
      </c>
      <c r="E307" s="1" t="str">
        <f aca="false">IFERROR(IF(ISBLANK(INDEX(Backlog[Status],MATCH($A307,Backlog[Requirement ID],0))),"",INDEX(Backlog[Status],MATCH($A307,Backlog[Requirement ID],0))),"")</f>
        <v/>
      </c>
      <c r="F307" s="1" t="str">
        <f aca="false">IFERROR(IF(ISBLANK(INDEX(SprintPlanning[Sprint],MATCH($A307,SprintPlanning[Requirement ID],0))),"",INDEX(SprintPlanning[Sprint],MATCH($A307,SprintPlanning[Requirement ID],0))),"")</f>
        <v/>
      </c>
      <c r="J307" s="1" t="str">
        <f aca="false">IFERROR(IF(ISBLANK(INDEX(Backlog[Priority],MATCH($A307,Backlog[Requirement ID],0))),"",INDEX(Backlog[Priority],MATCH($A307,Backlog[Requirement ID],0))),"")</f>
        <v/>
      </c>
      <c r="L307" s="1" t="str">
        <f aca="false">IFERROR(IF(ISBLANK(INDEX(Backlog[HLE],MATCH($A307,Backlog[Requirement ID],0))),"",IF(INDEX(Backlog[HLE],MATCH($A307,Backlog[Requirement ID],0))&lt;=5,0.5,IF(INDEX(Backlog[HLE],MATCH($A307,Backlog[Requirement ID],0))&lt;=8,1,IF(INDEX(Backlog[HLE],MATCH($A307,Backlog[Requirement ID],0))&lt;=13,2,IF(INDEX(Backlog[HLE],MATCH($A307,Backlog[Requirement ID],0))&lt;=20,3,5))))),"")</f>
        <v/>
      </c>
    </row>
    <row r="308" customFormat="false" ht="15" hidden="false" customHeight="true" outlineLevel="0" collapsed="false">
      <c r="A308" s="1" t="str">
        <f aca="false">Backlog!A308</f>
        <v/>
      </c>
      <c r="B308" s="57" t="str">
        <f aca="false">IFERROR(IF(ISBLANK(INDEX(Backlog[Requirement Name],MATCH($A308,Backlog[Requirement ID],0))),"",INDEX(Backlog[Requirement Name],MATCH($A308,Backlog[Requirement ID],0))),"")</f>
        <v/>
      </c>
      <c r="C308" s="1" t="str">
        <f aca="false">IFERROR(IF(ISBLANK(INDEX(Backlog[Stream],MATCH($A308,Backlog[Requirement ID],0))),"",INDEX(Backlog[Stream],MATCH($A308,Backlog[Requirement ID],0))),"")</f>
        <v/>
      </c>
      <c r="D308" s="1" t="str">
        <f aca="false">IFERROR(IF(ISBLANK(INDEX(Backlog[Jira Link],MATCH($A308,Backlog[Requirement ID],0))),"",INDEX(Backlog[Jira Link],MATCH($A308,Backlog[Requirement ID],0))),"")</f>
        <v/>
      </c>
      <c r="E308" s="1" t="str">
        <f aca="false">IFERROR(IF(ISBLANK(INDEX(Backlog[Status],MATCH($A308,Backlog[Requirement ID],0))),"",INDEX(Backlog[Status],MATCH($A308,Backlog[Requirement ID],0))),"")</f>
        <v/>
      </c>
      <c r="F308" s="1" t="str">
        <f aca="false">IFERROR(IF(ISBLANK(INDEX(SprintPlanning[Sprint],MATCH($A308,SprintPlanning[Requirement ID],0))),"",INDEX(SprintPlanning[Sprint],MATCH($A308,SprintPlanning[Requirement ID],0))),"")</f>
        <v/>
      </c>
      <c r="J308" s="1" t="str">
        <f aca="false">IFERROR(IF(ISBLANK(INDEX(Backlog[Priority],MATCH($A308,Backlog[Requirement ID],0))),"",INDEX(Backlog[Priority],MATCH($A308,Backlog[Requirement ID],0))),"")</f>
        <v/>
      </c>
      <c r="L308" s="1" t="str">
        <f aca="false">IFERROR(IF(ISBLANK(INDEX(Backlog[HLE],MATCH($A308,Backlog[Requirement ID],0))),"",IF(INDEX(Backlog[HLE],MATCH($A308,Backlog[Requirement ID],0))&lt;=5,0.5,IF(INDEX(Backlog[HLE],MATCH($A308,Backlog[Requirement ID],0))&lt;=8,1,IF(INDEX(Backlog[HLE],MATCH($A308,Backlog[Requirement ID],0))&lt;=13,2,IF(INDEX(Backlog[HLE],MATCH($A308,Backlog[Requirement ID],0))&lt;=20,3,5))))),"")</f>
        <v/>
      </c>
    </row>
    <row r="309" customFormat="false" ht="15" hidden="false" customHeight="true" outlineLevel="0" collapsed="false">
      <c r="A309" s="1" t="str">
        <f aca="false">Backlog!A309</f>
        <v/>
      </c>
      <c r="B309" s="57" t="str">
        <f aca="false">IFERROR(IF(ISBLANK(INDEX(Backlog[Requirement Name],MATCH($A309,Backlog[Requirement ID],0))),"",INDEX(Backlog[Requirement Name],MATCH($A309,Backlog[Requirement ID],0))),"")</f>
        <v/>
      </c>
      <c r="C309" s="1" t="str">
        <f aca="false">IFERROR(IF(ISBLANK(INDEX(Backlog[Stream],MATCH($A309,Backlog[Requirement ID],0))),"",INDEX(Backlog[Stream],MATCH($A309,Backlog[Requirement ID],0))),"")</f>
        <v/>
      </c>
      <c r="D309" s="1" t="str">
        <f aca="false">IFERROR(IF(ISBLANK(INDEX(Backlog[Jira Link],MATCH($A309,Backlog[Requirement ID],0))),"",INDEX(Backlog[Jira Link],MATCH($A309,Backlog[Requirement ID],0))),"")</f>
        <v/>
      </c>
      <c r="E309" s="1" t="str">
        <f aca="false">IFERROR(IF(ISBLANK(INDEX(Backlog[Status],MATCH($A309,Backlog[Requirement ID],0))),"",INDEX(Backlog[Status],MATCH($A309,Backlog[Requirement ID],0))),"")</f>
        <v/>
      </c>
      <c r="F309" s="1" t="str">
        <f aca="false">IFERROR(IF(ISBLANK(INDEX(SprintPlanning[Sprint],MATCH($A309,SprintPlanning[Requirement ID],0))),"",INDEX(SprintPlanning[Sprint],MATCH($A309,SprintPlanning[Requirement ID],0))),"")</f>
        <v/>
      </c>
      <c r="J309" s="1" t="str">
        <f aca="false">IFERROR(IF(ISBLANK(INDEX(Backlog[Priority],MATCH($A309,Backlog[Requirement ID],0))),"",INDEX(Backlog[Priority],MATCH($A309,Backlog[Requirement ID],0))),"")</f>
        <v/>
      </c>
      <c r="L309" s="1" t="str">
        <f aca="false">IFERROR(IF(ISBLANK(INDEX(Backlog[HLE],MATCH($A309,Backlog[Requirement ID],0))),"",IF(INDEX(Backlog[HLE],MATCH($A309,Backlog[Requirement ID],0))&lt;=5,0.5,IF(INDEX(Backlog[HLE],MATCH($A309,Backlog[Requirement ID],0))&lt;=8,1,IF(INDEX(Backlog[HLE],MATCH($A309,Backlog[Requirement ID],0))&lt;=13,2,IF(INDEX(Backlog[HLE],MATCH($A309,Backlog[Requirement ID],0))&lt;=20,3,5))))),"")</f>
        <v/>
      </c>
    </row>
    <row r="310" customFormat="false" ht="15" hidden="false" customHeight="true" outlineLevel="0" collapsed="false">
      <c r="A310" s="1" t="str">
        <f aca="false">Backlog!A310</f>
        <v/>
      </c>
      <c r="B310" s="57" t="str">
        <f aca="false">IFERROR(IF(ISBLANK(INDEX(Backlog[Requirement Name],MATCH($A310,Backlog[Requirement ID],0))),"",INDEX(Backlog[Requirement Name],MATCH($A310,Backlog[Requirement ID],0))),"")</f>
        <v/>
      </c>
      <c r="C310" s="1" t="str">
        <f aca="false">IFERROR(IF(ISBLANK(INDEX(Backlog[Stream],MATCH($A310,Backlog[Requirement ID],0))),"",INDEX(Backlog[Stream],MATCH($A310,Backlog[Requirement ID],0))),"")</f>
        <v/>
      </c>
      <c r="D310" s="1" t="str">
        <f aca="false">IFERROR(IF(ISBLANK(INDEX(Backlog[Jira Link],MATCH($A310,Backlog[Requirement ID],0))),"",INDEX(Backlog[Jira Link],MATCH($A310,Backlog[Requirement ID],0))),"")</f>
        <v/>
      </c>
      <c r="E310" s="1" t="str">
        <f aca="false">IFERROR(IF(ISBLANK(INDEX(Backlog[Status],MATCH($A310,Backlog[Requirement ID],0))),"",INDEX(Backlog[Status],MATCH($A310,Backlog[Requirement ID],0))),"")</f>
        <v/>
      </c>
      <c r="F310" s="1" t="str">
        <f aca="false">IFERROR(IF(ISBLANK(INDEX(SprintPlanning[Sprint],MATCH($A310,SprintPlanning[Requirement ID],0))),"",INDEX(SprintPlanning[Sprint],MATCH($A310,SprintPlanning[Requirement ID],0))),"")</f>
        <v/>
      </c>
      <c r="J310" s="1" t="str">
        <f aca="false">IFERROR(IF(ISBLANK(INDEX(Backlog[Priority],MATCH($A310,Backlog[Requirement ID],0))),"",INDEX(Backlog[Priority],MATCH($A310,Backlog[Requirement ID],0))),"")</f>
        <v/>
      </c>
      <c r="L310" s="1" t="str">
        <f aca="false">IFERROR(IF(ISBLANK(INDEX(Backlog[HLE],MATCH($A310,Backlog[Requirement ID],0))),"",IF(INDEX(Backlog[HLE],MATCH($A310,Backlog[Requirement ID],0))&lt;=5,0.5,IF(INDEX(Backlog[HLE],MATCH($A310,Backlog[Requirement ID],0))&lt;=8,1,IF(INDEX(Backlog[HLE],MATCH($A310,Backlog[Requirement ID],0))&lt;=13,2,IF(INDEX(Backlog[HLE],MATCH($A310,Backlog[Requirement ID],0))&lt;=20,3,5))))),"")</f>
        <v/>
      </c>
    </row>
    <row r="311" customFormat="false" ht="15" hidden="false" customHeight="true" outlineLevel="0" collapsed="false">
      <c r="A311" s="1" t="str">
        <f aca="false">Backlog!A311</f>
        <v/>
      </c>
      <c r="B311" s="57" t="str">
        <f aca="false">IFERROR(IF(ISBLANK(INDEX(Backlog[Requirement Name],MATCH($A311,Backlog[Requirement ID],0))),"",INDEX(Backlog[Requirement Name],MATCH($A311,Backlog[Requirement ID],0))),"")</f>
        <v/>
      </c>
      <c r="C311" s="1" t="str">
        <f aca="false">IFERROR(IF(ISBLANK(INDEX(Backlog[Stream],MATCH($A311,Backlog[Requirement ID],0))),"",INDEX(Backlog[Stream],MATCH($A311,Backlog[Requirement ID],0))),"")</f>
        <v/>
      </c>
      <c r="D311" s="1" t="str">
        <f aca="false">IFERROR(IF(ISBLANK(INDEX(Backlog[Jira Link],MATCH($A311,Backlog[Requirement ID],0))),"",INDEX(Backlog[Jira Link],MATCH($A311,Backlog[Requirement ID],0))),"")</f>
        <v/>
      </c>
      <c r="E311" s="1" t="str">
        <f aca="false">IFERROR(IF(ISBLANK(INDEX(Backlog[Status],MATCH($A311,Backlog[Requirement ID],0))),"",INDEX(Backlog[Status],MATCH($A311,Backlog[Requirement ID],0))),"")</f>
        <v/>
      </c>
      <c r="F311" s="1" t="str">
        <f aca="false">IFERROR(IF(ISBLANK(INDEX(SprintPlanning[Sprint],MATCH($A311,SprintPlanning[Requirement ID],0))),"",INDEX(SprintPlanning[Sprint],MATCH($A311,SprintPlanning[Requirement ID],0))),"")</f>
        <v/>
      </c>
      <c r="J311" s="1" t="str">
        <f aca="false">IFERROR(IF(ISBLANK(INDEX(Backlog[Priority],MATCH($A311,Backlog[Requirement ID],0))),"",INDEX(Backlog[Priority],MATCH($A311,Backlog[Requirement ID],0))),"")</f>
        <v/>
      </c>
      <c r="L311" s="1" t="str">
        <f aca="false">IFERROR(IF(ISBLANK(INDEX(Backlog[HLE],MATCH($A311,Backlog[Requirement ID],0))),"",IF(INDEX(Backlog[HLE],MATCH($A311,Backlog[Requirement ID],0))&lt;=5,0.5,IF(INDEX(Backlog[HLE],MATCH($A311,Backlog[Requirement ID],0))&lt;=8,1,IF(INDEX(Backlog[HLE],MATCH($A311,Backlog[Requirement ID],0))&lt;=13,2,IF(INDEX(Backlog[HLE],MATCH($A311,Backlog[Requirement ID],0))&lt;=20,3,5))))),"")</f>
        <v/>
      </c>
    </row>
    <row r="312" customFormat="false" ht="15" hidden="false" customHeight="true" outlineLevel="0" collapsed="false">
      <c r="A312" s="1" t="str">
        <f aca="false">Backlog!A312</f>
        <v/>
      </c>
      <c r="B312" s="57" t="str">
        <f aca="false">IFERROR(IF(ISBLANK(INDEX(Backlog[Requirement Name],MATCH($A312,Backlog[Requirement ID],0))),"",INDEX(Backlog[Requirement Name],MATCH($A312,Backlog[Requirement ID],0))),"")</f>
        <v/>
      </c>
      <c r="C312" s="1" t="str">
        <f aca="false">IFERROR(IF(ISBLANK(INDEX(Backlog[Stream],MATCH($A312,Backlog[Requirement ID],0))),"",INDEX(Backlog[Stream],MATCH($A312,Backlog[Requirement ID],0))),"")</f>
        <v/>
      </c>
      <c r="D312" s="1" t="str">
        <f aca="false">IFERROR(IF(ISBLANK(INDEX(Backlog[Jira Link],MATCH($A312,Backlog[Requirement ID],0))),"",INDEX(Backlog[Jira Link],MATCH($A312,Backlog[Requirement ID],0))),"")</f>
        <v/>
      </c>
      <c r="E312" s="1" t="str">
        <f aca="false">IFERROR(IF(ISBLANK(INDEX(Backlog[Status],MATCH($A312,Backlog[Requirement ID],0))),"",INDEX(Backlog[Status],MATCH($A312,Backlog[Requirement ID],0))),"")</f>
        <v/>
      </c>
      <c r="F312" s="1" t="str">
        <f aca="false">IFERROR(IF(ISBLANK(INDEX(SprintPlanning[Sprint],MATCH($A312,SprintPlanning[Requirement ID],0))),"",INDEX(SprintPlanning[Sprint],MATCH($A312,SprintPlanning[Requirement ID],0))),"")</f>
        <v/>
      </c>
      <c r="J312" s="1" t="str">
        <f aca="false">IFERROR(IF(ISBLANK(INDEX(Backlog[Priority],MATCH($A312,Backlog[Requirement ID],0))),"",INDEX(Backlog[Priority],MATCH($A312,Backlog[Requirement ID],0))),"")</f>
        <v/>
      </c>
      <c r="L312" s="1" t="str">
        <f aca="false">IFERROR(IF(ISBLANK(INDEX(Backlog[HLE],MATCH($A312,Backlog[Requirement ID],0))),"",IF(INDEX(Backlog[HLE],MATCH($A312,Backlog[Requirement ID],0))&lt;=5,0.5,IF(INDEX(Backlog[HLE],MATCH($A312,Backlog[Requirement ID],0))&lt;=8,1,IF(INDEX(Backlog[HLE],MATCH($A312,Backlog[Requirement ID],0))&lt;=13,2,IF(INDEX(Backlog[HLE],MATCH($A312,Backlog[Requirement ID],0))&lt;=20,3,5))))),"")</f>
        <v/>
      </c>
    </row>
    <row r="313" customFormat="false" ht="15" hidden="false" customHeight="true" outlineLevel="0" collapsed="false">
      <c r="A313" s="1" t="str">
        <f aca="false">Backlog!A313</f>
        <v/>
      </c>
      <c r="B313" s="57" t="str">
        <f aca="false">IFERROR(IF(ISBLANK(INDEX(Backlog[Requirement Name],MATCH($A313,Backlog[Requirement ID],0))),"",INDEX(Backlog[Requirement Name],MATCH($A313,Backlog[Requirement ID],0))),"")</f>
        <v/>
      </c>
      <c r="C313" s="1" t="str">
        <f aca="false">IFERROR(IF(ISBLANK(INDEX(Backlog[Stream],MATCH($A313,Backlog[Requirement ID],0))),"",INDEX(Backlog[Stream],MATCH($A313,Backlog[Requirement ID],0))),"")</f>
        <v/>
      </c>
      <c r="D313" s="1" t="str">
        <f aca="false">IFERROR(IF(ISBLANK(INDEX(Backlog[Jira Link],MATCH($A313,Backlog[Requirement ID],0))),"",INDEX(Backlog[Jira Link],MATCH($A313,Backlog[Requirement ID],0))),"")</f>
        <v/>
      </c>
      <c r="E313" s="1" t="str">
        <f aca="false">IFERROR(IF(ISBLANK(INDEX(Backlog[Status],MATCH($A313,Backlog[Requirement ID],0))),"",INDEX(Backlog[Status],MATCH($A313,Backlog[Requirement ID],0))),"")</f>
        <v/>
      </c>
      <c r="F313" s="1" t="str">
        <f aca="false">IFERROR(IF(ISBLANK(INDEX(SprintPlanning[Sprint],MATCH($A313,SprintPlanning[Requirement ID],0))),"",INDEX(SprintPlanning[Sprint],MATCH($A313,SprintPlanning[Requirement ID],0))),"")</f>
        <v/>
      </c>
      <c r="J313" s="1" t="str">
        <f aca="false">IFERROR(IF(ISBLANK(INDEX(Backlog[Priority],MATCH($A313,Backlog[Requirement ID],0))),"",INDEX(Backlog[Priority],MATCH($A313,Backlog[Requirement ID],0))),"")</f>
        <v/>
      </c>
      <c r="L313" s="1" t="str">
        <f aca="false">IFERROR(IF(ISBLANK(INDEX(Backlog[HLE],MATCH($A313,Backlog[Requirement ID],0))),"",IF(INDEX(Backlog[HLE],MATCH($A313,Backlog[Requirement ID],0))&lt;=5,0.5,IF(INDEX(Backlog[HLE],MATCH($A313,Backlog[Requirement ID],0))&lt;=8,1,IF(INDEX(Backlog[HLE],MATCH($A313,Backlog[Requirement ID],0))&lt;=13,2,IF(INDEX(Backlog[HLE],MATCH($A313,Backlog[Requirement ID],0))&lt;=20,3,5))))),"")</f>
        <v/>
      </c>
    </row>
    <row r="314" customFormat="false" ht="15" hidden="false" customHeight="true" outlineLevel="0" collapsed="false">
      <c r="A314" s="1" t="str">
        <f aca="false">Backlog!A314</f>
        <v/>
      </c>
      <c r="B314" s="57" t="str">
        <f aca="false">IFERROR(IF(ISBLANK(INDEX(Backlog[Requirement Name],MATCH($A314,Backlog[Requirement ID],0))),"",INDEX(Backlog[Requirement Name],MATCH($A314,Backlog[Requirement ID],0))),"")</f>
        <v/>
      </c>
      <c r="C314" s="1" t="str">
        <f aca="false">IFERROR(IF(ISBLANK(INDEX(Backlog[Stream],MATCH($A314,Backlog[Requirement ID],0))),"",INDEX(Backlog[Stream],MATCH($A314,Backlog[Requirement ID],0))),"")</f>
        <v/>
      </c>
      <c r="D314" s="1" t="str">
        <f aca="false">IFERROR(IF(ISBLANK(INDEX(Backlog[Jira Link],MATCH($A314,Backlog[Requirement ID],0))),"",INDEX(Backlog[Jira Link],MATCH($A314,Backlog[Requirement ID],0))),"")</f>
        <v/>
      </c>
      <c r="E314" s="1" t="str">
        <f aca="false">IFERROR(IF(ISBLANK(INDEX(Backlog[Status],MATCH($A314,Backlog[Requirement ID],0))),"",INDEX(Backlog[Status],MATCH($A314,Backlog[Requirement ID],0))),"")</f>
        <v/>
      </c>
      <c r="F314" s="1" t="str">
        <f aca="false">IFERROR(IF(ISBLANK(INDEX(SprintPlanning[Sprint],MATCH($A314,SprintPlanning[Requirement ID],0))),"",INDEX(SprintPlanning[Sprint],MATCH($A314,SprintPlanning[Requirement ID],0))),"")</f>
        <v/>
      </c>
      <c r="J314" s="1" t="str">
        <f aca="false">IFERROR(IF(ISBLANK(INDEX(Backlog[Priority],MATCH($A314,Backlog[Requirement ID],0))),"",INDEX(Backlog[Priority],MATCH($A314,Backlog[Requirement ID],0))),"")</f>
        <v/>
      </c>
      <c r="L314" s="1" t="str">
        <f aca="false">IFERROR(IF(ISBLANK(INDEX(Backlog[HLE],MATCH($A314,Backlog[Requirement ID],0))),"",IF(INDEX(Backlog[HLE],MATCH($A314,Backlog[Requirement ID],0))&lt;=5,0.5,IF(INDEX(Backlog[HLE],MATCH($A314,Backlog[Requirement ID],0))&lt;=8,1,IF(INDEX(Backlog[HLE],MATCH($A314,Backlog[Requirement ID],0))&lt;=13,2,IF(INDEX(Backlog[HLE],MATCH($A314,Backlog[Requirement ID],0))&lt;=20,3,5))))),"")</f>
        <v/>
      </c>
    </row>
    <row r="315" customFormat="false" ht="15" hidden="false" customHeight="true" outlineLevel="0" collapsed="false">
      <c r="A315" s="1" t="str">
        <f aca="false">Backlog!A315</f>
        <v/>
      </c>
      <c r="B315" s="57" t="str">
        <f aca="false">IFERROR(IF(ISBLANK(INDEX(Backlog[Requirement Name],MATCH($A315,Backlog[Requirement ID],0))),"",INDEX(Backlog[Requirement Name],MATCH($A315,Backlog[Requirement ID],0))),"")</f>
        <v/>
      </c>
      <c r="C315" s="1" t="str">
        <f aca="false">IFERROR(IF(ISBLANK(INDEX(Backlog[Stream],MATCH($A315,Backlog[Requirement ID],0))),"",INDEX(Backlog[Stream],MATCH($A315,Backlog[Requirement ID],0))),"")</f>
        <v/>
      </c>
      <c r="D315" s="1" t="str">
        <f aca="false">IFERROR(IF(ISBLANK(INDEX(Backlog[Jira Link],MATCH($A315,Backlog[Requirement ID],0))),"",INDEX(Backlog[Jira Link],MATCH($A315,Backlog[Requirement ID],0))),"")</f>
        <v/>
      </c>
      <c r="E315" s="1" t="str">
        <f aca="false">IFERROR(IF(ISBLANK(INDEX(Backlog[Status],MATCH($A315,Backlog[Requirement ID],0))),"",INDEX(Backlog[Status],MATCH($A315,Backlog[Requirement ID],0))),"")</f>
        <v/>
      </c>
      <c r="F315" s="1" t="str">
        <f aca="false">IFERROR(IF(ISBLANK(INDEX(SprintPlanning[Sprint],MATCH($A315,SprintPlanning[Requirement ID],0))),"",INDEX(SprintPlanning[Sprint],MATCH($A315,SprintPlanning[Requirement ID],0))),"")</f>
        <v/>
      </c>
      <c r="J315" s="1" t="str">
        <f aca="false">IFERROR(IF(ISBLANK(INDEX(Backlog[Priority],MATCH($A315,Backlog[Requirement ID],0))),"",INDEX(Backlog[Priority],MATCH($A315,Backlog[Requirement ID],0))),"")</f>
        <v/>
      </c>
      <c r="L315" s="1" t="str">
        <f aca="false">IFERROR(IF(ISBLANK(INDEX(Backlog[HLE],MATCH($A315,Backlog[Requirement ID],0))),"",IF(INDEX(Backlog[HLE],MATCH($A315,Backlog[Requirement ID],0))&lt;=5,0.5,IF(INDEX(Backlog[HLE],MATCH($A315,Backlog[Requirement ID],0))&lt;=8,1,IF(INDEX(Backlog[HLE],MATCH($A315,Backlog[Requirement ID],0))&lt;=13,2,IF(INDEX(Backlog[HLE],MATCH($A315,Backlog[Requirement ID],0))&lt;=20,3,5))))),"")</f>
        <v/>
      </c>
    </row>
    <row r="316" customFormat="false" ht="15" hidden="false" customHeight="true" outlineLevel="0" collapsed="false">
      <c r="A316" s="1" t="str">
        <f aca="false">Backlog!A316</f>
        <v/>
      </c>
      <c r="B316" s="57" t="str">
        <f aca="false">IFERROR(IF(ISBLANK(INDEX(Backlog[Requirement Name],MATCH($A316,Backlog[Requirement ID],0))),"",INDEX(Backlog[Requirement Name],MATCH($A316,Backlog[Requirement ID],0))),"")</f>
        <v/>
      </c>
      <c r="C316" s="1" t="str">
        <f aca="false">IFERROR(IF(ISBLANK(INDEX(Backlog[Stream],MATCH($A316,Backlog[Requirement ID],0))),"",INDEX(Backlog[Stream],MATCH($A316,Backlog[Requirement ID],0))),"")</f>
        <v/>
      </c>
      <c r="D316" s="1" t="str">
        <f aca="false">IFERROR(IF(ISBLANK(INDEX(Backlog[Jira Link],MATCH($A316,Backlog[Requirement ID],0))),"",INDEX(Backlog[Jira Link],MATCH($A316,Backlog[Requirement ID],0))),"")</f>
        <v/>
      </c>
      <c r="E316" s="1" t="str">
        <f aca="false">IFERROR(IF(ISBLANK(INDEX(Backlog[Status],MATCH($A316,Backlog[Requirement ID],0))),"",INDEX(Backlog[Status],MATCH($A316,Backlog[Requirement ID],0))),"")</f>
        <v/>
      </c>
      <c r="F316" s="1" t="str">
        <f aca="false">IFERROR(IF(ISBLANK(INDEX(SprintPlanning[Sprint],MATCH($A316,SprintPlanning[Requirement ID],0))),"",INDEX(SprintPlanning[Sprint],MATCH($A316,SprintPlanning[Requirement ID],0))),"")</f>
        <v/>
      </c>
      <c r="J316" s="1" t="str">
        <f aca="false">IFERROR(IF(ISBLANK(INDEX(Backlog[Priority],MATCH($A316,Backlog[Requirement ID],0))),"",INDEX(Backlog[Priority],MATCH($A316,Backlog[Requirement ID],0))),"")</f>
        <v/>
      </c>
      <c r="L316" s="1" t="str">
        <f aca="false">IFERROR(IF(ISBLANK(INDEX(Backlog[HLE],MATCH($A316,Backlog[Requirement ID],0))),"",IF(INDEX(Backlog[HLE],MATCH($A316,Backlog[Requirement ID],0))&lt;=5,0.5,IF(INDEX(Backlog[HLE],MATCH($A316,Backlog[Requirement ID],0))&lt;=8,1,IF(INDEX(Backlog[HLE],MATCH($A316,Backlog[Requirement ID],0))&lt;=13,2,IF(INDEX(Backlog[HLE],MATCH($A316,Backlog[Requirement ID],0))&lt;=20,3,5))))),"")</f>
        <v/>
      </c>
    </row>
    <row r="317" customFormat="false" ht="15" hidden="false" customHeight="true" outlineLevel="0" collapsed="false">
      <c r="A317" s="1" t="str">
        <f aca="false">Backlog!A317</f>
        <v/>
      </c>
      <c r="B317" s="57" t="str">
        <f aca="false">IFERROR(IF(ISBLANK(INDEX(Backlog[Requirement Name],MATCH($A317,Backlog[Requirement ID],0))),"",INDEX(Backlog[Requirement Name],MATCH($A317,Backlog[Requirement ID],0))),"")</f>
        <v/>
      </c>
      <c r="C317" s="1" t="str">
        <f aca="false">IFERROR(IF(ISBLANK(INDEX(Backlog[Stream],MATCH($A317,Backlog[Requirement ID],0))),"",INDEX(Backlog[Stream],MATCH($A317,Backlog[Requirement ID],0))),"")</f>
        <v/>
      </c>
      <c r="D317" s="1" t="str">
        <f aca="false">IFERROR(IF(ISBLANK(INDEX(Backlog[Jira Link],MATCH($A317,Backlog[Requirement ID],0))),"",INDEX(Backlog[Jira Link],MATCH($A317,Backlog[Requirement ID],0))),"")</f>
        <v/>
      </c>
      <c r="E317" s="1" t="str">
        <f aca="false">IFERROR(IF(ISBLANK(INDEX(Backlog[Status],MATCH($A317,Backlog[Requirement ID],0))),"",INDEX(Backlog[Status],MATCH($A317,Backlog[Requirement ID],0))),"")</f>
        <v/>
      </c>
      <c r="F317" s="1" t="str">
        <f aca="false">IFERROR(IF(ISBLANK(INDEX(SprintPlanning[Sprint],MATCH($A317,SprintPlanning[Requirement ID],0))),"",INDEX(SprintPlanning[Sprint],MATCH($A317,SprintPlanning[Requirement ID],0))),"")</f>
        <v/>
      </c>
      <c r="J317" s="1" t="str">
        <f aca="false">IFERROR(IF(ISBLANK(INDEX(Backlog[Priority],MATCH($A317,Backlog[Requirement ID],0))),"",INDEX(Backlog[Priority],MATCH($A317,Backlog[Requirement ID],0))),"")</f>
        <v/>
      </c>
      <c r="L317" s="1" t="str">
        <f aca="false">IFERROR(IF(ISBLANK(INDEX(Backlog[HLE],MATCH($A317,Backlog[Requirement ID],0))),"",IF(INDEX(Backlog[HLE],MATCH($A317,Backlog[Requirement ID],0))&lt;=5,0.5,IF(INDEX(Backlog[HLE],MATCH($A317,Backlog[Requirement ID],0))&lt;=8,1,IF(INDEX(Backlog[HLE],MATCH($A317,Backlog[Requirement ID],0))&lt;=13,2,IF(INDEX(Backlog[HLE],MATCH($A317,Backlog[Requirement ID],0))&lt;=20,3,5))))),"")</f>
        <v/>
      </c>
    </row>
    <row r="318" customFormat="false" ht="15" hidden="false" customHeight="true" outlineLevel="0" collapsed="false">
      <c r="A318" s="1" t="str">
        <f aca="false">Backlog!A318</f>
        <v/>
      </c>
      <c r="B318" s="57" t="str">
        <f aca="false">IFERROR(IF(ISBLANK(INDEX(Backlog[Requirement Name],MATCH($A318,Backlog[Requirement ID],0))),"",INDEX(Backlog[Requirement Name],MATCH($A318,Backlog[Requirement ID],0))),"")</f>
        <v/>
      </c>
      <c r="C318" s="1" t="str">
        <f aca="false">IFERROR(IF(ISBLANK(INDEX(Backlog[Stream],MATCH($A318,Backlog[Requirement ID],0))),"",INDEX(Backlog[Stream],MATCH($A318,Backlog[Requirement ID],0))),"")</f>
        <v/>
      </c>
      <c r="D318" s="1" t="str">
        <f aca="false">IFERROR(IF(ISBLANK(INDEX(Backlog[Jira Link],MATCH($A318,Backlog[Requirement ID],0))),"",INDEX(Backlog[Jira Link],MATCH($A318,Backlog[Requirement ID],0))),"")</f>
        <v/>
      </c>
      <c r="E318" s="1" t="str">
        <f aca="false">IFERROR(IF(ISBLANK(INDEX(Backlog[Status],MATCH($A318,Backlog[Requirement ID],0))),"",INDEX(Backlog[Status],MATCH($A318,Backlog[Requirement ID],0))),"")</f>
        <v/>
      </c>
      <c r="F318" s="1" t="str">
        <f aca="false">IFERROR(IF(ISBLANK(INDEX(SprintPlanning[Sprint],MATCH($A318,SprintPlanning[Requirement ID],0))),"",INDEX(SprintPlanning[Sprint],MATCH($A318,SprintPlanning[Requirement ID],0))),"")</f>
        <v/>
      </c>
      <c r="J318" s="1" t="str">
        <f aca="false">IFERROR(IF(ISBLANK(INDEX(Backlog[Priority],MATCH($A318,Backlog[Requirement ID],0))),"",INDEX(Backlog[Priority],MATCH($A318,Backlog[Requirement ID],0))),"")</f>
        <v/>
      </c>
      <c r="L318" s="1" t="str">
        <f aca="false">IFERROR(IF(ISBLANK(INDEX(Backlog[HLE],MATCH($A318,Backlog[Requirement ID],0))),"",IF(INDEX(Backlog[HLE],MATCH($A318,Backlog[Requirement ID],0))&lt;=5,0.5,IF(INDEX(Backlog[HLE],MATCH($A318,Backlog[Requirement ID],0))&lt;=8,1,IF(INDEX(Backlog[HLE],MATCH($A318,Backlog[Requirement ID],0))&lt;=13,2,IF(INDEX(Backlog[HLE],MATCH($A318,Backlog[Requirement ID],0))&lt;=20,3,5))))),"")</f>
        <v/>
      </c>
    </row>
    <row r="319" customFormat="false" ht="15" hidden="false" customHeight="true" outlineLevel="0" collapsed="false">
      <c r="A319" s="1" t="str">
        <f aca="false">Backlog!A319</f>
        <v/>
      </c>
      <c r="B319" s="57" t="str">
        <f aca="false">IFERROR(IF(ISBLANK(INDEX(Backlog[Requirement Name],MATCH($A319,Backlog[Requirement ID],0))),"",INDEX(Backlog[Requirement Name],MATCH($A319,Backlog[Requirement ID],0))),"")</f>
        <v/>
      </c>
      <c r="C319" s="1" t="str">
        <f aca="false">IFERROR(IF(ISBLANK(INDEX(Backlog[Stream],MATCH($A319,Backlog[Requirement ID],0))),"",INDEX(Backlog[Stream],MATCH($A319,Backlog[Requirement ID],0))),"")</f>
        <v/>
      </c>
      <c r="D319" s="1" t="str">
        <f aca="false">IFERROR(IF(ISBLANK(INDEX(Backlog[Jira Link],MATCH($A319,Backlog[Requirement ID],0))),"",INDEX(Backlog[Jira Link],MATCH($A319,Backlog[Requirement ID],0))),"")</f>
        <v/>
      </c>
      <c r="E319" s="1" t="str">
        <f aca="false">IFERROR(IF(ISBLANK(INDEX(Backlog[Status],MATCH($A319,Backlog[Requirement ID],0))),"",INDEX(Backlog[Status],MATCH($A319,Backlog[Requirement ID],0))),"")</f>
        <v/>
      </c>
      <c r="F319" s="1" t="str">
        <f aca="false">IFERROR(IF(ISBLANK(INDEX(SprintPlanning[Sprint],MATCH($A319,SprintPlanning[Requirement ID],0))),"",INDEX(SprintPlanning[Sprint],MATCH($A319,SprintPlanning[Requirement ID],0))),"")</f>
        <v/>
      </c>
      <c r="J319" s="1" t="str">
        <f aca="false">IFERROR(IF(ISBLANK(INDEX(Backlog[Priority],MATCH($A319,Backlog[Requirement ID],0))),"",INDEX(Backlog[Priority],MATCH($A319,Backlog[Requirement ID],0))),"")</f>
        <v/>
      </c>
      <c r="L319" s="1" t="str">
        <f aca="false">IFERROR(IF(ISBLANK(INDEX(Backlog[HLE],MATCH($A319,Backlog[Requirement ID],0))),"",IF(INDEX(Backlog[HLE],MATCH($A319,Backlog[Requirement ID],0))&lt;=5,0.5,IF(INDEX(Backlog[HLE],MATCH($A319,Backlog[Requirement ID],0))&lt;=8,1,IF(INDEX(Backlog[HLE],MATCH($A319,Backlog[Requirement ID],0))&lt;=13,2,IF(INDEX(Backlog[HLE],MATCH($A319,Backlog[Requirement ID],0))&lt;=20,3,5))))),"")</f>
        <v/>
      </c>
    </row>
    <row r="320" customFormat="false" ht="15" hidden="false" customHeight="true" outlineLevel="0" collapsed="false">
      <c r="A320" s="1" t="str">
        <f aca="false">Backlog!A320</f>
        <v/>
      </c>
      <c r="B320" s="57" t="str">
        <f aca="false">IFERROR(IF(ISBLANK(INDEX(Backlog[Requirement Name],MATCH($A320,Backlog[Requirement ID],0))),"",INDEX(Backlog[Requirement Name],MATCH($A320,Backlog[Requirement ID],0))),"")</f>
        <v/>
      </c>
      <c r="C320" s="1" t="str">
        <f aca="false">IFERROR(IF(ISBLANK(INDEX(Backlog[Stream],MATCH($A320,Backlog[Requirement ID],0))),"",INDEX(Backlog[Stream],MATCH($A320,Backlog[Requirement ID],0))),"")</f>
        <v/>
      </c>
      <c r="D320" s="1" t="str">
        <f aca="false">IFERROR(IF(ISBLANK(INDEX(Backlog[Jira Link],MATCH($A320,Backlog[Requirement ID],0))),"",INDEX(Backlog[Jira Link],MATCH($A320,Backlog[Requirement ID],0))),"")</f>
        <v/>
      </c>
      <c r="E320" s="1" t="str">
        <f aca="false">IFERROR(IF(ISBLANK(INDEX(Backlog[Status],MATCH($A320,Backlog[Requirement ID],0))),"",INDEX(Backlog[Status],MATCH($A320,Backlog[Requirement ID],0))),"")</f>
        <v/>
      </c>
      <c r="F320" s="1" t="str">
        <f aca="false">IFERROR(IF(ISBLANK(INDEX(SprintPlanning[Sprint],MATCH($A320,SprintPlanning[Requirement ID],0))),"",INDEX(SprintPlanning[Sprint],MATCH($A320,SprintPlanning[Requirement ID],0))),"")</f>
        <v/>
      </c>
      <c r="J320" s="1" t="str">
        <f aca="false">IFERROR(IF(ISBLANK(INDEX(Backlog[Priority],MATCH($A320,Backlog[Requirement ID],0))),"",INDEX(Backlog[Priority],MATCH($A320,Backlog[Requirement ID],0))),"")</f>
        <v/>
      </c>
      <c r="L320" s="1" t="str">
        <f aca="false">IFERROR(IF(ISBLANK(INDEX(Backlog[HLE],MATCH($A320,Backlog[Requirement ID],0))),"",IF(INDEX(Backlog[HLE],MATCH($A320,Backlog[Requirement ID],0))&lt;=5,0.5,IF(INDEX(Backlog[HLE],MATCH($A320,Backlog[Requirement ID],0))&lt;=8,1,IF(INDEX(Backlog[HLE],MATCH($A320,Backlog[Requirement ID],0))&lt;=13,2,IF(INDEX(Backlog[HLE],MATCH($A320,Backlog[Requirement ID],0))&lt;=20,3,5))))),"")</f>
        <v/>
      </c>
    </row>
    <row r="321" customFormat="false" ht="15" hidden="false" customHeight="true" outlineLevel="0" collapsed="false">
      <c r="A321" s="1" t="str">
        <f aca="false">Backlog!A321</f>
        <v/>
      </c>
      <c r="B321" s="57" t="str">
        <f aca="false">IFERROR(IF(ISBLANK(INDEX(Backlog[Requirement Name],MATCH($A321,Backlog[Requirement ID],0))),"",INDEX(Backlog[Requirement Name],MATCH($A321,Backlog[Requirement ID],0))),"")</f>
        <v/>
      </c>
      <c r="C321" s="1" t="str">
        <f aca="false">IFERROR(IF(ISBLANK(INDEX(Backlog[Stream],MATCH($A321,Backlog[Requirement ID],0))),"",INDEX(Backlog[Stream],MATCH($A321,Backlog[Requirement ID],0))),"")</f>
        <v/>
      </c>
      <c r="D321" s="1" t="str">
        <f aca="false">IFERROR(IF(ISBLANK(INDEX(Backlog[Jira Link],MATCH($A321,Backlog[Requirement ID],0))),"",INDEX(Backlog[Jira Link],MATCH($A321,Backlog[Requirement ID],0))),"")</f>
        <v/>
      </c>
      <c r="E321" s="1" t="str">
        <f aca="false">IFERROR(IF(ISBLANK(INDEX(Backlog[Status],MATCH($A321,Backlog[Requirement ID],0))),"",INDEX(Backlog[Status],MATCH($A321,Backlog[Requirement ID],0))),"")</f>
        <v/>
      </c>
      <c r="F321" s="1" t="str">
        <f aca="false">IFERROR(IF(ISBLANK(INDEX(SprintPlanning[Sprint],MATCH($A321,SprintPlanning[Requirement ID],0))),"",INDEX(SprintPlanning[Sprint],MATCH($A321,SprintPlanning[Requirement ID],0))),"")</f>
        <v/>
      </c>
      <c r="J321" s="1" t="str">
        <f aca="false">IFERROR(IF(ISBLANK(INDEX(Backlog[Priority],MATCH($A321,Backlog[Requirement ID],0))),"",INDEX(Backlog[Priority],MATCH($A321,Backlog[Requirement ID],0))),"")</f>
        <v/>
      </c>
      <c r="L321" s="1" t="str">
        <f aca="false">IFERROR(IF(ISBLANK(INDEX(Backlog[HLE],MATCH($A321,Backlog[Requirement ID],0))),"",IF(INDEX(Backlog[HLE],MATCH($A321,Backlog[Requirement ID],0))&lt;=5,0.5,IF(INDEX(Backlog[HLE],MATCH($A321,Backlog[Requirement ID],0))&lt;=8,1,IF(INDEX(Backlog[HLE],MATCH($A321,Backlog[Requirement ID],0))&lt;=13,2,IF(INDEX(Backlog[HLE],MATCH($A321,Backlog[Requirement ID],0))&lt;=20,3,5))))),"")</f>
        <v/>
      </c>
    </row>
    <row r="322" customFormat="false" ht="15" hidden="false" customHeight="true" outlineLevel="0" collapsed="false">
      <c r="A322" s="1" t="str">
        <f aca="false">Backlog!A322</f>
        <v/>
      </c>
      <c r="B322" s="57" t="str">
        <f aca="false">IFERROR(IF(ISBLANK(INDEX(Backlog[Requirement Name],MATCH($A322,Backlog[Requirement ID],0))),"",INDEX(Backlog[Requirement Name],MATCH($A322,Backlog[Requirement ID],0))),"")</f>
        <v/>
      </c>
      <c r="C322" s="1" t="str">
        <f aca="false">IFERROR(IF(ISBLANK(INDEX(Backlog[Stream],MATCH($A322,Backlog[Requirement ID],0))),"",INDEX(Backlog[Stream],MATCH($A322,Backlog[Requirement ID],0))),"")</f>
        <v/>
      </c>
      <c r="D322" s="1" t="str">
        <f aca="false">IFERROR(IF(ISBLANK(INDEX(Backlog[Jira Link],MATCH($A322,Backlog[Requirement ID],0))),"",INDEX(Backlog[Jira Link],MATCH($A322,Backlog[Requirement ID],0))),"")</f>
        <v/>
      </c>
      <c r="E322" s="1" t="str">
        <f aca="false">IFERROR(IF(ISBLANK(INDEX(Backlog[Status],MATCH($A322,Backlog[Requirement ID],0))),"",INDEX(Backlog[Status],MATCH($A322,Backlog[Requirement ID],0))),"")</f>
        <v/>
      </c>
      <c r="F322" s="1" t="str">
        <f aca="false">IFERROR(IF(ISBLANK(INDEX(SprintPlanning[Sprint],MATCH($A322,SprintPlanning[Requirement ID],0))),"",INDEX(SprintPlanning[Sprint],MATCH($A322,SprintPlanning[Requirement ID],0))),"")</f>
        <v/>
      </c>
      <c r="J322" s="1" t="str">
        <f aca="false">IFERROR(IF(ISBLANK(INDEX(Backlog[Priority],MATCH($A322,Backlog[Requirement ID],0))),"",INDEX(Backlog[Priority],MATCH($A322,Backlog[Requirement ID],0))),"")</f>
        <v/>
      </c>
      <c r="L322" s="1" t="str">
        <f aca="false">IFERROR(IF(ISBLANK(INDEX(Backlog[HLE],MATCH($A322,Backlog[Requirement ID],0))),"",IF(INDEX(Backlog[HLE],MATCH($A322,Backlog[Requirement ID],0))&lt;=5,0.5,IF(INDEX(Backlog[HLE],MATCH($A322,Backlog[Requirement ID],0))&lt;=8,1,IF(INDEX(Backlog[HLE],MATCH($A322,Backlog[Requirement ID],0))&lt;=13,2,IF(INDEX(Backlog[HLE],MATCH($A322,Backlog[Requirement ID],0))&lt;=20,3,5))))),"")</f>
        <v/>
      </c>
    </row>
    <row r="323" customFormat="false" ht="15" hidden="false" customHeight="true" outlineLevel="0" collapsed="false">
      <c r="A323" s="1" t="str">
        <f aca="false">Backlog!A323</f>
        <v/>
      </c>
      <c r="B323" s="57" t="str">
        <f aca="false">IFERROR(IF(ISBLANK(INDEX(Backlog[Requirement Name],MATCH($A323,Backlog[Requirement ID],0))),"",INDEX(Backlog[Requirement Name],MATCH($A323,Backlog[Requirement ID],0))),"")</f>
        <v/>
      </c>
      <c r="C323" s="1" t="str">
        <f aca="false">IFERROR(IF(ISBLANK(INDEX(Backlog[Stream],MATCH($A323,Backlog[Requirement ID],0))),"",INDEX(Backlog[Stream],MATCH($A323,Backlog[Requirement ID],0))),"")</f>
        <v/>
      </c>
      <c r="D323" s="1" t="str">
        <f aca="false">IFERROR(IF(ISBLANK(INDEX(Backlog[Jira Link],MATCH($A323,Backlog[Requirement ID],0))),"",INDEX(Backlog[Jira Link],MATCH($A323,Backlog[Requirement ID],0))),"")</f>
        <v/>
      </c>
      <c r="E323" s="1" t="str">
        <f aca="false">IFERROR(IF(ISBLANK(INDEX(Backlog[Status],MATCH($A323,Backlog[Requirement ID],0))),"",INDEX(Backlog[Status],MATCH($A323,Backlog[Requirement ID],0))),"")</f>
        <v/>
      </c>
      <c r="F323" s="1" t="str">
        <f aca="false">IFERROR(IF(ISBLANK(INDEX(SprintPlanning[Sprint],MATCH($A323,SprintPlanning[Requirement ID],0))),"",INDEX(SprintPlanning[Sprint],MATCH($A323,SprintPlanning[Requirement ID],0))),"")</f>
        <v/>
      </c>
      <c r="J323" s="1" t="str">
        <f aca="false">IFERROR(IF(ISBLANK(INDEX(Backlog[Priority],MATCH($A323,Backlog[Requirement ID],0))),"",INDEX(Backlog[Priority],MATCH($A323,Backlog[Requirement ID],0))),"")</f>
        <v/>
      </c>
      <c r="L323" s="1" t="str">
        <f aca="false">IFERROR(IF(ISBLANK(INDEX(Backlog[HLE],MATCH($A323,Backlog[Requirement ID],0))),"",IF(INDEX(Backlog[HLE],MATCH($A323,Backlog[Requirement ID],0))&lt;=5,0.5,IF(INDEX(Backlog[HLE],MATCH($A323,Backlog[Requirement ID],0))&lt;=8,1,IF(INDEX(Backlog[HLE],MATCH($A323,Backlog[Requirement ID],0))&lt;=13,2,IF(INDEX(Backlog[HLE],MATCH($A323,Backlog[Requirement ID],0))&lt;=20,3,5))))),"")</f>
        <v/>
      </c>
    </row>
    <row r="324" customFormat="false" ht="15" hidden="false" customHeight="true" outlineLevel="0" collapsed="false">
      <c r="A324" s="1" t="str">
        <f aca="false">Backlog!A324</f>
        <v/>
      </c>
      <c r="B324" s="57" t="str">
        <f aca="false">IFERROR(IF(ISBLANK(INDEX(Backlog[Requirement Name],MATCH($A324,Backlog[Requirement ID],0))),"",INDEX(Backlog[Requirement Name],MATCH($A324,Backlog[Requirement ID],0))),"")</f>
        <v/>
      </c>
      <c r="C324" s="1" t="str">
        <f aca="false">IFERROR(IF(ISBLANK(INDEX(Backlog[Stream],MATCH($A324,Backlog[Requirement ID],0))),"",INDEX(Backlog[Stream],MATCH($A324,Backlog[Requirement ID],0))),"")</f>
        <v/>
      </c>
      <c r="D324" s="1" t="str">
        <f aca="false">IFERROR(IF(ISBLANK(INDEX(Backlog[Jira Link],MATCH($A324,Backlog[Requirement ID],0))),"",INDEX(Backlog[Jira Link],MATCH($A324,Backlog[Requirement ID],0))),"")</f>
        <v/>
      </c>
      <c r="E324" s="1" t="str">
        <f aca="false">IFERROR(IF(ISBLANK(INDEX(Backlog[Status],MATCH($A324,Backlog[Requirement ID],0))),"",INDEX(Backlog[Status],MATCH($A324,Backlog[Requirement ID],0))),"")</f>
        <v/>
      </c>
      <c r="F324" s="1" t="str">
        <f aca="false">IFERROR(IF(ISBLANK(INDEX(SprintPlanning[Sprint],MATCH($A324,SprintPlanning[Requirement ID],0))),"",INDEX(SprintPlanning[Sprint],MATCH($A324,SprintPlanning[Requirement ID],0))),"")</f>
        <v/>
      </c>
      <c r="J324" s="1" t="str">
        <f aca="false">IFERROR(IF(ISBLANK(INDEX(Backlog[Priority],MATCH($A324,Backlog[Requirement ID],0))),"",INDEX(Backlog[Priority],MATCH($A324,Backlog[Requirement ID],0))),"")</f>
        <v/>
      </c>
      <c r="L324" s="1" t="str">
        <f aca="false">IFERROR(IF(ISBLANK(INDEX(Backlog[HLE],MATCH($A324,Backlog[Requirement ID],0))),"",IF(INDEX(Backlog[HLE],MATCH($A324,Backlog[Requirement ID],0))&lt;=5,0.5,IF(INDEX(Backlog[HLE],MATCH($A324,Backlog[Requirement ID],0))&lt;=8,1,IF(INDEX(Backlog[HLE],MATCH($A324,Backlog[Requirement ID],0))&lt;=13,2,IF(INDEX(Backlog[HLE],MATCH($A324,Backlog[Requirement ID],0))&lt;=20,3,5))))),"")</f>
        <v/>
      </c>
    </row>
    <row r="325" customFormat="false" ht="15" hidden="true" customHeight="true" outlineLevel="0" collapsed="false">
      <c r="B325" s="57"/>
    </row>
    <row r="326" customFormat="false" ht="15" hidden="false" customHeight="true" outlineLevel="0" collapsed="false">
      <c r="B326" s="57"/>
    </row>
    <row r="327" customFormat="false" ht="15" hidden="false" customHeight="true" outlineLevel="0" collapsed="false">
      <c r="B327" s="57"/>
    </row>
    <row r="328" customFormat="false" ht="15" hidden="false" customHeight="true" outlineLevel="0" collapsed="false">
      <c r="B328" s="57"/>
    </row>
    <row r="329" customFormat="false" ht="15" hidden="false" customHeight="true" outlineLevel="0" collapsed="false">
      <c r="B329" s="57"/>
    </row>
    <row r="330" customFormat="false" ht="15" hidden="false" customHeight="true" outlineLevel="0" collapsed="false">
      <c r="B330" s="57"/>
    </row>
    <row r="331" customFormat="false" ht="15" hidden="false" customHeight="true" outlineLevel="0" collapsed="false">
      <c r="B331" s="57"/>
    </row>
    <row r="332" customFormat="false" ht="15" hidden="false" customHeight="true" outlineLevel="0" collapsed="false">
      <c r="B332" s="57"/>
    </row>
    <row r="333" customFormat="false" ht="15" hidden="false" customHeight="true" outlineLevel="0" collapsed="false">
      <c r="B333" s="57"/>
    </row>
    <row r="334" customFormat="false" ht="15" hidden="false" customHeight="true" outlineLevel="0" collapsed="false">
      <c r="B334" s="57"/>
    </row>
    <row r="335" customFormat="false" ht="15" hidden="false" customHeight="true" outlineLevel="0" collapsed="false">
      <c r="B335" s="57"/>
    </row>
    <row r="336" customFormat="false" ht="15" hidden="false" customHeight="true" outlineLevel="0" collapsed="false">
      <c r="B336" s="57"/>
    </row>
    <row r="337" customFormat="false" ht="15" hidden="false" customHeight="true" outlineLevel="0" collapsed="false">
      <c r="B337" s="57"/>
    </row>
    <row r="338" customFormat="false" ht="15" hidden="false" customHeight="true" outlineLevel="0" collapsed="false">
      <c r="B338" s="57"/>
    </row>
    <row r="339" customFormat="false" ht="15" hidden="false" customHeight="true" outlineLevel="0" collapsed="false">
      <c r="B339" s="57"/>
    </row>
    <row r="340" customFormat="false" ht="15" hidden="false" customHeight="true" outlineLevel="0" collapsed="false">
      <c r="B340" s="57"/>
    </row>
    <row r="341" customFormat="false" ht="15" hidden="false" customHeight="true" outlineLevel="0" collapsed="false">
      <c r="B341" s="57"/>
    </row>
    <row r="342" customFormat="false" ht="15" hidden="false" customHeight="true" outlineLevel="0" collapsed="false">
      <c r="B342" s="57"/>
    </row>
    <row r="343" customFormat="false" ht="15" hidden="false" customHeight="true" outlineLevel="0" collapsed="false">
      <c r="B343" s="57"/>
    </row>
    <row r="344" customFormat="false" ht="15" hidden="false" customHeight="true" outlineLevel="0" collapsed="false">
      <c r="B344" s="57"/>
    </row>
    <row r="345" customFormat="false" ht="15" hidden="false" customHeight="true" outlineLevel="0" collapsed="false">
      <c r="B345" s="57"/>
    </row>
    <row r="346" customFormat="false" ht="15" hidden="false" customHeight="true" outlineLevel="0" collapsed="false">
      <c r="B346" s="57"/>
    </row>
    <row r="347" customFormat="false" ht="15" hidden="false" customHeight="true" outlineLevel="0" collapsed="false">
      <c r="B347" s="57"/>
    </row>
    <row r="348" customFormat="false" ht="15" hidden="false" customHeight="true" outlineLevel="0" collapsed="false">
      <c r="B348" s="57"/>
    </row>
    <row r="349" customFormat="false" ht="15" hidden="false" customHeight="true" outlineLevel="0" collapsed="false">
      <c r="B349" s="57"/>
    </row>
    <row r="350" customFormat="false" ht="15" hidden="false" customHeight="true" outlineLevel="0" collapsed="false">
      <c r="B350" s="57"/>
    </row>
    <row r="351" customFormat="false" ht="15" hidden="false" customHeight="true" outlineLevel="0" collapsed="false">
      <c r="B351" s="57"/>
    </row>
    <row r="352" customFormat="false" ht="15" hidden="false" customHeight="true" outlineLevel="0" collapsed="false">
      <c r="B352" s="57"/>
    </row>
    <row r="353" customFormat="false" ht="15" hidden="false" customHeight="true" outlineLevel="0" collapsed="false">
      <c r="B353" s="57"/>
    </row>
    <row r="354" customFormat="false" ht="15" hidden="false" customHeight="true" outlineLevel="0" collapsed="false">
      <c r="B354" s="57"/>
    </row>
    <row r="355" customFormat="false" ht="15" hidden="false" customHeight="true" outlineLevel="0" collapsed="false">
      <c r="B355" s="57"/>
    </row>
    <row r="356" customFormat="false" ht="15" hidden="false" customHeight="true" outlineLevel="0" collapsed="false">
      <c r="B356" s="57"/>
    </row>
    <row r="357" customFormat="false" ht="15" hidden="false" customHeight="true" outlineLevel="0" collapsed="false">
      <c r="B357" s="57"/>
    </row>
    <row r="358" customFormat="false" ht="15" hidden="false" customHeight="true" outlineLevel="0" collapsed="false">
      <c r="B358" s="57"/>
    </row>
    <row r="359" customFormat="false" ht="15" hidden="false" customHeight="true" outlineLevel="0" collapsed="false">
      <c r="B359" s="57"/>
    </row>
    <row r="360" customFormat="false" ht="15" hidden="false" customHeight="true" outlineLevel="0" collapsed="false">
      <c r="B360" s="57"/>
    </row>
    <row r="361" customFormat="false" ht="15" hidden="false" customHeight="true" outlineLevel="0" collapsed="false">
      <c r="B361" s="57"/>
    </row>
    <row r="362" customFormat="false" ht="15" hidden="false" customHeight="true" outlineLevel="0" collapsed="false">
      <c r="B362" s="57"/>
    </row>
    <row r="363" customFormat="false" ht="15" hidden="false" customHeight="true" outlineLevel="0" collapsed="false">
      <c r="B363" s="57"/>
    </row>
    <row r="364" customFormat="false" ht="15" hidden="false" customHeight="true" outlineLevel="0" collapsed="false">
      <c r="B364" s="57"/>
    </row>
    <row r="365" customFormat="false" ht="15" hidden="false" customHeight="true" outlineLevel="0" collapsed="false">
      <c r="B365" s="57"/>
    </row>
    <row r="366" customFormat="false" ht="15" hidden="false" customHeight="true" outlineLevel="0" collapsed="false">
      <c r="B366" s="57"/>
    </row>
    <row r="367" customFormat="false" ht="15" hidden="false" customHeight="true" outlineLevel="0" collapsed="false">
      <c r="B367" s="57"/>
    </row>
    <row r="368" customFormat="false" ht="15" hidden="false" customHeight="true" outlineLevel="0" collapsed="false">
      <c r="B368" s="57"/>
    </row>
    <row r="369" customFormat="false" ht="15" hidden="false" customHeight="true" outlineLevel="0" collapsed="false">
      <c r="B369" s="57"/>
    </row>
    <row r="370" customFormat="false" ht="15" hidden="false" customHeight="true" outlineLevel="0" collapsed="false">
      <c r="B370" s="57"/>
    </row>
    <row r="371" customFormat="false" ht="15" hidden="false" customHeight="true" outlineLevel="0" collapsed="false">
      <c r="B371" s="57"/>
    </row>
    <row r="372" customFormat="false" ht="15" hidden="false" customHeight="true" outlineLevel="0" collapsed="false">
      <c r="B372" s="57"/>
    </row>
    <row r="373" customFormat="false" ht="15" hidden="false" customHeight="true" outlineLevel="0" collapsed="false">
      <c r="B373" s="57"/>
    </row>
    <row r="374" customFormat="false" ht="15" hidden="false" customHeight="true" outlineLevel="0" collapsed="false">
      <c r="B374" s="57"/>
    </row>
    <row r="375" customFormat="false" ht="15" hidden="false" customHeight="true" outlineLevel="0" collapsed="false">
      <c r="B375" s="57"/>
    </row>
    <row r="376" customFormat="false" ht="15" hidden="false" customHeight="true" outlineLevel="0" collapsed="false">
      <c r="B376" s="57"/>
    </row>
    <row r="377" customFormat="false" ht="15" hidden="false" customHeight="true" outlineLevel="0" collapsed="false">
      <c r="B377" s="57"/>
    </row>
    <row r="378" customFormat="false" ht="15" hidden="false" customHeight="true" outlineLevel="0" collapsed="false">
      <c r="B378" s="57"/>
    </row>
    <row r="379" customFormat="false" ht="15" hidden="false" customHeight="true" outlineLevel="0" collapsed="false">
      <c r="B379" s="57"/>
    </row>
    <row r="380" customFormat="false" ht="15" hidden="false" customHeight="true" outlineLevel="0" collapsed="false">
      <c r="B380" s="57"/>
    </row>
    <row r="381" customFormat="false" ht="15" hidden="false" customHeight="true" outlineLevel="0" collapsed="false">
      <c r="B381" s="57"/>
    </row>
    <row r="382" customFormat="false" ht="15" hidden="false" customHeight="true" outlineLevel="0" collapsed="false">
      <c r="B382" s="57"/>
    </row>
    <row r="383" customFormat="false" ht="15" hidden="false" customHeight="true" outlineLevel="0" collapsed="false">
      <c r="B383" s="57"/>
    </row>
    <row r="384" customFormat="false" ht="15" hidden="false" customHeight="true" outlineLevel="0" collapsed="false">
      <c r="B384" s="57"/>
    </row>
    <row r="385" customFormat="false" ht="15" hidden="false" customHeight="true" outlineLevel="0" collapsed="false">
      <c r="B385" s="57"/>
    </row>
    <row r="386" customFormat="false" ht="15" hidden="false" customHeight="true" outlineLevel="0" collapsed="false">
      <c r="B386" s="57"/>
    </row>
    <row r="387" customFormat="false" ht="15" hidden="false" customHeight="true" outlineLevel="0" collapsed="false">
      <c r="B387" s="57"/>
    </row>
    <row r="388" customFormat="false" ht="15" hidden="false" customHeight="true" outlineLevel="0" collapsed="false">
      <c r="B388" s="57"/>
    </row>
    <row r="389" customFormat="false" ht="15" hidden="false" customHeight="true" outlineLevel="0" collapsed="false">
      <c r="B389" s="57"/>
    </row>
    <row r="390" customFormat="false" ht="15" hidden="false" customHeight="true" outlineLevel="0" collapsed="false">
      <c r="B390" s="57"/>
    </row>
    <row r="391" customFormat="false" ht="15" hidden="false" customHeight="true" outlineLevel="0" collapsed="false">
      <c r="B391" s="57"/>
    </row>
    <row r="392" customFormat="false" ht="15" hidden="false" customHeight="true" outlineLevel="0" collapsed="false">
      <c r="B392" s="57"/>
    </row>
    <row r="393" customFormat="false" ht="15" hidden="false" customHeight="true" outlineLevel="0" collapsed="false">
      <c r="B393" s="57"/>
    </row>
    <row r="394" customFormat="false" ht="15" hidden="false" customHeight="true" outlineLevel="0" collapsed="false">
      <c r="B394" s="57"/>
    </row>
    <row r="395" customFormat="false" ht="15" hidden="false" customHeight="true" outlineLevel="0" collapsed="false">
      <c r="B395" s="57"/>
    </row>
    <row r="396" customFormat="false" ht="15" hidden="false" customHeight="true" outlineLevel="0" collapsed="false">
      <c r="B396" s="57"/>
    </row>
    <row r="397" customFormat="false" ht="15" hidden="false" customHeight="true" outlineLevel="0" collapsed="false">
      <c r="B397" s="57"/>
    </row>
    <row r="398" customFormat="false" ht="15" hidden="false" customHeight="true" outlineLevel="0" collapsed="false">
      <c r="B398" s="57"/>
    </row>
    <row r="399" customFormat="false" ht="15" hidden="false" customHeight="true" outlineLevel="0" collapsed="false">
      <c r="B399" s="57"/>
    </row>
    <row r="400" customFormat="false" ht="15" hidden="false" customHeight="true" outlineLevel="0" collapsed="false">
      <c r="B400" s="57"/>
    </row>
    <row r="401" customFormat="false" ht="15" hidden="false" customHeight="true" outlineLevel="0" collapsed="false">
      <c r="B401" s="57"/>
    </row>
    <row r="402" customFormat="false" ht="15" hidden="false" customHeight="true" outlineLevel="0" collapsed="false">
      <c r="B402" s="57"/>
    </row>
    <row r="403" customFormat="false" ht="15" hidden="false" customHeight="true" outlineLevel="0" collapsed="false">
      <c r="B403" s="57"/>
    </row>
    <row r="404" customFormat="false" ht="15" hidden="false" customHeight="true" outlineLevel="0" collapsed="false">
      <c r="B404" s="57"/>
    </row>
    <row r="405" customFormat="false" ht="15" hidden="false" customHeight="true" outlineLevel="0" collapsed="false">
      <c r="B405" s="57"/>
    </row>
    <row r="406" customFormat="false" ht="15" hidden="false" customHeight="true" outlineLevel="0" collapsed="false">
      <c r="B406" s="57"/>
    </row>
    <row r="407" customFormat="false" ht="15" hidden="false" customHeight="true" outlineLevel="0" collapsed="false">
      <c r="B407" s="57"/>
    </row>
    <row r="408" customFormat="false" ht="15" hidden="false" customHeight="true" outlineLevel="0" collapsed="false">
      <c r="B408" s="57"/>
    </row>
    <row r="409" customFormat="false" ht="15" hidden="false" customHeight="true" outlineLevel="0" collapsed="false">
      <c r="B409" s="57"/>
    </row>
    <row r="410" customFormat="false" ht="15" hidden="false" customHeight="true" outlineLevel="0" collapsed="false">
      <c r="B410" s="57"/>
    </row>
    <row r="411" customFormat="false" ht="15" hidden="false" customHeight="true" outlineLevel="0" collapsed="false">
      <c r="B411" s="57"/>
    </row>
    <row r="412" customFormat="false" ht="15" hidden="false" customHeight="true" outlineLevel="0" collapsed="false">
      <c r="B412" s="57"/>
    </row>
    <row r="413" customFormat="false" ht="15" hidden="false" customHeight="true" outlineLevel="0" collapsed="false">
      <c r="B413" s="57"/>
    </row>
    <row r="414" customFormat="false" ht="15" hidden="false" customHeight="true" outlineLevel="0" collapsed="false">
      <c r="B414" s="57"/>
    </row>
    <row r="415" customFormat="false" ht="15" hidden="false" customHeight="true" outlineLevel="0" collapsed="false">
      <c r="B415" s="57"/>
    </row>
    <row r="416" customFormat="false" ht="15" hidden="false" customHeight="true" outlineLevel="0" collapsed="false">
      <c r="B416" s="57"/>
    </row>
    <row r="417" customFormat="false" ht="15" hidden="false" customHeight="true" outlineLevel="0" collapsed="false">
      <c r="B417" s="57"/>
    </row>
    <row r="418" customFormat="false" ht="15" hidden="false" customHeight="true" outlineLevel="0" collapsed="false">
      <c r="B418" s="57"/>
    </row>
    <row r="419" customFormat="false" ht="15" hidden="false" customHeight="true" outlineLevel="0" collapsed="false">
      <c r="B419" s="57"/>
    </row>
    <row r="420" customFormat="false" ht="15" hidden="false" customHeight="true" outlineLevel="0" collapsed="false">
      <c r="B420" s="57"/>
    </row>
    <row r="421" customFormat="false" ht="15" hidden="false" customHeight="true" outlineLevel="0" collapsed="false">
      <c r="B421" s="57"/>
    </row>
    <row r="422" customFormat="false" ht="15" hidden="false" customHeight="true" outlineLevel="0" collapsed="false">
      <c r="B422" s="57"/>
    </row>
    <row r="423" customFormat="false" ht="15" hidden="false" customHeight="true" outlineLevel="0" collapsed="false">
      <c r="B423" s="57"/>
    </row>
    <row r="424" customFormat="false" ht="15" hidden="false" customHeight="true" outlineLevel="0" collapsed="false">
      <c r="B424" s="57"/>
    </row>
    <row r="425" customFormat="false" ht="15" hidden="false" customHeight="true" outlineLevel="0" collapsed="false">
      <c r="B425" s="57"/>
    </row>
    <row r="426" customFormat="false" ht="15" hidden="false" customHeight="true" outlineLevel="0" collapsed="false">
      <c r="B426" s="57"/>
    </row>
    <row r="427" customFormat="false" ht="15" hidden="false" customHeight="true" outlineLevel="0" collapsed="false">
      <c r="B427" s="57"/>
    </row>
    <row r="428" customFormat="false" ht="15" hidden="false" customHeight="true" outlineLevel="0" collapsed="false">
      <c r="B428" s="57"/>
    </row>
    <row r="429" customFormat="false" ht="15" hidden="false" customHeight="true" outlineLevel="0" collapsed="false">
      <c r="B429" s="57"/>
    </row>
    <row r="430" customFormat="false" ht="15" hidden="false" customHeight="true" outlineLevel="0" collapsed="false">
      <c r="B430" s="57"/>
    </row>
    <row r="431" customFormat="false" ht="15" hidden="false" customHeight="true" outlineLevel="0" collapsed="false">
      <c r="B431" s="57"/>
    </row>
    <row r="432" customFormat="false" ht="15" hidden="false" customHeight="true" outlineLevel="0" collapsed="false">
      <c r="B432" s="57"/>
    </row>
    <row r="433" customFormat="false" ht="15" hidden="false" customHeight="true" outlineLevel="0" collapsed="false">
      <c r="B433" s="57"/>
    </row>
    <row r="434" customFormat="false" ht="15" hidden="false" customHeight="true" outlineLevel="0" collapsed="false">
      <c r="B434" s="57"/>
    </row>
    <row r="435" customFormat="false" ht="15" hidden="false" customHeight="true" outlineLevel="0" collapsed="false">
      <c r="B435" s="57"/>
    </row>
    <row r="436" customFormat="false" ht="15" hidden="false" customHeight="true" outlineLevel="0" collapsed="false">
      <c r="B436" s="57"/>
    </row>
    <row r="437" customFormat="false" ht="15" hidden="false" customHeight="true" outlineLevel="0" collapsed="false">
      <c r="B437" s="57"/>
    </row>
    <row r="438" customFormat="false" ht="15" hidden="false" customHeight="true" outlineLevel="0" collapsed="false">
      <c r="B438" s="57"/>
    </row>
    <row r="439" customFormat="false" ht="15" hidden="false" customHeight="true" outlineLevel="0" collapsed="false">
      <c r="B439" s="57"/>
    </row>
    <row r="440" customFormat="false" ht="15" hidden="false" customHeight="true" outlineLevel="0" collapsed="false">
      <c r="B440" s="57"/>
    </row>
    <row r="441" customFormat="false" ht="15" hidden="false" customHeight="true" outlineLevel="0" collapsed="false">
      <c r="B441" s="57"/>
    </row>
    <row r="442" customFormat="false" ht="15" hidden="false" customHeight="true" outlineLevel="0" collapsed="false">
      <c r="B442" s="57"/>
    </row>
    <row r="443" customFormat="false" ht="15" hidden="false" customHeight="true" outlineLevel="0" collapsed="false">
      <c r="B443" s="57"/>
    </row>
    <row r="444" customFormat="false" ht="15" hidden="false" customHeight="true" outlineLevel="0" collapsed="false">
      <c r="B444" s="57"/>
    </row>
    <row r="445" customFormat="false" ht="15" hidden="false" customHeight="true" outlineLevel="0" collapsed="false">
      <c r="B445" s="57"/>
    </row>
    <row r="446" customFormat="false" ht="15" hidden="false" customHeight="true" outlineLevel="0" collapsed="false">
      <c r="B446" s="57"/>
    </row>
    <row r="447" customFormat="false" ht="15" hidden="false" customHeight="true" outlineLevel="0" collapsed="false">
      <c r="B447" s="57"/>
    </row>
    <row r="448" customFormat="false" ht="15" hidden="false" customHeight="true" outlineLevel="0" collapsed="false">
      <c r="B448" s="57"/>
    </row>
    <row r="449" customFormat="false" ht="15" hidden="false" customHeight="true" outlineLevel="0" collapsed="false">
      <c r="B449" s="57"/>
    </row>
    <row r="450" customFormat="false" ht="15" hidden="false" customHeight="true" outlineLevel="0" collapsed="false">
      <c r="B450" s="57"/>
    </row>
    <row r="451" customFormat="false" ht="15" hidden="false" customHeight="true" outlineLevel="0" collapsed="false">
      <c r="B451" s="57"/>
    </row>
    <row r="452" customFormat="false" ht="15" hidden="false" customHeight="true" outlineLevel="0" collapsed="false">
      <c r="B452" s="57"/>
    </row>
    <row r="453" customFormat="false" ht="15" hidden="false" customHeight="true" outlineLevel="0" collapsed="false">
      <c r="B453" s="57"/>
    </row>
    <row r="454" customFormat="false" ht="15" hidden="false" customHeight="true" outlineLevel="0" collapsed="false">
      <c r="B454" s="57"/>
    </row>
    <row r="455" customFormat="false" ht="15" hidden="false" customHeight="true" outlineLevel="0" collapsed="false">
      <c r="B455" s="57"/>
    </row>
    <row r="456" customFormat="false" ht="15" hidden="false" customHeight="true" outlineLevel="0" collapsed="false">
      <c r="B456" s="57"/>
    </row>
    <row r="457" customFormat="false" ht="15" hidden="false" customHeight="true" outlineLevel="0" collapsed="false">
      <c r="B457" s="57"/>
    </row>
    <row r="458" customFormat="false" ht="15" hidden="false" customHeight="true" outlineLevel="0" collapsed="false">
      <c r="B458" s="57"/>
    </row>
    <row r="459" customFormat="false" ht="15" hidden="false" customHeight="true" outlineLevel="0" collapsed="false">
      <c r="B459" s="57"/>
    </row>
    <row r="460" customFormat="false" ht="15" hidden="false" customHeight="true" outlineLevel="0" collapsed="false">
      <c r="B460" s="57"/>
    </row>
    <row r="461" customFormat="false" ht="15" hidden="false" customHeight="true" outlineLevel="0" collapsed="false">
      <c r="B461" s="57"/>
    </row>
    <row r="462" customFormat="false" ht="15" hidden="false" customHeight="true" outlineLevel="0" collapsed="false">
      <c r="B462" s="57"/>
    </row>
    <row r="463" customFormat="false" ht="15" hidden="false" customHeight="true" outlineLevel="0" collapsed="false">
      <c r="B463" s="57"/>
    </row>
    <row r="464" customFormat="false" ht="15" hidden="false" customHeight="true" outlineLevel="0" collapsed="false">
      <c r="B464" s="57"/>
    </row>
    <row r="465" customFormat="false" ht="15" hidden="false" customHeight="true" outlineLevel="0" collapsed="false">
      <c r="B465" s="57"/>
    </row>
    <row r="466" customFormat="false" ht="15" hidden="false" customHeight="true" outlineLevel="0" collapsed="false">
      <c r="B466" s="57"/>
    </row>
    <row r="467" customFormat="false" ht="15" hidden="false" customHeight="true" outlineLevel="0" collapsed="false">
      <c r="B467" s="57"/>
    </row>
    <row r="468" customFormat="false" ht="15" hidden="false" customHeight="true" outlineLevel="0" collapsed="false">
      <c r="B468" s="57"/>
    </row>
    <row r="469" customFormat="false" ht="15" hidden="false" customHeight="true" outlineLevel="0" collapsed="false">
      <c r="B469" s="57"/>
    </row>
    <row r="470" customFormat="false" ht="15" hidden="false" customHeight="true" outlineLevel="0" collapsed="false">
      <c r="B470" s="57"/>
    </row>
    <row r="471" customFormat="false" ht="15" hidden="false" customHeight="true" outlineLevel="0" collapsed="false">
      <c r="B471" s="57"/>
    </row>
    <row r="472" customFormat="false" ht="15" hidden="false" customHeight="true" outlineLevel="0" collapsed="false">
      <c r="B472" s="57"/>
    </row>
    <row r="473" customFormat="false" ht="15" hidden="false" customHeight="true" outlineLevel="0" collapsed="false">
      <c r="B473" s="57"/>
    </row>
    <row r="474" customFormat="false" ht="15" hidden="false" customHeight="true" outlineLevel="0" collapsed="false">
      <c r="B474" s="57"/>
    </row>
    <row r="475" customFormat="false" ht="15" hidden="false" customHeight="true" outlineLevel="0" collapsed="false">
      <c r="B475" s="57"/>
    </row>
    <row r="476" customFormat="false" ht="15" hidden="false" customHeight="true" outlineLevel="0" collapsed="false">
      <c r="B476" s="57"/>
    </row>
    <row r="477" customFormat="false" ht="15" hidden="false" customHeight="true" outlineLevel="0" collapsed="false">
      <c r="B477" s="57"/>
    </row>
    <row r="478" customFormat="false" ht="15" hidden="false" customHeight="true" outlineLevel="0" collapsed="false">
      <c r="B478" s="57"/>
    </row>
    <row r="479" customFormat="false" ht="15" hidden="false" customHeight="true" outlineLevel="0" collapsed="false">
      <c r="B479" s="57"/>
    </row>
    <row r="480" customFormat="false" ht="15" hidden="false" customHeight="true" outlineLevel="0" collapsed="false">
      <c r="B480" s="57"/>
    </row>
    <row r="481" customFormat="false" ht="15" hidden="false" customHeight="true" outlineLevel="0" collapsed="false">
      <c r="B481" s="57"/>
    </row>
    <row r="482" customFormat="false" ht="15" hidden="false" customHeight="true" outlineLevel="0" collapsed="false">
      <c r="B482" s="57"/>
    </row>
    <row r="483" customFormat="false" ht="15" hidden="false" customHeight="true" outlineLevel="0" collapsed="false">
      <c r="B483" s="57"/>
    </row>
    <row r="484" customFormat="false" ht="15" hidden="false" customHeight="true" outlineLevel="0" collapsed="false">
      <c r="B484" s="57"/>
    </row>
    <row r="485" customFormat="false" ht="15" hidden="false" customHeight="true" outlineLevel="0" collapsed="false">
      <c r="B485" s="57"/>
    </row>
    <row r="486" customFormat="false" ht="15" hidden="false" customHeight="true" outlineLevel="0" collapsed="false">
      <c r="B486" s="57"/>
    </row>
    <row r="487" customFormat="false" ht="15" hidden="false" customHeight="true" outlineLevel="0" collapsed="false">
      <c r="B487" s="57"/>
    </row>
    <row r="488" customFormat="false" ht="15" hidden="false" customHeight="true" outlineLevel="0" collapsed="false">
      <c r="B488" s="57"/>
    </row>
    <row r="489" customFormat="false" ht="15" hidden="false" customHeight="true" outlineLevel="0" collapsed="false">
      <c r="B489" s="57"/>
    </row>
    <row r="490" customFormat="false" ht="15" hidden="false" customHeight="true" outlineLevel="0" collapsed="false">
      <c r="B490" s="57"/>
    </row>
    <row r="491" customFormat="false" ht="15" hidden="false" customHeight="true" outlineLevel="0" collapsed="false">
      <c r="B491" s="57"/>
    </row>
    <row r="492" customFormat="false" ht="15" hidden="false" customHeight="true" outlineLevel="0" collapsed="false">
      <c r="B492" s="57"/>
    </row>
    <row r="493" customFormat="false" ht="15" hidden="false" customHeight="true" outlineLevel="0" collapsed="false">
      <c r="B493" s="57"/>
    </row>
    <row r="494" customFormat="false" ht="15" hidden="false" customHeight="true" outlineLevel="0" collapsed="false">
      <c r="B494" s="57"/>
    </row>
    <row r="495" customFormat="false" ht="15" hidden="false" customHeight="true" outlineLevel="0" collapsed="false">
      <c r="B495" s="57"/>
    </row>
    <row r="496" customFormat="false" ht="15" hidden="false" customHeight="true" outlineLevel="0" collapsed="false">
      <c r="B496" s="57"/>
    </row>
    <row r="497" customFormat="false" ht="15" hidden="false" customHeight="true" outlineLevel="0" collapsed="false">
      <c r="B497" s="57"/>
    </row>
    <row r="498" customFormat="false" ht="15" hidden="false" customHeight="true" outlineLevel="0" collapsed="false">
      <c r="B498" s="57"/>
    </row>
    <row r="499" customFormat="false" ht="15" hidden="false" customHeight="true" outlineLevel="0" collapsed="false">
      <c r="B499" s="57"/>
    </row>
    <row r="500" customFormat="false" ht="15" hidden="false" customHeight="true" outlineLevel="0" collapsed="false">
      <c r="B500" s="57"/>
    </row>
    <row r="501" customFormat="false" ht="15" hidden="false" customHeight="true" outlineLevel="0" collapsed="false">
      <c r="B501" s="57"/>
    </row>
    <row r="502" customFormat="false" ht="15" hidden="false" customHeight="true" outlineLevel="0" collapsed="false">
      <c r="B502" s="57"/>
    </row>
    <row r="503" customFormat="false" ht="15" hidden="false" customHeight="true" outlineLevel="0" collapsed="false">
      <c r="B503" s="57"/>
    </row>
    <row r="504" customFormat="false" ht="15" hidden="false" customHeight="true" outlineLevel="0" collapsed="false">
      <c r="B504" s="57"/>
    </row>
    <row r="505" customFormat="false" ht="15" hidden="false" customHeight="true" outlineLevel="0" collapsed="false">
      <c r="B505" s="57"/>
    </row>
    <row r="506" customFormat="false" ht="15" hidden="false" customHeight="true" outlineLevel="0" collapsed="false">
      <c r="B506" s="57"/>
    </row>
    <row r="507" customFormat="false" ht="15" hidden="false" customHeight="true" outlineLevel="0" collapsed="false">
      <c r="B507" s="57"/>
    </row>
    <row r="508" customFormat="false" ht="15" hidden="false" customHeight="true" outlineLevel="0" collapsed="false">
      <c r="B508" s="57"/>
    </row>
    <row r="509" customFormat="false" ht="15" hidden="false" customHeight="true" outlineLevel="0" collapsed="false">
      <c r="B509" s="57"/>
    </row>
    <row r="510" customFormat="false" ht="15" hidden="false" customHeight="true" outlineLevel="0" collapsed="false">
      <c r="B510" s="57"/>
    </row>
    <row r="511" customFormat="false" ht="15" hidden="false" customHeight="true" outlineLevel="0" collapsed="false">
      <c r="B511" s="57"/>
    </row>
    <row r="512" customFormat="false" ht="15" hidden="false" customHeight="true" outlineLevel="0" collapsed="false">
      <c r="B512" s="57"/>
    </row>
    <row r="513" customFormat="false" ht="15" hidden="false" customHeight="true" outlineLevel="0" collapsed="false">
      <c r="B513" s="57"/>
    </row>
    <row r="514" customFormat="false" ht="15" hidden="false" customHeight="true" outlineLevel="0" collapsed="false">
      <c r="B514" s="57"/>
    </row>
    <row r="515" customFormat="false" ht="15" hidden="false" customHeight="true" outlineLevel="0" collapsed="false">
      <c r="B515" s="57"/>
    </row>
    <row r="516" customFormat="false" ht="15" hidden="false" customHeight="true" outlineLevel="0" collapsed="false">
      <c r="B516" s="57"/>
    </row>
    <row r="517" customFormat="false" ht="15" hidden="false" customHeight="true" outlineLevel="0" collapsed="false">
      <c r="B517" s="57"/>
    </row>
    <row r="518" customFormat="false" ht="15" hidden="false" customHeight="true" outlineLevel="0" collapsed="false">
      <c r="B518" s="57"/>
    </row>
    <row r="519" customFormat="false" ht="15" hidden="false" customHeight="true" outlineLevel="0" collapsed="false">
      <c r="B519" s="57"/>
    </row>
    <row r="520" customFormat="false" ht="15" hidden="false" customHeight="true" outlineLevel="0" collapsed="false">
      <c r="B520" s="57"/>
    </row>
    <row r="521" customFormat="false" ht="15" hidden="false" customHeight="true" outlineLevel="0" collapsed="false">
      <c r="B521" s="57"/>
    </row>
    <row r="522" customFormat="false" ht="15" hidden="false" customHeight="true" outlineLevel="0" collapsed="false">
      <c r="B522" s="57"/>
    </row>
    <row r="523" customFormat="false" ht="15" hidden="false" customHeight="true" outlineLevel="0" collapsed="false">
      <c r="B523" s="57"/>
    </row>
    <row r="524" customFormat="false" ht="15" hidden="false" customHeight="true" outlineLevel="0" collapsed="false">
      <c r="B524" s="57"/>
    </row>
    <row r="525" customFormat="false" ht="15" hidden="false" customHeight="true" outlineLevel="0" collapsed="false">
      <c r="B525" s="57"/>
    </row>
    <row r="526" customFormat="false" ht="15" hidden="false" customHeight="true" outlineLevel="0" collapsed="false">
      <c r="B526" s="57"/>
    </row>
    <row r="527" customFormat="false" ht="15" hidden="false" customHeight="true" outlineLevel="0" collapsed="false">
      <c r="B527" s="57"/>
    </row>
    <row r="528" customFormat="false" ht="15" hidden="false" customHeight="true" outlineLevel="0" collapsed="false">
      <c r="B528" s="57"/>
    </row>
    <row r="529" customFormat="false" ht="15" hidden="false" customHeight="true" outlineLevel="0" collapsed="false">
      <c r="B529" s="57"/>
    </row>
    <row r="530" customFormat="false" ht="15" hidden="false" customHeight="true" outlineLevel="0" collapsed="false">
      <c r="B530" s="57"/>
    </row>
    <row r="531" customFormat="false" ht="15" hidden="false" customHeight="true" outlineLevel="0" collapsed="false">
      <c r="B531" s="57"/>
    </row>
    <row r="532" customFormat="false" ht="15" hidden="false" customHeight="true" outlineLevel="0" collapsed="false">
      <c r="B532" s="57"/>
    </row>
    <row r="533" customFormat="false" ht="15" hidden="false" customHeight="true" outlineLevel="0" collapsed="false">
      <c r="B533" s="57"/>
    </row>
    <row r="534" customFormat="false" ht="15" hidden="false" customHeight="true" outlineLevel="0" collapsed="false">
      <c r="B534" s="57"/>
    </row>
    <row r="535" customFormat="false" ht="15" hidden="false" customHeight="true" outlineLevel="0" collapsed="false">
      <c r="B535" s="57"/>
    </row>
    <row r="536" customFormat="false" ht="15" hidden="false" customHeight="true" outlineLevel="0" collapsed="false">
      <c r="B536" s="57"/>
    </row>
    <row r="537" customFormat="false" ht="15" hidden="false" customHeight="true" outlineLevel="0" collapsed="false">
      <c r="B537" s="57"/>
    </row>
    <row r="538" customFormat="false" ht="15" hidden="false" customHeight="true" outlineLevel="0" collapsed="false">
      <c r="B538" s="57"/>
    </row>
    <row r="539" customFormat="false" ht="15" hidden="false" customHeight="true" outlineLevel="0" collapsed="false">
      <c r="B539" s="57"/>
    </row>
    <row r="540" customFormat="false" ht="15" hidden="false" customHeight="true" outlineLevel="0" collapsed="false">
      <c r="B540" s="57"/>
    </row>
    <row r="541" customFormat="false" ht="15" hidden="false" customHeight="true" outlineLevel="0" collapsed="false">
      <c r="B541" s="57"/>
    </row>
    <row r="542" customFormat="false" ht="15" hidden="false" customHeight="true" outlineLevel="0" collapsed="false">
      <c r="B542" s="57"/>
    </row>
    <row r="543" customFormat="false" ht="15" hidden="false" customHeight="true" outlineLevel="0" collapsed="false">
      <c r="B543" s="57"/>
    </row>
    <row r="544" customFormat="false" ht="15" hidden="false" customHeight="true" outlineLevel="0" collapsed="false">
      <c r="B544" s="57"/>
    </row>
    <row r="545" customFormat="false" ht="15" hidden="false" customHeight="true" outlineLevel="0" collapsed="false">
      <c r="B545" s="57"/>
    </row>
    <row r="546" customFormat="false" ht="15" hidden="false" customHeight="true" outlineLevel="0" collapsed="false">
      <c r="B546" s="57"/>
    </row>
    <row r="547" customFormat="false" ht="15" hidden="false" customHeight="true" outlineLevel="0" collapsed="false">
      <c r="B547" s="57"/>
    </row>
    <row r="548" customFormat="false" ht="15" hidden="false" customHeight="true" outlineLevel="0" collapsed="false">
      <c r="B548" s="57"/>
    </row>
    <row r="549" customFormat="false" ht="15" hidden="false" customHeight="true" outlineLevel="0" collapsed="false">
      <c r="B549" s="57"/>
    </row>
    <row r="550" customFormat="false" ht="15" hidden="false" customHeight="true" outlineLevel="0" collapsed="false">
      <c r="B550" s="57"/>
    </row>
    <row r="551" customFormat="false" ht="15" hidden="false" customHeight="true" outlineLevel="0" collapsed="false">
      <c r="B551" s="57"/>
    </row>
    <row r="552" customFormat="false" ht="15" hidden="false" customHeight="true" outlineLevel="0" collapsed="false">
      <c r="B552" s="57"/>
    </row>
    <row r="553" customFormat="false" ht="15" hidden="false" customHeight="true" outlineLevel="0" collapsed="false">
      <c r="B553" s="57"/>
    </row>
    <row r="554" customFormat="false" ht="15" hidden="false" customHeight="true" outlineLevel="0" collapsed="false">
      <c r="B554" s="57"/>
    </row>
    <row r="555" customFormat="false" ht="15" hidden="false" customHeight="true" outlineLevel="0" collapsed="false">
      <c r="B555" s="57"/>
    </row>
    <row r="556" customFormat="false" ht="15" hidden="false" customHeight="true" outlineLevel="0" collapsed="false">
      <c r="B556" s="57"/>
    </row>
    <row r="557" customFormat="false" ht="15" hidden="false" customHeight="true" outlineLevel="0" collapsed="false">
      <c r="B557" s="57"/>
    </row>
    <row r="558" customFormat="false" ht="15" hidden="false" customHeight="true" outlineLevel="0" collapsed="false">
      <c r="B558" s="57"/>
    </row>
    <row r="559" customFormat="false" ht="15" hidden="false" customHeight="true" outlineLevel="0" collapsed="false">
      <c r="B559" s="57"/>
    </row>
    <row r="560" customFormat="false" ht="15" hidden="false" customHeight="true" outlineLevel="0" collapsed="false">
      <c r="B560" s="57"/>
    </row>
    <row r="561" customFormat="false" ht="15" hidden="false" customHeight="true" outlineLevel="0" collapsed="false">
      <c r="B561" s="57"/>
    </row>
    <row r="562" customFormat="false" ht="15" hidden="false" customHeight="true" outlineLevel="0" collapsed="false">
      <c r="B562" s="57"/>
    </row>
    <row r="563" customFormat="false" ht="15" hidden="false" customHeight="true" outlineLevel="0" collapsed="false">
      <c r="B563" s="57"/>
    </row>
    <row r="564" customFormat="false" ht="15" hidden="false" customHeight="true" outlineLevel="0" collapsed="false">
      <c r="B564" s="57"/>
    </row>
    <row r="565" customFormat="false" ht="15" hidden="false" customHeight="true" outlineLevel="0" collapsed="false">
      <c r="B565" s="57"/>
    </row>
    <row r="566" customFormat="false" ht="15" hidden="false" customHeight="true" outlineLevel="0" collapsed="false">
      <c r="B566" s="57"/>
    </row>
    <row r="567" customFormat="false" ht="15" hidden="false" customHeight="true" outlineLevel="0" collapsed="false">
      <c r="B567" s="57"/>
    </row>
    <row r="568" customFormat="false" ht="15" hidden="false" customHeight="true" outlineLevel="0" collapsed="false">
      <c r="B568" s="57"/>
    </row>
    <row r="569" customFormat="false" ht="15" hidden="false" customHeight="true" outlineLevel="0" collapsed="false">
      <c r="B569" s="57"/>
    </row>
    <row r="570" customFormat="false" ht="15" hidden="false" customHeight="true" outlineLevel="0" collapsed="false">
      <c r="B570" s="57"/>
    </row>
    <row r="571" customFormat="false" ht="15" hidden="false" customHeight="true" outlineLevel="0" collapsed="false">
      <c r="B571" s="57"/>
    </row>
    <row r="572" customFormat="false" ht="15" hidden="false" customHeight="true" outlineLevel="0" collapsed="false">
      <c r="B572" s="57"/>
    </row>
    <row r="573" customFormat="false" ht="15" hidden="false" customHeight="true" outlineLevel="0" collapsed="false">
      <c r="B573" s="57"/>
    </row>
    <row r="574" customFormat="false" ht="15" hidden="false" customHeight="true" outlineLevel="0" collapsed="false">
      <c r="B574" s="57"/>
    </row>
    <row r="575" customFormat="false" ht="15" hidden="false" customHeight="true" outlineLevel="0" collapsed="false">
      <c r="B575" s="57"/>
    </row>
    <row r="576" customFormat="false" ht="15" hidden="false" customHeight="true" outlineLevel="0" collapsed="false">
      <c r="B576" s="57"/>
    </row>
    <row r="577" customFormat="false" ht="15" hidden="false" customHeight="true" outlineLevel="0" collapsed="false">
      <c r="B577" s="57"/>
    </row>
    <row r="578" customFormat="false" ht="15" hidden="false" customHeight="true" outlineLevel="0" collapsed="false">
      <c r="B578" s="57"/>
    </row>
    <row r="579" customFormat="false" ht="15" hidden="false" customHeight="true" outlineLevel="0" collapsed="false">
      <c r="B579" s="57"/>
    </row>
    <row r="580" customFormat="false" ht="15" hidden="false" customHeight="true" outlineLevel="0" collapsed="false">
      <c r="B580" s="57"/>
    </row>
    <row r="581" customFormat="false" ht="15" hidden="false" customHeight="true" outlineLevel="0" collapsed="false">
      <c r="B581" s="57"/>
    </row>
    <row r="582" customFormat="false" ht="15" hidden="false" customHeight="true" outlineLevel="0" collapsed="false">
      <c r="B582" s="57"/>
    </row>
    <row r="583" customFormat="false" ht="15" hidden="false" customHeight="true" outlineLevel="0" collapsed="false">
      <c r="B583" s="57"/>
    </row>
    <row r="584" customFormat="false" ht="15" hidden="false" customHeight="true" outlineLevel="0" collapsed="false">
      <c r="B584" s="57"/>
    </row>
    <row r="585" customFormat="false" ht="15" hidden="false" customHeight="true" outlineLevel="0" collapsed="false">
      <c r="B585" s="57"/>
    </row>
    <row r="586" customFormat="false" ht="15" hidden="false" customHeight="true" outlineLevel="0" collapsed="false">
      <c r="B586" s="57"/>
    </row>
    <row r="587" customFormat="false" ht="15" hidden="false" customHeight="true" outlineLevel="0" collapsed="false">
      <c r="B587" s="57"/>
    </row>
    <row r="588" customFormat="false" ht="15" hidden="false" customHeight="true" outlineLevel="0" collapsed="false">
      <c r="B588" s="57"/>
    </row>
    <row r="589" customFormat="false" ht="15" hidden="false" customHeight="true" outlineLevel="0" collapsed="false">
      <c r="B589" s="57"/>
    </row>
    <row r="590" customFormat="false" ht="15" hidden="false" customHeight="true" outlineLevel="0" collapsed="false">
      <c r="B590" s="57"/>
    </row>
    <row r="591" customFormat="false" ht="15" hidden="false" customHeight="true" outlineLevel="0" collapsed="false">
      <c r="B591" s="57"/>
    </row>
    <row r="592" customFormat="false" ht="15" hidden="false" customHeight="true" outlineLevel="0" collapsed="false">
      <c r="B592" s="57"/>
    </row>
    <row r="593" customFormat="false" ht="15" hidden="false" customHeight="true" outlineLevel="0" collapsed="false">
      <c r="B593" s="57"/>
    </row>
    <row r="594" customFormat="false" ht="15" hidden="false" customHeight="true" outlineLevel="0" collapsed="false">
      <c r="B594" s="57"/>
    </row>
    <row r="595" customFormat="false" ht="15" hidden="false" customHeight="true" outlineLevel="0" collapsed="false">
      <c r="B595" s="57"/>
    </row>
    <row r="596" customFormat="false" ht="15" hidden="false" customHeight="true" outlineLevel="0" collapsed="false">
      <c r="B596" s="57"/>
    </row>
    <row r="597" customFormat="false" ht="15" hidden="false" customHeight="true" outlineLevel="0" collapsed="false">
      <c r="B597" s="57"/>
    </row>
    <row r="598" customFormat="false" ht="15" hidden="false" customHeight="true" outlineLevel="0" collapsed="false">
      <c r="B598" s="57"/>
    </row>
    <row r="599" customFormat="false" ht="15" hidden="false" customHeight="true" outlineLevel="0" collapsed="false">
      <c r="B599" s="57"/>
    </row>
    <row r="600" customFormat="false" ht="15" hidden="false" customHeight="true" outlineLevel="0" collapsed="false">
      <c r="B600" s="57"/>
    </row>
    <row r="601" customFormat="false" ht="15" hidden="false" customHeight="true" outlineLevel="0" collapsed="false">
      <c r="B601" s="57"/>
    </row>
    <row r="602" customFormat="false" ht="15" hidden="false" customHeight="true" outlineLevel="0" collapsed="false">
      <c r="B602" s="57"/>
    </row>
    <row r="603" customFormat="false" ht="15" hidden="false" customHeight="true" outlineLevel="0" collapsed="false">
      <c r="B603" s="57"/>
    </row>
    <row r="604" customFormat="false" ht="15" hidden="false" customHeight="true" outlineLevel="0" collapsed="false">
      <c r="B604" s="57"/>
    </row>
    <row r="605" customFormat="false" ht="15" hidden="false" customHeight="true" outlineLevel="0" collapsed="false">
      <c r="B605" s="57"/>
    </row>
    <row r="606" customFormat="false" ht="15" hidden="false" customHeight="true" outlineLevel="0" collapsed="false">
      <c r="B606" s="57"/>
    </row>
    <row r="607" customFormat="false" ht="15" hidden="false" customHeight="true" outlineLevel="0" collapsed="false">
      <c r="B607" s="57"/>
    </row>
    <row r="608" customFormat="false" ht="15" hidden="false" customHeight="true" outlineLevel="0" collapsed="false">
      <c r="B608" s="57"/>
    </row>
    <row r="609" customFormat="false" ht="15" hidden="false" customHeight="true" outlineLevel="0" collapsed="false">
      <c r="B609" s="57"/>
    </row>
    <row r="610" customFormat="false" ht="15" hidden="false" customHeight="true" outlineLevel="0" collapsed="false">
      <c r="B610" s="57"/>
    </row>
    <row r="611" customFormat="false" ht="15" hidden="false" customHeight="true" outlineLevel="0" collapsed="false">
      <c r="B611" s="57"/>
    </row>
    <row r="612" customFormat="false" ht="15" hidden="false" customHeight="true" outlineLevel="0" collapsed="false">
      <c r="B612" s="57"/>
    </row>
    <row r="613" customFormat="false" ht="15" hidden="false" customHeight="true" outlineLevel="0" collapsed="false">
      <c r="B613" s="57"/>
    </row>
    <row r="614" customFormat="false" ht="15" hidden="false" customHeight="true" outlineLevel="0" collapsed="false">
      <c r="B614" s="57"/>
    </row>
    <row r="615" customFormat="false" ht="15" hidden="false" customHeight="true" outlineLevel="0" collapsed="false">
      <c r="B615" s="57"/>
    </row>
    <row r="616" customFormat="false" ht="15" hidden="false" customHeight="true" outlineLevel="0" collapsed="false">
      <c r="B616" s="57"/>
    </row>
    <row r="617" customFormat="false" ht="15" hidden="false" customHeight="true" outlineLevel="0" collapsed="false">
      <c r="B617" s="57"/>
    </row>
    <row r="618" customFormat="false" ht="15" hidden="false" customHeight="true" outlineLevel="0" collapsed="false">
      <c r="B618" s="57"/>
    </row>
    <row r="619" customFormat="false" ht="15" hidden="false" customHeight="true" outlineLevel="0" collapsed="false">
      <c r="B619" s="57"/>
    </row>
    <row r="620" customFormat="false" ht="15" hidden="false" customHeight="true" outlineLevel="0" collapsed="false">
      <c r="B620" s="57"/>
    </row>
    <row r="621" customFormat="false" ht="15" hidden="false" customHeight="true" outlineLevel="0" collapsed="false">
      <c r="B621" s="57"/>
    </row>
    <row r="622" customFormat="false" ht="15" hidden="false" customHeight="true" outlineLevel="0" collapsed="false">
      <c r="B622" s="57"/>
    </row>
    <row r="623" customFormat="false" ht="15" hidden="false" customHeight="true" outlineLevel="0" collapsed="false">
      <c r="B623" s="57"/>
    </row>
    <row r="624" customFormat="false" ht="15" hidden="false" customHeight="true" outlineLevel="0" collapsed="false">
      <c r="B624" s="57"/>
    </row>
    <row r="625" customFormat="false" ht="15" hidden="false" customHeight="true" outlineLevel="0" collapsed="false">
      <c r="B625" s="57"/>
    </row>
    <row r="626" customFormat="false" ht="15" hidden="false" customHeight="true" outlineLevel="0" collapsed="false">
      <c r="B626" s="57"/>
    </row>
    <row r="627" customFormat="false" ht="15" hidden="false" customHeight="true" outlineLevel="0" collapsed="false">
      <c r="B627" s="57"/>
    </row>
    <row r="628" customFormat="false" ht="15" hidden="false" customHeight="true" outlineLevel="0" collapsed="false">
      <c r="B628" s="57"/>
    </row>
    <row r="629" customFormat="false" ht="15" hidden="false" customHeight="true" outlineLevel="0" collapsed="false">
      <c r="B629" s="57"/>
    </row>
    <row r="630" customFormat="false" ht="15" hidden="false" customHeight="true" outlineLevel="0" collapsed="false">
      <c r="B630" s="57"/>
    </row>
    <row r="631" customFormat="false" ht="15" hidden="false" customHeight="true" outlineLevel="0" collapsed="false">
      <c r="B631" s="57"/>
    </row>
    <row r="632" customFormat="false" ht="15" hidden="false" customHeight="true" outlineLevel="0" collapsed="false">
      <c r="B632" s="57"/>
    </row>
    <row r="633" customFormat="false" ht="15" hidden="false" customHeight="true" outlineLevel="0" collapsed="false">
      <c r="B633" s="57"/>
    </row>
    <row r="634" customFormat="false" ht="15" hidden="false" customHeight="true" outlineLevel="0" collapsed="false">
      <c r="B634" s="57"/>
    </row>
    <row r="635" customFormat="false" ht="15" hidden="false" customHeight="true" outlineLevel="0" collapsed="false">
      <c r="B635" s="57"/>
    </row>
    <row r="636" customFormat="false" ht="15" hidden="false" customHeight="true" outlineLevel="0" collapsed="false">
      <c r="B636" s="57"/>
    </row>
    <row r="637" customFormat="false" ht="15" hidden="false" customHeight="true" outlineLevel="0" collapsed="false">
      <c r="B637" s="57"/>
    </row>
    <row r="638" customFormat="false" ht="15" hidden="false" customHeight="true" outlineLevel="0" collapsed="false">
      <c r="B638" s="57"/>
    </row>
    <row r="639" customFormat="false" ht="15" hidden="false" customHeight="true" outlineLevel="0" collapsed="false">
      <c r="B639" s="57"/>
    </row>
    <row r="640" customFormat="false" ht="15" hidden="false" customHeight="true" outlineLevel="0" collapsed="false">
      <c r="B640" s="57"/>
    </row>
    <row r="641" customFormat="false" ht="15" hidden="false" customHeight="true" outlineLevel="0" collapsed="false">
      <c r="B641" s="57"/>
    </row>
    <row r="642" customFormat="false" ht="15" hidden="false" customHeight="true" outlineLevel="0" collapsed="false">
      <c r="B642" s="57"/>
    </row>
    <row r="643" customFormat="false" ht="15" hidden="false" customHeight="true" outlineLevel="0" collapsed="false">
      <c r="B643" s="57"/>
    </row>
    <row r="644" customFormat="false" ht="15" hidden="false" customHeight="true" outlineLevel="0" collapsed="false">
      <c r="B644" s="57"/>
    </row>
    <row r="645" customFormat="false" ht="15" hidden="false" customHeight="true" outlineLevel="0" collapsed="false">
      <c r="B645" s="57"/>
    </row>
    <row r="646" customFormat="false" ht="15" hidden="false" customHeight="true" outlineLevel="0" collapsed="false">
      <c r="B646" s="57"/>
    </row>
    <row r="647" customFormat="false" ht="15" hidden="false" customHeight="true" outlineLevel="0" collapsed="false">
      <c r="B647" s="57"/>
    </row>
    <row r="648" customFormat="false" ht="15" hidden="false" customHeight="true" outlineLevel="0" collapsed="false">
      <c r="B648" s="57"/>
    </row>
    <row r="649" customFormat="false" ht="15" hidden="false" customHeight="true" outlineLevel="0" collapsed="false">
      <c r="B649" s="57"/>
    </row>
    <row r="650" customFormat="false" ht="15" hidden="false" customHeight="true" outlineLevel="0" collapsed="false">
      <c r="B650" s="57"/>
    </row>
    <row r="651" customFormat="false" ht="15" hidden="false" customHeight="true" outlineLevel="0" collapsed="false">
      <c r="B651" s="57"/>
    </row>
    <row r="652" customFormat="false" ht="15" hidden="false" customHeight="true" outlineLevel="0" collapsed="false">
      <c r="B652" s="57"/>
    </row>
    <row r="653" customFormat="false" ht="15" hidden="false" customHeight="true" outlineLevel="0" collapsed="false">
      <c r="B653" s="57"/>
    </row>
    <row r="654" customFormat="false" ht="15" hidden="false" customHeight="true" outlineLevel="0" collapsed="false">
      <c r="B654" s="57"/>
    </row>
    <row r="655" customFormat="false" ht="15" hidden="false" customHeight="true" outlineLevel="0" collapsed="false">
      <c r="B655" s="57"/>
    </row>
    <row r="656" customFormat="false" ht="15" hidden="false" customHeight="true" outlineLevel="0" collapsed="false">
      <c r="B656" s="57"/>
    </row>
    <row r="657" customFormat="false" ht="15" hidden="false" customHeight="true" outlineLevel="0" collapsed="false">
      <c r="B657" s="57"/>
    </row>
    <row r="658" customFormat="false" ht="15" hidden="false" customHeight="true" outlineLevel="0" collapsed="false">
      <c r="B658" s="57"/>
    </row>
    <row r="659" customFormat="false" ht="15" hidden="false" customHeight="true" outlineLevel="0" collapsed="false">
      <c r="B659" s="57"/>
    </row>
    <row r="660" customFormat="false" ht="15" hidden="false" customHeight="true" outlineLevel="0" collapsed="false">
      <c r="B660" s="57"/>
    </row>
    <row r="661" customFormat="false" ht="15" hidden="false" customHeight="true" outlineLevel="0" collapsed="false">
      <c r="B661" s="57"/>
    </row>
    <row r="662" customFormat="false" ht="15" hidden="false" customHeight="true" outlineLevel="0" collapsed="false">
      <c r="B662" s="57"/>
    </row>
    <row r="663" customFormat="false" ht="15" hidden="false" customHeight="true" outlineLevel="0" collapsed="false">
      <c r="B663" s="57"/>
    </row>
    <row r="664" customFormat="false" ht="15" hidden="false" customHeight="true" outlineLevel="0" collapsed="false">
      <c r="B664" s="57"/>
    </row>
    <row r="665" customFormat="false" ht="15" hidden="false" customHeight="true" outlineLevel="0" collapsed="false">
      <c r="B665" s="57"/>
    </row>
    <row r="666" customFormat="false" ht="15" hidden="false" customHeight="true" outlineLevel="0" collapsed="false">
      <c r="B666" s="57"/>
    </row>
    <row r="667" customFormat="false" ht="15" hidden="false" customHeight="true" outlineLevel="0" collapsed="false">
      <c r="B667" s="57"/>
    </row>
    <row r="668" customFormat="false" ht="15" hidden="false" customHeight="true" outlineLevel="0" collapsed="false">
      <c r="B668" s="57"/>
    </row>
    <row r="669" customFormat="false" ht="15" hidden="false" customHeight="true" outlineLevel="0" collapsed="false">
      <c r="B669" s="57"/>
    </row>
    <row r="670" customFormat="false" ht="15" hidden="false" customHeight="true" outlineLevel="0" collapsed="false">
      <c r="B670" s="57"/>
    </row>
    <row r="671" customFormat="false" ht="15" hidden="false" customHeight="true" outlineLevel="0" collapsed="false">
      <c r="B671" s="57"/>
    </row>
    <row r="672" customFormat="false" ht="15" hidden="false" customHeight="true" outlineLevel="0" collapsed="false">
      <c r="B672" s="57"/>
    </row>
    <row r="673" customFormat="false" ht="15" hidden="false" customHeight="true" outlineLevel="0" collapsed="false">
      <c r="B673" s="57"/>
    </row>
    <row r="674" customFormat="false" ht="15" hidden="false" customHeight="true" outlineLevel="0" collapsed="false">
      <c r="B674" s="57"/>
    </row>
    <row r="675" customFormat="false" ht="15" hidden="false" customHeight="true" outlineLevel="0" collapsed="false">
      <c r="B675" s="57"/>
    </row>
    <row r="676" customFormat="false" ht="15" hidden="false" customHeight="true" outlineLevel="0" collapsed="false">
      <c r="B676" s="57"/>
    </row>
    <row r="677" customFormat="false" ht="15" hidden="false" customHeight="true" outlineLevel="0" collapsed="false">
      <c r="B677" s="57"/>
    </row>
    <row r="678" customFormat="false" ht="15" hidden="false" customHeight="true" outlineLevel="0" collapsed="false">
      <c r="B678" s="57"/>
    </row>
    <row r="679" customFormat="false" ht="15" hidden="false" customHeight="true" outlineLevel="0" collapsed="false">
      <c r="B679" s="57"/>
    </row>
    <row r="680" customFormat="false" ht="15" hidden="false" customHeight="true" outlineLevel="0" collapsed="false">
      <c r="B680" s="57"/>
    </row>
    <row r="681" customFormat="false" ht="15" hidden="false" customHeight="true" outlineLevel="0" collapsed="false">
      <c r="B681" s="57"/>
    </row>
    <row r="682" customFormat="false" ht="15" hidden="false" customHeight="true" outlineLevel="0" collapsed="false">
      <c r="B682" s="57"/>
    </row>
    <row r="683" customFormat="false" ht="15" hidden="false" customHeight="true" outlineLevel="0" collapsed="false">
      <c r="B683" s="57"/>
    </row>
    <row r="684" customFormat="false" ht="15" hidden="false" customHeight="true" outlineLevel="0" collapsed="false">
      <c r="B684" s="57"/>
    </row>
    <row r="685" customFormat="false" ht="15" hidden="false" customHeight="true" outlineLevel="0" collapsed="false">
      <c r="B685" s="57"/>
    </row>
    <row r="686" customFormat="false" ht="15" hidden="false" customHeight="true" outlineLevel="0" collapsed="false">
      <c r="B686" s="57"/>
    </row>
    <row r="687" customFormat="false" ht="15" hidden="false" customHeight="true" outlineLevel="0" collapsed="false">
      <c r="B687" s="57"/>
    </row>
    <row r="688" customFormat="false" ht="15" hidden="false" customHeight="true" outlineLevel="0" collapsed="false">
      <c r="B688" s="57"/>
    </row>
    <row r="689" customFormat="false" ht="15" hidden="false" customHeight="true" outlineLevel="0" collapsed="false">
      <c r="B689" s="57"/>
    </row>
    <row r="690" customFormat="false" ht="15" hidden="false" customHeight="true" outlineLevel="0" collapsed="false">
      <c r="B690" s="57"/>
    </row>
    <row r="691" customFormat="false" ht="15" hidden="false" customHeight="true" outlineLevel="0" collapsed="false">
      <c r="B691" s="57"/>
    </row>
    <row r="692" customFormat="false" ht="15" hidden="false" customHeight="true" outlineLevel="0" collapsed="false">
      <c r="B692" s="57"/>
    </row>
    <row r="693" customFormat="false" ht="15" hidden="false" customHeight="true" outlineLevel="0" collapsed="false">
      <c r="B693" s="57"/>
    </row>
    <row r="694" customFormat="false" ht="15" hidden="false" customHeight="true" outlineLevel="0" collapsed="false">
      <c r="B694" s="57"/>
    </row>
    <row r="695" customFormat="false" ht="15" hidden="false" customHeight="true" outlineLevel="0" collapsed="false">
      <c r="B695" s="57"/>
    </row>
    <row r="696" customFormat="false" ht="15" hidden="false" customHeight="true" outlineLevel="0" collapsed="false">
      <c r="B696" s="57"/>
    </row>
    <row r="697" customFormat="false" ht="15" hidden="false" customHeight="true" outlineLevel="0" collapsed="false">
      <c r="B697" s="57"/>
    </row>
    <row r="698" customFormat="false" ht="15" hidden="false" customHeight="true" outlineLevel="0" collapsed="false">
      <c r="B698" s="57"/>
    </row>
    <row r="699" customFormat="false" ht="15" hidden="false" customHeight="true" outlineLevel="0" collapsed="false">
      <c r="B699" s="57"/>
    </row>
    <row r="700" customFormat="false" ht="15" hidden="false" customHeight="true" outlineLevel="0" collapsed="false">
      <c r="B700" s="57"/>
    </row>
    <row r="701" customFormat="false" ht="15" hidden="false" customHeight="true" outlineLevel="0" collapsed="false">
      <c r="B701" s="57"/>
    </row>
    <row r="702" customFormat="false" ht="15" hidden="false" customHeight="true" outlineLevel="0" collapsed="false">
      <c r="B702" s="57"/>
    </row>
    <row r="703" customFormat="false" ht="15" hidden="false" customHeight="true" outlineLevel="0" collapsed="false">
      <c r="B703" s="57"/>
    </row>
    <row r="704" customFormat="false" ht="15" hidden="false" customHeight="true" outlineLevel="0" collapsed="false">
      <c r="B704" s="57"/>
    </row>
    <row r="705" customFormat="false" ht="15" hidden="false" customHeight="true" outlineLevel="0" collapsed="false">
      <c r="B705" s="57"/>
    </row>
    <row r="706" customFormat="false" ht="15" hidden="false" customHeight="true" outlineLevel="0" collapsed="false">
      <c r="B706" s="57"/>
    </row>
    <row r="707" customFormat="false" ht="15" hidden="false" customHeight="true" outlineLevel="0" collapsed="false">
      <c r="B707" s="57"/>
    </row>
    <row r="708" customFormat="false" ht="15" hidden="false" customHeight="true" outlineLevel="0" collapsed="false">
      <c r="B708" s="57"/>
    </row>
    <row r="709" customFormat="false" ht="15" hidden="false" customHeight="true" outlineLevel="0" collapsed="false">
      <c r="B709" s="57"/>
    </row>
    <row r="710" customFormat="false" ht="15" hidden="false" customHeight="true" outlineLevel="0" collapsed="false">
      <c r="B710" s="57"/>
    </row>
    <row r="711" customFormat="false" ht="15" hidden="false" customHeight="true" outlineLevel="0" collapsed="false">
      <c r="B711" s="57"/>
    </row>
    <row r="712" customFormat="false" ht="15" hidden="false" customHeight="true" outlineLevel="0" collapsed="false">
      <c r="B712" s="57"/>
    </row>
    <row r="713" customFormat="false" ht="15" hidden="false" customHeight="true" outlineLevel="0" collapsed="false">
      <c r="B713" s="57"/>
    </row>
    <row r="714" customFormat="false" ht="15" hidden="false" customHeight="true" outlineLevel="0" collapsed="false">
      <c r="B714" s="57"/>
    </row>
    <row r="715" customFormat="false" ht="15" hidden="false" customHeight="true" outlineLevel="0" collapsed="false">
      <c r="B715" s="57"/>
    </row>
    <row r="716" customFormat="false" ht="15" hidden="false" customHeight="true" outlineLevel="0" collapsed="false">
      <c r="B716" s="57"/>
    </row>
    <row r="717" customFormat="false" ht="15" hidden="false" customHeight="true" outlineLevel="0" collapsed="false">
      <c r="B717" s="57"/>
    </row>
    <row r="718" customFormat="false" ht="15" hidden="false" customHeight="true" outlineLevel="0" collapsed="false">
      <c r="B718" s="57"/>
    </row>
    <row r="719" customFormat="false" ht="15" hidden="false" customHeight="true" outlineLevel="0" collapsed="false">
      <c r="B719" s="57"/>
    </row>
    <row r="720" customFormat="false" ht="15" hidden="false" customHeight="true" outlineLevel="0" collapsed="false">
      <c r="B720" s="57"/>
    </row>
    <row r="721" customFormat="false" ht="15" hidden="false" customHeight="true" outlineLevel="0" collapsed="false">
      <c r="B721" s="57"/>
    </row>
    <row r="722" customFormat="false" ht="15" hidden="false" customHeight="true" outlineLevel="0" collapsed="false">
      <c r="B722" s="57"/>
    </row>
    <row r="723" customFormat="false" ht="15" hidden="false" customHeight="true" outlineLevel="0" collapsed="false">
      <c r="B723" s="57"/>
    </row>
    <row r="724" customFormat="false" ht="15" hidden="false" customHeight="true" outlineLevel="0" collapsed="false">
      <c r="B724" s="57"/>
    </row>
    <row r="725" customFormat="false" ht="15" hidden="false" customHeight="true" outlineLevel="0" collapsed="false">
      <c r="B725" s="57"/>
    </row>
    <row r="726" customFormat="false" ht="15" hidden="false" customHeight="true" outlineLevel="0" collapsed="false">
      <c r="B726" s="57"/>
    </row>
    <row r="727" customFormat="false" ht="15" hidden="false" customHeight="true" outlineLevel="0" collapsed="false">
      <c r="B727" s="57"/>
    </row>
    <row r="728" customFormat="false" ht="15" hidden="false" customHeight="true" outlineLevel="0" collapsed="false">
      <c r="B728" s="57"/>
    </row>
    <row r="729" customFormat="false" ht="15" hidden="false" customHeight="true" outlineLevel="0" collapsed="false">
      <c r="B729" s="57"/>
    </row>
    <row r="730" customFormat="false" ht="15" hidden="false" customHeight="true" outlineLevel="0" collapsed="false">
      <c r="B730" s="57"/>
    </row>
    <row r="731" customFormat="false" ht="15" hidden="false" customHeight="true" outlineLevel="0" collapsed="false">
      <c r="B731" s="57"/>
    </row>
    <row r="732" customFormat="false" ht="15" hidden="false" customHeight="true" outlineLevel="0" collapsed="false">
      <c r="B732" s="57"/>
    </row>
    <row r="733" customFormat="false" ht="15" hidden="false" customHeight="true" outlineLevel="0" collapsed="false">
      <c r="B733" s="57"/>
    </row>
    <row r="734" customFormat="false" ht="15" hidden="false" customHeight="true" outlineLevel="0" collapsed="false">
      <c r="B734" s="57"/>
    </row>
    <row r="735" customFormat="false" ht="15" hidden="false" customHeight="true" outlineLevel="0" collapsed="false">
      <c r="B735" s="57"/>
    </row>
    <row r="736" customFormat="false" ht="15" hidden="false" customHeight="true" outlineLevel="0" collapsed="false">
      <c r="B736" s="57"/>
    </row>
    <row r="737" customFormat="false" ht="15" hidden="false" customHeight="true" outlineLevel="0" collapsed="false">
      <c r="B737" s="57"/>
    </row>
    <row r="738" customFormat="false" ht="15" hidden="false" customHeight="true" outlineLevel="0" collapsed="false">
      <c r="B738" s="57"/>
    </row>
    <row r="739" customFormat="false" ht="15" hidden="false" customHeight="true" outlineLevel="0" collapsed="false">
      <c r="B739" s="57"/>
    </row>
    <row r="740" customFormat="false" ht="15" hidden="false" customHeight="true" outlineLevel="0" collapsed="false">
      <c r="B740" s="57"/>
    </row>
    <row r="741" customFormat="false" ht="15" hidden="false" customHeight="true" outlineLevel="0" collapsed="false">
      <c r="B741" s="57"/>
    </row>
    <row r="742" customFormat="false" ht="15" hidden="false" customHeight="true" outlineLevel="0" collapsed="false">
      <c r="B742" s="57"/>
    </row>
    <row r="743" customFormat="false" ht="15" hidden="false" customHeight="true" outlineLevel="0" collapsed="false">
      <c r="B743" s="57"/>
    </row>
    <row r="744" customFormat="false" ht="15" hidden="false" customHeight="true" outlineLevel="0" collapsed="false">
      <c r="B744" s="57"/>
    </row>
    <row r="745" customFormat="false" ht="15" hidden="false" customHeight="true" outlineLevel="0" collapsed="false">
      <c r="B745" s="57"/>
    </row>
    <row r="746" customFormat="false" ht="15" hidden="false" customHeight="true" outlineLevel="0" collapsed="false">
      <c r="B746" s="57"/>
    </row>
    <row r="747" customFormat="false" ht="15" hidden="false" customHeight="true" outlineLevel="0" collapsed="false">
      <c r="B747" s="57"/>
    </row>
    <row r="748" customFormat="false" ht="15" hidden="false" customHeight="true" outlineLevel="0" collapsed="false">
      <c r="B748" s="57"/>
    </row>
    <row r="749" customFormat="false" ht="15" hidden="false" customHeight="true" outlineLevel="0" collapsed="false">
      <c r="B749" s="57"/>
    </row>
    <row r="750" customFormat="false" ht="15" hidden="false" customHeight="true" outlineLevel="0" collapsed="false">
      <c r="B750" s="57"/>
    </row>
    <row r="751" customFormat="false" ht="15" hidden="false" customHeight="true" outlineLevel="0" collapsed="false">
      <c r="B751" s="57"/>
    </row>
    <row r="752" customFormat="false" ht="15" hidden="false" customHeight="true" outlineLevel="0" collapsed="false">
      <c r="B752" s="57"/>
    </row>
    <row r="753" customFormat="false" ht="15" hidden="false" customHeight="true" outlineLevel="0" collapsed="false">
      <c r="B753" s="57"/>
    </row>
    <row r="754" customFormat="false" ht="15" hidden="false" customHeight="true" outlineLevel="0" collapsed="false">
      <c r="B754" s="57"/>
    </row>
    <row r="755" customFormat="false" ht="15" hidden="false" customHeight="true" outlineLevel="0" collapsed="false">
      <c r="B755" s="57"/>
    </row>
    <row r="756" customFormat="false" ht="15" hidden="false" customHeight="true" outlineLevel="0" collapsed="false">
      <c r="B756" s="57"/>
    </row>
    <row r="757" customFormat="false" ht="15" hidden="false" customHeight="true" outlineLevel="0" collapsed="false">
      <c r="B757" s="57"/>
    </row>
    <row r="758" customFormat="false" ht="15" hidden="false" customHeight="true" outlineLevel="0" collapsed="false">
      <c r="B758" s="57"/>
    </row>
    <row r="759" customFormat="false" ht="15" hidden="false" customHeight="true" outlineLevel="0" collapsed="false">
      <c r="B759" s="57"/>
    </row>
    <row r="760" customFormat="false" ht="15" hidden="false" customHeight="true" outlineLevel="0" collapsed="false">
      <c r="B760" s="57"/>
    </row>
    <row r="761" customFormat="false" ht="15" hidden="false" customHeight="true" outlineLevel="0" collapsed="false">
      <c r="B761" s="57"/>
    </row>
    <row r="762" customFormat="false" ht="15" hidden="false" customHeight="true" outlineLevel="0" collapsed="false">
      <c r="B762" s="57"/>
    </row>
    <row r="763" customFormat="false" ht="15" hidden="false" customHeight="true" outlineLevel="0" collapsed="false">
      <c r="B763" s="57"/>
    </row>
    <row r="764" customFormat="false" ht="15" hidden="false" customHeight="true" outlineLevel="0" collapsed="false">
      <c r="B764" s="57"/>
    </row>
    <row r="765" customFormat="false" ht="15" hidden="false" customHeight="true" outlineLevel="0" collapsed="false">
      <c r="B765" s="57"/>
    </row>
    <row r="766" customFormat="false" ht="15" hidden="false" customHeight="true" outlineLevel="0" collapsed="false">
      <c r="B766" s="57"/>
    </row>
    <row r="767" customFormat="false" ht="15" hidden="false" customHeight="true" outlineLevel="0" collapsed="false">
      <c r="B767" s="57"/>
    </row>
    <row r="768" customFormat="false" ht="15" hidden="false" customHeight="true" outlineLevel="0" collapsed="false">
      <c r="B768" s="57"/>
    </row>
    <row r="769" customFormat="false" ht="15" hidden="false" customHeight="true" outlineLevel="0" collapsed="false">
      <c r="B769" s="57"/>
    </row>
    <row r="770" customFormat="false" ht="15" hidden="false" customHeight="true" outlineLevel="0" collapsed="false">
      <c r="B770" s="57"/>
    </row>
    <row r="771" customFormat="false" ht="15" hidden="false" customHeight="true" outlineLevel="0" collapsed="false">
      <c r="B771" s="57"/>
    </row>
    <row r="772" customFormat="false" ht="15" hidden="false" customHeight="true" outlineLevel="0" collapsed="false">
      <c r="B772" s="57"/>
    </row>
    <row r="773" customFormat="false" ht="15" hidden="false" customHeight="true" outlineLevel="0" collapsed="false">
      <c r="B773" s="57"/>
    </row>
    <row r="774" customFormat="false" ht="15" hidden="false" customHeight="true" outlineLevel="0" collapsed="false">
      <c r="B774" s="57"/>
    </row>
    <row r="775" customFormat="false" ht="15" hidden="false" customHeight="true" outlineLevel="0" collapsed="false">
      <c r="B775" s="57"/>
    </row>
    <row r="776" customFormat="false" ht="15" hidden="false" customHeight="true" outlineLevel="0" collapsed="false">
      <c r="B776" s="57"/>
    </row>
    <row r="777" customFormat="false" ht="15" hidden="false" customHeight="true" outlineLevel="0" collapsed="false">
      <c r="B777" s="57"/>
    </row>
    <row r="778" customFormat="false" ht="15" hidden="false" customHeight="true" outlineLevel="0" collapsed="false">
      <c r="B778" s="57"/>
    </row>
    <row r="779" customFormat="false" ht="15" hidden="false" customHeight="true" outlineLevel="0" collapsed="false">
      <c r="B779" s="57"/>
    </row>
    <row r="780" customFormat="false" ht="15" hidden="false" customHeight="true" outlineLevel="0" collapsed="false">
      <c r="B780" s="57"/>
    </row>
    <row r="781" customFormat="false" ht="15" hidden="false" customHeight="true" outlineLevel="0" collapsed="false">
      <c r="B781" s="57"/>
    </row>
    <row r="782" customFormat="false" ht="15" hidden="false" customHeight="true" outlineLevel="0" collapsed="false">
      <c r="B782" s="57"/>
    </row>
    <row r="783" customFormat="false" ht="15" hidden="false" customHeight="true" outlineLevel="0" collapsed="false">
      <c r="B783" s="57"/>
    </row>
    <row r="784" customFormat="false" ht="15" hidden="false" customHeight="true" outlineLevel="0" collapsed="false">
      <c r="B784" s="57"/>
    </row>
    <row r="785" customFormat="false" ht="15" hidden="false" customHeight="true" outlineLevel="0" collapsed="false">
      <c r="B785" s="57"/>
    </row>
    <row r="786" customFormat="false" ht="15" hidden="false" customHeight="true" outlineLevel="0" collapsed="false">
      <c r="B786" s="57"/>
    </row>
    <row r="787" customFormat="false" ht="15" hidden="false" customHeight="true" outlineLevel="0" collapsed="false">
      <c r="B787" s="57"/>
    </row>
    <row r="788" customFormat="false" ht="15" hidden="false" customHeight="true" outlineLevel="0" collapsed="false">
      <c r="B788" s="57"/>
    </row>
    <row r="789" customFormat="false" ht="15" hidden="false" customHeight="true" outlineLevel="0" collapsed="false">
      <c r="B789" s="57"/>
    </row>
    <row r="790" customFormat="false" ht="15" hidden="false" customHeight="true" outlineLevel="0" collapsed="false">
      <c r="B790" s="57"/>
    </row>
    <row r="791" customFormat="false" ht="15" hidden="false" customHeight="true" outlineLevel="0" collapsed="false">
      <c r="B791" s="57"/>
    </row>
    <row r="792" customFormat="false" ht="15" hidden="false" customHeight="true" outlineLevel="0" collapsed="false">
      <c r="B792" s="57"/>
    </row>
    <row r="793" customFormat="false" ht="15" hidden="false" customHeight="true" outlineLevel="0" collapsed="false">
      <c r="B793" s="57"/>
    </row>
    <row r="794" customFormat="false" ht="15" hidden="false" customHeight="true" outlineLevel="0" collapsed="false">
      <c r="B794" s="57"/>
    </row>
    <row r="795" customFormat="false" ht="15" hidden="false" customHeight="true" outlineLevel="0" collapsed="false">
      <c r="B795" s="57"/>
    </row>
    <row r="796" customFormat="false" ht="15" hidden="false" customHeight="true" outlineLevel="0" collapsed="false">
      <c r="B796" s="57"/>
    </row>
    <row r="797" customFormat="false" ht="15" hidden="false" customHeight="true" outlineLevel="0" collapsed="false">
      <c r="B797" s="57"/>
    </row>
    <row r="798" customFormat="false" ht="15" hidden="false" customHeight="true" outlineLevel="0" collapsed="false">
      <c r="B798" s="57"/>
    </row>
    <row r="799" customFormat="false" ht="15" hidden="false" customHeight="true" outlineLevel="0" collapsed="false">
      <c r="B799" s="57"/>
    </row>
    <row r="800" customFormat="false" ht="15" hidden="false" customHeight="true" outlineLevel="0" collapsed="false">
      <c r="B800" s="57"/>
    </row>
    <row r="801" customFormat="false" ht="15" hidden="false" customHeight="true" outlineLevel="0" collapsed="false">
      <c r="B801" s="57"/>
    </row>
    <row r="802" customFormat="false" ht="15" hidden="false" customHeight="true" outlineLevel="0" collapsed="false">
      <c r="B802" s="57"/>
    </row>
    <row r="803" customFormat="false" ht="15" hidden="false" customHeight="true" outlineLevel="0" collapsed="false">
      <c r="B803" s="57"/>
    </row>
    <row r="804" customFormat="false" ht="15" hidden="false" customHeight="true" outlineLevel="0" collapsed="false">
      <c r="B804" s="57"/>
    </row>
    <row r="805" customFormat="false" ht="15" hidden="false" customHeight="true" outlineLevel="0" collapsed="false">
      <c r="B805" s="57"/>
    </row>
    <row r="806" customFormat="false" ht="15" hidden="false" customHeight="true" outlineLevel="0" collapsed="false">
      <c r="B806" s="57"/>
    </row>
    <row r="807" customFormat="false" ht="15" hidden="false" customHeight="true" outlineLevel="0" collapsed="false">
      <c r="B807" s="57"/>
    </row>
    <row r="808" customFormat="false" ht="15" hidden="false" customHeight="true" outlineLevel="0" collapsed="false">
      <c r="B808" s="57"/>
    </row>
    <row r="809" customFormat="false" ht="15" hidden="false" customHeight="true" outlineLevel="0" collapsed="false">
      <c r="B809" s="57"/>
    </row>
    <row r="810" customFormat="false" ht="15" hidden="false" customHeight="true" outlineLevel="0" collapsed="false">
      <c r="B810" s="57"/>
    </row>
    <row r="811" customFormat="false" ht="15" hidden="false" customHeight="true" outlineLevel="0" collapsed="false">
      <c r="B811" s="57"/>
    </row>
    <row r="812" customFormat="false" ht="15" hidden="false" customHeight="true" outlineLevel="0" collapsed="false">
      <c r="B812" s="57"/>
    </row>
    <row r="813" customFormat="false" ht="15" hidden="false" customHeight="true" outlineLevel="0" collapsed="false">
      <c r="B813" s="57"/>
    </row>
    <row r="814" customFormat="false" ht="15" hidden="false" customHeight="true" outlineLevel="0" collapsed="false">
      <c r="B814" s="57"/>
    </row>
    <row r="815" customFormat="false" ht="15" hidden="false" customHeight="true" outlineLevel="0" collapsed="false">
      <c r="B815" s="57"/>
    </row>
    <row r="816" customFormat="false" ht="15" hidden="false" customHeight="true" outlineLevel="0" collapsed="false">
      <c r="B816" s="57"/>
    </row>
    <row r="817" customFormat="false" ht="15" hidden="false" customHeight="true" outlineLevel="0" collapsed="false">
      <c r="B817" s="57"/>
    </row>
    <row r="818" customFormat="false" ht="15" hidden="false" customHeight="true" outlineLevel="0" collapsed="false">
      <c r="B818" s="57"/>
    </row>
    <row r="819" customFormat="false" ht="15" hidden="false" customHeight="true" outlineLevel="0" collapsed="false">
      <c r="B819" s="57"/>
    </row>
    <row r="820" customFormat="false" ht="15" hidden="false" customHeight="true" outlineLevel="0" collapsed="false">
      <c r="B820" s="57"/>
    </row>
    <row r="821" customFormat="false" ht="15" hidden="false" customHeight="true" outlineLevel="0" collapsed="false">
      <c r="B821" s="57"/>
    </row>
    <row r="822" customFormat="false" ht="15" hidden="false" customHeight="true" outlineLevel="0" collapsed="false">
      <c r="B822" s="57"/>
    </row>
    <row r="823" customFormat="false" ht="15" hidden="false" customHeight="true" outlineLevel="0" collapsed="false">
      <c r="B823" s="57"/>
    </row>
    <row r="824" customFormat="false" ht="15" hidden="false" customHeight="true" outlineLevel="0" collapsed="false">
      <c r="B824" s="57"/>
    </row>
    <row r="825" customFormat="false" ht="15" hidden="false" customHeight="true" outlineLevel="0" collapsed="false">
      <c r="B825" s="57"/>
    </row>
    <row r="826" customFormat="false" ht="15" hidden="false" customHeight="true" outlineLevel="0" collapsed="false">
      <c r="B826" s="57"/>
    </row>
    <row r="827" customFormat="false" ht="15" hidden="false" customHeight="true" outlineLevel="0" collapsed="false">
      <c r="B827" s="57"/>
    </row>
    <row r="828" customFormat="false" ht="15" hidden="false" customHeight="true" outlineLevel="0" collapsed="false">
      <c r="B828" s="57"/>
    </row>
    <row r="829" customFormat="false" ht="15" hidden="false" customHeight="true" outlineLevel="0" collapsed="false">
      <c r="B829" s="57"/>
    </row>
    <row r="830" customFormat="false" ht="15" hidden="false" customHeight="true" outlineLevel="0" collapsed="false">
      <c r="B830" s="57"/>
    </row>
    <row r="831" customFormat="false" ht="15" hidden="false" customHeight="true" outlineLevel="0" collapsed="false">
      <c r="B831" s="57"/>
    </row>
    <row r="832" customFormat="false" ht="15" hidden="false" customHeight="true" outlineLevel="0" collapsed="false">
      <c r="B832" s="57"/>
    </row>
    <row r="833" customFormat="false" ht="15" hidden="false" customHeight="true" outlineLevel="0" collapsed="false">
      <c r="B833" s="57"/>
    </row>
    <row r="834" customFormat="false" ht="15" hidden="false" customHeight="true" outlineLevel="0" collapsed="false">
      <c r="B834" s="57"/>
    </row>
    <row r="835" customFormat="false" ht="15" hidden="false" customHeight="true" outlineLevel="0" collapsed="false">
      <c r="B835" s="57"/>
    </row>
    <row r="836" customFormat="false" ht="15" hidden="false" customHeight="true" outlineLevel="0" collapsed="false">
      <c r="B836" s="57"/>
    </row>
    <row r="837" customFormat="false" ht="15" hidden="false" customHeight="true" outlineLevel="0" collapsed="false">
      <c r="B837" s="57"/>
    </row>
    <row r="838" customFormat="false" ht="15" hidden="false" customHeight="true" outlineLevel="0" collapsed="false">
      <c r="B838" s="57"/>
    </row>
    <row r="839" customFormat="false" ht="15" hidden="false" customHeight="true" outlineLevel="0" collapsed="false">
      <c r="B839" s="57"/>
    </row>
    <row r="840" customFormat="false" ht="15" hidden="false" customHeight="true" outlineLevel="0" collapsed="false">
      <c r="B840" s="57"/>
    </row>
    <row r="841" customFormat="false" ht="15" hidden="false" customHeight="true" outlineLevel="0" collapsed="false">
      <c r="B841" s="57"/>
    </row>
    <row r="842" customFormat="false" ht="15" hidden="false" customHeight="true" outlineLevel="0" collapsed="false">
      <c r="B842" s="57"/>
    </row>
    <row r="843" customFormat="false" ht="15" hidden="false" customHeight="true" outlineLevel="0" collapsed="false">
      <c r="B843" s="57"/>
    </row>
    <row r="844" customFormat="false" ht="15" hidden="false" customHeight="true" outlineLevel="0" collapsed="false">
      <c r="B844" s="57"/>
    </row>
    <row r="845" customFormat="false" ht="15" hidden="false" customHeight="true" outlineLevel="0" collapsed="false">
      <c r="B845" s="57"/>
    </row>
    <row r="846" customFormat="false" ht="15" hidden="false" customHeight="true" outlineLevel="0" collapsed="false">
      <c r="B846" s="57"/>
    </row>
    <row r="847" customFormat="false" ht="15" hidden="false" customHeight="true" outlineLevel="0" collapsed="false">
      <c r="B847" s="57"/>
    </row>
    <row r="848" customFormat="false" ht="15" hidden="false" customHeight="true" outlineLevel="0" collapsed="false">
      <c r="B848" s="57"/>
    </row>
    <row r="849" customFormat="false" ht="15" hidden="false" customHeight="true" outlineLevel="0" collapsed="false">
      <c r="B849" s="57"/>
    </row>
    <row r="850" customFormat="false" ht="15" hidden="false" customHeight="true" outlineLevel="0" collapsed="false">
      <c r="B850" s="57"/>
    </row>
    <row r="851" customFormat="false" ht="15" hidden="false" customHeight="true" outlineLevel="0" collapsed="false">
      <c r="B851" s="57"/>
    </row>
    <row r="852" customFormat="false" ht="15" hidden="false" customHeight="true" outlineLevel="0" collapsed="false">
      <c r="B852" s="57"/>
    </row>
    <row r="853" customFormat="false" ht="15" hidden="false" customHeight="true" outlineLevel="0" collapsed="false">
      <c r="B853" s="57"/>
    </row>
    <row r="854" customFormat="false" ht="15" hidden="false" customHeight="true" outlineLevel="0" collapsed="false">
      <c r="B854" s="57"/>
    </row>
    <row r="855" customFormat="false" ht="15" hidden="false" customHeight="true" outlineLevel="0" collapsed="false">
      <c r="B855" s="57"/>
    </row>
    <row r="856" customFormat="false" ht="15" hidden="false" customHeight="true" outlineLevel="0" collapsed="false">
      <c r="B856" s="57"/>
    </row>
    <row r="857" customFormat="false" ht="15" hidden="false" customHeight="true" outlineLevel="0" collapsed="false">
      <c r="B857" s="57"/>
    </row>
    <row r="858" customFormat="false" ht="15" hidden="false" customHeight="true" outlineLevel="0" collapsed="false">
      <c r="B858" s="57"/>
    </row>
    <row r="859" customFormat="false" ht="15" hidden="false" customHeight="true" outlineLevel="0" collapsed="false">
      <c r="B859" s="57"/>
    </row>
    <row r="860" customFormat="false" ht="15" hidden="false" customHeight="true" outlineLevel="0" collapsed="false">
      <c r="B860" s="57"/>
    </row>
    <row r="861" customFormat="false" ht="15" hidden="false" customHeight="true" outlineLevel="0" collapsed="false">
      <c r="B861" s="57"/>
    </row>
    <row r="862" customFormat="false" ht="15" hidden="false" customHeight="true" outlineLevel="0" collapsed="false">
      <c r="B862" s="57"/>
    </row>
    <row r="863" customFormat="false" ht="15" hidden="false" customHeight="true" outlineLevel="0" collapsed="false">
      <c r="B863" s="57"/>
    </row>
    <row r="864" customFormat="false" ht="15" hidden="false" customHeight="true" outlineLevel="0" collapsed="false">
      <c r="B864" s="57"/>
    </row>
    <row r="865" customFormat="false" ht="15" hidden="false" customHeight="true" outlineLevel="0" collapsed="false">
      <c r="B865" s="57"/>
    </row>
    <row r="866" customFormat="false" ht="15" hidden="false" customHeight="true" outlineLevel="0" collapsed="false">
      <c r="B866" s="57"/>
    </row>
    <row r="867" customFormat="false" ht="15" hidden="false" customHeight="true" outlineLevel="0" collapsed="false">
      <c r="B867" s="57"/>
    </row>
    <row r="868" customFormat="false" ht="15" hidden="false" customHeight="true" outlineLevel="0" collapsed="false">
      <c r="B868" s="57"/>
    </row>
    <row r="869" customFormat="false" ht="15" hidden="false" customHeight="true" outlineLevel="0" collapsed="false">
      <c r="B869" s="57"/>
    </row>
    <row r="870" customFormat="false" ht="15" hidden="false" customHeight="true" outlineLevel="0" collapsed="false">
      <c r="B870" s="57"/>
    </row>
    <row r="871" customFormat="false" ht="15" hidden="false" customHeight="true" outlineLevel="0" collapsed="false">
      <c r="B871" s="57"/>
    </row>
    <row r="872" customFormat="false" ht="15" hidden="false" customHeight="true" outlineLevel="0" collapsed="false">
      <c r="B872" s="57"/>
    </row>
    <row r="873" customFormat="false" ht="15" hidden="false" customHeight="true" outlineLevel="0" collapsed="false">
      <c r="B873" s="57"/>
    </row>
    <row r="874" customFormat="false" ht="15" hidden="false" customHeight="true" outlineLevel="0" collapsed="false">
      <c r="B874" s="57"/>
    </row>
    <row r="875" customFormat="false" ht="15" hidden="false" customHeight="true" outlineLevel="0" collapsed="false">
      <c r="B875" s="57"/>
    </row>
    <row r="876" customFormat="false" ht="15" hidden="false" customHeight="true" outlineLevel="0" collapsed="false">
      <c r="B876" s="57"/>
    </row>
    <row r="877" customFormat="false" ht="15" hidden="false" customHeight="true" outlineLevel="0" collapsed="false">
      <c r="B877" s="57"/>
    </row>
    <row r="878" customFormat="false" ht="15" hidden="false" customHeight="true" outlineLevel="0" collapsed="false">
      <c r="B878" s="57"/>
    </row>
    <row r="879" customFormat="false" ht="15" hidden="false" customHeight="true" outlineLevel="0" collapsed="false">
      <c r="B879" s="57"/>
    </row>
    <row r="880" customFormat="false" ht="15" hidden="false" customHeight="true" outlineLevel="0" collapsed="false">
      <c r="B880" s="57"/>
    </row>
    <row r="881" customFormat="false" ht="15" hidden="false" customHeight="true" outlineLevel="0" collapsed="false">
      <c r="B881" s="57"/>
    </row>
    <row r="882" customFormat="false" ht="15" hidden="false" customHeight="true" outlineLevel="0" collapsed="false">
      <c r="B882" s="57"/>
    </row>
    <row r="883" customFormat="false" ht="15" hidden="false" customHeight="true" outlineLevel="0" collapsed="false">
      <c r="B883" s="57"/>
    </row>
    <row r="884" customFormat="false" ht="15" hidden="false" customHeight="true" outlineLevel="0" collapsed="false">
      <c r="B884" s="57"/>
    </row>
    <row r="885" customFormat="false" ht="15" hidden="false" customHeight="true" outlineLevel="0" collapsed="false">
      <c r="B885" s="57"/>
    </row>
    <row r="886" customFormat="false" ht="15" hidden="false" customHeight="true" outlineLevel="0" collapsed="false">
      <c r="B886" s="57"/>
    </row>
    <row r="887" customFormat="false" ht="15" hidden="false" customHeight="true" outlineLevel="0" collapsed="false">
      <c r="B887" s="57"/>
    </row>
    <row r="888" customFormat="false" ht="15" hidden="false" customHeight="true" outlineLevel="0" collapsed="false">
      <c r="B888" s="57"/>
    </row>
    <row r="889" customFormat="false" ht="15" hidden="false" customHeight="true" outlineLevel="0" collapsed="false">
      <c r="B889" s="57"/>
    </row>
    <row r="890" customFormat="false" ht="15" hidden="false" customHeight="true" outlineLevel="0" collapsed="false">
      <c r="B890" s="57"/>
    </row>
    <row r="891" customFormat="false" ht="15" hidden="false" customHeight="true" outlineLevel="0" collapsed="false">
      <c r="B891" s="57"/>
    </row>
    <row r="892" customFormat="false" ht="15" hidden="false" customHeight="true" outlineLevel="0" collapsed="false">
      <c r="B892" s="57"/>
    </row>
    <row r="893" customFormat="false" ht="15" hidden="false" customHeight="true" outlineLevel="0" collapsed="false">
      <c r="B893" s="57"/>
    </row>
    <row r="894" customFormat="false" ht="15" hidden="false" customHeight="true" outlineLevel="0" collapsed="false">
      <c r="B894" s="57"/>
    </row>
    <row r="895" customFormat="false" ht="15" hidden="false" customHeight="true" outlineLevel="0" collapsed="false">
      <c r="B895" s="57"/>
    </row>
    <row r="896" customFormat="false" ht="15" hidden="false" customHeight="true" outlineLevel="0" collapsed="false">
      <c r="B896" s="57"/>
    </row>
    <row r="897" customFormat="false" ht="15" hidden="false" customHeight="true" outlineLevel="0" collapsed="false">
      <c r="B897" s="57"/>
    </row>
    <row r="898" customFormat="false" ht="15" hidden="false" customHeight="true" outlineLevel="0" collapsed="false">
      <c r="B898" s="57"/>
    </row>
    <row r="899" customFormat="false" ht="15" hidden="false" customHeight="true" outlineLevel="0" collapsed="false">
      <c r="B899" s="57"/>
    </row>
    <row r="900" customFormat="false" ht="15" hidden="false" customHeight="true" outlineLevel="0" collapsed="false">
      <c r="B900" s="57"/>
    </row>
    <row r="901" customFormat="false" ht="15" hidden="false" customHeight="true" outlineLevel="0" collapsed="false">
      <c r="B901" s="57"/>
    </row>
    <row r="902" customFormat="false" ht="15" hidden="false" customHeight="true" outlineLevel="0" collapsed="false">
      <c r="B902" s="57"/>
    </row>
    <row r="903" customFormat="false" ht="15" hidden="false" customHeight="true" outlineLevel="0" collapsed="false">
      <c r="B903" s="57"/>
    </row>
    <row r="904" customFormat="false" ht="15" hidden="false" customHeight="true" outlineLevel="0" collapsed="false">
      <c r="B904" s="57"/>
    </row>
    <row r="905" customFormat="false" ht="15" hidden="false" customHeight="true" outlineLevel="0" collapsed="false">
      <c r="B905" s="57"/>
    </row>
    <row r="906" customFormat="false" ht="15" hidden="false" customHeight="true" outlineLevel="0" collapsed="false">
      <c r="B906" s="57"/>
    </row>
    <row r="907" customFormat="false" ht="15" hidden="false" customHeight="true" outlineLevel="0" collapsed="false">
      <c r="B907" s="57"/>
    </row>
    <row r="908" customFormat="false" ht="15" hidden="false" customHeight="true" outlineLevel="0" collapsed="false">
      <c r="B908" s="57"/>
    </row>
    <row r="909" customFormat="false" ht="15" hidden="false" customHeight="true" outlineLevel="0" collapsed="false">
      <c r="B909" s="57"/>
    </row>
    <row r="910" customFormat="false" ht="15" hidden="false" customHeight="true" outlineLevel="0" collapsed="false">
      <c r="B910" s="57"/>
    </row>
    <row r="911" customFormat="false" ht="15" hidden="false" customHeight="true" outlineLevel="0" collapsed="false">
      <c r="B911" s="57"/>
    </row>
    <row r="912" customFormat="false" ht="15" hidden="false" customHeight="true" outlineLevel="0" collapsed="false">
      <c r="B912" s="57"/>
    </row>
    <row r="913" customFormat="false" ht="15" hidden="false" customHeight="true" outlineLevel="0" collapsed="false">
      <c r="B913" s="57"/>
    </row>
    <row r="914" customFormat="false" ht="15" hidden="false" customHeight="true" outlineLevel="0" collapsed="false">
      <c r="B914" s="57"/>
    </row>
    <row r="915" customFormat="false" ht="15" hidden="false" customHeight="true" outlineLevel="0" collapsed="false">
      <c r="B915" s="57"/>
    </row>
    <row r="916" customFormat="false" ht="15" hidden="false" customHeight="true" outlineLevel="0" collapsed="false">
      <c r="B916" s="57"/>
    </row>
    <row r="917" customFormat="false" ht="15" hidden="false" customHeight="true" outlineLevel="0" collapsed="false">
      <c r="B917" s="57"/>
    </row>
    <row r="918" customFormat="false" ht="15" hidden="false" customHeight="true" outlineLevel="0" collapsed="false">
      <c r="B918" s="57"/>
    </row>
    <row r="919" customFormat="false" ht="15" hidden="false" customHeight="true" outlineLevel="0" collapsed="false">
      <c r="B919" s="57"/>
    </row>
    <row r="920" customFormat="false" ht="15" hidden="false" customHeight="true" outlineLevel="0" collapsed="false">
      <c r="B920" s="57"/>
    </row>
    <row r="921" customFormat="false" ht="15" hidden="false" customHeight="true" outlineLevel="0" collapsed="false">
      <c r="B921" s="57"/>
    </row>
    <row r="922" customFormat="false" ht="15" hidden="false" customHeight="true" outlineLevel="0" collapsed="false">
      <c r="B922" s="57"/>
    </row>
    <row r="923" customFormat="false" ht="15" hidden="false" customHeight="true" outlineLevel="0" collapsed="false">
      <c r="B923" s="57"/>
    </row>
    <row r="924" customFormat="false" ht="15" hidden="false" customHeight="true" outlineLevel="0" collapsed="false">
      <c r="B924" s="57"/>
    </row>
    <row r="925" customFormat="false" ht="15" hidden="false" customHeight="true" outlineLevel="0" collapsed="false">
      <c r="B925" s="57"/>
    </row>
    <row r="926" customFormat="false" ht="15" hidden="false" customHeight="true" outlineLevel="0" collapsed="false">
      <c r="B926" s="57"/>
    </row>
    <row r="927" customFormat="false" ht="15" hidden="false" customHeight="true" outlineLevel="0" collapsed="false">
      <c r="B927" s="57"/>
    </row>
    <row r="928" customFormat="false" ht="15" hidden="false" customHeight="true" outlineLevel="0" collapsed="false">
      <c r="B928" s="57"/>
    </row>
    <row r="929" customFormat="false" ht="15" hidden="false" customHeight="true" outlineLevel="0" collapsed="false">
      <c r="B929" s="57"/>
    </row>
    <row r="930" customFormat="false" ht="15" hidden="false" customHeight="true" outlineLevel="0" collapsed="false">
      <c r="B930" s="57"/>
    </row>
    <row r="931" customFormat="false" ht="15" hidden="false" customHeight="true" outlineLevel="0" collapsed="false">
      <c r="B931" s="57"/>
    </row>
    <row r="932" customFormat="false" ht="15" hidden="false" customHeight="true" outlineLevel="0" collapsed="false">
      <c r="B932" s="57"/>
    </row>
    <row r="933" customFormat="false" ht="15" hidden="false" customHeight="true" outlineLevel="0" collapsed="false">
      <c r="B933" s="57"/>
    </row>
    <row r="934" customFormat="false" ht="15" hidden="false" customHeight="true" outlineLevel="0" collapsed="false">
      <c r="B934" s="57"/>
    </row>
    <row r="935" customFormat="false" ht="15" hidden="false" customHeight="true" outlineLevel="0" collapsed="false">
      <c r="B935" s="57"/>
    </row>
    <row r="936" customFormat="false" ht="15" hidden="false" customHeight="true" outlineLevel="0" collapsed="false">
      <c r="B936" s="57"/>
    </row>
    <row r="937" customFormat="false" ht="15" hidden="false" customHeight="true" outlineLevel="0" collapsed="false">
      <c r="B937" s="57"/>
    </row>
    <row r="938" customFormat="false" ht="15" hidden="false" customHeight="true" outlineLevel="0" collapsed="false">
      <c r="B938" s="57"/>
    </row>
    <row r="939" customFormat="false" ht="15" hidden="false" customHeight="true" outlineLevel="0" collapsed="false">
      <c r="B939" s="57"/>
    </row>
    <row r="940" customFormat="false" ht="15" hidden="false" customHeight="true" outlineLevel="0" collapsed="false">
      <c r="B940" s="57"/>
    </row>
    <row r="941" customFormat="false" ht="15" hidden="false" customHeight="true" outlineLevel="0" collapsed="false">
      <c r="B941" s="57"/>
    </row>
    <row r="942" customFormat="false" ht="15" hidden="false" customHeight="true" outlineLevel="0" collapsed="false">
      <c r="B942" s="57"/>
    </row>
    <row r="943" customFormat="false" ht="15" hidden="false" customHeight="true" outlineLevel="0" collapsed="false">
      <c r="B943" s="57"/>
    </row>
    <row r="944" customFormat="false" ht="15" hidden="false" customHeight="true" outlineLevel="0" collapsed="false">
      <c r="B944" s="57"/>
    </row>
    <row r="945" customFormat="false" ht="15" hidden="false" customHeight="true" outlineLevel="0" collapsed="false">
      <c r="B945" s="57"/>
    </row>
    <row r="946" customFormat="false" ht="15" hidden="false" customHeight="true" outlineLevel="0" collapsed="false">
      <c r="B946" s="57"/>
    </row>
    <row r="947" customFormat="false" ht="15" hidden="false" customHeight="true" outlineLevel="0" collapsed="false">
      <c r="B947" s="57"/>
    </row>
    <row r="948" customFormat="false" ht="15" hidden="false" customHeight="true" outlineLevel="0" collapsed="false">
      <c r="B948" s="57"/>
    </row>
    <row r="949" customFormat="false" ht="15" hidden="false" customHeight="true" outlineLevel="0" collapsed="false">
      <c r="B949" s="57"/>
    </row>
    <row r="950" customFormat="false" ht="15" hidden="false" customHeight="true" outlineLevel="0" collapsed="false">
      <c r="B950" s="57"/>
    </row>
    <row r="951" customFormat="false" ht="15" hidden="false" customHeight="true" outlineLevel="0" collapsed="false">
      <c r="B951" s="57"/>
    </row>
    <row r="952" customFormat="false" ht="15" hidden="false" customHeight="true" outlineLevel="0" collapsed="false">
      <c r="B952" s="57"/>
    </row>
    <row r="953" customFormat="false" ht="15" hidden="false" customHeight="true" outlineLevel="0" collapsed="false">
      <c r="B953" s="57"/>
    </row>
    <row r="954" customFormat="false" ht="15" hidden="false" customHeight="true" outlineLevel="0" collapsed="false">
      <c r="B954" s="57"/>
    </row>
    <row r="955" customFormat="false" ht="15" hidden="false" customHeight="true" outlineLevel="0" collapsed="false">
      <c r="B955" s="57"/>
    </row>
    <row r="956" customFormat="false" ht="15" hidden="false" customHeight="true" outlineLevel="0" collapsed="false">
      <c r="B956" s="57"/>
    </row>
    <row r="957" customFormat="false" ht="15" hidden="false" customHeight="true" outlineLevel="0" collapsed="false">
      <c r="B957" s="57"/>
    </row>
    <row r="958" customFormat="false" ht="15" hidden="false" customHeight="true" outlineLevel="0" collapsed="false">
      <c r="B958" s="57"/>
    </row>
    <row r="959" customFormat="false" ht="15" hidden="false" customHeight="true" outlineLevel="0" collapsed="false">
      <c r="B959" s="57"/>
    </row>
    <row r="960" customFormat="false" ht="15" hidden="false" customHeight="true" outlineLevel="0" collapsed="false">
      <c r="B960" s="57"/>
    </row>
    <row r="961" customFormat="false" ht="15" hidden="false" customHeight="true" outlineLevel="0" collapsed="false">
      <c r="B961" s="57"/>
    </row>
    <row r="962" customFormat="false" ht="15" hidden="false" customHeight="true" outlineLevel="0" collapsed="false">
      <c r="B962" s="57"/>
    </row>
    <row r="963" customFormat="false" ht="15" hidden="false" customHeight="true" outlineLevel="0" collapsed="false">
      <c r="B963" s="57"/>
    </row>
    <row r="964" customFormat="false" ht="15" hidden="false" customHeight="true" outlineLevel="0" collapsed="false">
      <c r="B964" s="57"/>
    </row>
    <row r="965" customFormat="false" ht="15" hidden="false" customHeight="true" outlineLevel="0" collapsed="false">
      <c r="B965" s="57"/>
    </row>
    <row r="966" customFormat="false" ht="15" hidden="false" customHeight="true" outlineLevel="0" collapsed="false">
      <c r="B966" s="57"/>
    </row>
    <row r="967" customFormat="false" ht="15" hidden="false" customHeight="true" outlineLevel="0" collapsed="false">
      <c r="B967" s="57"/>
    </row>
    <row r="968" customFormat="false" ht="15" hidden="false" customHeight="true" outlineLevel="0" collapsed="false">
      <c r="B968" s="57"/>
    </row>
    <row r="969" customFormat="false" ht="15" hidden="false" customHeight="true" outlineLevel="0" collapsed="false">
      <c r="B969" s="57"/>
    </row>
    <row r="970" customFormat="false" ht="15" hidden="false" customHeight="true" outlineLevel="0" collapsed="false">
      <c r="B970" s="57"/>
    </row>
    <row r="971" customFormat="false" ht="15" hidden="false" customHeight="true" outlineLevel="0" collapsed="false">
      <c r="B971" s="57"/>
    </row>
    <row r="972" customFormat="false" ht="15" hidden="false" customHeight="true" outlineLevel="0" collapsed="false">
      <c r="B972" s="57"/>
    </row>
    <row r="973" customFormat="false" ht="15" hidden="false" customHeight="true" outlineLevel="0" collapsed="false">
      <c r="B973" s="57"/>
    </row>
    <row r="974" customFormat="false" ht="15" hidden="false" customHeight="true" outlineLevel="0" collapsed="false">
      <c r="B974" s="57"/>
    </row>
    <row r="975" customFormat="false" ht="15" hidden="false" customHeight="true" outlineLevel="0" collapsed="false">
      <c r="B975" s="57"/>
    </row>
    <row r="976" customFormat="false" ht="15" hidden="false" customHeight="true" outlineLevel="0" collapsed="false">
      <c r="B976" s="57"/>
    </row>
    <row r="977" customFormat="false" ht="15" hidden="false" customHeight="true" outlineLevel="0" collapsed="false">
      <c r="B977" s="57"/>
    </row>
    <row r="978" customFormat="false" ht="15" hidden="false" customHeight="true" outlineLevel="0" collapsed="false">
      <c r="B978" s="57"/>
    </row>
    <row r="979" customFormat="false" ht="15" hidden="false" customHeight="true" outlineLevel="0" collapsed="false">
      <c r="B979" s="57"/>
    </row>
    <row r="980" customFormat="false" ht="15" hidden="false" customHeight="true" outlineLevel="0" collapsed="false">
      <c r="B980" s="57"/>
    </row>
    <row r="981" customFormat="false" ht="15" hidden="false" customHeight="true" outlineLevel="0" collapsed="false">
      <c r="B981" s="57"/>
    </row>
    <row r="982" customFormat="false" ht="15" hidden="false" customHeight="true" outlineLevel="0" collapsed="false">
      <c r="B982" s="57"/>
    </row>
    <row r="983" customFormat="false" ht="15" hidden="false" customHeight="true" outlineLevel="0" collapsed="false">
      <c r="B983" s="57"/>
    </row>
    <row r="984" customFormat="false" ht="15" hidden="false" customHeight="true" outlineLevel="0" collapsed="false">
      <c r="B984" s="57"/>
    </row>
    <row r="985" customFormat="false" ht="15" hidden="false" customHeight="true" outlineLevel="0" collapsed="false">
      <c r="B985" s="57"/>
    </row>
    <row r="986" customFormat="false" ht="15" hidden="false" customHeight="true" outlineLevel="0" collapsed="false">
      <c r="B986" s="57"/>
    </row>
    <row r="987" customFormat="false" ht="15" hidden="false" customHeight="true" outlineLevel="0" collapsed="false">
      <c r="B987" s="57"/>
    </row>
    <row r="988" customFormat="false" ht="15" hidden="false" customHeight="true" outlineLevel="0" collapsed="false">
      <c r="B988" s="57"/>
    </row>
    <row r="989" customFormat="false" ht="15" hidden="false" customHeight="true" outlineLevel="0" collapsed="false">
      <c r="B989" s="57"/>
    </row>
    <row r="990" customFormat="false" ht="15" hidden="false" customHeight="true" outlineLevel="0" collapsed="false">
      <c r="B990" s="57"/>
    </row>
    <row r="991" customFormat="false" ht="15" hidden="false" customHeight="true" outlineLevel="0" collapsed="false">
      <c r="B991" s="57"/>
    </row>
    <row r="992" customFormat="false" ht="15" hidden="false" customHeight="true" outlineLevel="0" collapsed="false">
      <c r="B992" s="57"/>
    </row>
    <row r="993" customFormat="false" ht="15" hidden="false" customHeight="true" outlineLevel="0" collapsed="false">
      <c r="B993" s="57"/>
    </row>
    <row r="994" customFormat="false" ht="15" hidden="false" customHeight="true" outlineLevel="0" collapsed="false">
      <c r="B994" s="57"/>
    </row>
    <row r="995" customFormat="false" ht="15" hidden="false" customHeight="true" outlineLevel="0" collapsed="false">
      <c r="B995" s="57"/>
    </row>
    <row r="996" customFormat="false" ht="15" hidden="false" customHeight="true" outlineLevel="0" collapsed="false">
      <c r="B996" s="57"/>
    </row>
    <row r="997" customFormat="false" ht="15" hidden="false" customHeight="true" outlineLevel="0" collapsed="false">
      <c r="B997" s="57"/>
    </row>
    <row r="998" customFormat="false" ht="15" hidden="false" customHeight="true" outlineLevel="0" collapsed="false">
      <c r="B998" s="57"/>
    </row>
  </sheetData>
  <conditionalFormatting sqref="A2:N998">
    <cfRule type="expression" priority="2" aboveAverage="0" equalAverage="0" bottom="0" percent="0" rank="0" text="" dxfId="10">
      <formula>$C2="US"</formula>
    </cfRule>
    <cfRule type="expression" priority="3" aboveAverage="0" equalAverage="0" bottom="0" percent="0" rank="0" text="" dxfId="11">
      <formula>$C2="MyMSC"</formula>
    </cfRule>
    <cfRule type="expression" priority="4" aboveAverage="0" equalAverage="0" bottom="0" percent="0" rank="0" text="" dxfId="12">
      <formula>$C2="Rollout"</formula>
    </cfRule>
    <cfRule type="expression" priority="5" aboveAverage="0" equalAverage="0" bottom="0" percent="0" rank="0" text="" dxfId="12">
      <formula>$C2="MVP Rollout"</formula>
    </cfRule>
    <cfRule type="expression" priority="6" aboveAverage="0" equalAverage="0" bottom="0" percent="0" rank="0" text="" dxfId="13">
      <formula>$C2="Backlog"</formula>
    </cfRule>
    <cfRule type="expression" priority="7" aboveAverage="0" equalAverage="0" bottom="0" percent="0" rank="0" text="" dxfId="13">
      <formula>$C2="Growth"</formula>
    </cfRule>
    <cfRule type="expression" priority="8" aboveAverage="0" equalAverage="0" bottom="0" percent="0" rank="0" text="" dxfId="14">
      <formula>$C2="Tech Enhancements"</formula>
    </cfRule>
    <cfRule type="expression" priority="9" aboveAverage="0" equalAverage="0" bottom="0" percent="0" rank="0" text="" dxfId="15">
      <formula>LEFT($C2,2)="PI"</formula>
    </cfRule>
  </conditionalFormatting>
  <dataValidations count="4">
    <dataValidation allowBlank="true" errorStyle="stop" operator="between" showDropDown="false" showErrorMessage="false" showInputMessage="false" sqref="G2:G498" type="list">
      <formula1>"Yes,No,TBC"</formula1>
      <formula2>0</formula2>
    </dataValidation>
    <dataValidation allowBlank="true" errorStyle="stop" operator="between" showDropDown="false" showErrorMessage="false" showInputMessage="false" sqref="I2:I498" type="list">
      <formula1>"Clare,Luke,Bipin,Remo,Praneeth"</formula1>
      <formula2>0</formula2>
    </dataValidation>
    <dataValidation allowBlank="true" errorStyle="stop" operator="between" showDropDown="false" showErrorMessage="false" showInputMessage="false" sqref="K2:K498" type="list">
      <formula1>"No Design Required,Ready for Development,Design in Progress,Pending Review,Pending Solution,Pending Design"</formula1>
      <formula2>0</formula2>
    </dataValidation>
    <dataValidation allowBlank="true" errorStyle="stop" operator="between" showDropDown="false" showErrorMessage="false" showInputMessage="false" sqref="M2:M498"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01" activePane="bottomLeft" state="frozen"/>
      <selection pane="topLeft" activeCell="A1" activeCellId="0" sqref="A1"/>
      <selection pane="bottomLeft" activeCell="I25" activeCellId="0" sqref="I25"/>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52"/>
    <col collapsed="false" customWidth="true" hidden="false" outlineLevel="0" max="3" min="3" style="1" width="12"/>
    <col collapsed="false" customWidth="true" hidden="false" outlineLevel="0" max="4" min="4" style="1" width="9.83"/>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2.16"/>
    <col collapsed="false" customWidth="true" hidden="false" outlineLevel="0" max="9" min="9" style="1" width="14.33"/>
    <col collapsed="false" customWidth="true" hidden="false" outlineLevel="0" max="11" min="10" style="1" width="11.5"/>
    <col collapsed="false" customWidth="true" hidden="false" outlineLevel="0" max="12" min="12" style="5" width="18.34"/>
    <col collapsed="false" customWidth="true" hidden="false" outlineLevel="0" max="13" min="13" style="5" width="19.83"/>
    <col collapsed="false" customWidth="true" hidden="false" outlineLevel="0" max="14" min="14" style="1" width="14"/>
    <col collapsed="false" customWidth="true" hidden="false" outlineLevel="0" max="15" min="15" style="5" width="14.52"/>
    <col collapsed="false" customWidth="true" hidden="false" outlineLevel="0" max="17" min="17" style="1" width="26.16"/>
  </cols>
  <sheetData>
    <row r="1" customFormat="false" ht="30" hidden="false" customHeight="true" outlineLevel="0" collapsed="false">
      <c r="A1" s="21" t="s">
        <v>66</v>
      </c>
      <c r="B1" s="22" t="s">
        <v>67</v>
      </c>
      <c r="C1" s="22" t="s">
        <v>69</v>
      </c>
      <c r="D1" s="22" t="s">
        <v>70</v>
      </c>
      <c r="E1" s="22" t="s">
        <v>78</v>
      </c>
      <c r="F1" s="21" t="s">
        <v>391</v>
      </c>
      <c r="G1" s="21" t="s">
        <v>392</v>
      </c>
      <c r="H1" s="21" t="s">
        <v>74</v>
      </c>
      <c r="I1" s="22" t="s">
        <v>71</v>
      </c>
      <c r="J1" s="22" t="s">
        <v>72</v>
      </c>
      <c r="K1" s="21" t="s">
        <v>393</v>
      </c>
      <c r="L1" s="21" t="s">
        <v>394</v>
      </c>
      <c r="M1" s="21" t="s">
        <v>395</v>
      </c>
      <c r="N1" s="21" t="s">
        <v>396</v>
      </c>
      <c r="O1" s="59" t="s">
        <v>397</v>
      </c>
      <c r="P1" s="19" t="s">
        <v>398</v>
      </c>
      <c r="Q1" s="19" t="s">
        <v>79</v>
      </c>
    </row>
    <row r="2" customFormat="false" ht="15" hidden="false" customHeight="true" outlineLevel="0" collapsed="false">
      <c r="A2" s="24" t="str">
        <f aca="false">Backlog!A2</f>
        <v>NEW-0267</v>
      </c>
      <c r="B2" s="26" t="str">
        <f aca="false">IFERROR(IF(ISBLANK(INDEX(Backlog[Requirement Name],MATCH($A2,Backlog[Requirement ID],0))),"",INDEX(Backlog[Requirement Name],MATCH($A2,Backlog[Requirement ID],0))),"")</f>
        <v>Outbound leads - Abandoned Cart - Replacement of Salescycle</v>
      </c>
      <c r="C2" s="26" t="str">
        <f aca="false">IFERROR(IF(ISBLANK(INDEX(Backlog[Stream],MATCH($A2,Backlog[Requirement ID],0))),"",INDEX(Backlog[Stream],MATCH($A2,Backlog[Requirement ID],0))),"")</f>
        <v>US</v>
      </c>
      <c r="D2" s="26" t="str">
        <f aca="false">IFERROR(IF(ISBLANK(INDEX(Backlog[Stream Owner],MATCH($A2,Backlog[Requirement ID],0))),"",INDEX(Backlog[Stream Owner],MATCH($A2,Backlog[Requirement ID],0))),"")</f>
        <v>MA</v>
      </c>
      <c r="E2" s="26" t="str">
        <f aca="false">IFERROR(IF(ISBLANK(INDEX(Backlog[Jira Link],MATCH($A2,Backlog[Requirement ID],0))),"",INDEX(Backlog[Jira Link],MATCH($A2,Backlog[Requirement ID],0))),"")</f>
        <v/>
      </c>
      <c r="F2" s="24" t="s">
        <v>383</v>
      </c>
      <c r="G2" s="24" t="s">
        <v>383</v>
      </c>
      <c r="H2" s="37" t="str">
        <f aca="false">IFERROR(IF(ISBLANK(INDEX(SprintPlanning[Sprint],MATCH($A2,SprintPlanning[Requirement ID],0))),"",INDEX(SprintPlanning[Sprint],MATCH($A2,SprintPlanning[Requirement ID],0))),"")</f>
        <v>To Plan</v>
      </c>
      <c r="I2" s="26" t="str">
        <f aca="false">IFERROR(IF(ISBLANK(INDEX(Backlog[Status],MATCH($A2,Backlog[Requirement ID],0))),"",INDEX(Backlog[Status],MATCH($A2,Backlog[Requirement ID],0))),"")</f>
        <v>ON HOLD</v>
      </c>
      <c r="J2" s="26" t="str">
        <f aca="false">IFERROR(IF(ISBLANK(INDEX(Backlog[Priority],MATCH($A2,Backlog[Requirement ID],0))),"",INDEX(Backlog[Priority],MATCH($A2,Backlog[Requirement ID],0))),"")</f>
        <v>Medium</v>
      </c>
      <c r="K2" s="24" t="s">
        <v>399</v>
      </c>
      <c r="L2" s="60" t="s">
        <v>400</v>
      </c>
      <c r="M2" s="60"/>
      <c r="N2" s="24"/>
      <c r="O2" s="61"/>
      <c r="P2" s="30"/>
      <c r="Q2" s="30"/>
    </row>
    <row r="3" customFormat="false" ht="15" hidden="false" customHeight="true" outlineLevel="0" collapsed="false">
      <c r="A3" s="24" t="str">
        <f aca="false">Backlog!A3</f>
        <v>NEW-0057</v>
      </c>
      <c r="B3" s="26" t="str">
        <f aca="false">IFERROR(IF(ISBLANK(INDEX(Backlog[Requirement Name],MATCH($A3,Backlog[Requirement ID],0))),"",INDEX(Backlog[Requirement Name],MATCH($A3,Backlog[Requirement ID],0))),"")</f>
        <v>API Prod Configurations - Attentive / Webforms</v>
      </c>
      <c r="C3" s="26" t="str">
        <f aca="false">IFERROR(IF(ISBLANK(INDEX(Backlog[Stream],MATCH($A3,Backlog[Requirement ID],0))),"",INDEX(Backlog[Stream],MATCH($A3,Backlog[Requirement ID],0))),"")</f>
        <v>US</v>
      </c>
      <c r="D3" s="26" t="str">
        <f aca="false">IFERROR(IF(ISBLANK(INDEX(Backlog[Stream Owner],MATCH($A3,Backlog[Requirement ID],0))),"",INDEX(Backlog[Stream Owner],MATCH($A3,Backlog[Requirement ID],0))),"")</f>
        <v>B2CW</v>
      </c>
      <c r="E3" s="26" t="str">
        <f aca="false">IFERROR(IF(ISBLANK(INDEX(Backlog[Jira Link],MATCH($A3,Backlog[Requirement ID],0))),"",INDEX(Backlog[Jira Link],MATCH($A3,Backlog[Requirement ID],0))),"")</f>
        <v>https://smartship.atlassian.net/browse/MDTTPU-14019</v>
      </c>
      <c r="F3" s="24"/>
      <c r="G3" s="24"/>
      <c r="H3" s="37" t="str">
        <f aca="false">IFERROR(IF(ISBLANK(INDEX(SprintPlanning[Sprint],MATCH($A3,SprintPlanning[Requirement ID],0))),"",INDEX(SprintPlanning[Sprint],MATCH($A3,SprintPlanning[Requirement ID],0))),"")</f>
        <v>Sprint 10</v>
      </c>
      <c r="I3" s="26" t="str">
        <f aca="false">IFERROR(IF(ISBLANK(INDEX(Backlog[Status],MATCH($A3,Backlog[Requirement ID],0))),"",INDEX(Backlog[Status],MATCH($A3,Backlog[Requirement ID],0))),"")</f>
        <v>IN PROGRESS</v>
      </c>
      <c r="J3" s="26" t="str">
        <f aca="false">IFERROR(IF(ISBLANK(INDEX(Backlog[Priority],MATCH($A3,Backlog[Requirement ID],0))),"",INDEX(Backlog[Priority],MATCH($A3,Backlog[Requirement ID],0))),"")</f>
        <v>High</v>
      </c>
      <c r="K3" s="24"/>
      <c r="L3" s="60"/>
      <c r="M3" s="60"/>
      <c r="N3" s="24"/>
      <c r="O3" s="61"/>
      <c r="P3" s="30"/>
      <c r="Q3" s="30"/>
    </row>
    <row r="4" customFormat="false" ht="36" hidden="false" customHeight="true" outlineLevel="0" collapsed="false">
      <c r="A4" s="24" t="str">
        <f aca="false">Backlog!A4</f>
        <v>NEW-0058</v>
      </c>
      <c r="B4" s="26" t="str">
        <f aca="false">IFERROR(IF(ISBLANK(INDEX(Backlog[Requirement Name],MATCH($A4,Backlog[Requirement ID],0))),"",INDEX(Backlog[Requirement Name],MATCH($A4,Backlog[Requirement ID],0))),"")</f>
        <v>CR - Attentive Error Scenarios INT 175</v>
      </c>
      <c r="C4" s="26" t="str">
        <f aca="false">IFERROR(IF(ISBLANK(INDEX(Backlog[Stream],MATCH($A4,Backlog[Requirement ID],0))),"",INDEX(Backlog[Stream],MATCH($A4,Backlog[Requirement ID],0))),"")</f>
        <v>US</v>
      </c>
      <c r="D4" s="26" t="str">
        <f aca="false">IFERROR(IF(ISBLANK(INDEX(Backlog[Stream Owner],MATCH($A4,Backlog[Requirement ID],0))),"",INDEX(Backlog[Stream Owner],MATCH($A4,Backlog[Requirement ID],0))),"")</f>
        <v>MA</v>
      </c>
      <c r="E4" s="26" t="str">
        <f aca="false">IFERROR(IF(ISBLANK(INDEX(Backlog[Jira Link],MATCH($A4,Backlog[Requirement ID],0))),"",INDEX(Backlog[Jira Link],MATCH($A4,Backlog[Requirement ID],0))),"")</f>
        <v>https://smartship.atlassian.net/browse/MDTTPU-13413</v>
      </c>
      <c r="F4" s="24" t="s">
        <v>383</v>
      </c>
      <c r="G4" s="24" t="s">
        <v>383</v>
      </c>
      <c r="H4" s="37" t="str">
        <f aca="false">IFERROR(IF(ISBLANK(INDEX(SprintPlanning[Sprint],MATCH($A4,SprintPlanning[Requirement ID],0))),"",INDEX(SprintPlanning[Sprint],MATCH($A4,SprintPlanning[Requirement ID],0))),"")</f>
        <v>Sprint 10</v>
      </c>
      <c r="I4" s="26" t="str">
        <f aca="false">IFERROR(IF(ISBLANK(INDEX(Backlog[Status],MATCH($A4,Backlog[Requirement ID],0))),"",INDEX(Backlog[Status],MATCH($A4,Backlog[Requirement ID],0))),"")</f>
        <v>IN PROGRESS</v>
      </c>
      <c r="J4" s="26" t="str">
        <f aca="false">IFERROR(IF(ISBLANK(INDEX(Backlog[Priority],MATCH($A4,Backlog[Requirement ID],0))),"",INDEX(Backlog[Priority],MATCH($A4,Backlog[Requirement ID],0))),"")</f>
        <v>Medium</v>
      </c>
      <c r="K4" s="24" t="s">
        <v>164</v>
      </c>
      <c r="L4" s="60" t="s">
        <v>401</v>
      </c>
      <c r="M4" s="60"/>
      <c r="N4" s="24" t="s">
        <v>402</v>
      </c>
      <c r="O4" s="61" t="s">
        <v>403</v>
      </c>
      <c r="P4" s="30"/>
      <c r="Q4" s="30"/>
    </row>
    <row r="5" customFormat="false" ht="15" hidden="false" customHeight="true" outlineLevel="0" collapsed="false">
      <c r="A5" s="24" t="str">
        <f aca="false">Backlog!A5</f>
        <v>NEW-0060</v>
      </c>
      <c r="B5" s="26" t="str">
        <f aca="false">IFERROR(IF(ISBLANK(INDEX(Backlog[Requirement Name],MATCH($A5,Backlog[Requirement ID],0))),"",INDEX(Backlog[Requirement Name],MATCH($A5,Backlog[Requirement ID],0))),"")</f>
        <v>US Configuration myMSC - Production</v>
      </c>
      <c r="C5" s="26" t="str">
        <f aca="false">IFERROR(IF(ISBLANK(INDEX(Backlog[Stream],MATCH($A5,Backlog[Requirement ID],0))),"",INDEX(Backlog[Stream],MATCH($A5,Backlog[Requirement ID],0))),"")</f>
        <v>US</v>
      </c>
      <c r="D5" s="26" t="str">
        <f aca="false">IFERROR(IF(ISBLANK(INDEX(Backlog[Stream Owner],MATCH($A5,Backlog[Requirement ID],0))),"",INDEX(Backlog[Stream Owner],MATCH($A5,Backlog[Requirement ID],0))),"")</f>
        <v>B2CW</v>
      </c>
      <c r="E5" s="26" t="str">
        <f aca="false">IFERROR(IF(ISBLANK(INDEX(Backlog[Jira Link],MATCH($A5,Backlog[Requirement ID],0))),"",INDEX(Backlog[Jira Link],MATCH($A5,Backlog[Requirement ID],0))),"")</f>
        <v>https://smartship.atlassian.net/browse/MDTTPU-14018</v>
      </c>
      <c r="F5" s="24" t="s">
        <v>387</v>
      </c>
      <c r="G5" s="24" t="s">
        <v>387</v>
      </c>
      <c r="H5" s="37" t="str">
        <f aca="false">IFERROR(IF(ISBLANK(INDEX(SprintPlanning[Sprint],MATCH($A5,SprintPlanning[Requirement ID],0))),"",INDEX(SprintPlanning[Sprint],MATCH($A5,SprintPlanning[Requirement ID],0))),"")</f>
        <v>Sprint 10</v>
      </c>
      <c r="I5" s="26" t="str">
        <f aca="false">IFERROR(IF(ISBLANK(INDEX(Backlog[Status],MATCH($A5,Backlog[Requirement ID],0))),"",INDEX(Backlog[Status],MATCH($A5,Backlog[Requirement ID],0))),"")</f>
        <v>IN PROGRESS</v>
      </c>
      <c r="J5" s="26" t="str">
        <f aca="false">IFERROR(IF(ISBLANK(INDEX(Backlog[Priority],MATCH($A5,Backlog[Requirement ID],0))),"",INDEX(Backlog[Priority],MATCH($A5,Backlog[Requirement ID],0))),"")</f>
        <v>High</v>
      </c>
      <c r="K5" s="24"/>
      <c r="L5" s="60"/>
      <c r="M5" s="60"/>
      <c r="N5" s="24"/>
      <c r="O5" s="61"/>
      <c r="P5" s="30"/>
      <c r="Q5" s="30"/>
    </row>
    <row r="6" customFormat="false" ht="15" hidden="false" customHeight="true" outlineLevel="0" collapsed="false">
      <c r="A6" s="24" t="str">
        <f aca="false">Backlog!A6</f>
        <v>NEW-0061</v>
      </c>
      <c r="B6" s="26" t="str">
        <f aca="false">IFERROR(IF(ISBLANK(INDEX(Backlog[Requirement Name],MATCH($A6,Backlog[Requirement ID],0))),"",INDEX(Backlog[Requirement Name],MATCH($A6,Backlog[Requirement ID],0))),"")</f>
        <v>Load Test + Performance Enhancements - Part 1</v>
      </c>
      <c r="C6" s="26" t="str">
        <f aca="false">IFERROR(IF(ISBLANK(INDEX(Backlog[Stream],MATCH($A6,Backlog[Requirement ID],0))),"",INDEX(Backlog[Stream],MATCH($A6,Backlog[Requirement ID],0))),"")</f>
        <v>US</v>
      </c>
      <c r="D6" s="26" t="str">
        <f aca="false">IFERROR(IF(ISBLANK(INDEX(Backlog[Stream Owner],MATCH($A6,Backlog[Requirement ID],0))),"",INDEX(Backlog[Stream Owner],MATCH($A6,Backlog[Requirement ID],0))),"")</f>
        <v>ALL</v>
      </c>
      <c r="E6" s="26" t="str">
        <f aca="false">IFERROR(IF(ISBLANK(INDEX(Backlog[Jira Link],MATCH($A6,Backlog[Requirement ID],0))),"",INDEX(Backlog[Jira Link],MATCH($A6,Backlog[Requirement ID],0))),"")</f>
        <v>https://smartship.atlassian.net/browse/MDTTPU-15260</v>
      </c>
      <c r="F6" s="24" t="s">
        <v>387</v>
      </c>
      <c r="G6" s="24" t="s">
        <v>387</v>
      </c>
      <c r="H6" s="37" t="str">
        <f aca="false">IFERROR(IF(ISBLANK(INDEX(SprintPlanning[Sprint],MATCH($A6,SprintPlanning[Requirement ID],0))),"",INDEX(SprintPlanning[Sprint],MATCH($A6,SprintPlanning[Requirement ID],0))),"")</f>
        <v>Sprint 10</v>
      </c>
      <c r="I6" s="26" t="str">
        <f aca="false">IFERROR(IF(ISBLANK(INDEX(Backlog[Status],MATCH($A6,Backlog[Requirement ID],0))),"",INDEX(Backlog[Status],MATCH($A6,Backlog[Requirement ID],0))),"")</f>
        <v>IN PROGRESS</v>
      </c>
      <c r="J6" s="26" t="str">
        <f aca="false">IFERROR(IF(ISBLANK(INDEX(Backlog[Priority],MATCH($A6,Backlog[Requirement ID],0))),"",INDEX(Backlog[Priority],MATCH($A6,Backlog[Requirement ID],0))),"")</f>
        <v>High</v>
      </c>
      <c r="K6" s="24"/>
      <c r="L6" s="60"/>
      <c r="M6" s="60"/>
      <c r="N6" s="24"/>
      <c r="O6" s="61"/>
      <c r="P6" s="30"/>
      <c r="Q6" s="30"/>
    </row>
    <row r="7" customFormat="false" ht="15" hidden="false" customHeight="true" outlineLevel="0" collapsed="false">
      <c r="A7" s="24" t="str">
        <f aca="false">Backlog!A7</f>
        <v>NEW-0071</v>
      </c>
      <c r="B7" s="26" t="str">
        <f aca="false">IFERROR(IF(ISBLANK(INDEX(Backlog[Requirement Name],MATCH($A7,Backlog[Requirement ID],0))),"",INDEX(Backlog[Requirement Name],MATCH($A7,Backlog[Requirement ID],0))),"")</f>
        <v>E2E Ticket Support - FAT and Canary Tests</v>
      </c>
      <c r="C7" s="26" t="str">
        <f aca="false">IFERROR(IF(ISBLANK(INDEX(Backlog[Stream],MATCH($A7,Backlog[Requirement ID],0))),"",INDEX(Backlog[Stream],MATCH($A7,Backlog[Requirement ID],0))),"")</f>
        <v>US</v>
      </c>
      <c r="D7" s="26" t="str">
        <f aca="false">IFERROR(IF(ISBLANK(INDEX(Backlog[Stream Owner],MATCH($A7,Backlog[Requirement ID],0))),"",INDEX(Backlog[Stream Owner],MATCH($A7,Backlog[Requirement ID],0))),"")</f>
        <v>ALL</v>
      </c>
      <c r="E7" s="26" t="str">
        <f aca="false">IFERROR(IF(ISBLANK(INDEX(Backlog[Jira Link],MATCH($A7,Backlog[Requirement ID],0))),"",INDEX(Backlog[Jira Link],MATCH($A7,Backlog[Requirement ID],0))),"")</f>
        <v>https://smartship.atlassian.net/browse/DTTP25-41779</v>
      </c>
      <c r="F7" s="24" t="s">
        <v>387</v>
      </c>
      <c r="G7" s="24" t="s">
        <v>387</v>
      </c>
      <c r="H7" s="37" t="str">
        <f aca="false">IFERROR(IF(ISBLANK(INDEX(SprintPlanning[Sprint],MATCH($A7,SprintPlanning[Requirement ID],0))),"",INDEX(SprintPlanning[Sprint],MATCH($A7,SprintPlanning[Requirement ID],0))),"")</f>
        <v>Sprint 10</v>
      </c>
      <c r="I7" s="26" t="str">
        <f aca="false">IFERROR(IF(ISBLANK(INDEX(Backlog[Status],MATCH($A7,Backlog[Requirement ID],0))),"",INDEX(Backlog[Status],MATCH($A7,Backlog[Requirement ID],0))),"")</f>
        <v>IN PROGRESS</v>
      </c>
      <c r="J7" s="26" t="str">
        <f aca="false">IFERROR(IF(ISBLANK(INDEX(Backlog[Priority],MATCH($A7,Backlog[Requirement ID],0))),"",INDEX(Backlog[Priority],MATCH($A7,Backlog[Requirement ID],0))),"")</f>
        <v>High</v>
      </c>
      <c r="K7" s="24"/>
      <c r="L7" s="60"/>
      <c r="M7" s="60"/>
      <c r="N7" s="24"/>
      <c r="O7" s="61"/>
      <c r="P7" s="30"/>
      <c r="Q7" s="30"/>
    </row>
    <row r="8" customFormat="false" ht="15" hidden="false" customHeight="true" outlineLevel="0" collapsed="false">
      <c r="A8" s="24" t="str">
        <f aca="false">Backlog!A8</f>
        <v>NEW-0275</v>
      </c>
      <c r="B8" s="26" t="str">
        <f aca="false">IFERROR(IF(ISBLANK(INDEX(Backlog[Requirement Name],MATCH($A8,Backlog[Requirement ID],0))),"",INDEX(Backlog[Requirement Name],MATCH($A8,Backlog[Requirement ID],0))),"")</f>
        <v>[EINT] [Tech Task] INT172 INT174 - Attentive Error Scenarios</v>
      </c>
      <c r="C8" s="26" t="str">
        <f aca="false">IFERROR(IF(ISBLANK(INDEX(Backlog[Stream],MATCH($A8,Backlog[Requirement ID],0))),"",INDEX(Backlog[Stream],MATCH($A8,Backlog[Requirement ID],0))),"")</f>
        <v>US</v>
      </c>
      <c r="D8" s="26" t="str">
        <f aca="false">IFERROR(IF(ISBLANK(INDEX(Backlog[Stream Owner],MATCH($A8,Backlog[Requirement ID],0))),"",INDEX(Backlog[Stream Owner],MATCH($A8,Backlog[Requirement ID],0))),"")</f>
        <v>MA</v>
      </c>
      <c r="E8" s="26" t="str">
        <f aca="false">IFERROR(IF(ISBLANK(INDEX(Backlog[Jira Link],MATCH($A8,Backlog[Requirement ID],0))),"",INDEX(Backlog[Jira Link],MATCH($A8,Backlog[Requirement ID],0))),"")</f>
        <v>https://smartship.atlassian.net/browse/MDTTPU-13796</v>
      </c>
      <c r="F8" s="24" t="s">
        <v>387</v>
      </c>
      <c r="G8" s="24" t="s">
        <v>387</v>
      </c>
      <c r="H8" s="37" t="str">
        <f aca="false">IFERROR(IF(ISBLANK(INDEX(SprintPlanning[Sprint],MATCH($A8,SprintPlanning[Requirement ID],0))),"",INDEX(SprintPlanning[Sprint],MATCH($A8,SprintPlanning[Requirement ID],0))),"")</f>
        <v>Sprint 10</v>
      </c>
      <c r="I8" s="26" t="str">
        <f aca="false">IFERROR(IF(ISBLANK(INDEX(Backlog[Status],MATCH($A8,Backlog[Requirement ID],0))),"",INDEX(Backlog[Status],MATCH($A8,Backlog[Requirement ID],0))),"")</f>
        <v>IN PROGRESS</v>
      </c>
      <c r="J8" s="26" t="str">
        <f aca="false">IFERROR(IF(ISBLANK(INDEX(Backlog[Priority],MATCH($A8,Backlog[Requirement ID],0))),"",INDEX(Backlog[Priority],MATCH($A8,Backlog[Requirement ID],0))),"")</f>
        <v>Medium</v>
      </c>
      <c r="K8" s="24"/>
      <c r="L8" s="60"/>
      <c r="M8" s="60"/>
      <c r="N8" s="24"/>
      <c r="O8" s="61"/>
      <c r="P8" s="30"/>
      <c r="Q8" s="30"/>
    </row>
    <row r="9" customFormat="false" ht="15" hidden="false" customHeight="true" outlineLevel="0" collapsed="false">
      <c r="A9" s="24" t="str">
        <f aca="false">Backlog!A9</f>
        <v>NEW-0368</v>
      </c>
      <c r="B9" s="26" t="str">
        <f aca="false">IFERROR(IF(ISBLANK(INDEX(Backlog[Requirement Name],MATCH($A9,Backlog[Requirement ID],0))),"",INDEX(Backlog[Requirement Name],MATCH($A9,Backlog[Requirement ID],0))),"")</f>
        <v>MyMSC US | [INT112][INT137][INT140][INT146][INT153][INT154][INT188] Add per-country/language MyMSC campaign config check to skip optional marketing automation calls</v>
      </c>
      <c r="C9" s="26" t="str">
        <f aca="false">IFERROR(IF(ISBLANK(INDEX(Backlog[Stream],MATCH($A9,Backlog[Requirement ID],0))),"",INDEX(Backlog[Stream],MATCH($A9,Backlog[Requirement ID],0))),"")</f>
        <v>Growth</v>
      </c>
      <c r="D9" s="26" t="str">
        <f aca="false">IFERROR(IF(ISBLANK(INDEX(Backlog[Stream Owner],MATCH($A9,Backlog[Requirement ID],0))),"",INDEX(Backlog[Stream Owner],MATCH($A9,Backlog[Requirement ID],0))),"")</f>
        <v>MA</v>
      </c>
      <c r="E9" s="26" t="str">
        <f aca="false">IFERROR(IF(ISBLANK(INDEX(Backlog[Jira Link],MATCH($A9,Backlog[Requirement ID],0))),"",INDEX(Backlog[Jira Link],MATCH($A9,Backlog[Requirement ID],0))),"")</f>
        <v>https://smartship.atlassian.net/browse/MDTTPU-14929</v>
      </c>
      <c r="F9" s="24" t="s">
        <v>387</v>
      </c>
      <c r="G9" s="24" t="s">
        <v>387</v>
      </c>
      <c r="H9" s="37" t="str">
        <f aca="false">IFERROR(IF(ISBLANK(INDEX(SprintPlanning[Sprint],MATCH($A9,SprintPlanning[Requirement ID],0))),"",INDEX(SprintPlanning[Sprint],MATCH($A9,SprintPlanning[Requirement ID],0))),"")</f>
        <v>Sprint 10</v>
      </c>
      <c r="I9" s="26" t="str">
        <f aca="false">IFERROR(IF(ISBLANK(INDEX(Backlog[Status],MATCH($A9,Backlog[Requirement ID],0))),"",INDEX(Backlog[Status],MATCH($A9,Backlog[Requirement ID],0))),"")</f>
        <v>IN PROGRESS</v>
      </c>
      <c r="J9" s="26" t="str">
        <f aca="false">IFERROR(IF(ISBLANK(INDEX(Backlog[Priority],MATCH($A9,Backlog[Requirement ID],0))),"",INDEX(Backlog[Priority],MATCH($A9,Backlog[Requirement ID],0))),"")</f>
        <v>High</v>
      </c>
      <c r="K9" s="24"/>
      <c r="L9" s="60"/>
      <c r="M9" s="60"/>
      <c r="N9" s="24"/>
      <c r="O9" s="61"/>
      <c r="P9" s="30"/>
      <c r="Q9" s="30"/>
    </row>
    <row r="10" customFormat="false" ht="15" hidden="false" customHeight="true" outlineLevel="0" collapsed="false">
      <c r="A10" s="24" t="str">
        <f aca="false">Backlog!A10</f>
        <v>NEW-0389</v>
      </c>
      <c r="B10" s="26" t="str">
        <f aca="false">IFERROR(IF(ISBLANK(INDEX(Backlog[Requirement Name],MATCH($A10,Backlog[Requirement ID],0))),"",INDEX(Backlog[Requirement Name],MATCH($A10,Backlog[Requirement ID],0))),"")</f>
        <v>[DTTP] Implementation of Online Post-Cruise Complaint Form – Salesforce Integration_EA</v>
      </c>
      <c r="C10" s="26" t="str">
        <f aca="false">IFERROR(IF(ISBLANK(INDEX(Backlog[Stream],MATCH($A10,Backlog[Requirement ID],0))),"",INDEX(Backlog[Stream],MATCH($A10,Backlog[Requirement ID],0))),"")</f>
        <v>PI10</v>
      </c>
      <c r="D10" s="26" t="str">
        <f aca="false">IFERROR(IF(ISBLANK(INDEX(Backlog[Stream Owner],MATCH($A10,Backlog[Requirement ID],0))),"",INDEX(Backlog[Stream Owner],MATCH($A10,Backlog[Requirement ID],0))),"")</f>
        <v>B2CW</v>
      </c>
      <c r="E10" s="26" t="str">
        <f aca="false">IFERROR(IF(ISBLANK(INDEX(Backlog[Jira Link],MATCH($A10,Backlog[Requirement ID],0))),"",INDEX(Backlog[Jira Link],MATCH($A10,Backlog[Requirement ID],0))),"")</f>
        <v>https://smartship.atlassian.net/browse/DTTP25-40322</v>
      </c>
      <c r="F10" s="24" t="s">
        <v>387</v>
      </c>
      <c r="G10" s="24" t="s">
        <v>387</v>
      </c>
      <c r="H10" s="37" t="str">
        <f aca="false">IFERROR(IF(ISBLANK(INDEX(SprintPlanning[Sprint],MATCH($A10,SprintPlanning[Requirement ID],0))),"",INDEX(SprintPlanning[Sprint],MATCH($A10,SprintPlanning[Requirement ID],0))),"")</f>
        <v>Sprint 10</v>
      </c>
      <c r="I10" s="26" t="str">
        <f aca="false">IFERROR(IF(ISBLANK(INDEX(Backlog[Status],MATCH($A10,Backlog[Requirement ID],0))),"",INDEX(Backlog[Status],MATCH($A10,Backlog[Requirement ID],0))),"")</f>
        <v>IN PROGRESS</v>
      </c>
      <c r="J10" s="26" t="str">
        <f aca="false">IFERROR(IF(ISBLANK(INDEX(Backlog[Priority],MATCH($A10,Backlog[Requirement ID],0))),"",INDEX(Backlog[Priority],MATCH($A10,Backlog[Requirement ID],0))),"")</f>
        <v>Medium</v>
      </c>
      <c r="K10" s="24"/>
      <c r="L10" s="60"/>
      <c r="M10" s="60"/>
      <c r="N10" s="24"/>
      <c r="O10" s="61"/>
      <c r="P10" s="30"/>
      <c r="Q10" s="30"/>
    </row>
    <row r="11" customFormat="false" ht="15" hidden="false" customHeight="true" outlineLevel="0" collapsed="false">
      <c r="A11" s="24" t="str">
        <f aca="false">Backlog!A11</f>
        <v>NEW-0408</v>
      </c>
      <c r="B11" s="26" t="str">
        <f aca="false">IFERROR(IF(ISBLANK(INDEX(Backlog[Requirement Name],MATCH($A11,Backlog[Requirement ID],0))),"",INDEX(Backlog[Requirement Name],MATCH($A11,Backlog[Requirement ID],0))),"")</f>
        <v>US Growth - B2CW Payment billing data/ US Release ACS Check - Part 1 (Adding the new fields to INT007, INT140, INT146)</v>
      </c>
      <c r="C11" s="26" t="str">
        <f aca="false">IFERROR(IF(ISBLANK(INDEX(Backlog[Stream],MATCH($A11,Backlog[Requirement ID],0))),"",INDEX(Backlog[Stream],MATCH($A11,Backlog[Requirement ID],0))),"")</f>
        <v>Growth</v>
      </c>
      <c r="D11" s="26" t="str">
        <f aca="false">IFERROR(IF(ISBLANK(INDEX(Backlog[Stream Owner],MATCH($A11,Backlog[Requirement ID],0))),"",INDEX(Backlog[Stream Owner],MATCH($A11,Backlog[Requirement ID],0))),"")</f>
        <v>B2CW</v>
      </c>
      <c r="E11" s="26" t="str">
        <f aca="false">IFERROR(IF(ISBLANK(INDEX(Backlog[Jira Link],MATCH($A11,Backlog[Requirement ID],0))),"",INDEX(Backlog[Jira Link],MATCH($A11,Backlog[Requirement ID],0))),"")</f>
        <v>https://smartship.atlassian.net/browse/MDTTPU-15252</v>
      </c>
      <c r="F11" s="24" t="s">
        <v>387</v>
      </c>
      <c r="G11" s="24" t="s">
        <v>387</v>
      </c>
      <c r="H11" s="37" t="str">
        <f aca="false">IFERROR(IF(ISBLANK(INDEX(SprintPlanning[Sprint],MATCH($A11,SprintPlanning[Requirement ID],0))),"",INDEX(SprintPlanning[Sprint],MATCH($A11,SprintPlanning[Requirement ID],0))),"")</f>
        <v>Sprint 10</v>
      </c>
      <c r="I11" s="26" t="str">
        <f aca="false">IFERROR(IF(ISBLANK(INDEX(Backlog[Status],MATCH($A11,Backlog[Requirement ID],0))),"",INDEX(Backlog[Status],MATCH($A11,Backlog[Requirement ID],0))),"")</f>
        <v>NEW</v>
      </c>
      <c r="J11" s="26" t="str">
        <f aca="false">IFERROR(IF(ISBLANK(INDEX(Backlog[Priority],MATCH($A11,Backlog[Requirement ID],0))),"",INDEX(Backlog[Priority],MATCH($A11,Backlog[Requirement ID],0))),"")</f>
        <v>High</v>
      </c>
      <c r="K11" s="24"/>
      <c r="L11" s="60"/>
      <c r="M11" s="60"/>
      <c r="N11" s="24"/>
      <c r="O11" s="61"/>
      <c r="P11" s="30"/>
      <c r="Q11" s="30"/>
    </row>
    <row r="12" customFormat="false" ht="15" hidden="false" customHeight="true" outlineLevel="0" collapsed="false">
      <c r="A12" s="24" t="str">
        <f aca="false">Backlog!A12</f>
        <v>NEW-0411</v>
      </c>
      <c r="B12" s="26" t="str">
        <f aca="false">IFERROR(IF(ISBLANK(INDEX(Backlog[Requirement Name],MATCH($A12,Backlog[Requirement ID],0))),"",INDEX(Backlog[Requirement Name],MATCH($A12,Backlog[Requirement ID],0))),"")</f>
        <v>Load Test Perf - Support &amp; Analysis</v>
      </c>
      <c r="C12" s="26" t="str">
        <f aca="false">IFERROR(IF(ISBLANK(INDEX(Backlog[Stream],MATCH($A12,Backlog[Requirement ID],0))),"",INDEX(Backlog[Stream],MATCH($A12,Backlog[Requirement ID],0))),"")</f>
        <v>US</v>
      </c>
      <c r="D12" s="26" t="str">
        <f aca="false">IFERROR(IF(ISBLANK(INDEX(Backlog[Stream Owner],MATCH($A12,Backlog[Requirement ID],0))),"",INDEX(Backlog[Stream Owner],MATCH($A12,Backlog[Requirement ID],0))),"")</f>
        <v>ALL</v>
      </c>
      <c r="E12" s="26" t="str">
        <f aca="false">IFERROR(IF(ISBLANK(INDEX(Backlog[Jira Link],MATCH($A12,Backlog[Requirement ID],0))),"",INDEX(Backlog[Jira Link],MATCH($A12,Backlog[Requirement ID],0))),"")</f>
        <v>https://smartship.atlassian.net/browse/MDTTPU-15252</v>
      </c>
      <c r="F12" s="24" t="s">
        <v>387</v>
      </c>
      <c r="G12" s="24" t="s">
        <v>387</v>
      </c>
      <c r="H12" s="37" t="str">
        <f aca="false">IFERROR(IF(ISBLANK(INDEX(SprintPlanning[Sprint],MATCH($A12,SprintPlanning[Requirement ID],0))),"",INDEX(SprintPlanning[Sprint],MATCH($A12,SprintPlanning[Requirement ID],0))),"")</f>
        <v>Sprint 10</v>
      </c>
      <c r="I12" s="26" t="str">
        <f aca="false">IFERROR(IF(ISBLANK(INDEX(Backlog[Status],MATCH($A12,Backlog[Requirement ID],0))),"",INDEX(Backlog[Status],MATCH($A12,Backlog[Requirement ID],0))),"")</f>
        <v>IN PROGRESS</v>
      </c>
      <c r="J12" s="26" t="str">
        <f aca="false">IFERROR(IF(ISBLANK(INDEX(Backlog[Priority],MATCH($A12,Backlog[Requirement ID],0))),"",INDEX(Backlog[Priority],MATCH($A12,Backlog[Requirement ID],0))),"")</f>
        <v>High</v>
      </c>
      <c r="K12" s="24"/>
      <c r="L12" s="60"/>
      <c r="M12" s="60"/>
      <c r="N12" s="24"/>
      <c r="O12" s="61"/>
      <c r="P12" s="30"/>
      <c r="Q12" s="30"/>
    </row>
    <row r="13" customFormat="false" ht="15" hidden="false" customHeight="true" outlineLevel="0" collapsed="false">
      <c r="A13" s="24" t="str">
        <f aca="false">Backlog!A13</f>
        <v>NEW-0412</v>
      </c>
      <c r="B13" s="26" t="str">
        <f aca="false">IFERROR(IF(ISBLANK(INDEX(Backlog[Requirement Name],MATCH($A13,Backlog[Requirement ID],0))),"",INDEX(Backlog[Requirement Name],MATCH($A13,Backlog[Requirement ID],0))),"")</f>
        <v>US 0.1 Release Preparation - Aug 24</v>
      </c>
      <c r="C13" s="26" t="str">
        <f aca="false">IFERROR(IF(ISBLANK(INDEX(Backlog[Stream],MATCH($A13,Backlog[Requirement ID],0))),"",INDEX(Backlog[Stream],MATCH($A13,Backlog[Requirement ID],0))),"")</f>
        <v>Cross</v>
      </c>
      <c r="D13" s="26" t="str">
        <f aca="false">IFERROR(IF(ISBLANK(INDEX(Backlog[Stream Owner],MATCH($A13,Backlog[Requirement ID],0))),"",INDEX(Backlog[Stream Owner],MATCH($A13,Backlog[Requirement ID],0))),"")</f>
        <v>ALL</v>
      </c>
      <c r="E13" s="26" t="str">
        <f aca="false">IFERROR(IF(ISBLANK(INDEX(Backlog[Jira Link],MATCH($A13,Backlog[Requirement ID],0))),"",INDEX(Backlog[Jira Link],MATCH($A13,Backlog[Requirement ID],0))),"")</f>
        <v>https://smartship.atlassian.net/browse/MDTTPU-15262</v>
      </c>
      <c r="F13" s="24" t="s">
        <v>387</v>
      </c>
      <c r="G13" s="24" t="s">
        <v>387</v>
      </c>
      <c r="H13" s="37" t="str">
        <f aca="false">IFERROR(IF(ISBLANK(INDEX(SprintPlanning[Sprint],MATCH($A13,SprintPlanning[Requirement ID],0))),"",INDEX(SprintPlanning[Sprint],MATCH($A13,SprintPlanning[Requirement ID],0))),"")</f>
        <v>Sprint 10</v>
      </c>
      <c r="I13" s="26" t="str">
        <f aca="false">IFERROR(IF(ISBLANK(INDEX(Backlog[Status],MATCH($A13,Backlog[Requirement ID],0))),"",INDEX(Backlog[Status],MATCH($A13,Backlog[Requirement ID],0))),"")</f>
        <v>IN PROGRESS</v>
      </c>
      <c r="J13" s="26" t="str">
        <f aca="false">IFERROR(IF(ISBLANK(INDEX(Backlog[Priority],MATCH($A13,Backlog[Requirement ID],0))),"",INDEX(Backlog[Priority],MATCH($A13,Backlog[Requirement ID],0))),"")</f>
        <v>High</v>
      </c>
      <c r="K13" s="24"/>
      <c r="L13" s="60" t="s">
        <v>404</v>
      </c>
      <c r="M13" s="60"/>
      <c r="N13" s="24"/>
      <c r="O13" s="61"/>
      <c r="P13" s="30"/>
      <c r="Q13" s="30"/>
    </row>
    <row r="14" customFormat="false" ht="15" hidden="false" customHeight="true" outlineLevel="0" collapsed="false">
      <c r="A14" s="24" t="str">
        <f aca="false">Backlog!A14</f>
        <v>NEW-0064</v>
      </c>
      <c r="B14" s="26" t="str">
        <f aca="false">IFERROR(IF(ISBLANK(INDEX(Backlog[Requirement Name],MATCH($A14,Backlog[Requirement ID],0))),"",INDEX(Backlog[Requirement Name],MATCH($A14,Backlog[Requirement ID],0))),"")</f>
        <v>ZAF Rollout - Market Configurations in CHAIN1 &amp; CHAIN2 and PROD</v>
      </c>
      <c r="C14" s="26" t="str">
        <f aca="false">IFERROR(IF(ISBLANK(INDEX(Backlog[Stream],MATCH($A14,Backlog[Requirement ID],0))),"",INDEX(Backlog[Stream],MATCH($A14,Backlog[Requirement ID],0))),"")</f>
        <v>MVP Rollout</v>
      </c>
      <c r="D14" s="26" t="str">
        <f aca="false">IFERROR(IF(ISBLANK(INDEX(Backlog[Stream Owner],MATCH($A14,Backlog[Requirement ID],0))),"",INDEX(Backlog[Stream Owner],MATCH($A14,Backlog[Requirement ID],0))),"")</f>
        <v>B2CW</v>
      </c>
      <c r="E14" s="26" t="str">
        <f aca="false">IFERROR(IF(ISBLANK(INDEX(Backlog[Jira Link],MATCH($A14,Backlog[Requirement ID],0))),"",INDEX(Backlog[Jira Link],MATCH($A14,Backlog[Requirement ID],0))),"")</f>
        <v>https://smartship.atlassian.net/browse/DTTP25-41351</v>
      </c>
      <c r="F14" s="24" t="s">
        <v>383</v>
      </c>
      <c r="G14" s="24" t="s">
        <v>387</v>
      </c>
      <c r="H14" s="37" t="str">
        <f aca="false">IFERROR(IF(ISBLANK(INDEX(SprintPlanning[Sprint],MATCH($A14,SprintPlanning[Requirement ID],0))),"",INDEX(SprintPlanning[Sprint],MATCH($A14,SprintPlanning[Requirement ID],0))),"")</f>
        <v>Sprint 11</v>
      </c>
      <c r="I14" s="46" t="str">
        <f aca="false">IFERROR(IF(ISBLANK(INDEX(Backlog[Status],MATCH($A14,Backlog[Requirement ID],0))),"",INDEX(Backlog[Status],MATCH($A14,Backlog[Requirement ID],0))),"")</f>
        <v>NEW</v>
      </c>
      <c r="J14" s="46" t="str">
        <f aca="false">IFERROR(IF(ISBLANK(INDEX(Backlog[Priority],MATCH($A14,Backlog[Requirement ID],0))),"",INDEX(Backlog[Priority],MATCH($A14,Backlog[Requirement ID],0))),"")</f>
        <v>Medium</v>
      </c>
      <c r="K14" s="24" t="s">
        <v>405</v>
      </c>
      <c r="L14" s="60" t="s">
        <v>406</v>
      </c>
      <c r="M14" s="60" t="s">
        <v>407</v>
      </c>
      <c r="N14" s="24"/>
      <c r="O14" s="61"/>
      <c r="P14" s="30" t="s">
        <v>408</v>
      </c>
      <c r="Q14" s="30"/>
    </row>
    <row r="15" customFormat="false" ht="15" hidden="false" customHeight="true" outlineLevel="0" collapsed="false">
      <c r="A15" s="24" t="str">
        <f aca="false">Backlog!A15</f>
        <v>NEW-0065</v>
      </c>
      <c r="B15" s="26" t="str">
        <f aca="false">IFERROR(IF(ISBLANK(INDEX(Backlog[Requirement Name],MATCH($A15,Backlog[Requirement ID],0))),"",INDEX(Backlog[Requirement Name],MATCH($A15,Backlog[Requirement ID],0))),"")</f>
        <v>ZAFRollout - Market Configurations in Production</v>
      </c>
      <c r="C15" s="26" t="str">
        <f aca="false">IFERROR(IF(ISBLANK(INDEX(Backlog[Stream],MATCH($A15,Backlog[Requirement ID],0))),"",INDEX(Backlog[Stream],MATCH($A15,Backlog[Requirement ID],0))),"")</f>
        <v>MVP Rollout</v>
      </c>
      <c r="D15" s="26" t="str">
        <f aca="false">IFERROR(IF(ISBLANK(INDEX(Backlog[Stream Owner],MATCH($A15,Backlog[Requirement ID],0))),"",INDEX(Backlog[Stream Owner],MATCH($A15,Backlog[Requirement ID],0))),"")</f>
        <v>B2CW</v>
      </c>
      <c r="E15" s="26" t="str">
        <f aca="false">IFERROR(IF(ISBLANK(INDEX(Backlog[Jira Link],MATCH($A15,Backlog[Requirement ID],0))),"",INDEX(Backlog[Jira Link],MATCH($A15,Backlog[Requirement ID],0))),"")</f>
        <v>https://smartship.atlassian.net/browse/DTTP25-41351</v>
      </c>
      <c r="F15" s="24" t="s">
        <v>139</v>
      </c>
      <c r="G15" s="24" t="s">
        <v>387</v>
      </c>
      <c r="H15" s="37" t="str">
        <f aca="false">IFERROR(IF(ISBLANK(INDEX(SprintPlanning[Sprint],MATCH($A15,SprintPlanning[Requirement ID],0))),"",INDEX(SprintPlanning[Sprint],MATCH($A15,SprintPlanning[Requirement ID],0))),"")</f>
        <v>To Plan</v>
      </c>
      <c r="I15" s="26" t="str">
        <f aca="false">IFERROR(IF(ISBLANK(INDEX(Backlog[Status],MATCH($A15,Backlog[Requirement ID],0))),"",INDEX(Backlog[Status],MATCH($A15,Backlog[Requirement ID],0))),"")</f>
        <v>NA</v>
      </c>
      <c r="J15" s="26" t="str">
        <f aca="false">IFERROR(IF(ISBLANK(INDEX(Backlog[Priority],MATCH($A15,Backlog[Requirement ID],0))),"",INDEX(Backlog[Priority],MATCH($A15,Backlog[Requirement ID],0))),"")</f>
        <v>Medium</v>
      </c>
      <c r="K15" s="24"/>
      <c r="L15" s="60"/>
      <c r="M15" s="60"/>
      <c r="N15" s="24"/>
      <c r="O15" s="61"/>
      <c r="P15" s="30"/>
      <c r="Q15" s="30"/>
    </row>
    <row r="16" customFormat="false" ht="23.25" hidden="false" customHeight="true" outlineLevel="0" collapsed="false">
      <c r="A16" s="24" t="str">
        <f aca="false">Backlog!A16</f>
        <v>NEW-0075</v>
      </c>
      <c r="B16" s="26" t="str">
        <f aca="false">IFERROR(IF(ISBLANK(INDEX(Backlog[Requirement Name],MATCH($A16,Backlog[Requirement ID],0))),"",INDEX(Backlog[Requirement Name],MATCH($A16,Backlog[Requirement ID],0))),"")</f>
        <v>PI11-13 [CRM] [INTP-25] CRM Dependency - Marketing Automation - Calculated fields Booking B2B/B2C</v>
      </c>
      <c r="C16" s="26" t="str">
        <f aca="false">IFERROR(IF(ISBLANK(INDEX(Backlog[Stream],MATCH($A16,Backlog[Requirement ID],0))),"",INDEX(Backlog[Stream],MATCH($A16,Backlog[Requirement ID],0))),"")</f>
        <v>PI11</v>
      </c>
      <c r="D16" s="26" t="str">
        <f aca="false">IFERROR(IF(ISBLANK(INDEX(Backlog[Stream Owner],MATCH($A16,Backlog[Requirement ID],0))),"",INDEX(Backlog[Stream Owner],MATCH($A16,Backlog[Requirement ID],0))),"")</f>
        <v>MA</v>
      </c>
      <c r="E16" s="26" t="str">
        <f aca="false">IFERROR(IF(ISBLANK(INDEX(Backlog[Jira Link],MATCH($A16,Backlog[Requirement ID],0))),"",INDEX(Backlog[Jira Link],MATCH($A16,Backlog[Requirement ID],0))),"")</f>
        <v>https://smartship.atlassian.net/browse/DTTP25-41935</v>
      </c>
      <c r="F16" s="24" t="s">
        <v>387</v>
      </c>
      <c r="G16" s="24" t="s">
        <v>387</v>
      </c>
      <c r="H16" s="37" t="str">
        <f aca="false">IFERROR(IF(ISBLANK(INDEX(SprintPlanning[Sprint],MATCH($A16,SprintPlanning[Requirement ID],0))),"",INDEX(SprintPlanning[Sprint],MATCH($A16,SprintPlanning[Requirement ID],0))),"")</f>
        <v>Sprint 12</v>
      </c>
      <c r="I16" s="26" t="str">
        <f aca="false">IFERROR(IF(ISBLANK(INDEX(Backlog[Status],MATCH($A16,Backlog[Requirement ID],0))),"",INDEX(Backlog[Status],MATCH($A16,Backlog[Requirement ID],0))),"")</f>
        <v>NEW</v>
      </c>
      <c r="J16" s="26" t="str">
        <f aca="false">IFERROR(IF(ISBLANK(INDEX(Backlog[Priority],MATCH($A16,Backlog[Requirement ID],0))),"",INDEX(Backlog[Priority],MATCH($A16,Backlog[Requirement ID],0))),"")</f>
        <v>Medium</v>
      </c>
      <c r="K16" s="24"/>
      <c r="L16" s="60"/>
      <c r="M16" s="60"/>
      <c r="N16" s="24"/>
      <c r="O16" s="61"/>
      <c r="P16" s="30"/>
      <c r="Q16" s="30"/>
    </row>
    <row r="17" customFormat="false" ht="15" hidden="false" customHeight="true" outlineLevel="0" collapsed="false">
      <c r="A17" s="24" t="str">
        <f aca="false">Backlog!A17</f>
        <v>NEW-0076</v>
      </c>
      <c r="B17" s="26" t="str">
        <f aca="false">IFERROR(IF(ISBLANK(INDEX(Backlog[Requirement Name],MATCH($A17,Backlog[Requirement ID],0))),"",INDEX(Backlog[Requirement Name],MATCH($A17,Backlog[Requirement ID],0))),"")</f>
        <v>PI11-15 [CRM] [EA-1662] CRM Dependency - Lead Management - Hold option additional event fields in CDP</v>
      </c>
      <c r="C17" s="26" t="str">
        <f aca="false">IFERROR(IF(ISBLANK(INDEX(Backlog[Stream],MATCH($A17,Backlog[Requirement ID],0))),"",INDEX(Backlog[Stream],MATCH($A17,Backlog[Requirement ID],0))),"")</f>
        <v>PI11</v>
      </c>
      <c r="D17" s="26" t="str">
        <f aca="false">IFERROR(IF(ISBLANK(INDEX(Backlog[Stream Owner],MATCH($A17,Backlog[Requirement ID],0))),"",INDEX(Backlog[Stream Owner],MATCH($A17,Backlog[Requirement ID],0))),"")</f>
        <v>MA</v>
      </c>
      <c r="E17" s="26" t="str">
        <f aca="false">IFERROR(IF(ISBLANK(INDEX(Backlog[Jira Link],MATCH($A17,Backlog[Requirement ID],0))),"",INDEX(Backlog[Jira Link],MATCH($A17,Backlog[Requirement ID],0))),"")</f>
        <v>https://smartship.atlassian.net/browse/DTTP25-41936</v>
      </c>
      <c r="F17" s="24" t="s">
        <v>139</v>
      </c>
      <c r="G17" s="24" t="s">
        <v>139</v>
      </c>
      <c r="H17" s="37" t="str">
        <f aca="false">IFERROR(IF(ISBLANK(INDEX(SprintPlanning[Sprint],MATCH($A17,SprintPlanning[Requirement ID],0))),"",INDEX(SprintPlanning[Sprint],MATCH($A17,SprintPlanning[Requirement ID],0))),"")</f>
        <v>Sprint 12</v>
      </c>
      <c r="I17" s="26" t="str">
        <f aca="false">IFERROR(IF(ISBLANK(INDEX(Backlog[Status],MATCH($A17,Backlog[Requirement ID],0))),"",INDEX(Backlog[Status],MATCH($A17,Backlog[Requirement ID],0))),"")</f>
        <v>NEW</v>
      </c>
      <c r="J17" s="26" t="str">
        <f aca="false">IFERROR(IF(ISBLANK(INDEX(Backlog[Priority],MATCH($A17,Backlog[Requirement ID],0))),"",INDEX(Backlog[Priority],MATCH($A17,Backlog[Requirement ID],0))),"")</f>
        <v>Medium</v>
      </c>
      <c r="K17" s="24"/>
      <c r="L17" s="60"/>
      <c r="M17" s="60"/>
      <c r="N17" s="24"/>
      <c r="O17" s="61"/>
      <c r="P17" s="30"/>
      <c r="Q17" s="30"/>
    </row>
    <row r="18" customFormat="false" ht="15" hidden="false" customHeight="true" outlineLevel="0" collapsed="false">
      <c r="A18" s="24" t="str">
        <f aca="false">Backlog!A18</f>
        <v>NEW-0077</v>
      </c>
      <c r="B18" s="26" t="str">
        <f aca="false">IFERROR(IF(ISBLANK(INDEX(Backlog[Requirement Name],MATCH($A18,Backlog[Requirement ID],0))),"",INDEX(Backlog[Requirement Name],MATCH($A18,Backlog[Requirement ID],0))),"")</f>
        <v>Nordics SWE, DEN, NOR, FIN Rollout - Market Configurations in CHAIN1 &amp; CHAIN2</v>
      </c>
      <c r="C18" s="26" t="str">
        <f aca="false">IFERROR(IF(ISBLANK(INDEX(Backlog[Stream],MATCH($A18,Backlog[Requirement ID],0))),"",INDEX(Backlog[Stream],MATCH($A18,Backlog[Requirement ID],0))),"")</f>
        <v>MVP Rollout</v>
      </c>
      <c r="D18" s="26" t="str">
        <f aca="false">IFERROR(IF(ISBLANK(INDEX(Backlog[Stream Owner],MATCH($A18,Backlog[Requirement ID],0))),"",INDEX(Backlog[Stream Owner],MATCH($A18,Backlog[Requirement ID],0))),"")</f>
        <v>B2CW</v>
      </c>
      <c r="E18" s="26" t="str">
        <f aca="false">IFERROR(IF(ISBLANK(INDEX(Backlog[Jira Link],MATCH($A18,Backlog[Requirement ID],0))),"",INDEX(Backlog[Jira Link],MATCH($A18,Backlog[Requirement ID],0))),"")</f>
        <v>https://smartship.atlassian.net/browse/DTTP25-37831</v>
      </c>
      <c r="F18" s="24" t="s">
        <v>139</v>
      </c>
      <c r="G18" s="24" t="s">
        <v>383</v>
      </c>
      <c r="H18" s="37" t="str">
        <f aca="false">IFERROR(IF(ISBLANK(INDEX(SprintPlanning[Sprint],MATCH($A18,SprintPlanning[Requirement ID],0))),"",INDEX(SprintPlanning[Sprint],MATCH($A18,SprintPlanning[Requirement ID],0))),"")</f>
        <v>To Plan</v>
      </c>
      <c r="I18" s="26" t="str">
        <f aca="false">IFERROR(IF(ISBLANK(INDEX(Backlog[Status],MATCH($A18,Backlog[Requirement ID],0))),"",INDEX(Backlog[Status],MATCH($A18,Backlog[Requirement ID],0))),"")</f>
        <v>NEW</v>
      </c>
      <c r="J18" s="26" t="str">
        <f aca="false">IFERROR(IF(ISBLANK(INDEX(Backlog[Priority],MATCH($A18,Backlog[Requirement ID],0))),"",INDEX(Backlog[Priority],MATCH($A18,Backlog[Requirement ID],0))),"")</f>
        <v>Medium</v>
      </c>
      <c r="K18" s="24"/>
      <c r="L18" s="60"/>
      <c r="M18" s="60"/>
      <c r="N18" s="24"/>
      <c r="O18" s="61"/>
      <c r="P18" s="30"/>
      <c r="Q18" s="30"/>
    </row>
    <row r="19" customFormat="false" ht="15" hidden="false" customHeight="true" outlineLevel="0" collapsed="false">
      <c r="A19" s="24" t="str">
        <f aca="false">Backlog!A19</f>
        <v>NEW-0078</v>
      </c>
      <c r="B19" s="26" t="str">
        <f aca="false">IFERROR(IF(ISBLANK(INDEX(Backlog[Requirement Name],MATCH($A19,Backlog[Requirement ID],0))),"",INDEX(Backlog[Requirement Name],MATCH($A19,Backlog[Requirement ID],0))),"")</f>
        <v>Nordics SWE, DEN, NOR, FIN Rollout - Market Configurations in Production</v>
      </c>
      <c r="C19" s="26" t="str">
        <f aca="false">IFERROR(IF(ISBLANK(INDEX(Backlog[Stream],MATCH($A19,Backlog[Requirement ID],0))),"",INDEX(Backlog[Stream],MATCH($A19,Backlog[Requirement ID],0))),"")</f>
        <v>MVP Rollout</v>
      </c>
      <c r="D19" s="26" t="str">
        <f aca="false">IFERROR(IF(ISBLANK(INDEX(Backlog[Stream Owner],MATCH($A19,Backlog[Requirement ID],0))),"",INDEX(Backlog[Stream Owner],MATCH($A19,Backlog[Requirement ID],0))),"")</f>
        <v>B2CW</v>
      </c>
      <c r="E19" s="26" t="str">
        <f aca="false">IFERROR(IF(ISBLANK(INDEX(Backlog[Jira Link],MATCH($A19,Backlog[Requirement ID],0))),"",INDEX(Backlog[Jira Link],MATCH($A19,Backlog[Requirement ID],0))),"")</f>
        <v>https://smartship.atlassian.net/browse/DTTP25-37831</v>
      </c>
      <c r="F19" s="24" t="s">
        <v>139</v>
      </c>
      <c r="G19" s="24" t="s">
        <v>139</v>
      </c>
      <c r="H19" s="37" t="str">
        <f aca="false">IFERROR(IF(ISBLANK(INDEX(SprintPlanning[Sprint],MATCH($A19,SprintPlanning[Requirement ID],0))),"",INDEX(SprintPlanning[Sprint],MATCH($A19,SprintPlanning[Requirement ID],0))),"")</f>
        <v>To Plan</v>
      </c>
      <c r="I19" s="26" t="str">
        <f aca="false">IFERROR(IF(ISBLANK(INDEX(Backlog[Status],MATCH($A19,Backlog[Requirement ID],0))),"",INDEX(Backlog[Status],MATCH($A19,Backlog[Requirement ID],0))),"")</f>
        <v>NEW</v>
      </c>
      <c r="J19" s="26" t="str">
        <f aca="false">IFERROR(IF(ISBLANK(INDEX(Backlog[Priority],MATCH($A19,Backlog[Requirement ID],0))),"",INDEX(Backlog[Priority],MATCH($A19,Backlog[Requirement ID],0))),"")</f>
        <v>Medium</v>
      </c>
      <c r="K19" s="24"/>
      <c r="L19" s="60"/>
      <c r="M19" s="60"/>
      <c r="N19" s="24"/>
      <c r="O19" s="61"/>
      <c r="P19" s="30"/>
      <c r="Q19" s="30"/>
    </row>
    <row r="20" customFormat="false" ht="15" hidden="false" customHeight="true" outlineLevel="0" collapsed="false">
      <c r="A20" s="24" t="str">
        <f aca="false">Backlog!A20</f>
        <v>NEW-0409</v>
      </c>
      <c r="B20" s="26" t="str">
        <f aca="false">IFERROR(IF(ISBLANK(INDEX(Backlog[Requirement Name],MATCH($A20,Backlog[Requirement ID],0))),"",INDEX(Backlog[Requirement Name],MATCH($A20,Backlog[Requirement ID],0))),"")</f>
        <v>US Growth - B2CW Payment billing data/ US Release AVS Check - Part 2 (Wiring the new fields to Datatrans in INT007, INT140, INT146)</v>
      </c>
      <c r="C20" s="26" t="str">
        <f aca="false">IFERROR(IF(ISBLANK(INDEX(Backlog[Stream],MATCH($A20,Backlog[Requirement ID],0))),"",INDEX(Backlog[Stream],MATCH($A20,Backlog[Requirement ID],0))),"")</f>
        <v>Growth</v>
      </c>
      <c r="D20" s="26" t="str">
        <f aca="false">IFERROR(IF(ISBLANK(INDEX(Backlog[Stream Owner],MATCH($A20,Backlog[Requirement ID],0))),"",INDEX(Backlog[Stream Owner],MATCH($A20,Backlog[Requirement ID],0))),"")</f>
        <v>B2CW</v>
      </c>
      <c r="E20" s="26" t="str">
        <f aca="false">IFERROR(IF(ISBLANK(INDEX(Backlog[Jira Link],MATCH($A20,Backlog[Requirement ID],0))),"",INDEX(Backlog[Jira Link],MATCH($A20,Backlog[Requirement ID],0))),"")</f>
        <v>https://smartship.atlassian.net/browse/MDTTPU-15253</v>
      </c>
      <c r="F20" s="24" t="s">
        <v>139</v>
      </c>
      <c r="G20" s="24" t="s">
        <v>139</v>
      </c>
      <c r="H20" s="37" t="str">
        <f aca="false">IFERROR(IF(ISBLANK(INDEX(SprintPlanning[Sprint],MATCH($A20,SprintPlanning[Requirement ID],0))),"",INDEX(SprintPlanning[Sprint],MATCH($A20,SprintPlanning[Requirement ID],0))),"")</f>
        <v>Sprint 11</v>
      </c>
      <c r="I20" s="26" t="str">
        <f aca="false">IFERROR(IF(ISBLANK(INDEX(Backlog[Status],MATCH($A20,Backlog[Requirement ID],0))),"",INDEX(Backlog[Status],MATCH($A20,Backlog[Requirement ID],0))),"")</f>
        <v>NEW</v>
      </c>
      <c r="J20" s="26" t="str">
        <f aca="false">IFERROR(IF(ISBLANK(INDEX(Backlog[Priority],MATCH($A20,Backlog[Requirement ID],0))),"",INDEX(Backlog[Priority],MATCH($A20,Backlog[Requirement ID],0))),"")</f>
        <v>High</v>
      </c>
      <c r="K20" s="24"/>
      <c r="L20" s="60"/>
      <c r="M20" s="60"/>
      <c r="N20" s="24"/>
      <c r="O20" s="61"/>
      <c r="P20" s="30"/>
      <c r="Q20" s="30"/>
    </row>
    <row r="21" customFormat="false" ht="15" hidden="false" customHeight="true" outlineLevel="0" collapsed="false">
      <c r="A21" s="24" t="str">
        <f aca="false">Backlog!A21</f>
        <v>NEW-0410</v>
      </c>
      <c r="B21" s="26" t="str">
        <f aca="false">IFERROR(IF(ISBLANK(INDEX(Backlog[Requirement Name],MATCH($A21,Backlog[Requirement ID],0))),"",INDEX(Backlog[Requirement Name],MATCH($A21,Backlog[Requirement ID],0))),"")</f>
        <v>US Growth - M4M Payment billing data/ US Release AVS Check (Adding the fields in M4M transaction init)</v>
      </c>
      <c r="C21" s="26" t="str">
        <f aca="false">IFERROR(IF(ISBLANK(INDEX(Backlog[Stream],MATCH($A21,Backlog[Requirement ID],0))),"",INDEX(Backlog[Stream],MATCH($A21,Backlog[Requirement ID],0))),"")</f>
        <v>Growth</v>
      </c>
      <c r="D21" s="26" t="str">
        <f aca="false">IFERROR(IF(ISBLANK(INDEX(Backlog[Stream Owner],MATCH($A21,Backlog[Requirement ID],0))),"",INDEX(Backlog[Stream Owner],MATCH($A21,Backlog[Requirement ID],0))),"")</f>
        <v>B2CW</v>
      </c>
      <c r="E21" s="26" t="str">
        <f aca="false">IFERROR(IF(ISBLANK(INDEX(Backlog[Jira Link],MATCH($A21,Backlog[Requirement ID],0))),"",INDEX(Backlog[Jira Link],MATCH($A21,Backlog[Requirement ID],0))),"")</f>
        <v>https://smartship.atlassian.net/browse/MDTTPU-15254</v>
      </c>
      <c r="F21" s="24" t="s">
        <v>139</v>
      </c>
      <c r="G21" s="24" t="s">
        <v>139</v>
      </c>
      <c r="H21" s="37" t="str">
        <f aca="false">IFERROR(IF(ISBLANK(INDEX(SprintPlanning[Sprint],MATCH($A21,SprintPlanning[Requirement ID],0))),"",INDEX(SprintPlanning[Sprint],MATCH($A21,SprintPlanning[Requirement ID],0))),"")</f>
        <v>Sprint 12</v>
      </c>
      <c r="I21" s="26" t="str">
        <f aca="false">IFERROR(IF(ISBLANK(INDEX(Backlog[Status],MATCH($A21,Backlog[Requirement ID],0))),"",INDEX(Backlog[Status],MATCH($A21,Backlog[Requirement ID],0))),"")</f>
        <v>ON HOLD</v>
      </c>
      <c r="J21" s="26" t="str">
        <f aca="false">IFERROR(IF(ISBLANK(INDEX(Backlog[Priority],MATCH($A21,Backlog[Requirement ID],0))),"",INDEX(Backlog[Priority],MATCH($A21,Backlog[Requirement ID],0))),"")</f>
        <v>High</v>
      </c>
      <c r="K21" s="24"/>
      <c r="L21" s="60"/>
      <c r="M21" s="60"/>
      <c r="N21" s="24"/>
      <c r="O21" s="61"/>
      <c r="P21" s="30"/>
      <c r="Q21" s="30"/>
    </row>
    <row r="22" customFormat="false" ht="15" hidden="false" customHeight="true" outlineLevel="0" collapsed="false">
      <c r="A22" s="24" t="str">
        <f aca="false">Backlog!A22</f>
        <v>NEW-0001</v>
      </c>
      <c r="B22" s="26" t="str">
        <f aca="false">IFERROR(IF(ISBLANK(INDEX(Backlog[Requirement Name],MATCH($A22,Backlog[Requirement ID],0))),"",INDEX(Backlog[Requirement Name],MATCH($A22,Backlog[Requirement ID],0))),"")</f>
        <v>Whatsapp Subscription (Phase 1)</v>
      </c>
      <c r="C22" s="26" t="str">
        <f aca="false">IFERROR(IF(ISBLANK(INDEX(Backlog[Stream],MATCH($A22,Backlog[Requirement ID],0))),"",INDEX(Backlog[Stream],MATCH($A22,Backlog[Requirement ID],0))),"")</f>
        <v>Backlog</v>
      </c>
      <c r="D22" s="26" t="str">
        <f aca="false">IFERROR(IF(ISBLANK(INDEX(Backlog[Stream Owner],MATCH($A22,Backlog[Requirement ID],0))),"",INDEX(Backlog[Stream Owner],MATCH($A22,Backlog[Requirement ID],0))),"")</f>
        <v>MA</v>
      </c>
      <c r="E22" s="26" t="str">
        <f aca="false">IFERROR(IF(ISBLANK(INDEX(Backlog[Jira Link],MATCH($A22,Backlog[Requirement ID],0))),"",INDEX(Backlog[Jira Link],MATCH($A22,Backlog[Requirement ID],0))),"")</f>
        <v>https://smartship.atlassian.net/browse/DTTP25-36678</v>
      </c>
      <c r="F22" s="24" t="s">
        <v>139</v>
      </c>
      <c r="G22" s="24" t="s">
        <v>139</v>
      </c>
      <c r="H22" s="37" t="str">
        <f aca="false">IFERROR(IF(ISBLANK(INDEX(SprintPlanning[Sprint],MATCH($A22,SprintPlanning[Requirement ID],0))),"",INDEX(SprintPlanning[Sprint],MATCH($A22,SprintPlanning[Requirement ID],0))),"")</f>
        <v>Sprint 12</v>
      </c>
      <c r="I22" s="26" t="str">
        <f aca="false">IFERROR(IF(ISBLANK(INDEX(Backlog[Status],MATCH($A22,Backlog[Requirement ID],0))),"",INDEX(Backlog[Status],MATCH($A22,Backlog[Requirement ID],0))),"")</f>
        <v>NEW</v>
      </c>
      <c r="J22" s="26" t="str">
        <f aca="false">IFERROR(IF(ISBLANK(INDEX(Backlog[Priority],MATCH($A22,Backlog[Requirement ID],0))),"",INDEX(Backlog[Priority],MATCH($A22,Backlog[Requirement ID],0))),"")</f>
        <v>Medium</v>
      </c>
      <c r="K22" s="24"/>
      <c r="L22" s="60"/>
      <c r="M22" s="60"/>
      <c r="N22" s="24"/>
      <c r="O22" s="61"/>
      <c r="P22" s="30"/>
      <c r="Q22" s="30"/>
    </row>
    <row r="23" customFormat="false" ht="15" hidden="false" customHeight="true" outlineLevel="0" collapsed="false">
      <c r="A23" s="24" t="str">
        <f aca="false">Backlog!A23</f>
        <v>NEW-0003</v>
      </c>
      <c r="B23" s="26" t="str">
        <f aca="false">IFERROR(IF(ISBLANK(INDEX(Backlog[Requirement Name],MATCH($A23,Backlog[Requirement ID],0))),"",INDEX(Backlog[Requirement Name],MATCH($A23,Backlog[Requirement ID],0))),"")</f>
        <v>Friends and Family INT 157</v>
      </c>
      <c r="C23" s="26" t="str">
        <f aca="false">IFERROR(IF(ISBLANK(INDEX(Backlog[Stream],MATCH($A23,Backlog[Requirement ID],0))),"",INDEX(Backlog[Stream],MATCH($A23,Backlog[Requirement ID],0))),"")</f>
        <v>Backlog</v>
      </c>
      <c r="D23" s="26" t="str">
        <f aca="false">IFERROR(IF(ISBLANK(INDEX(Backlog[Stream Owner],MATCH($A23,Backlog[Requirement ID],0))),"",INDEX(Backlog[Stream Owner],MATCH($A23,Backlog[Requirement ID],0))),"")</f>
        <v>S&amp;S</v>
      </c>
      <c r="E23" s="26" t="str">
        <f aca="false">IFERROR(IF(ISBLANK(INDEX(Backlog[Jira Link],MATCH($A23,Backlog[Requirement ID],0))),"",INDEX(Backlog[Jira Link],MATCH($A23,Backlog[Requirement ID],0))),"")</f>
        <v>https://smartship.atlassian.net/browse/DTTP25-36959</v>
      </c>
      <c r="F23" s="24" t="s">
        <v>387</v>
      </c>
      <c r="G23" s="24" t="s">
        <v>387</v>
      </c>
      <c r="H23" s="37" t="str">
        <f aca="false">IFERROR(IF(ISBLANK(INDEX(SprintPlanning[Sprint],MATCH($A23,SprintPlanning[Requirement ID],0))),"",INDEX(SprintPlanning[Sprint],MATCH($A23,SprintPlanning[Requirement ID],0))),"")</f>
        <v>Sprint 12</v>
      </c>
      <c r="I23" s="26" t="str">
        <f aca="false">IFERROR(IF(ISBLANK(INDEX(Backlog[Status],MATCH($A23,Backlog[Requirement ID],0))),"",INDEX(Backlog[Status],MATCH($A23,Backlog[Requirement ID],0))),"")</f>
        <v>NEW</v>
      </c>
      <c r="J23" s="26" t="str">
        <f aca="false">IFERROR(IF(ISBLANK(INDEX(Backlog[Priority],MATCH($A23,Backlog[Requirement ID],0))),"",INDEX(Backlog[Priority],MATCH($A23,Backlog[Requirement ID],0))),"")</f>
        <v>Medium</v>
      </c>
      <c r="K23" s="24"/>
      <c r="L23" s="60" t="s">
        <v>409</v>
      </c>
      <c r="M23" s="60" t="s">
        <v>410</v>
      </c>
      <c r="N23" s="24"/>
      <c r="O23" s="61"/>
      <c r="P23" s="30"/>
      <c r="Q23" s="30"/>
    </row>
    <row r="24" customFormat="false" ht="15" hidden="false" customHeight="true" outlineLevel="0" collapsed="false">
      <c r="A24" s="24" t="str">
        <f aca="false">Backlog!A24</f>
        <v>NEW-0029</v>
      </c>
      <c r="B24" s="26" t="str">
        <f aca="false">IFERROR(IF(ISBLANK(INDEX(Backlog[Requirement Name],MATCH($A24,Backlog[Requirement ID],0))),"",INDEX(Backlog[Requirement Name],MATCH($A24,Backlog[Requirement ID],0))),"")</f>
        <v>MYMSC All inc CR remove logic from AEM</v>
      </c>
      <c r="C24" s="26" t="str">
        <f aca="false">IFERROR(IF(ISBLANK(INDEX(Backlog[Stream],MATCH($A24,Backlog[Requirement ID],0))),"",INDEX(Backlog[Stream],MATCH($A24,Backlog[Requirement ID],0))),"")</f>
        <v>MyMSC</v>
      </c>
      <c r="D24" s="26" t="str">
        <f aca="false">IFERROR(IF(ISBLANK(INDEX(Backlog[Stream Owner],MATCH($A24,Backlog[Requirement ID],0))),"",INDEX(Backlog[Stream Owner],MATCH($A24,Backlog[Requirement ID],0))),"")</f>
        <v>B2CW</v>
      </c>
      <c r="E24" s="26" t="str">
        <f aca="false">IFERROR(IF(ISBLANK(INDEX(Backlog[Jira Link],MATCH($A24,Backlog[Requirement ID],0))),"",INDEX(Backlog[Jira Link],MATCH($A24,Backlog[Requirement ID],0))),"")</f>
        <v>https://smartship.atlassian.net/browse/DTTP25-38250</v>
      </c>
      <c r="F24" s="24" t="s">
        <v>383</v>
      </c>
      <c r="G24" s="24" t="s">
        <v>387</v>
      </c>
      <c r="H24" s="37" t="str">
        <f aca="false">IFERROR(IF(ISBLANK(INDEX(SprintPlanning[Sprint],MATCH($A24,SprintPlanning[Requirement ID],0))),"",INDEX(SprintPlanning[Sprint],MATCH($A24,SprintPlanning[Requirement ID],0))),"")</f>
        <v>Sprint 11</v>
      </c>
      <c r="I24" s="26" t="str">
        <f aca="false">IFERROR(IF(ISBLANK(INDEX(Backlog[Status],MATCH($A24,Backlog[Requirement ID],0))),"",INDEX(Backlog[Status],MATCH($A24,Backlog[Requirement ID],0))),"")</f>
        <v>NEW</v>
      </c>
      <c r="J24" s="26" t="str">
        <f aca="false">IFERROR(IF(ISBLANK(INDEX(Backlog[Priority],MATCH($A24,Backlog[Requirement ID],0))),"",INDEX(Backlog[Priority],MATCH($A24,Backlog[Requirement ID],0))),"")</f>
        <v>Medium</v>
      </c>
      <c r="K24" s="24"/>
      <c r="L24" s="60"/>
      <c r="M24" s="60"/>
      <c r="N24" s="24"/>
      <c r="O24" s="61"/>
      <c r="P24" s="30"/>
      <c r="Q24" s="30"/>
    </row>
    <row r="25" customFormat="false" ht="15" hidden="false" customHeight="true" outlineLevel="0" collapsed="false">
      <c r="A25" s="24" t="str">
        <f aca="false">Backlog!A25</f>
        <v>NEW-0030</v>
      </c>
      <c r="B25" s="26" t="str">
        <f aca="false">IFERROR(IF(ISBLANK(INDEX(Backlog[Requirement Name],MATCH($A25,Backlog[Requirement ID],0))),"",INDEX(Backlog[Requirement Name],MATCH($A25,Backlog[Requirement ID],0))),"")</f>
        <v>Handling of additional errors INT 139/ INT 140</v>
      </c>
      <c r="C25" s="26" t="str">
        <f aca="false">IFERROR(IF(ISBLANK(INDEX(Backlog[Stream],MATCH($A25,Backlog[Requirement ID],0))),"",INDEX(Backlog[Stream],MATCH($A25,Backlog[Requirement ID],0))),"")</f>
        <v>MyMSC</v>
      </c>
      <c r="D25" s="26" t="str">
        <f aca="false">IFERROR(IF(ISBLANK(INDEX(Backlog[Stream Owner],MATCH($A25,Backlog[Requirement ID],0))),"",INDEX(Backlog[Stream Owner],MATCH($A25,Backlog[Requirement ID],0))),"")</f>
        <v>B2CW</v>
      </c>
      <c r="E25" s="26" t="str">
        <f aca="false">IFERROR(IF(ISBLANK(INDEX(Backlog[Jira Link],MATCH($A25,Backlog[Requirement ID],0))),"",INDEX(Backlog[Jira Link],MATCH($A25,Backlog[Requirement ID],0))),"")</f>
        <v>https://smartship.atlassian.net/browse/DTTP25-40357</v>
      </c>
      <c r="F25" s="24" t="s">
        <v>387</v>
      </c>
      <c r="G25" s="24" t="s">
        <v>387</v>
      </c>
      <c r="H25" s="37" t="str">
        <f aca="false">IFERROR(IF(ISBLANK(INDEX(SprintPlanning[Sprint],MATCH($A25,SprintPlanning[Requirement ID],0))),"",INDEX(SprintPlanning[Sprint],MATCH($A25,SprintPlanning[Requirement ID],0))),"")</f>
        <v>Sprint 12</v>
      </c>
      <c r="I25" s="26" t="str">
        <f aca="false">IFERROR(IF(ISBLANK(INDEX(Backlog[Status],MATCH($A25,Backlog[Requirement ID],0))),"",INDEX(Backlog[Status],MATCH($A25,Backlog[Requirement ID],0))),"")</f>
        <v>NEW</v>
      </c>
      <c r="J25" s="26" t="str">
        <f aca="false">IFERROR(IF(ISBLANK(INDEX(Backlog[Priority],MATCH($A25,Backlog[Requirement ID],0))),"",INDEX(Backlog[Priority],MATCH($A25,Backlog[Requirement ID],0))),"")</f>
        <v>Medium</v>
      </c>
      <c r="K25" s="24"/>
      <c r="L25" s="60"/>
      <c r="M25" s="60"/>
      <c r="N25" s="24"/>
      <c r="O25" s="61"/>
      <c r="P25" s="30"/>
      <c r="Q25" s="30"/>
    </row>
    <row r="26" customFormat="false" ht="15" hidden="false" customHeight="true" outlineLevel="0" collapsed="false">
      <c r="A26" s="24" t="str">
        <f aca="false">Backlog!A26</f>
        <v>NEW-0080</v>
      </c>
      <c r="B26" s="26" t="str">
        <f aca="false">IFERROR(IF(ISBLANK(INDEX(Backlog[Requirement Name],MATCH($A26,Backlog[Requirement ID],0))),"",INDEX(Backlog[Requirement Name],MATCH($A26,Backlog[Requirement ID],0))),"")</f>
        <v>Hypercare</v>
      </c>
      <c r="C26" s="26" t="str">
        <f aca="false">IFERROR(IF(ISBLANK(INDEX(Backlog[Stream],MATCH($A26,Backlog[Requirement ID],0))),"",INDEX(Backlog[Stream],MATCH($A26,Backlog[Requirement ID],0))),"")</f>
        <v>US</v>
      </c>
      <c r="D26" s="26" t="str">
        <f aca="false">IFERROR(IF(ISBLANK(INDEX(Backlog[Stream Owner],MATCH($A26,Backlog[Requirement ID],0))),"",INDEX(Backlog[Stream Owner],MATCH($A26,Backlog[Requirement ID],0))),"")</f>
        <v>ALL</v>
      </c>
      <c r="E26" s="26" t="str">
        <f aca="false">IFERROR(IF(ISBLANK(INDEX(Backlog[Jira Link],MATCH($A26,Backlog[Requirement ID],0))),"",INDEX(Backlog[Jira Link],MATCH($A26,Backlog[Requirement ID],0))),"")</f>
        <v/>
      </c>
      <c r="F26" s="24" t="s">
        <v>139</v>
      </c>
      <c r="G26" s="24" t="s">
        <v>139</v>
      </c>
      <c r="H26" s="37" t="str">
        <f aca="false">IFERROR(IF(ISBLANK(INDEX(SprintPlanning[Sprint],MATCH($A26,SprintPlanning[Requirement ID],0))),"",INDEX(SprintPlanning[Sprint],MATCH($A26,SprintPlanning[Requirement ID],0))),"")</f>
        <v>Sprint 12</v>
      </c>
      <c r="I26" s="26" t="str">
        <f aca="false">IFERROR(IF(ISBLANK(INDEX(Backlog[Status],MATCH($A26,Backlog[Requirement ID],0))),"",INDEX(Backlog[Status],MATCH($A26,Backlog[Requirement ID],0))),"")</f>
        <v>NEW</v>
      </c>
      <c r="J26" s="26" t="str">
        <f aca="false">IFERROR(IF(ISBLANK(INDEX(Backlog[Priority],MATCH($A26,Backlog[Requirement ID],0))),"",INDEX(Backlog[Priority],MATCH($A26,Backlog[Requirement ID],0))),"")</f>
        <v>High</v>
      </c>
      <c r="K26" s="24"/>
      <c r="L26" s="60"/>
      <c r="M26" s="60"/>
      <c r="N26" s="24"/>
      <c r="O26" s="61"/>
      <c r="P26" s="30"/>
      <c r="Q26" s="30"/>
    </row>
    <row r="27" customFormat="false" ht="15" hidden="false" customHeight="true" outlineLevel="0" collapsed="false">
      <c r="A27" s="24" t="str">
        <f aca="false">Backlog!A27</f>
        <v>NEW-0085</v>
      </c>
      <c r="B27" s="26" t="str">
        <f aca="false">IFERROR(IF(ISBLANK(INDEX(Backlog[Requirement Name],MATCH($A27,Backlog[Requirement ID],0))),"",INDEX(Backlog[Requirement Name],MATCH($A27,Backlog[Requirement ID],0))),"")</f>
        <v>PI11-08 [CDP] [INTP-21] Lead Management - Option event creation in CDP</v>
      </c>
      <c r="C27" s="26" t="str">
        <f aca="false">IFERROR(IF(ISBLANK(INDEX(Backlog[Stream],MATCH($A27,Backlog[Requirement ID],0))),"",INDEX(Backlog[Stream],MATCH($A27,Backlog[Requirement ID],0))),"")</f>
        <v>PI11</v>
      </c>
      <c r="D27" s="26" t="str">
        <f aca="false">IFERROR(IF(ISBLANK(INDEX(Backlog[Stream Owner],MATCH($A27,Backlog[Requirement ID],0))),"",INDEX(Backlog[Stream Owner],MATCH($A27,Backlog[Requirement ID],0))),"")</f>
        <v>MA</v>
      </c>
      <c r="E27" s="26" t="str">
        <f aca="false">IFERROR(IF(ISBLANK(INDEX(Backlog[Jira Link],MATCH($A27,Backlog[Requirement ID],0))),"",INDEX(Backlog[Jira Link],MATCH($A27,Backlog[Requirement ID],0))),"")</f>
        <v>https://smartship.atlassian.net/browse/DTTP25-41937</v>
      </c>
      <c r="F27" s="24" t="s">
        <v>387</v>
      </c>
      <c r="G27" s="24" t="s">
        <v>387</v>
      </c>
      <c r="H27" s="37" t="str">
        <f aca="false">IFERROR(IF(ISBLANK(INDEX(SprintPlanning[Sprint],MATCH($A27,SprintPlanning[Requirement ID],0))),"",INDEX(SprintPlanning[Sprint],MATCH($A27,SprintPlanning[Requirement ID],0))),"")</f>
        <v>Sprint 12</v>
      </c>
      <c r="I27" s="26" t="str">
        <f aca="false">IFERROR(IF(ISBLANK(INDEX(Backlog[Status],MATCH($A27,Backlog[Requirement ID],0))),"",INDEX(Backlog[Status],MATCH($A27,Backlog[Requirement ID],0))),"")</f>
        <v>NEW</v>
      </c>
      <c r="J27" s="26" t="str">
        <f aca="false">IFERROR(IF(ISBLANK(INDEX(Backlog[Priority],MATCH($A27,Backlog[Requirement ID],0))),"",INDEX(Backlog[Priority],MATCH($A27,Backlog[Requirement ID],0))),"")</f>
        <v>Medium</v>
      </c>
      <c r="K27" s="24"/>
      <c r="L27" s="60"/>
      <c r="M27" s="60"/>
      <c r="N27" s="24"/>
      <c r="O27" s="61"/>
      <c r="P27" s="30"/>
      <c r="Q27" s="30"/>
    </row>
    <row r="28" customFormat="false" ht="18.75" hidden="false" customHeight="true" outlineLevel="0" collapsed="false">
      <c r="A28" s="24" t="str">
        <f aca="false">Backlog!A28</f>
        <v>NEW-0086</v>
      </c>
      <c r="B28" s="26" t="str">
        <f aca="false">IFERROR(IF(ISBLANK(INDEX(Backlog[Requirement Name],MATCH($A28,Backlog[Requirement ID],0))),"",INDEX(Backlog[Requirement Name],MATCH($A28,Backlog[Requirement ID],0))),"")</f>
        <v>PI11-11 [CRM] [EA-1008] DTTP - Lead Management - FCC new outbound sources</v>
      </c>
      <c r="C28" s="26" t="str">
        <f aca="false">IFERROR(IF(ISBLANK(INDEX(Backlog[Stream],MATCH($A28,Backlog[Requirement ID],0))),"",INDEX(Backlog[Stream],MATCH($A28,Backlog[Requirement ID],0))),"")</f>
        <v>PI11</v>
      </c>
      <c r="D28" s="26" t="str">
        <f aca="false">IFERROR(IF(ISBLANK(INDEX(Backlog[Stream Owner],MATCH($A28,Backlog[Requirement ID],0))),"",INDEX(Backlog[Stream Owner],MATCH($A28,Backlog[Requirement ID],0))),"")</f>
        <v>MA</v>
      </c>
      <c r="E28" s="26" t="str">
        <f aca="false">IFERROR(IF(ISBLANK(INDEX(Backlog[Jira Link],MATCH($A28,Backlog[Requirement ID],0))),"",INDEX(Backlog[Jira Link],MATCH($A28,Backlog[Requirement ID],0))),"")</f>
        <v>https://smartship.atlassian.net/browse/DTTP25-41939</v>
      </c>
      <c r="F28" s="24" t="s">
        <v>387</v>
      </c>
      <c r="G28" s="24" t="s">
        <v>387</v>
      </c>
      <c r="H28" s="37" t="str">
        <f aca="false">IFERROR(IF(ISBLANK(INDEX(SprintPlanning[Sprint],MATCH($A28,SprintPlanning[Requirement ID],0))),"",INDEX(SprintPlanning[Sprint],MATCH($A28,SprintPlanning[Requirement ID],0))),"")</f>
        <v>Sprint 12</v>
      </c>
      <c r="I28" s="26" t="str">
        <f aca="false">IFERROR(IF(ISBLANK(INDEX(Backlog[Status],MATCH($A28,Backlog[Requirement ID],0))),"",INDEX(Backlog[Status],MATCH($A28,Backlog[Requirement ID],0))),"")</f>
        <v>NEW</v>
      </c>
      <c r="J28" s="26" t="str">
        <f aca="false">IFERROR(IF(ISBLANK(INDEX(Backlog[Priority],MATCH($A28,Backlog[Requirement ID],0))),"",INDEX(Backlog[Priority],MATCH($A28,Backlog[Requirement ID],0))),"")</f>
        <v>Medium</v>
      </c>
      <c r="K28" s="24"/>
      <c r="L28" s="60"/>
      <c r="M28" s="60"/>
      <c r="N28" s="24"/>
      <c r="O28" s="61"/>
      <c r="P28" s="30"/>
      <c r="Q28" s="30"/>
    </row>
    <row r="29" customFormat="false" ht="15" hidden="false" customHeight="true" outlineLevel="0" collapsed="false">
      <c r="A29" s="24" t="str">
        <f aca="false">Backlog!A29</f>
        <v>NEW-0087</v>
      </c>
      <c r="B29" s="26" t="str">
        <f aca="false">IFERROR(IF(ISBLANK(INDEX(Backlog[Requirement Name],MATCH($A29,Backlog[Requirement ID],0))),"",INDEX(Backlog[Requirement Name],MATCH($A29,Backlog[Requirement ID],0))),"")</f>
        <v>PI11-12 [CDP/CRM] CRM2-11097 / [INTP-20] Lead Management - IRL Outbound Sources Activation &amp; Form Creation</v>
      </c>
      <c r="C29" s="26" t="str">
        <f aca="false">IFERROR(IF(ISBLANK(INDEX(Backlog[Stream],MATCH($A29,Backlog[Requirement ID],0))),"",INDEX(Backlog[Stream],MATCH($A29,Backlog[Requirement ID],0))),"")</f>
        <v>PI11</v>
      </c>
      <c r="D29" s="26" t="str">
        <f aca="false">IFERROR(IF(ISBLANK(INDEX(Backlog[Stream Owner],MATCH($A29,Backlog[Requirement ID],0))),"",INDEX(Backlog[Stream Owner],MATCH($A29,Backlog[Requirement ID],0))),"")</f>
        <v>MA</v>
      </c>
      <c r="E29" s="26" t="str">
        <f aca="false">IFERROR(IF(ISBLANK(INDEX(Backlog[Jira Link],MATCH($A29,Backlog[Requirement ID],0))),"",INDEX(Backlog[Jira Link],MATCH($A29,Backlog[Requirement ID],0))),"")</f>
        <v>https://smartship.atlassian.net/browse/DTTP25-41940</v>
      </c>
      <c r="F29" s="24" t="s">
        <v>387</v>
      </c>
      <c r="G29" s="24" t="s">
        <v>387</v>
      </c>
      <c r="H29" s="37" t="str">
        <f aca="false">IFERROR(IF(ISBLANK(INDEX(SprintPlanning[Sprint],MATCH($A29,SprintPlanning[Requirement ID],0))),"",INDEX(SprintPlanning[Sprint],MATCH($A29,SprintPlanning[Requirement ID],0))),"")</f>
        <v>Sprint 12</v>
      </c>
      <c r="I29" s="26" t="str">
        <f aca="false">IFERROR(IF(ISBLANK(INDEX(Backlog[Status],MATCH($A29,Backlog[Requirement ID],0))),"",INDEX(Backlog[Status],MATCH($A29,Backlog[Requirement ID],0))),"")</f>
        <v>NEW</v>
      </c>
      <c r="J29" s="26" t="str">
        <f aca="false">IFERROR(IF(ISBLANK(INDEX(Backlog[Priority],MATCH($A29,Backlog[Requirement ID],0))),"",INDEX(Backlog[Priority],MATCH($A29,Backlog[Requirement ID],0))),"")</f>
        <v>Medium</v>
      </c>
      <c r="K29" s="24"/>
      <c r="L29" s="60"/>
      <c r="M29" s="60"/>
      <c r="N29" s="24"/>
      <c r="O29" s="61"/>
      <c r="P29" s="30"/>
      <c r="Q29" s="30"/>
    </row>
    <row r="30" customFormat="false" ht="15" hidden="false" customHeight="true" outlineLevel="0" collapsed="false">
      <c r="A30" s="24" t="str">
        <f aca="false">Backlog!A30</f>
        <v>NEW-0316</v>
      </c>
      <c r="B30" s="26" t="str">
        <f aca="false">IFERROR(IF(ISBLANK(INDEX(Backlog[Requirement Name],MATCH($A30,Backlog[Requirement ID],0))),"",INDEX(Backlog[Requirement Name],MATCH($A30,Backlog[Requirement ID],0))),"")</f>
        <v>INT139 / INT140 - speciality restaurants CR to handle dining inventory errors</v>
      </c>
      <c r="C30" s="26" t="str">
        <f aca="false">IFERROR(IF(ISBLANK(INDEX(Backlog[Stream],MATCH($A30,Backlog[Requirement ID],0))),"",INDEX(Backlog[Stream],MATCH($A30,Backlog[Requirement ID],0))),"")</f>
        <v>MyMSC</v>
      </c>
      <c r="D30" s="26" t="str">
        <f aca="false">IFERROR(IF(ISBLANK(INDEX(Backlog[Stream Owner],MATCH($A30,Backlog[Requirement ID],0))),"",INDEX(Backlog[Stream Owner],MATCH($A30,Backlog[Requirement ID],0))),"")</f>
        <v>B2CW</v>
      </c>
      <c r="E30" s="26" t="str">
        <f aca="false">IFERROR(IF(ISBLANK(INDEX(Backlog[Jira Link],MATCH($A30,Backlog[Requirement ID],0))),"",INDEX(Backlog[Jira Link],MATCH($A30,Backlog[Requirement ID],0))),"")</f>
        <v>https://smartship.atlassian.net/browse/DTTP25-40356</v>
      </c>
      <c r="F30" s="24" t="s">
        <v>383</v>
      </c>
      <c r="G30" s="24" t="s">
        <v>387</v>
      </c>
      <c r="H30" s="37" t="str">
        <f aca="false">IFERROR(IF(ISBLANK(INDEX(SprintPlanning[Sprint],MATCH($A30,SprintPlanning[Requirement ID],0))),"",INDEX(SprintPlanning[Sprint],MATCH($A30,SprintPlanning[Requirement ID],0))),"")</f>
        <v>Sprint 12</v>
      </c>
      <c r="I30" s="26" t="str">
        <f aca="false">IFERROR(IF(ISBLANK(INDEX(Backlog[Status],MATCH($A30,Backlog[Requirement ID],0))),"",INDEX(Backlog[Status],MATCH($A30,Backlog[Requirement ID],0))),"")</f>
        <v>NEW</v>
      </c>
      <c r="J30" s="26" t="str">
        <f aca="false">IFERROR(IF(ISBLANK(INDEX(Backlog[Priority],MATCH($A30,Backlog[Requirement ID],0))),"",INDEX(Backlog[Priority],MATCH($A30,Backlog[Requirement ID],0))),"")</f>
        <v>Medium</v>
      </c>
      <c r="K30" s="24"/>
      <c r="L30" s="60"/>
      <c r="M30" s="60"/>
      <c r="N30" s="24"/>
      <c r="O30" s="61"/>
      <c r="P30" s="30"/>
      <c r="Q30" s="30"/>
    </row>
    <row r="31" customFormat="false" ht="15" hidden="false" customHeight="true" outlineLevel="0" collapsed="false">
      <c r="A31" s="24" t="str">
        <f aca="false">Backlog!A31</f>
        <v>NEW-0066</v>
      </c>
      <c r="B31" s="26" t="str">
        <f aca="false">IFERROR(IF(ISBLANK(INDEX(Backlog[Requirement Name],MATCH($A31,Backlog[Requirement ID],0))),"",INDEX(Backlog[Requirement Name],MATCH($A31,Backlog[Requirement ID],0))),"")</f>
        <v>PI11-03 [B2C] Flight Enhancement - DTTP25-38915</v>
      </c>
      <c r="C31" s="26" t="str">
        <f aca="false">IFERROR(IF(ISBLANK(INDEX(Backlog[Stream],MATCH($A31,Backlog[Requirement ID],0))),"",INDEX(Backlog[Stream],MATCH($A31,Backlog[Requirement ID],0))),"")</f>
        <v>PI11</v>
      </c>
      <c r="D31" s="26" t="str">
        <f aca="false">IFERROR(IF(ISBLANK(INDEX(Backlog[Stream Owner],MATCH($A31,Backlog[Requirement ID],0))),"",INDEX(Backlog[Stream Owner],MATCH($A31,Backlog[Requirement ID],0))),"")</f>
        <v>B2CW</v>
      </c>
      <c r="E31" s="26" t="str">
        <f aca="false">IFERROR(IF(ISBLANK(INDEX(Backlog[Jira Link],MATCH($A31,Backlog[Requirement ID],0))),"",INDEX(Backlog[Jira Link],MATCH($A31,Backlog[Requirement ID],0))),"")</f>
        <v>https://smartship.atlassian.net/browse/DTTP25-41930</v>
      </c>
      <c r="F31" s="24" t="s">
        <v>383</v>
      </c>
      <c r="G31" s="24" t="s">
        <v>387</v>
      </c>
      <c r="H31" s="37" t="str">
        <f aca="false">IFERROR(IF(ISBLANK(INDEX(SprintPlanning[Sprint],MATCH($A31,SprintPlanning[Requirement ID],0))),"",INDEX(SprintPlanning[Sprint],MATCH($A31,SprintPlanning[Requirement ID],0))),"")</f>
        <v>Sprint 12</v>
      </c>
      <c r="I31" s="26" t="str">
        <f aca="false">IFERROR(IF(ISBLANK(INDEX(Backlog[Status],MATCH($A31,Backlog[Requirement ID],0))),"",INDEX(Backlog[Status],MATCH($A31,Backlog[Requirement ID],0))),"")</f>
        <v>NEW</v>
      </c>
      <c r="J31" s="26" t="str">
        <f aca="false">IFERROR(IF(ISBLANK(INDEX(Backlog[Priority],MATCH($A31,Backlog[Requirement ID],0))),"",INDEX(Backlog[Priority],MATCH($A31,Backlog[Requirement ID],0))),"")</f>
        <v>Medium</v>
      </c>
      <c r="K31" s="24"/>
      <c r="L31" s="60"/>
      <c r="M31" s="60"/>
      <c r="N31" s="24"/>
      <c r="O31" s="61"/>
      <c r="P31" s="30"/>
      <c r="Q31" s="30"/>
    </row>
    <row r="32" customFormat="false" ht="15" hidden="false" customHeight="true" outlineLevel="0" collapsed="false">
      <c r="A32" s="24" t="str">
        <f aca="false">Backlog!A32</f>
        <v>NEW-0067</v>
      </c>
      <c r="B32" s="26" t="str">
        <f aca="false">IFERROR(IF(ISBLANK(INDEX(Backlog[Requirement Name],MATCH($A32,Backlog[Requirement ID],0))),"",INDEX(Backlog[Requirement Name],MATCH($A32,Backlog[Requirement ID],0))),"")</f>
        <v>PI11-14 [CRM] [EA-1722] CRM Dependency - Lead Management - Price Description info in CDP</v>
      </c>
      <c r="C32" s="26" t="str">
        <f aca="false">IFERROR(IF(ISBLANK(INDEX(Backlog[Stream],MATCH($A32,Backlog[Requirement ID],0))),"",INDEX(Backlog[Stream],MATCH($A32,Backlog[Requirement ID],0))),"")</f>
        <v>PI11</v>
      </c>
      <c r="D32" s="26" t="str">
        <f aca="false">IFERROR(IF(ISBLANK(INDEX(Backlog[Stream Owner],MATCH($A32,Backlog[Requirement ID],0))),"",INDEX(Backlog[Stream Owner],MATCH($A32,Backlog[Requirement ID],0))),"")</f>
        <v>MA</v>
      </c>
      <c r="E32" s="26" t="str">
        <f aca="false">IFERROR(IF(ISBLANK(INDEX(Backlog[Jira Link],MATCH($A32,Backlog[Requirement ID],0))),"",INDEX(Backlog[Jira Link],MATCH($A32,Backlog[Requirement ID],0))),"")</f>
        <v>https://smartship.atlassian.net/browse/DTTP25-41931</v>
      </c>
      <c r="F32" s="24" t="s">
        <v>139</v>
      </c>
      <c r="G32" s="24" t="s">
        <v>139</v>
      </c>
      <c r="H32" s="37" t="str">
        <f aca="false">IFERROR(IF(ISBLANK(INDEX(SprintPlanning[Sprint],MATCH($A32,SprintPlanning[Requirement ID],0))),"",INDEX(SprintPlanning[Sprint],MATCH($A32,SprintPlanning[Requirement ID],0))),"")</f>
        <v>Sprint 12</v>
      </c>
      <c r="I32" s="26" t="str">
        <f aca="false">IFERROR(IF(ISBLANK(INDEX(Backlog[Status],MATCH($A32,Backlog[Requirement ID],0))),"",INDEX(Backlog[Status],MATCH($A32,Backlog[Requirement ID],0))),"")</f>
        <v>NEW</v>
      </c>
      <c r="J32" s="26" t="str">
        <f aca="false">IFERROR(IF(ISBLANK(INDEX(Backlog[Priority],MATCH($A32,Backlog[Requirement ID],0))),"",INDEX(Backlog[Priority],MATCH($A32,Backlog[Requirement ID],0))),"")</f>
        <v>Medium</v>
      </c>
      <c r="K32" s="24"/>
      <c r="L32" s="60"/>
      <c r="M32" s="60"/>
      <c r="N32" s="24"/>
      <c r="O32" s="61"/>
      <c r="P32" s="30"/>
      <c r="Q32" s="30"/>
    </row>
    <row r="33" customFormat="false" ht="15" hidden="false" customHeight="true" outlineLevel="0" collapsed="false">
      <c r="A33" s="24" t="str">
        <f aca="false">Backlog!A33</f>
        <v>NEW-0002</v>
      </c>
      <c r="B33" s="26" t="str">
        <f aca="false">IFERROR(IF(ISBLANK(INDEX(Backlog[Requirement Name],MATCH($A33,Backlog[Requirement ID],0))),"",INDEX(Backlog[Requirement Name],MATCH($A33,Backlog[Requirement ID],0))),"")</f>
        <v>Whatsapp Subscription (Phase 2)</v>
      </c>
      <c r="C33" s="26" t="str">
        <f aca="false">IFERROR(IF(ISBLANK(INDEX(Backlog[Stream],MATCH($A33,Backlog[Requirement ID],0))),"",INDEX(Backlog[Stream],MATCH($A33,Backlog[Requirement ID],0))),"")</f>
        <v>Backlog</v>
      </c>
      <c r="D33" s="26" t="str">
        <f aca="false">IFERROR(IF(ISBLANK(INDEX(Backlog[Stream Owner],MATCH($A33,Backlog[Requirement ID],0))),"",INDEX(Backlog[Stream Owner],MATCH($A33,Backlog[Requirement ID],0))),"")</f>
        <v>MA</v>
      </c>
      <c r="E33" s="26" t="str">
        <f aca="false">IFERROR(IF(ISBLANK(INDEX(Backlog[Jira Link],MATCH($A33,Backlog[Requirement ID],0))),"",INDEX(Backlog[Jira Link],MATCH($A33,Backlog[Requirement ID],0))),"")</f>
        <v/>
      </c>
      <c r="F33" s="24" t="s">
        <v>139</v>
      </c>
      <c r="G33" s="24" t="s">
        <v>139</v>
      </c>
      <c r="H33" s="37" t="str">
        <f aca="false">IFERROR(IF(ISBLANK(INDEX(SprintPlanning[Sprint],MATCH($A33,SprintPlanning[Requirement ID],0))),"",INDEX(SprintPlanning[Sprint],MATCH($A33,SprintPlanning[Requirement ID],0))),"")</f>
        <v>To Plan</v>
      </c>
      <c r="I33" s="26" t="str">
        <f aca="false">IFERROR(IF(ISBLANK(INDEX(Backlog[Status],MATCH($A33,Backlog[Requirement ID],0))),"",INDEX(Backlog[Status],MATCH($A33,Backlog[Requirement ID],0))),"")</f>
        <v>ON HOLD</v>
      </c>
      <c r="J33" s="26" t="str">
        <f aca="false">IFERROR(IF(ISBLANK(INDEX(Backlog[Priority],MATCH($A33,Backlog[Requirement ID],0))),"",INDEX(Backlog[Priority],MATCH($A33,Backlog[Requirement ID],0))),"")</f>
        <v>Medium</v>
      </c>
      <c r="K33" s="24"/>
      <c r="L33" s="60"/>
      <c r="M33" s="60"/>
      <c r="N33" s="24"/>
      <c r="O33" s="61"/>
      <c r="P33" s="30"/>
      <c r="Q33" s="30"/>
    </row>
    <row r="34" customFormat="false" ht="15" hidden="false" customHeight="true" outlineLevel="0" collapsed="false">
      <c r="A34" s="24" t="str">
        <f aca="false">Backlog!A34</f>
        <v>NEW-0005</v>
      </c>
      <c r="B34" s="26" t="str">
        <f aca="false">IFERROR(IF(ISBLANK(INDEX(Backlog[Requirement Name],MATCH($A34,Backlog[Requirement ID],0))),"",INDEX(Backlog[Requirement Name],MATCH($A34,Backlog[Requirement ID],0))),"")</f>
        <v>Handling multicabin booking</v>
      </c>
      <c r="C34" s="26" t="str">
        <f aca="false">IFERROR(IF(ISBLANK(INDEX(Backlog[Stream],MATCH($A34,Backlog[Requirement ID],0))),"",INDEX(Backlog[Stream],MATCH($A34,Backlog[Requirement ID],0))),"")</f>
        <v>Growth</v>
      </c>
      <c r="D34" s="26" t="str">
        <f aca="false">IFERROR(IF(ISBLANK(INDEX(Backlog[Stream Owner],MATCH($A34,Backlog[Requirement ID],0))),"",INDEX(Backlog[Stream Owner],MATCH($A34,Backlog[Requirement ID],0))),"")</f>
        <v>B2CW</v>
      </c>
      <c r="E34" s="26" t="str">
        <f aca="false">IFERROR(IF(ISBLANK(INDEX(Backlog[Jira Link],MATCH($A34,Backlog[Requirement ID],0))),"",INDEX(Backlog[Jira Link],MATCH($A34,Backlog[Requirement ID],0))),"")</f>
        <v/>
      </c>
      <c r="F34" s="24" t="s">
        <v>139</v>
      </c>
      <c r="G34" s="24" t="s">
        <v>139</v>
      </c>
      <c r="H34" s="37" t="str">
        <f aca="false">IFERROR(IF(ISBLANK(INDEX(SprintPlanning[Sprint],MATCH($A34,SprintPlanning[Requirement ID],0))),"",INDEX(SprintPlanning[Sprint],MATCH($A34,SprintPlanning[Requirement ID],0))),"")</f>
        <v>To Plan</v>
      </c>
      <c r="I34" s="26" t="str">
        <f aca="false">IFERROR(IF(ISBLANK(INDEX(Backlog[Status],MATCH($A34,Backlog[Requirement ID],0))),"",INDEX(Backlog[Status],MATCH($A34,Backlog[Requirement ID],0))),"")</f>
        <v>NEW</v>
      </c>
      <c r="J34" s="26" t="str">
        <f aca="false">IFERROR(IF(ISBLANK(INDEX(Backlog[Priority],MATCH($A34,Backlog[Requirement ID],0))),"",INDEX(Backlog[Priority],MATCH($A34,Backlog[Requirement ID],0))),"")</f>
        <v>Medium</v>
      </c>
      <c r="K34" s="24"/>
      <c r="L34" s="60"/>
      <c r="M34" s="60"/>
      <c r="N34" s="24"/>
      <c r="O34" s="61"/>
      <c r="P34" s="30"/>
      <c r="Q34" s="30"/>
    </row>
    <row r="35" customFormat="false" ht="15" hidden="false" customHeight="true" outlineLevel="0" collapsed="false">
      <c r="A35" s="24" t="str">
        <f aca="false">Backlog!A35</f>
        <v>NEW-0006</v>
      </c>
      <c r="B35" s="26" t="str">
        <f aca="false">IFERROR(IF(ISBLANK(INDEX(Backlog[Requirement Name],MATCH($A35,Backlog[Requirement ID],0))),"",INDEX(Backlog[Requirement Name],MATCH($A35,Backlog[Requirement ID],0))),"")</f>
        <v>New UWO Interface (decoupling) </v>
      </c>
      <c r="C35" s="26" t="str">
        <f aca="false">IFERROR(IF(ISBLANK(INDEX(Backlog[Stream],MATCH($A35,Backlog[Requirement ID],0))),"",INDEX(Backlog[Stream],MATCH($A35,Backlog[Requirement ID],0))),"")</f>
        <v>Growth</v>
      </c>
      <c r="D35" s="26" t="str">
        <f aca="false">IFERROR(IF(ISBLANK(INDEX(Backlog[Stream Owner],MATCH($A35,Backlog[Requirement ID],0))),"",INDEX(Backlog[Stream Owner],MATCH($A35,Backlog[Requirement ID],0))),"")</f>
        <v>B2CW</v>
      </c>
      <c r="E35" s="26" t="str">
        <f aca="false">IFERROR(IF(ISBLANK(INDEX(Backlog[Jira Link],MATCH($A35,Backlog[Requirement ID],0))),"",INDEX(Backlog[Jira Link],MATCH($A35,Backlog[Requirement ID],0))),"")</f>
        <v/>
      </c>
      <c r="F35" s="24" t="s">
        <v>387</v>
      </c>
      <c r="G35" s="24" t="s">
        <v>387</v>
      </c>
      <c r="H35" s="37" t="str">
        <f aca="false">IFERROR(IF(ISBLANK(INDEX(SprintPlanning[Sprint],MATCH($A35,SprintPlanning[Requirement ID],0))),"",INDEX(SprintPlanning[Sprint],MATCH($A35,SprintPlanning[Requirement ID],0))),"")</f>
        <v>To Plan</v>
      </c>
      <c r="I35" s="26" t="str">
        <f aca="false">IFERROR(IF(ISBLANK(INDEX(Backlog[Status],MATCH($A35,Backlog[Requirement ID],0))),"",INDEX(Backlog[Status],MATCH($A35,Backlog[Requirement ID],0))),"")</f>
        <v>NEW</v>
      </c>
      <c r="J35" s="26" t="str">
        <f aca="false">IFERROR(IF(ISBLANK(INDEX(Backlog[Priority],MATCH($A35,Backlog[Requirement ID],0))),"",INDEX(Backlog[Priority],MATCH($A35,Backlog[Requirement ID],0))),"")</f>
        <v>Medium</v>
      </c>
      <c r="K35" s="24"/>
      <c r="L35" s="60"/>
      <c r="M35" s="60"/>
      <c r="N35" s="24"/>
      <c r="O35" s="61"/>
      <c r="P35" s="30"/>
      <c r="Q35" s="30"/>
    </row>
    <row r="36" customFormat="false" ht="15" hidden="false" customHeight="true" outlineLevel="0" collapsed="false">
      <c r="A36" s="24" t="str">
        <f aca="false">Backlog!A36</f>
        <v>NEW-0007</v>
      </c>
      <c r="B36" s="26" t="str">
        <f aca="false">IFERROR(IF(ISBLANK(INDEX(Backlog[Requirement Name],MATCH($A36,Backlog[Requirement ID],0))),"",INDEX(Backlog[Requirement Name],MATCH($A36,Backlog[Requirement ID],0))),"")</f>
        <v>Update Hold option (decoupling)</v>
      </c>
      <c r="C36" s="26" t="str">
        <f aca="false">IFERROR(IF(ISBLANK(INDEX(Backlog[Stream],MATCH($A36,Backlog[Requirement ID],0))),"",INDEX(Backlog[Stream],MATCH($A36,Backlog[Requirement ID],0))),"")</f>
        <v>Growth</v>
      </c>
      <c r="D36" s="26" t="str">
        <f aca="false">IFERROR(IF(ISBLANK(INDEX(Backlog[Stream Owner],MATCH($A36,Backlog[Requirement ID],0))),"",INDEX(Backlog[Stream Owner],MATCH($A36,Backlog[Requirement ID],0))),"")</f>
        <v>B2CW</v>
      </c>
      <c r="E36" s="26" t="str">
        <f aca="false">IFERROR(IF(ISBLANK(INDEX(Backlog[Jira Link],MATCH($A36,Backlog[Requirement ID],0))),"",INDEX(Backlog[Jira Link],MATCH($A36,Backlog[Requirement ID],0))),"")</f>
        <v/>
      </c>
      <c r="F36" s="24" t="s">
        <v>387</v>
      </c>
      <c r="G36" s="24" t="s">
        <v>387</v>
      </c>
      <c r="H36" s="37" t="str">
        <f aca="false">IFERROR(IF(ISBLANK(INDEX(SprintPlanning[Sprint],MATCH($A36,SprintPlanning[Requirement ID],0))),"",INDEX(SprintPlanning[Sprint],MATCH($A36,SprintPlanning[Requirement ID],0))),"")</f>
        <v>To Plan</v>
      </c>
      <c r="I36" s="26" t="str">
        <f aca="false">IFERROR(IF(ISBLANK(INDEX(Backlog[Status],MATCH($A36,Backlog[Requirement ID],0))),"",INDEX(Backlog[Status],MATCH($A36,Backlog[Requirement ID],0))),"")</f>
        <v>NEW</v>
      </c>
      <c r="J36" s="26" t="str">
        <f aca="false">IFERROR(IF(ISBLANK(INDEX(Backlog[Priority],MATCH($A36,Backlog[Requirement ID],0))),"",INDEX(Backlog[Priority],MATCH($A36,Backlog[Requirement ID],0))),"")</f>
        <v>Medium</v>
      </c>
      <c r="K36" s="24"/>
      <c r="L36" s="60"/>
      <c r="M36" s="60"/>
      <c r="N36" s="24"/>
      <c r="O36" s="61"/>
      <c r="P36" s="30"/>
      <c r="Q36" s="30"/>
    </row>
    <row r="37" customFormat="false" ht="15" hidden="false" customHeight="true" outlineLevel="0" collapsed="false">
      <c r="A37" s="24" t="str">
        <f aca="false">Backlog!A37</f>
        <v>NEW-0011</v>
      </c>
      <c r="B37" s="26" t="str">
        <f aca="false">IFERROR(IF(ISBLANK(INDEX(Backlog[Requirement Name],MATCH($A37,Backlog[Requirement ID],0))),"",INDEX(Backlog[Requirement Name],MATCH($A37,Backlog[Requirement ID],0))),"")</f>
        <v>INT 101 - Cabin Selections (Booking Group Management) </v>
      </c>
      <c r="C37" s="26" t="str">
        <f aca="false">IFERROR(IF(ISBLANK(INDEX(Backlog[Stream],MATCH($A37,Backlog[Requirement ID],0))),"",INDEX(Backlog[Stream],MATCH($A37,Backlog[Requirement ID],0))),"")</f>
        <v>Growth</v>
      </c>
      <c r="D37" s="26" t="str">
        <f aca="false">IFERROR(IF(ISBLANK(INDEX(Backlog[Stream Owner],MATCH($A37,Backlog[Requirement ID],0))),"",INDEX(Backlog[Stream Owner],MATCH($A37,Backlog[Requirement ID],0))),"")</f>
        <v>S&amp;S</v>
      </c>
      <c r="E37" s="26" t="str">
        <f aca="false">IFERROR(IF(ISBLANK(INDEX(Backlog[Jira Link],MATCH($A37,Backlog[Requirement ID],0))),"",INDEX(Backlog[Jira Link],MATCH($A37,Backlog[Requirement ID],0))),"")</f>
        <v>https://smartship.atlassian.net/browse/MDTTPU-8135</v>
      </c>
      <c r="F37" s="24" t="s">
        <v>387</v>
      </c>
      <c r="G37" s="24" t="s">
        <v>387</v>
      </c>
      <c r="H37" s="37" t="str">
        <f aca="false">IFERROR(IF(ISBLANK(INDEX(SprintPlanning[Sprint],MATCH($A37,SprintPlanning[Requirement ID],0))),"",INDEX(SprintPlanning[Sprint],MATCH($A37,SprintPlanning[Requirement ID],0))),"")</f>
        <v>To Plan</v>
      </c>
      <c r="I37" s="26" t="str">
        <f aca="false">IFERROR(IF(ISBLANK(INDEX(Backlog[Status],MATCH($A37,Backlog[Requirement ID],0))),"",INDEX(Backlog[Status],MATCH($A37,Backlog[Requirement ID],0))),"")</f>
        <v>NEW</v>
      </c>
      <c r="J37" s="26" t="str">
        <f aca="false">IFERROR(IF(ISBLANK(INDEX(Backlog[Priority],MATCH($A37,Backlog[Requirement ID],0))),"",INDEX(Backlog[Priority],MATCH($A37,Backlog[Requirement ID],0))),"")</f>
        <v>Medium</v>
      </c>
      <c r="K37" s="24"/>
      <c r="L37" s="60"/>
      <c r="M37" s="60"/>
      <c r="N37" s="24"/>
      <c r="O37" s="61"/>
      <c r="P37" s="30"/>
      <c r="Q37" s="30"/>
    </row>
    <row r="38" customFormat="false" ht="15" hidden="false" customHeight="true" outlineLevel="0" collapsed="false">
      <c r="A38" s="24" t="str">
        <f aca="false">Backlog!A38</f>
        <v>NEW-0016</v>
      </c>
      <c r="B38" s="26" t="str">
        <f aca="false">IFERROR(IF(ISBLANK(INDEX(Backlog[Requirement Name],MATCH($A38,Backlog[Requirement ID],0))),"",INDEX(Backlog[Requirement Name],MATCH($A38,Backlog[Requirement ID],0))),"")</f>
        <v>myMSC Add USA Market Configuration - Chain 1/ Chain 2 </v>
      </c>
      <c r="C38" s="26" t="str">
        <f aca="false">IFERROR(IF(ISBLANK(INDEX(Backlog[Stream],MATCH($A38,Backlog[Requirement ID],0))),"",INDEX(Backlog[Stream],MATCH($A38,Backlog[Requirement ID],0))),"")</f>
        <v>US</v>
      </c>
      <c r="D38" s="26" t="str">
        <f aca="false">IFERROR(IF(ISBLANK(INDEX(Backlog[Stream Owner],MATCH($A38,Backlog[Requirement ID],0))),"",INDEX(Backlog[Stream Owner],MATCH($A38,Backlog[Requirement ID],0))),"")</f>
        <v>B2CW</v>
      </c>
      <c r="E38" s="26" t="str">
        <f aca="false">IFERROR(IF(ISBLANK(INDEX(Backlog[Jira Link],MATCH($A38,Backlog[Requirement ID],0))),"",INDEX(Backlog[Jira Link],MATCH($A38,Backlog[Requirement ID],0))),"")</f>
        <v>https://smartship.atlassian.net/browse/MDTTPU-13662</v>
      </c>
      <c r="F38" s="24" t="s">
        <v>387</v>
      </c>
      <c r="G38" s="24" t="s">
        <v>387</v>
      </c>
      <c r="H38" s="37" t="str">
        <f aca="false">IFERROR(IF(ISBLANK(INDEX(SprintPlanning[Sprint],MATCH($A38,SprintPlanning[Requirement ID],0))),"",INDEX(SprintPlanning[Sprint],MATCH($A38,SprintPlanning[Requirement ID],0))),"")</f>
        <v>To Plan</v>
      </c>
      <c r="I38" s="26" t="str">
        <f aca="false">IFERROR(IF(ISBLANK(INDEX(Backlog[Status],MATCH($A38,Backlog[Requirement ID],0))),"",INDEX(Backlog[Status],MATCH($A38,Backlog[Requirement ID],0))),"")</f>
        <v>NEW</v>
      </c>
      <c r="J38" s="26" t="str">
        <f aca="false">IFERROR(IF(ISBLANK(INDEX(Backlog[Priority],MATCH($A38,Backlog[Requirement ID],0))),"",INDEX(Backlog[Priority],MATCH($A38,Backlog[Requirement ID],0))),"")</f>
        <v>Medium</v>
      </c>
      <c r="K38" s="24"/>
      <c r="L38" s="60"/>
      <c r="M38" s="60"/>
      <c r="N38" s="24"/>
      <c r="O38" s="61"/>
      <c r="P38" s="30"/>
      <c r="Q38" s="30"/>
    </row>
    <row r="39" customFormat="false" ht="15" hidden="false" customHeight="true" outlineLevel="0" collapsed="false">
      <c r="A39" s="24" t="str">
        <f aca="false">Backlog!A39</f>
        <v>NEW-0017</v>
      </c>
      <c r="B39" s="26" t="str">
        <f aca="false">IFERROR(IF(ISBLANK(INDEX(Backlog[Requirement Name],MATCH($A39,Backlog[Requirement ID],0))),"",INDEX(Backlog[Requirement Name],MATCH($A39,Backlog[Requirement ID],0))),"")</f>
        <v>ARG Payment provider Pagtur</v>
      </c>
      <c r="C39" s="26" t="str">
        <f aca="false">IFERROR(IF(ISBLANK(INDEX(Backlog[Stream],MATCH($A39,Backlog[Requirement ID],0))),"",INDEX(Backlog[Stream],MATCH($A39,Backlog[Requirement ID],0))),"")</f>
        <v>MVP Rollout</v>
      </c>
      <c r="D39" s="26" t="str">
        <f aca="false">IFERROR(IF(ISBLANK(INDEX(Backlog[Stream Owner],MATCH($A39,Backlog[Requirement ID],0))),"",INDEX(Backlog[Stream Owner],MATCH($A39,Backlog[Requirement ID],0))),"")</f>
        <v>B2CW</v>
      </c>
      <c r="E39" s="26" t="str">
        <f aca="false">IFERROR(IF(ISBLANK(INDEX(Backlog[Jira Link],MATCH($A39,Backlog[Requirement ID],0))),"",INDEX(Backlog[Jira Link],MATCH($A39,Backlog[Requirement ID],0))),"")</f>
        <v/>
      </c>
      <c r="F39" s="24" t="s">
        <v>383</v>
      </c>
      <c r="G39" s="24" t="s">
        <v>383</v>
      </c>
      <c r="H39" s="37" t="str">
        <f aca="false">IFERROR(IF(ISBLANK(INDEX(SprintPlanning[Sprint],MATCH($A39,SprintPlanning[Requirement ID],0))),"",INDEX(SprintPlanning[Sprint],MATCH($A39,SprintPlanning[Requirement ID],0))),"")</f>
        <v>To Plan</v>
      </c>
      <c r="I39" s="26" t="str">
        <f aca="false">IFERROR(IF(ISBLANK(INDEX(Backlog[Status],MATCH($A39,Backlog[Requirement ID],0))),"",INDEX(Backlog[Status],MATCH($A39,Backlog[Requirement ID],0))),"")</f>
        <v>NEW</v>
      </c>
      <c r="J39" s="26" t="str">
        <f aca="false">IFERROR(IF(ISBLANK(INDEX(Backlog[Priority],MATCH($A39,Backlog[Requirement ID],0))),"",INDEX(Backlog[Priority],MATCH($A39,Backlog[Requirement ID],0))),"")</f>
        <v>Medium</v>
      </c>
      <c r="K39" s="24"/>
      <c r="L39" s="60"/>
      <c r="M39" s="60"/>
      <c r="N39" s="24"/>
      <c r="O39" s="61"/>
      <c r="P39" s="30"/>
      <c r="Q39" s="30"/>
    </row>
    <row r="40" customFormat="false" ht="15" hidden="false" customHeight="true" outlineLevel="0" collapsed="false">
      <c r="A40" s="24" t="str">
        <f aca="false">Backlog!A40</f>
        <v>NEW-0018</v>
      </c>
      <c r="B40" s="26" t="str">
        <f aca="false">IFERROR(IF(ISBLANK(INDEX(Backlog[Requirement Name],MATCH($A40,Backlog[Requirement ID],0))),"",INDEX(Backlog[Requirement Name],MATCH($A40,Backlog[Requirement ID],0))),"")</f>
        <v>BR Payment providerDireçao</v>
      </c>
      <c r="C40" s="26" t="str">
        <f aca="false">IFERROR(IF(ISBLANK(INDEX(Backlog[Stream],MATCH($A40,Backlog[Requirement ID],0))),"",INDEX(Backlog[Stream],MATCH($A40,Backlog[Requirement ID],0))),"")</f>
        <v>MVP Rollout</v>
      </c>
      <c r="D40" s="26" t="str">
        <f aca="false">IFERROR(IF(ISBLANK(INDEX(Backlog[Stream Owner],MATCH($A40,Backlog[Requirement ID],0))),"",INDEX(Backlog[Stream Owner],MATCH($A40,Backlog[Requirement ID],0))),"")</f>
        <v>B2CW</v>
      </c>
      <c r="E40" s="26" t="str">
        <f aca="false">IFERROR(IF(ISBLANK(INDEX(Backlog[Jira Link],MATCH($A40,Backlog[Requirement ID],0))),"",INDEX(Backlog[Jira Link],MATCH($A40,Backlog[Requirement ID],0))),"")</f>
        <v/>
      </c>
      <c r="F40" s="24" t="s">
        <v>383</v>
      </c>
      <c r="G40" s="24" t="s">
        <v>383</v>
      </c>
      <c r="H40" s="37" t="str">
        <f aca="false">IFERROR(IF(ISBLANK(INDEX(SprintPlanning[Sprint],MATCH($A40,SprintPlanning[Requirement ID],0))),"",INDEX(SprintPlanning[Sprint],MATCH($A40,SprintPlanning[Requirement ID],0))),"")</f>
        <v>To Plan</v>
      </c>
      <c r="I40" s="26" t="str">
        <f aca="false">IFERROR(IF(ISBLANK(INDEX(Backlog[Status],MATCH($A40,Backlog[Requirement ID],0))),"",INDEX(Backlog[Status],MATCH($A40,Backlog[Requirement ID],0))),"")</f>
        <v>NEW</v>
      </c>
      <c r="J40" s="26" t="str">
        <f aca="false">IFERROR(IF(ISBLANK(INDEX(Backlog[Priority],MATCH($A40,Backlog[Requirement ID],0))),"",INDEX(Backlog[Priority],MATCH($A40,Backlog[Requirement ID],0))),"")</f>
        <v>Medium</v>
      </c>
      <c r="K40" s="24"/>
      <c r="L40" s="60"/>
      <c r="M40" s="60"/>
      <c r="N40" s="24"/>
      <c r="O40" s="61"/>
      <c r="P40" s="30"/>
      <c r="Q40" s="30"/>
    </row>
    <row r="41" customFormat="false" ht="15" hidden="false" customHeight="true" outlineLevel="0" collapsed="false">
      <c r="A41" s="24" t="str">
        <f aca="false">Backlog!A41</f>
        <v>NEW-0020</v>
      </c>
      <c r="B41" s="26" t="str">
        <f aca="false">IFERROR(IF(ISBLANK(INDEX(Backlog[Requirement Name],MATCH($A41,Backlog[Requirement ID],0))),"",INDEX(Backlog[Requirement Name],MATCH($A41,Backlog[Requirement ID],0))),"")</f>
        <v>MyMSC Spa </v>
      </c>
      <c r="C41" s="26" t="str">
        <f aca="false">IFERROR(IF(ISBLANK(INDEX(Backlog[Stream],MATCH($A41,Backlog[Requirement ID],0))),"",INDEX(Backlog[Stream],MATCH($A41,Backlog[Requirement ID],0))),"")</f>
        <v>MyMSC</v>
      </c>
      <c r="D41" s="26" t="str">
        <f aca="false">IFERROR(IF(ISBLANK(INDEX(Backlog[Stream Owner],MATCH($A41,Backlog[Requirement ID],0))),"",INDEX(Backlog[Stream Owner],MATCH($A41,Backlog[Requirement ID],0))),"")</f>
        <v>B2CW</v>
      </c>
      <c r="E41" s="26" t="str">
        <f aca="false">IFERROR(IF(ISBLANK(INDEX(Backlog[Jira Link],MATCH($A41,Backlog[Requirement ID],0))),"",INDEX(Backlog[Jira Link],MATCH($A41,Backlog[Requirement ID],0))),"")</f>
        <v/>
      </c>
      <c r="F41" s="24" t="s">
        <v>383</v>
      </c>
      <c r="G41" s="24" t="s">
        <v>383</v>
      </c>
      <c r="H41" s="37" t="str">
        <f aca="false">IFERROR(IF(ISBLANK(INDEX(SprintPlanning[Sprint],MATCH($A41,SprintPlanning[Requirement ID],0))),"",INDEX(SprintPlanning[Sprint],MATCH($A41,SprintPlanning[Requirement ID],0))),"")</f>
        <v>To Plan</v>
      </c>
      <c r="I41" s="26" t="str">
        <f aca="false">IFERROR(IF(ISBLANK(INDEX(Backlog[Status],MATCH($A41,Backlog[Requirement ID],0))),"",INDEX(Backlog[Status],MATCH($A41,Backlog[Requirement ID],0))),"")</f>
        <v>NEW</v>
      </c>
      <c r="J41" s="26" t="str">
        <f aca="false">IFERROR(IF(ISBLANK(INDEX(Backlog[Priority],MATCH($A41,Backlog[Requirement ID],0))),"",INDEX(Backlog[Priority],MATCH($A41,Backlog[Requirement ID],0))),"")</f>
        <v>Medium</v>
      </c>
      <c r="K41" s="24"/>
      <c r="L41" s="60"/>
      <c r="M41" s="60"/>
      <c r="N41" s="24"/>
      <c r="O41" s="61"/>
      <c r="P41" s="30"/>
      <c r="Q41" s="30"/>
    </row>
    <row r="42" customFormat="false" ht="15" hidden="false" customHeight="true" outlineLevel="0" collapsed="false">
      <c r="A42" s="24" t="str">
        <f aca="false">Backlog!A42</f>
        <v>NEW-0022</v>
      </c>
      <c r="B42" s="26" t="str">
        <f aca="false">IFERROR(IF(ISBLANK(INDEX(Backlog[Requirement Name],MATCH($A42,Backlog[Requirement ID],0))),"",INDEX(Backlog[Requirement Name],MATCH($A42,Backlog[Requirement ID],0))),"")</f>
        <v>Super Agency Access</v>
      </c>
      <c r="C42" s="26" t="str">
        <f aca="false">IFERROR(IF(ISBLANK(INDEX(Backlog[Stream],MATCH($A42,Backlog[Requirement ID],0))),"",INDEX(Backlog[Stream],MATCH($A42,Backlog[Requirement ID],0))),"")</f>
        <v>MyMSC</v>
      </c>
      <c r="D42" s="26" t="str">
        <f aca="false">IFERROR(IF(ISBLANK(INDEX(Backlog[Stream Owner],MATCH($A42,Backlog[Requirement ID],0))),"",INDEX(Backlog[Stream Owner],MATCH($A42,Backlog[Requirement ID],0))),"")</f>
        <v>B2CW</v>
      </c>
      <c r="E42" s="26" t="str">
        <f aca="false">IFERROR(IF(ISBLANK(INDEX(Backlog[Jira Link],MATCH($A42,Backlog[Requirement ID],0))),"",INDEX(Backlog[Jira Link],MATCH($A42,Backlog[Requirement ID],0))),"")</f>
        <v/>
      </c>
      <c r="F42" s="24" t="s">
        <v>387</v>
      </c>
      <c r="G42" s="24" t="s">
        <v>387</v>
      </c>
      <c r="H42" s="37" t="str">
        <f aca="false">IFERROR(IF(ISBLANK(INDEX(SprintPlanning[Sprint],MATCH($A42,SprintPlanning[Requirement ID],0))),"",INDEX(SprintPlanning[Sprint],MATCH($A42,SprintPlanning[Requirement ID],0))),"")</f>
        <v>To Plan</v>
      </c>
      <c r="I42" s="26" t="str">
        <f aca="false">IFERROR(IF(ISBLANK(INDEX(Backlog[Status],MATCH($A42,Backlog[Requirement ID],0))),"",INDEX(Backlog[Status],MATCH($A42,Backlog[Requirement ID],0))),"")</f>
        <v>NEW</v>
      </c>
      <c r="J42" s="26" t="str">
        <f aca="false">IFERROR(IF(ISBLANK(INDEX(Backlog[Priority],MATCH($A42,Backlog[Requirement ID],0))),"",INDEX(Backlog[Priority],MATCH($A42,Backlog[Requirement ID],0))),"")</f>
        <v>Medium</v>
      </c>
      <c r="K42" s="24"/>
      <c r="L42" s="60"/>
      <c r="M42" s="60"/>
      <c r="N42" s="24"/>
      <c r="O42" s="61"/>
      <c r="P42" s="30"/>
      <c r="Q42" s="30"/>
    </row>
    <row r="43" customFormat="false" ht="15" hidden="false" customHeight="true" outlineLevel="0" collapsed="false">
      <c r="A43" s="24" t="str">
        <f aca="false">Backlog!A43</f>
        <v>NEW-0033</v>
      </c>
      <c r="B43" s="26" t="str">
        <f aca="false">IFERROR(IF(ISBLANK(INDEX(Backlog[Requirement Name],MATCH($A43,Backlog[Requirement ID],0))),"",INDEX(Backlog[Requirement Name],MATCH($A43,Backlog[Requirement ID],0))),"")</f>
        <v>Pending Configurations for DACH, MED, LATAM</v>
      </c>
      <c r="C43" s="26" t="str">
        <f aca="false">IFERROR(IF(ISBLANK(INDEX(Backlog[Stream],MATCH($A43,Backlog[Requirement ID],0))),"",INDEX(Backlog[Stream],MATCH($A43,Backlog[Requirement ID],0))),"")</f>
        <v>MyMSC</v>
      </c>
      <c r="D43" s="26" t="str">
        <f aca="false">IFERROR(IF(ISBLANK(INDEX(Backlog[Stream Owner],MATCH($A43,Backlog[Requirement ID],0))),"",INDEX(Backlog[Stream Owner],MATCH($A43,Backlog[Requirement ID],0))),"")</f>
        <v>B2CW</v>
      </c>
      <c r="E43" s="26" t="str">
        <f aca="false">IFERROR(IF(ISBLANK(INDEX(Backlog[Jira Link],MATCH($A43,Backlog[Requirement ID],0))),"",INDEX(Backlog[Jira Link],MATCH($A43,Backlog[Requirement ID],0))),"")</f>
        <v>https://smartship.atlassian.net/browse/DTTP25-21230</v>
      </c>
      <c r="F43" s="24" t="s">
        <v>387</v>
      </c>
      <c r="G43" s="24" t="s">
        <v>387</v>
      </c>
      <c r="H43" s="37" t="str">
        <f aca="false">IFERROR(IF(ISBLANK(INDEX(SprintPlanning[Sprint],MATCH($A43,SprintPlanning[Requirement ID],0))),"",INDEX(SprintPlanning[Sprint],MATCH($A43,SprintPlanning[Requirement ID],0))),"")</f>
        <v>To Plan</v>
      </c>
      <c r="I43" s="26" t="str">
        <f aca="false">IFERROR(IF(ISBLANK(INDEX(Backlog[Status],MATCH($A43,Backlog[Requirement ID],0))),"",INDEX(Backlog[Status],MATCH($A43,Backlog[Requirement ID],0))),"")</f>
        <v>NEW</v>
      </c>
      <c r="J43" s="26" t="str">
        <f aca="false">IFERROR(IF(ISBLANK(INDEX(Backlog[Priority],MATCH($A43,Backlog[Requirement ID],0))),"",INDEX(Backlog[Priority],MATCH($A43,Backlog[Requirement ID],0))),"")</f>
        <v>Medium</v>
      </c>
      <c r="K43" s="24"/>
      <c r="L43" s="60"/>
      <c r="M43" s="60"/>
      <c r="N43" s="24"/>
      <c r="O43" s="61"/>
      <c r="P43" s="30"/>
      <c r="Q43" s="30"/>
    </row>
    <row r="44" customFormat="false" ht="15" hidden="false" customHeight="true" outlineLevel="0" collapsed="false">
      <c r="A44" s="24" t="str">
        <f aca="false">Backlog!A44</f>
        <v>NEW-0068</v>
      </c>
      <c r="B44" s="26" t="str">
        <f aca="false">IFERROR(IF(ISBLANK(INDEX(Backlog[Requirement Name],MATCH($A44,Backlog[Requirement ID],0))),"",INDEX(Backlog[Requirement Name],MATCH($A44,Backlog[Requirement ID],0))),"")</f>
        <v>[EAINT] [CR][INT026][INT133][INT130] Split calls to CMS for excursion/OBS data into chunks</v>
      </c>
      <c r="C44" s="26" t="str">
        <f aca="false">IFERROR(IF(ISBLANK(INDEX(Backlog[Stream],MATCH($A44,Backlog[Requirement ID],0))),"",INDEX(Backlog[Stream],MATCH($A44,Backlog[Requirement ID],0))),"")</f>
        <v>MyMSC</v>
      </c>
      <c r="D44" s="26" t="str">
        <f aca="false">IFERROR(IF(ISBLANK(INDEX(Backlog[Stream Owner],MATCH($A44,Backlog[Requirement ID],0))),"",INDEX(Backlog[Stream Owner],MATCH($A44,Backlog[Requirement ID],0))),"")</f>
        <v>B2CW</v>
      </c>
      <c r="E44" s="26" t="str">
        <f aca="false">IFERROR(IF(ISBLANK(INDEX(Backlog[Jira Link],MATCH($A44,Backlog[Requirement ID],0))),"",INDEX(Backlog[Jira Link],MATCH($A44,Backlog[Requirement ID],0))),"")</f>
        <v/>
      </c>
      <c r="F44" s="24" t="s">
        <v>139</v>
      </c>
      <c r="G44" s="24" t="s">
        <v>139</v>
      </c>
      <c r="H44" s="37" t="str">
        <f aca="false">IFERROR(IF(ISBLANK(INDEX(SprintPlanning[Sprint],MATCH($A44,SprintPlanning[Requirement ID],0))),"",INDEX(SprintPlanning[Sprint],MATCH($A44,SprintPlanning[Requirement ID],0))),"")</f>
        <v>To Plan</v>
      </c>
      <c r="I44" s="26" t="str">
        <f aca="false">IFERROR(IF(ISBLANK(INDEX(Backlog[Status],MATCH($A44,Backlog[Requirement ID],0))),"",INDEX(Backlog[Status],MATCH($A44,Backlog[Requirement ID],0))),"")</f>
        <v>NEW</v>
      </c>
      <c r="J44" s="26" t="str">
        <f aca="false">IFERROR(IF(ISBLANK(INDEX(Backlog[Priority],MATCH($A44,Backlog[Requirement ID],0))),"",INDEX(Backlog[Priority],MATCH($A44,Backlog[Requirement ID],0))),"")</f>
        <v>Medium</v>
      </c>
      <c r="K44" s="24"/>
      <c r="L44" s="60"/>
      <c r="M44" s="60"/>
      <c r="N44" s="24"/>
      <c r="O44" s="61"/>
      <c r="P44" s="30"/>
      <c r="Q44" s="30"/>
    </row>
    <row r="45" customFormat="false" ht="15" hidden="false" customHeight="true" outlineLevel="0" collapsed="false">
      <c r="A45" s="24" t="str">
        <f aca="false">Backlog!A45</f>
        <v>NEW-0265</v>
      </c>
      <c r="B45" s="26" t="str">
        <f aca="false">IFERROR(IF(ISBLANK(INDEX(Backlog[Requirement Name],MATCH($A45,Backlog[Requirement ID],0))),"",INDEX(Backlog[Requirement Name],MATCH($A45,Backlog[Requirement ID],0))),"")</f>
        <v>TLI 99.1</v>
      </c>
      <c r="C45" s="26" t="str">
        <f aca="false">IFERROR(IF(ISBLANK(INDEX(Backlog[Stream],MATCH($A45,Backlog[Requirement ID],0))),"",INDEX(Backlog[Stream],MATCH($A45,Backlog[Requirement ID],0))),"")</f>
        <v>US</v>
      </c>
      <c r="D45" s="26" t="str">
        <f aca="false">IFERROR(IF(ISBLANK(INDEX(Backlog[Stream Owner],MATCH($A45,Backlog[Requirement ID],0))),"",INDEX(Backlog[Stream Owner],MATCH($A45,Backlog[Requirement ID],0))),"")</f>
        <v>MA</v>
      </c>
      <c r="E45" s="26" t="str">
        <f aca="false">IFERROR(IF(ISBLANK(INDEX(Backlog[Jira Link],MATCH($A45,Backlog[Requirement ID],0))),"",INDEX(Backlog[Jira Link],MATCH($A45,Backlog[Requirement ID],0))),"")</f>
        <v/>
      </c>
      <c r="F45" s="24" t="s">
        <v>387</v>
      </c>
      <c r="G45" s="24" t="s">
        <v>387</v>
      </c>
      <c r="H45" s="37" t="str">
        <f aca="false">IFERROR(IF(ISBLANK(INDEX(SprintPlanning[Sprint],MATCH($A45,SprintPlanning[Requirement ID],0))),"",INDEX(SprintPlanning[Sprint],MATCH($A45,SprintPlanning[Requirement ID],0))),"")</f>
        <v/>
      </c>
      <c r="I45" s="26" t="str">
        <f aca="false">IFERROR(IF(ISBLANK(INDEX(Backlog[Status],MATCH($A45,Backlog[Requirement ID],0))),"",INDEX(Backlog[Status],MATCH($A45,Backlog[Requirement ID],0))),"")</f>
        <v>DONE</v>
      </c>
      <c r="J45" s="26" t="str">
        <f aca="false">IFERROR(IF(ISBLANK(INDEX(Backlog[Priority],MATCH($A45,Backlog[Requirement ID],0))),"",INDEX(Backlog[Priority],MATCH($A45,Backlog[Requirement ID],0))),"")</f>
        <v>Medium</v>
      </c>
      <c r="K45" s="24"/>
      <c r="L45" s="60"/>
      <c r="M45" s="60"/>
      <c r="N45" s="24"/>
      <c r="O45" s="61"/>
      <c r="P45" s="30"/>
      <c r="Q45" s="30"/>
    </row>
    <row r="46" customFormat="false" ht="15" hidden="false" customHeight="true" outlineLevel="0" collapsed="false">
      <c r="A46" s="24" t="str">
        <f aca="false">Backlog!A46</f>
        <v>NEW-0266</v>
      </c>
      <c r="B46" s="26" t="str">
        <f aca="false">IFERROR(IF(ISBLANK(INDEX(Backlog[Requirement Name],MATCH($A46,Backlog[Requirement ID],0))),"",INDEX(Backlog[Requirement Name],MATCH($A46,Backlog[Requirement ID],0))),"")</f>
        <v>Campaigns for loyalty program management</v>
      </c>
      <c r="C46" s="26" t="str">
        <f aca="false">IFERROR(IF(ISBLANK(INDEX(Backlog[Stream],MATCH($A46,Backlog[Requirement ID],0))),"",INDEX(Backlog[Stream],MATCH($A46,Backlog[Requirement ID],0))),"")</f>
        <v>US</v>
      </c>
      <c r="D46" s="26" t="str">
        <f aca="false">IFERROR(IF(ISBLANK(INDEX(Backlog[Stream Owner],MATCH($A46,Backlog[Requirement ID],0))),"",INDEX(Backlog[Stream Owner],MATCH($A46,Backlog[Requirement ID],0))),"")</f>
        <v>MA</v>
      </c>
      <c r="E46" s="26" t="str">
        <f aca="false">IFERROR(IF(ISBLANK(INDEX(Backlog[Jira Link],MATCH($A46,Backlog[Requirement ID],0))),"",INDEX(Backlog[Jira Link],MATCH($A46,Backlog[Requirement ID],0))),"")</f>
        <v/>
      </c>
      <c r="F46" s="24" t="s">
        <v>387</v>
      </c>
      <c r="G46" s="24" t="s">
        <v>387</v>
      </c>
      <c r="H46" s="37" t="str">
        <f aca="false">IFERROR(IF(ISBLANK(INDEX(SprintPlanning[Sprint],MATCH($A46,SprintPlanning[Requirement ID],0))),"",INDEX(SprintPlanning[Sprint],MATCH($A46,SprintPlanning[Requirement ID],0))),"")</f>
        <v/>
      </c>
      <c r="I46" s="26" t="str">
        <f aca="false">IFERROR(IF(ISBLANK(INDEX(Backlog[Status],MATCH($A46,Backlog[Requirement ID],0))),"",INDEX(Backlog[Status],MATCH($A46,Backlog[Requirement ID],0))),"")</f>
        <v>DONE</v>
      </c>
      <c r="J46" s="26" t="str">
        <f aca="false">IFERROR(IF(ISBLANK(INDEX(Backlog[Priority],MATCH($A46,Backlog[Requirement ID],0))),"",INDEX(Backlog[Priority],MATCH($A46,Backlog[Requirement ID],0))),"")</f>
        <v>Medium</v>
      </c>
      <c r="K46" s="24"/>
      <c r="L46" s="60"/>
      <c r="M46" s="60"/>
      <c r="N46" s="24"/>
      <c r="O46" s="61"/>
      <c r="P46" s="30"/>
      <c r="Q46" s="30"/>
    </row>
    <row r="47" customFormat="false" ht="15" hidden="false" customHeight="true" outlineLevel="0" collapsed="false">
      <c r="A47" s="24" t="str">
        <f aca="false">Backlog!A47</f>
        <v>NEW-0270</v>
      </c>
      <c r="B47" s="26" t="str">
        <f aca="false">IFERROR(IF(ISBLANK(INDEX(Backlog[Requirement Name],MATCH($A47,Backlog[Requirement ID],0))),"",INDEX(Backlog[Requirement Name],MATCH($A47,Backlog[Requirement ID],0))),"")</f>
        <v>Booking Group Management Cabin Selections</v>
      </c>
      <c r="C47" s="26" t="str">
        <f aca="false">IFERROR(IF(ISBLANK(INDEX(Backlog[Stream],MATCH($A47,Backlog[Requirement ID],0))),"",INDEX(Backlog[Stream],MATCH($A47,Backlog[Requirement ID],0))),"")</f>
        <v>US</v>
      </c>
      <c r="D47" s="26" t="str">
        <f aca="false">IFERROR(IF(ISBLANK(INDEX(Backlog[Stream Owner],MATCH($A47,Backlog[Requirement ID],0))),"",INDEX(Backlog[Stream Owner],MATCH($A47,Backlog[Requirement ID],0))),"")</f>
        <v>B2CW</v>
      </c>
      <c r="E47" s="26" t="str">
        <f aca="false">IFERROR(IF(ISBLANK(INDEX(Backlog[Jira Link],MATCH($A47,Backlog[Requirement ID],0))),"",INDEX(Backlog[Jira Link],MATCH($A47,Backlog[Requirement ID],0))),"")</f>
        <v/>
      </c>
      <c r="F47" s="24" t="s">
        <v>387</v>
      </c>
      <c r="G47" s="24" t="s">
        <v>387</v>
      </c>
      <c r="H47" s="37" t="str">
        <f aca="false">IFERROR(IF(ISBLANK(INDEX(SprintPlanning[Sprint],MATCH($A47,SprintPlanning[Requirement ID],0))),"",INDEX(SprintPlanning[Sprint],MATCH($A47,SprintPlanning[Requirement ID],0))),"")</f>
        <v>To Plan</v>
      </c>
      <c r="I47" s="26" t="str">
        <f aca="false">IFERROR(IF(ISBLANK(INDEX(Backlog[Status],MATCH($A47,Backlog[Requirement ID],0))),"",INDEX(Backlog[Status],MATCH($A47,Backlog[Requirement ID],0))),"")</f>
        <v>NEW</v>
      </c>
      <c r="J47" s="26" t="str">
        <f aca="false">IFERROR(IF(ISBLANK(INDEX(Backlog[Priority],MATCH($A47,Backlog[Requirement ID],0))),"",INDEX(Backlog[Priority],MATCH($A47,Backlog[Requirement ID],0))),"")</f>
        <v>Medium</v>
      </c>
      <c r="K47" s="24"/>
      <c r="L47" s="60"/>
      <c r="M47" s="60"/>
      <c r="N47" s="24"/>
      <c r="O47" s="61"/>
      <c r="P47" s="30"/>
      <c r="Q47" s="30"/>
    </row>
    <row r="48" customFormat="false" ht="15" hidden="false" customHeight="true" outlineLevel="0" collapsed="false">
      <c r="A48" s="24" t="str">
        <f aca="false">Backlog!A48</f>
        <v>NEW-0274</v>
      </c>
      <c r="B48" s="26" t="str">
        <f aca="false">IFERROR(IF(ISBLANK(INDEX(Backlog[Requirement Name],MATCH($A48,Backlog[Requirement ID],0))),"",INDEX(Backlog[Requirement Name],MATCH($A48,Backlog[Requirement ID],0))),"")</f>
        <v>INT024.2 - Addition of “Disembarkation Date” and “Pay By” fields</v>
      </c>
      <c r="C48" s="26" t="str">
        <f aca="false">IFERROR(IF(ISBLANK(INDEX(Backlog[Stream],MATCH($A48,Backlog[Requirement ID],0))),"",INDEX(Backlog[Stream],MATCH($A48,Backlog[Requirement ID],0))),"")</f>
        <v>Growth</v>
      </c>
      <c r="D48" s="26" t="str">
        <f aca="false">IFERROR(IF(ISBLANK(INDEX(Backlog[Stream Owner],MATCH($A48,Backlog[Requirement ID],0))),"",INDEX(Backlog[Stream Owner],MATCH($A48,Backlog[Requirement ID],0))),"")</f>
        <v>S&amp;S</v>
      </c>
      <c r="E48" s="26" t="str">
        <f aca="false">IFERROR(IF(ISBLANK(INDEX(Backlog[Jira Link],MATCH($A48,Backlog[Requirement ID],0))),"",INDEX(Backlog[Jira Link],MATCH($A48,Backlog[Requirement ID],0))),"")</f>
        <v/>
      </c>
      <c r="F48" s="24" t="s">
        <v>387</v>
      </c>
      <c r="G48" s="24" t="s">
        <v>387</v>
      </c>
      <c r="H48" s="37" t="str">
        <f aca="false">IFERROR(IF(ISBLANK(INDEX(SprintPlanning[Sprint],MATCH($A48,SprintPlanning[Requirement ID],0))),"",INDEX(SprintPlanning[Sprint],MATCH($A48,SprintPlanning[Requirement ID],0))),"")</f>
        <v>To Plan</v>
      </c>
      <c r="I48" s="26" t="str">
        <f aca="false">IFERROR(IF(ISBLANK(INDEX(Backlog[Status],MATCH($A48,Backlog[Requirement ID],0))),"",INDEX(Backlog[Status],MATCH($A48,Backlog[Requirement ID],0))),"")</f>
        <v>NEW</v>
      </c>
      <c r="J48" s="26" t="str">
        <f aca="false">IFERROR(IF(ISBLANK(INDEX(Backlog[Priority],MATCH($A48,Backlog[Requirement ID],0))),"",INDEX(Backlog[Priority],MATCH($A48,Backlog[Requirement ID],0))),"")</f>
        <v>Medium</v>
      </c>
      <c r="K48" s="24"/>
      <c r="L48" s="60"/>
      <c r="M48" s="60"/>
      <c r="N48" s="24"/>
      <c r="O48" s="61"/>
      <c r="P48" s="30"/>
      <c r="Q48" s="30"/>
    </row>
    <row r="49" customFormat="false" ht="15" hidden="false" customHeight="true" outlineLevel="0" collapsed="false">
      <c r="A49" s="24" t="str">
        <f aca="false">Backlog!A49</f>
        <v>NEW-0284</v>
      </c>
      <c r="B49" s="26" t="str">
        <f aca="false">IFERROR(IF(ISBLANK(INDEX(Backlog[Requirement Name],MATCH($A49,Backlog[Requirement ID],0))),"",INDEX(Backlog[Requirement Name],MATCH($A49,Backlog[Requirement ID],0))),"")</f>
        <v>DACH, MED, LATAM Configurations</v>
      </c>
      <c r="C49" s="26" t="str">
        <f aca="false">IFERROR(IF(ISBLANK(INDEX(Backlog[Stream],MATCH($A49,Backlog[Requirement ID],0))),"",INDEX(Backlog[Stream],MATCH($A49,Backlog[Requirement ID],0))),"")</f>
        <v>MyMSC</v>
      </c>
      <c r="D49" s="26" t="str">
        <f aca="false">IFERROR(IF(ISBLANK(INDEX(Backlog[Stream Owner],MATCH($A49,Backlog[Requirement ID],0))),"",INDEX(Backlog[Stream Owner],MATCH($A49,Backlog[Requirement ID],0))),"")</f>
        <v>B2CW</v>
      </c>
      <c r="E49" s="26" t="str">
        <f aca="false">IFERROR(IF(ISBLANK(INDEX(Backlog[Jira Link],MATCH($A49,Backlog[Requirement ID],0))),"",INDEX(Backlog[Jira Link],MATCH($A49,Backlog[Requirement ID],0))),"")</f>
        <v/>
      </c>
      <c r="F49" s="24" t="s">
        <v>387</v>
      </c>
      <c r="G49" s="24" t="s">
        <v>387</v>
      </c>
      <c r="H49" s="37" t="str">
        <f aca="false">IFERROR(IF(ISBLANK(INDEX(SprintPlanning[Sprint],MATCH($A49,SprintPlanning[Requirement ID],0))),"",INDEX(SprintPlanning[Sprint],MATCH($A49,SprintPlanning[Requirement ID],0))),"")</f>
        <v>To Plan</v>
      </c>
      <c r="I49" s="26" t="str">
        <f aca="false">IFERROR(IF(ISBLANK(INDEX(Backlog[Status],MATCH($A49,Backlog[Requirement ID],0))),"",INDEX(Backlog[Status],MATCH($A49,Backlog[Requirement ID],0))),"")</f>
        <v>NEW</v>
      </c>
      <c r="J49" s="26" t="str">
        <f aca="false">IFERROR(IF(ISBLANK(INDEX(Backlog[Priority],MATCH($A49,Backlog[Requirement ID],0))),"",INDEX(Backlog[Priority],MATCH($A49,Backlog[Requirement ID],0))),"")</f>
        <v>Medium</v>
      </c>
      <c r="K49" s="24"/>
      <c r="L49" s="60"/>
      <c r="M49" s="60"/>
      <c r="N49" s="24"/>
      <c r="O49" s="61"/>
      <c r="P49" s="30"/>
      <c r="Q49" s="30"/>
    </row>
    <row r="50" customFormat="false" ht="15" hidden="false" customHeight="true" outlineLevel="0" collapsed="false">
      <c r="A50" s="24" t="str">
        <f aca="false">Backlog!A50</f>
        <v>NEW-0288</v>
      </c>
      <c r="B50" s="26" t="str">
        <f aca="false">IFERROR(IF(ISBLANK(INDEX(Backlog[Requirement Name],MATCH($A50,Backlog[Requirement ID],0))),"",INDEX(Backlog[Requirement Name],MATCH($A50,Backlog[Requirement ID],0))),"")</f>
        <v>Remove of login endpoints from MyMSC EAPI</v>
      </c>
      <c r="C50" s="26" t="str">
        <f aca="false">IFERROR(IF(ISBLANK(INDEX(Backlog[Stream],MATCH($A50,Backlog[Requirement ID],0))),"",INDEX(Backlog[Stream],MATCH($A50,Backlog[Requirement ID],0))),"")</f>
        <v>MyMSC</v>
      </c>
      <c r="D50" s="26" t="str">
        <f aca="false">IFERROR(IF(ISBLANK(INDEX(Backlog[Stream Owner],MATCH($A50,Backlog[Requirement ID],0))),"",INDEX(Backlog[Stream Owner],MATCH($A50,Backlog[Requirement ID],0))),"")</f>
        <v>ALL</v>
      </c>
      <c r="E50" s="26" t="str">
        <f aca="false">IFERROR(IF(ISBLANK(INDEX(Backlog[Jira Link],MATCH($A50,Backlog[Requirement ID],0))),"",INDEX(Backlog[Jira Link],MATCH($A50,Backlog[Requirement ID],0))),"")</f>
        <v/>
      </c>
      <c r="F50" s="24" t="s">
        <v>383</v>
      </c>
      <c r="G50" s="24" t="s">
        <v>387</v>
      </c>
      <c r="H50" s="37" t="str">
        <f aca="false">IFERROR(IF(ISBLANK(INDEX(SprintPlanning[Sprint],MATCH($A50,SprintPlanning[Requirement ID],0))),"",INDEX(SprintPlanning[Sprint],MATCH($A50,SprintPlanning[Requirement ID],0))),"")</f>
        <v>To Plan</v>
      </c>
      <c r="I50" s="26" t="str">
        <f aca="false">IFERROR(IF(ISBLANK(INDEX(Backlog[Status],MATCH($A50,Backlog[Requirement ID],0))),"",INDEX(Backlog[Status],MATCH($A50,Backlog[Requirement ID],0))),"")</f>
        <v>NEW</v>
      </c>
      <c r="J50" s="26" t="str">
        <f aca="false">IFERROR(IF(ISBLANK(INDEX(Backlog[Priority],MATCH($A50,Backlog[Requirement ID],0))),"",INDEX(Backlog[Priority],MATCH($A50,Backlog[Requirement ID],0))),"")</f>
        <v>Medium</v>
      </c>
      <c r="K50" s="24"/>
      <c r="L50" s="60"/>
      <c r="M50" s="60"/>
      <c r="N50" s="24"/>
      <c r="O50" s="61"/>
      <c r="P50" s="30"/>
      <c r="Q50" s="30"/>
    </row>
    <row r="51" customFormat="false" ht="15" hidden="false" customHeight="true" outlineLevel="0" collapsed="false">
      <c r="A51" s="24" t="str">
        <f aca="false">Backlog!A51</f>
        <v>NEW-0290</v>
      </c>
      <c r="B51" s="26" t="str">
        <f aca="false">IFERROR(IF(ISBLANK(INDEX(Backlog[Requirement Name],MATCH($A51,Backlog[Requirement ID],0))),"",INDEX(Backlog[Requirement Name],MATCH($A51,Backlog[Requirement ID],0))),"")</f>
        <v>Bug fix for cabin logic in INT135.1/135.2</v>
      </c>
      <c r="C51" s="26" t="str">
        <f aca="false">IFERROR(IF(ISBLANK(INDEX(Backlog[Stream],MATCH($A51,Backlog[Requirement ID],0))),"",INDEX(Backlog[Stream],MATCH($A51,Backlog[Requirement ID],0))),"")</f>
        <v>MyMSC</v>
      </c>
      <c r="D51" s="26" t="str">
        <f aca="false">IFERROR(IF(ISBLANK(INDEX(Backlog[Stream Owner],MATCH($A51,Backlog[Requirement ID],0))),"",INDEX(Backlog[Stream Owner],MATCH($A51,Backlog[Requirement ID],0))),"")</f>
        <v>B2CW</v>
      </c>
      <c r="E51" s="26" t="str">
        <f aca="false">IFERROR(IF(ISBLANK(INDEX(Backlog[Jira Link],MATCH($A51,Backlog[Requirement ID],0))),"",INDEX(Backlog[Jira Link],MATCH($A51,Backlog[Requirement ID],0))),"")</f>
        <v>https://smartship.atlassian.net/browse/DTTP25-29399</v>
      </c>
      <c r="F51" s="24" t="s">
        <v>387</v>
      </c>
      <c r="G51" s="24" t="s">
        <v>387</v>
      </c>
      <c r="H51" s="37" t="str">
        <f aca="false">IFERROR(IF(ISBLANK(INDEX(SprintPlanning[Sprint],MATCH($A51,SprintPlanning[Requirement ID],0))),"",INDEX(SprintPlanning[Sprint],MATCH($A51,SprintPlanning[Requirement ID],0))),"")</f>
        <v>Sprint 11</v>
      </c>
      <c r="I51" s="26" t="str">
        <f aca="false">IFERROR(IF(ISBLANK(INDEX(Backlog[Status],MATCH($A51,Backlog[Requirement ID],0))),"",INDEX(Backlog[Status],MATCH($A51,Backlog[Requirement ID],0))),"")</f>
        <v>NEW</v>
      </c>
      <c r="J51" s="26" t="str">
        <f aca="false">IFERROR(IF(ISBLANK(INDEX(Backlog[Priority],MATCH($A51,Backlog[Requirement ID],0))),"",INDEX(Backlog[Priority],MATCH($A51,Backlog[Requirement ID],0))),"")</f>
        <v>Medium</v>
      </c>
      <c r="K51" s="24"/>
      <c r="L51" s="60"/>
      <c r="M51" s="60"/>
      <c r="N51" s="24"/>
      <c r="O51" s="61"/>
      <c r="P51" s="30"/>
      <c r="Q51" s="30"/>
    </row>
    <row r="52" customFormat="false" ht="15" hidden="false" customHeight="true" outlineLevel="0" collapsed="false">
      <c r="A52" s="24" t="str">
        <f aca="false">Backlog!A52</f>
        <v>NEW-0299</v>
      </c>
      <c r="B52" s="26" t="str">
        <f aca="false">IFERROR(IF(ISBLANK(INDEX(Backlog[Requirement Name],MATCH($A52,Backlog[Requirement ID],0))),"",INDEX(Backlog[Requirement Name],MATCH($A52,Backlog[Requirement ID],0))),"")</f>
        <v>Spa</v>
      </c>
      <c r="C52" s="26" t="str">
        <f aca="false">IFERROR(IF(ISBLANK(INDEX(Backlog[Stream],MATCH($A52,Backlog[Requirement ID],0))),"",INDEX(Backlog[Stream],MATCH($A52,Backlog[Requirement ID],0))),"")</f>
        <v>MyMSC</v>
      </c>
      <c r="D52" s="26" t="str">
        <f aca="false">IFERROR(IF(ISBLANK(INDEX(Backlog[Stream Owner],MATCH($A52,Backlog[Requirement ID],0))),"",INDEX(Backlog[Stream Owner],MATCH($A52,Backlog[Requirement ID],0))),"")</f>
        <v>B2CW</v>
      </c>
      <c r="E52" s="26" t="str">
        <f aca="false">IFERROR(IF(ISBLANK(INDEX(Backlog[Jira Link],MATCH($A52,Backlog[Requirement ID],0))),"",INDEX(Backlog[Jira Link],MATCH($A52,Backlog[Requirement ID],0))),"")</f>
        <v/>
      </c>
      <c r="F52" s="24" t="s">
        <v>387</v>
      </c>
      <c r="G52" s="24" t="s">
        <v>387</v>
      </c>
      <c r="H52" s="37" t="str">
        <f aca="false">IFERROR(IF(ISBLANK(INDEX(SprintPlanning[Sprint],MATCH($A52,SprintPlanning[Requirement ID],0))),"",INDEX(SprintPlanning[Sprint],MATCH($A52,SprintPlanning[Requirement ID],0))),"")</f>
        <v>To Plan</v>
      </c>
      <c r="I52" s="26" t="str">
        <f aca="false">IFERROR(IF(ISBLANK(INDEX(Backlog[Status],MATCH($A52,Backlog[Requirement ID],0))),"",INDEX(Backlog[Status],MATCH($A52,Backlog[Requirement ID],0))),"")</f>
        <v>NEW</v>
      </c>
      <c r="J52" s="26" t="str">
        <f aca="false">IFERROR(IF(ISBLANK(INDEX(Backlog[Priority],MATCH($A52,Backlog[Requirement ID],0))),"",INDEX(Backlog[Priority],MATCH($A52,Backlog[Requirement ID],0))),"")</f>
        <v>Medium</v>
      </c>
      <c r="K52" s="24"/>
      <c r="L52" s="60"/>
      <c r="M52" s="60"/>
      <c r="N52" s="24"/>
      <c r="O52" s="61"/>
      <c r="P52" s="30"/>
      <c r="Q52" s="30"/>
    </row>
    <row r="53" customFormat="false" ht="15" hidden="false" customHeight="true" outlineLevel="0" collapsed="false">
      <c r="A53" s="24" t="str">
        <f aca="false">Backlog!A53</f>
        <v>NEW-0315</v>
      </c>
      <c r="B53" s="26" t="str">
        <f aca="false">IFERROR(IF(ISBLANK(INDEX(Backlog[Requirement Name],MATCH($A53,Backlog[Requirement ID],0))),"",INDEX(Backlog[Requirement Name],MATCH($A53,Backlog[Requirement ID],0))),"")</f>
        <v>MyMSC CR to handle BKG_001 when booking retrieved</v>
      </c>
      <c r="C53" s="26" t="str">
        <f aca="false">IFERROR(IF(ISBLANK(INDEX(Backlog[Stream],MATCH($A53,Backlog[Requirement ID],0))),"",INDEX(Backlog[Stream],MATCH($A53,Backlog[Requirement ID],0))),"")</f>
        <v>MyMSC</v>
      </c>
      <c r="D53" s="26" t="str">
        <f aca="false">IFERROR(IF(ISBLANK(INDEX(Backlog[Stream Owner],MATCH($A53,Backlog[Requirement ID],0))),"",INDEX(Backlog[Stream Owner],MATCH($A53,Backlog[Requirement ID],0))),"")</f>
        <v>B2CW</v>
      </c>
      <c r="E53" s="26" t="str">
        <f aca="false">IFERROR(IF(ISBLANK(INDEX(Backlog[Jira Link],MATCH($A53,Backlog[Requirement ID],0))),"",INDEX(Backlog[Jira Link],MATCH($A53,Backlog[Requirement ID],0))),"")</f>
        <v/>
      </c>
      <c r="F53" s="24" t="s">
        <v>387</v>
      </c>
      <c r="G53" s="24" t="s">
        <v>387</v>
      </c>
      <c r="H53" s="37" t="str">
        <f aca="false">IFERROR(IF(ISBLANK(INDEX(SprintPlanning[Sprint],MATCH($A53,SprintPlanning[Requirement ID],0))),"",INDEX(SprintPlanning[Sprint],MATCH($A53,SprintPlanning[Requirement ID],0))),"")</f>
        <v>To Plan</v>
      </c>
      <c r="I53" s="26" t="str">
        <f aca="false">IFERROR(IF(ISBLANK(INDEX(Backlog[Status],MATCH($A53,Backlog[Requirement ID],0))),"",INDEX(Backlog[Status],MATCH($A53,Backlog[Requirement ID],0))),"")</f>
        <v>NEW</v>
      </c>
      <c r="J53" s="26" t="str">
        <f aca="false">IFERROR(IF(ISBLANK(INDEX(Backlog[Priority],MATCH($A53,Backlog[Requirement ID],0))),"",INDEX(Backlog[Priority],MATCH($A53,Backlog[Requirement ID],0))),"")</f>
        <v>Medium</v>
      </c>
      <c r="K53" s="24"/>
      <c r="L53" s="60"/>
      <c r="M53" s="60"/>
      <c r="N53" s="24"/>
      <c r="O53" s="61"/>
      <c r="P53" s="30"/>
      <c r="Q53" s="30"/>
    </row>
    <row r="54" customFormat="false" ht="15" hidden="false" customHeight="true" outlineLevel="0" collapsed="false">
      <c r="A54" s="24" t="str">
        <f aca="false">Backlog!A54</f>
        <v>NEW-0322</v>
      </c>
      <c r="B54" s="26" t="str">
        <f aca="false">IFERROR(IF(ISBLANK(INDEX(Backlog[Requirement Name],MATCH($A54,Backlog[Requirement ID],0))),"",INDEX(Backlog[Requirement Name],MATCH($A54,Backlog[Requirement ID],0))),"")</f>
        <v>MyMSC/MA CR for enabling DEM links to light login</v>
      </c>
      <c r="C54" s="26" t="str">
        <f aca="false">IFERROR(IF(ISBLANK(INDEX(Backlog[Stream],MATCH($A54,Backlog[Requirement ID],0))),"",INDEX(Backlog[Stream],MATCH($A54,Backlog[Requirement ID],0))),"")</f>
        <v>MyMSC</v>
      </c>
      <c r="D54" s="26" t="str">
        <f aca="false">IFERROR(IF(ISBLANK(INDEX(Backlog[Stream Owner],MATCH($A54,Backlog[Requirement ID],0))),"",INDEX(Backlog[Stream Owner],MATCH($A54,Backlog[Requirement ID],0))),"")</f>
        <v>B2CW</v>
      </c>
      <c r="E54" s="26" t="str">
        <f aca="false">IFERROR(IF(ISBLANK(INDEX(Backlog[Jira Link],MATCH($A54,Backlog[Requirement ID],0))),"",INDEX(Backlog[Jira Link],MATCH($A54,Backlog[Requirement ID],0))),"")</f>
        <v/>
      </c>
      <c r="F54" s="24" t="s">
        <v>387</v>
      </c>
      <c r="G54" s="24" t="s">
        <v>387</v>
      </c>
      <c r="H54" s="37" t="str">
        <f aca="false">IFERROR(IF(ISBLANK(INDEX(SprintPlanning[Sprint],MATCH($A54,SprintPlanning[Requirement ID],0))),"",INDEX(SprintPlanning[Sprint],MATCH($A54,SprintPlanning[Requirement ID],0))),"")</f>
        <v>To Plan</v>
      </c>
      <c r="I54" s="26" t="str">
        <f aca="false">IFERROR(IF(ISBLANK(INDEX(Backlog[Status],MATCH($A54,Backlog[Requirement ID],0))),"",INDEX(Backlog[Status],MATCH($A54,Backlog[Requirement ID],0))),"")</f>
        <v>NEW</v>
      </c>
      <c r="J54" s="26" t="str">
        <f aca="false">IFERROR(IF(ISBLANK(INDEX(Backlog[Priority],MATCH($A54,Backlog[Requirement ID],0))),"",INDEX(Backlog[Priority],MATCH($A54,Backlog[Requirement ID],0))),"")</f>
        <v>Medium</v>
      </c>
      <c r="K54" s="24"/>
      <c r="L54" s="60"/>
      <c r="M54" s="60"/>
      <c r="N54" s="24"/>
      <c r="O54" s="61"/>
      <c r="P54" s="30"/>
      <c r="Q54" s="30"/>
    </row>
    <row r="55" customFormat="false" ht="15" hidden="false" customHeight="true" outlineLevel="0" collapsed="false">
      <c r="A55" s="24" t="str">
        <f aca="false">Backlog!A55</f>
        <v>NEW-0324</v>
      </c>
      <c r="B55" s="26" t="str">
        <f aca="false">IFERROR(IF(ISBLANK(INDEX(Backlog[Requirement Name],MATCH($A55,Backlog[Requirement ID],0))),"",INDEX(Backlog[Requirement Name],MATCH($A55,Backlog[Requirement ID],0))),"")</f>
        <v>MSC- MyMSC PRE_CRM_002 error scenario change CR to additem</v>
      </c>
      <c r="C55" s="26" t="str">
        <f aca="false">IFERROR(IF(ISBLANK(INDEX(Backlog[Stream],MATCH($A55,Backlog[Requirement ID],0))),"",INDEX(Backlog[Stream],MATCH($A55,Backlog[Requirement ID],0))),"")</f>
        <v>MyMSC</v>
      </c>
      <c r="D55" s="26" t="str">
        <f aca="false">IFERROR(IF(ISBLANK(INDEX(Backlog[Stream Owner],MATCH($A55,Backlog[Requirement ID],0))),"",INDEX(Backlog[Stream Owner],MATCH($A55,Backlog[Requirement ID],0))),"")</f>
        <v>B2CW</v>
      </c>
      <c r="E55" s="26" t="str">
        <f aca="false">IFERROR(IF(ISBLANK(INDEX(Backlog[Jira Link],MATCH($A55,Backlog[Requirement ID],0))),"",INDEX(Backlog[Jira Link],MATCH($A55,Backlog[Requirement ID],0))),"")</f>
        <v/>
      </c>
      <c r="F55" s="24" t="s">
        <v>387</v>
      </c>
      <c r="G55" s="24" t="s">
        <v>387</v>
      </c>
      <c r="H55" s="37" t="str">
        <f aca="false">IFERROR(IF(ISBLANK(INDEX(SprintPlanning[Sprint],MATCH($A55,SprintPlanning[Requirement ID],0))),"",INDEX(SprintPlanning[Sprint],MATCH($A55,SprintPlanning[Requirement ID],0))),"")</f>
        <v>To Plan</v>
      </c>
      <c r="I55" s="26" t="str">
        <f aca="false">IFERROR(IF(ISBLANK(INDEX(Backlog[Status],MATCH($A55,Backlog[Requirement ID],0))),"",INDEX(Backlog[Status],MATCH($A55,Backlog[Requirement ID],0))),"")</f>
        <v>NEW</v>
      </c>
      <c r="J55" s="26" t="str">
        <f aca="false">IFERROR(IF(ISBLANK(INDEX(Backlog[Priority],MATCH($A55,Backlog[Requirement ID],0))),"",INDEX(Backlog[Priority],MATCH($A55,Backlog[Requirement ID],0))),"")</f>
        <v>Medium</v>
      </c>
      <c r="K55" s="24"/>
      <c r="L55" s="60"/>
      <c r="M55" s="60"/>
      <c r="N55" s="24"/>
      <c r="O55" s="61"/>
      <c r="P55" s="30"/>
      <c r="Q55" s="30"/>
    </row>
    <row r="56" customFormat="false" ht="15" hidden="false" customHeight="true" outlineLevel="0" collapsed="false">
      <c r="A56" s="24" t="str">
        <f aca="false">Backlog!A56</f>
        <v>NEW-0343</v>
      </c>
      <c r="B56" s="26" t="str">
        <f aca="false">IFERROR(IF(ISBLANK(INDEX(Backlog[Requirement Name],MATCH($A56,Backlog[Requirement ID],0))),"",INDEX(Backlog[Requirement Name],MATCH($A56,Backlog[Requirement ID],0))),"")</f>
        <v>CDP / DTS Post Booking - CR - Passenger name filter</v>
      </c>
      <c r="C56" s="26" t="str">
        <f aca="false">IFERROR(IF(ISBLANK(INDEX(Backlog[Stream],MATCH($A56,Backlog[Requirement ID],0))),"",INDEX(Backlog[Stream],MATCH($A56,Backlog[Requirement ID],0))),"")</f>
        <v>Backlog</v>
      </c>
      <c r="D56" s="26" t="str">
        <f aca="false">IFERROR(IF(ISBLANK(INDEX(Backlog[Stream Owner],MATCH($A56,Backlog[Requirement ID],0))),"",INDEX(Backlog[Stream Owner],MATCH($A56,Backlog[Requirement ID],0))),"")</f>
        <v>MA</v>
      </c>
      <c r="E56" s="26" t="str">
        <f aca="false">IFERROR(IF(ISBLANK(INDEX(Backlog[Jira Link],MATCH($A56,Backlog[Requirement ID],0))),"",INDEX(Backlog[Jira Link],MATCH($A56,Backlog[Requirement ID],0))),"")</f>
        <v/>
      </c>
      <c r="F56" s="24" t="s">
        <v>387</v>
      </c>
      <c r="G56" s="24" t="s">
        <v>387</v>
      </c>
      <c r="H56" s="37" t="str">
        <f aca="false">IFERROR(IF(ISBLANK(INDEX(SprintPlanning[Sprint],MATCH($A56,SprintPlanning[Requirement ID],0))),"",INDEX(SprintPlanning[Sprint],MATCH($A56,SprintPlanning[Requirement ID],0))),"")</f>
        <v>To Plan</v>
      </c>
      <c r="I56" s="26" t="str">
        <f aca="false">IFERROR(IF(ISBLANK(INDEX(Backlog[Status],MATCH($A56,Backlog[Requirement ID],0))),"",INDEX(Backlog[Status],MATCH($A56,Backlog[Requirement ID],0))),"")</f>
        <v>ON HOLD</v>
      </c>
      <c r="J56" s="26" t="str">
        <f aca="false">IFERROR(IF(ISBLANK(INDEX(Backlog[Priority],MATCH($A56,Backlog[Requirement ID],0))),"",INDEX(Backlog[Priority],MATCH($A56,Backlog[Requirement ID],0))),"")</f>
        <v>Medium</v>
      </c>
      <c r="K56" s="24"/>
      <c r="L56" s="60"/>
      <c r="M56" s="60"/>
      <c r="N56" s="24"/>
      <c r="O56" s="61"/>
      <c r="P56" s="30"/>
      <c r="Q56" s="30"/>
    </row>
    <row r="57" customFormat="false" ht="15" hidden="false" customHeight="true" outlineLevel="0" collapsed="false">
      <c r="A57" s="24" t="str">
        <f aca="false">Backlog!A57</f>
        <v>NEW-0344</v>
      </c>
      <c r="B57" s="26" t="str">
        <f aca="false">IFERROR(IF(ISBLANK(INDEX(Backlog[Requirement Name],MATCH($A57,Backlog[Requirement ID],0))),"",INDEX(Backlog[Requirement Name],MATCH($A57,Backlog[Requirement ID],0))),"")</f>
        <v>CDP / DTS Post Booking - CR  - INT024.1 Improve data quality handling and optimise customer  search</v>
      </c>
      <c r="C57" s="26" t="str">
        <f aca="false">IFERROR(IF(ISBLANK(INDEX(Backlog[Stream],MATCH($A57,Backlog[Requirement ID],0))),"",INDEX(Backlog[Stream],MATCH($A57,Backlog[Requirement ID],0))),"")</f>
        <v>Backlog</v>
      </c>
      <c r="D57" s="26" t="str">
        <f aca="false">IFERROR(IF(ISBLANK(INDEX(Backlog[Stream Owner],MATCH($A57,Backlog[Requirement ID],0))),"",INDEX(Backlog[Stream Owner],MATCH($A57,Backlog[Requirement ID],0))),"")</f>
        <v>MA</v>
      </c>
      <c r="E57" s="26" t="str">
        <f aca="false">IFERROR(IF(ISBLANK(INDEX(Backlog[Jira Link],MATCH($A57,Backlog[Requirement ID],0))),"",INDEX(Backlog[Jira Link],MATCH($A57,Backlog[Requirement ID],0))),"")</f>
        <v/>
      </c>
      <c r="F57" s="24" t="s">
        <v>387</v>
      </c>
      <c r="G57" s="24" t="s">
        <v>387</v>
      </c>
      <c r="H57" s="37" t="str">
        <f aca="false">IFERROR(IF(ISBLANK(INDEX(SprintPlanning[Sprint],MATCH($A57,SprintPlanning[Requirement ID],0))),"",INDEX(SprintPlanning[Sprint],MATCH($A57,SprintPlanning[Requirement ID],0))),"")</f>
        <v>To Plan</v>
      </c>
      <c r="I57" s="26" t="str">
        <f aca="false">IFERROR(IF(ISBLANK(INDEX(Backlog[Status],MATCH($A57,Backlog[Requirement ID],0))),"",INDEX(Backlog[Status],MATCH($A57,Backlog[Requirement ID],0))),"")</f>
        <v>NEW</v>
      </c>
      <c r="J57" s="26" t="str">
        <f aca="false">IFERROR(IF(ISBLANK(INDEX(Backlog[Priority],MATCH($A57,Backlog[Requirement ID],0))),"",INDEX(Backlog[Priority],MATCH($A57,Backlog[Requirement ID],0))),"")</f>
        <v>Medium</v>
      </c>
      <c r="K57" s="24"/>
      <c r="L57" s="60"/>
      <c r="M57" s="60"/>
      <c r="N57" s="24"/>
      <c r="O57" s="61"/>
      <c r="P57" s="30"/>
      <c r="Q57" s="30"/>
    </row>
    <row r="58" customFormat="false" ht="15" hidden="false" customHeight="true" outlineLevel="0" collapsed="false">
      <c r="A58" s="24" t="str">
        <f aca="false">Backlog!A58</f>
        <v>NEW-0345</v>
      </c>
      <c r="B58" s="26" t="str">
        <f aca="false">IFERROR(IF(ISBLANK(INDEX(Backlog[Requirement Name],MATCH($A58,Backlog[Requirement ID],0))),"",INDEX(Backlog[Requirement Name],MATCH($A58,Backlog[Requirement ID],0))),"")</f>
        <v>CDP / DTS Post Booking - CR - INT024.1 Long term Improved data quality handling</v>
      </c>
      <c r="C58" s="26" t="str">
        <f aca="false">IFERROR(IF(ISBLANK(INDEX(Backlog[Stream],MATCH($A58,Backlog[Requirement ID],0))),"",INDEX(Backlog[Stream],MATCH($A58,Backlog[Requirement ID],0))),"")</f>
        <v>Backlog</v>
      </c>
      <c r="D58" s="26" t="str">
        <f aca="false">IFERROR(IF(ISBLANK(INDEX(Backlog[Stream Owner],MATCH($A58,Backlog[Requirement ID],0))),"",INDEX(Backlog[Stream Owner],MATCH($A58,Backlog[Requirement ID],0))),"")</f>
        <v>MA</v>
      </c>
      <c r="E58" s="26" t="str">
        <f aca="false">IFERROR(IF(ISBLANK(INDEX(Backlog[Jira Link],MATCH($A58,Backlog[Requirement ID],0))),"",INDEX(Backlog[Jira Link],MATCH($A58,Backlog[Requirement ID],0))),"")</f>
        <v/>
      </c>
      <c r="F58" s="24" t="s">
        <v>387</v>
      </c>
      <c r="G58" s="24" t="s">
        <v>387</v>
      </c>
      <c r="H58" s="37" t="str">
        <f aca="false">IFERROR(IF(ISBLANK(INDEX(SprintPlanning[Sprint],MATCH($A58,SprintPlanning[Requirement ID],0))),"",INDEX(SprintPlanning[Sprint],MATCH($A58,SprintPlanning[Requirement ID],0))),"")</f>
        <v>To Plan</v>
      </c>
      <c r="I58" s="26" t="str">
        <f aca="false">IFERROR(IF(ISBLANK(INDEX(Backlog[Status],MATCH($A58,Backlog[Requirement ID],0))),"",INDEX(Backlog[Status],MATCH($A58,Backlog[Requirement ID],0))),"")</f>
        <v>NEW</v>
      </c>
      <c r="J58" s="26" t="str">
        <f aca="false">IFERROR(IF(ISBLANK(INDEX(Backlog[Priority],MATCH($A58,Backlog[Requirement ID],0))),"",INDEX(Backlog[Priority],MATCH($A58,Backlog[Requirement ID],0))),"")</f>
        <v>Medium</v>
      </c>
      <c r="K58" s="24"/>
      <c r="L58" s="60"/>
      <c r="M58" s="60"/>
      <c r="N58" s="24"/>
      <c r="O58" s="61"/>
      <c r="P58" s="30"/>
      <c r="Q58" s="30"/>
    </row>
    <row r="59" customFormat="false" ht="15" hidden="false" customHeight="true" outlineLevel="0" collapsed="false">
      <c r="A59" s="24" t="str">
        <f aca="false">Backlog!A59</f>
        <v>NEW-0346</v>
      </c>
      <c r="B59" s="26" t="str">
        <f aca="false">IFERROR(IF(ISBLANK(INDEX(Backlog[Requirement Name],MATCH($A59,Backlog[Requirement ID],0))),"",INDEX(Backlog[Requirement Name],MATCH($A59,Backlog[Requirement ID],0))),"")</f>
        <v>CR - Improved data quality handling optimise customer search page size across other integrations</v>
      </c>
      <c r="C59" s="26" t="str">
        <f aca="false">IFERROR(IF(ISBLANK(INDEX(Backlog[Stream],MATCH($A59,Backlog[Requirement ID],0))),"",INDEX(Backlog[Stream],MATCH($A59,Backlog[Requirement ID],0))),"")</f>
        <v>Backlog</v>
      </c>
      <c r="D59" s="26" t="str">
        <f aca="false">IFERROR(IF(ISBLANK(INDEX(Backlog[Stream Owner],MATCH($A59,Backlog[Requirement ID],0))),"",INDEX(Backlog[Stream Owner],MATCH($A59,Backlog[Requirement ID],0))),"")</f>
        <v>MA</v>
      </c>
      <c r="E59" s="26" t="str">
        <f aca="false">IFERROR(IF(ISBLANK(INDEX(Backlog[Jira Link],MATCH($A59,Backlog[Requirement ID],0))),"",INDEX(Backlog[Jira Link],MATCH($A59,Backlog[Requirement ID],0))),"")</f>
        <v/>
      </c>
      <c r="F59" s="24" t="s">
        <v>387</v>
      </c>
      <c r="G59" s="24" t="s">
        <v>387</v>
      </c>
      <c r="H59" s="37" t="str">
        <f aca="false">IFERROR(IF(ISBLANK(INDEX(SprintPlanning[Sprint],MATCH($A59,SprintPlanning[Requirement ID],0))),"",INDEX(SprintPlanning[Sprint],MATCH($A59,SprintPlanning[Requirement ID],0))),"")</f>
        <v>To Plan</v>
      </c>
      <c r="I59" s="26" t="str">
        <f aca="false">IFERROR(IF(ISBLANK(INDEX(Backlog[Status],MATCH($A59,Backlog[Requirement ID],0))),"",INDEX(Backlog[Status],MATCH($A59,Backlog[Requirement ID],0))),"")</f>
        <v>NEW</v>
      </c>
      <c r="J59" s="26" t="str">
        <f aca="false">IFERROR(IF(ISBLANK(INDEX(Backlog[Priority],MATCH($A59,Backlog[Requirement ID],0))),"",INDEX(Backlog[Priority],MATCH($A59,Backlog[Requirement ID],0))),"")</f>
        <v>Medium</v>
      </c>
      <c r="K59" s="24"/>
      <c r="L59" s="60"/>
      <c r="M59" s="60"/>
      <c r="N59" s="24"/>
      <c r="O59" s="61"/>
      <c r="P59" s="30"/>
      <c r="Q59" s="30"/>
    </row>
    <row r="60" customFormat="false" ht="15" hidden="false" customHeight="true" outlineLevel="0" collapsed="false">
      <c r="A60" s="24" t="str">
        <f aca="false">Backlog!A60</f>
        <v>NEW-0356</v>
      </c>
      <c r="B60" s="46" t="str">
        <f aca="false">IFERROR(IF(ISBLANK(INDEX(Backlog[Requirement Name],MATCH($A60,Backlog[Requirement ID],0))),"",INDEX(Backlog[Requirement Name],MATCH($A60,Backlog[Requirement ID],0))),"")</f>
        <v>MED Insurance - Do not sell any insurance if CoR differ across pax</v>
      </c>
      <c r="C60" s="26" t="str">
        <f aca="false">IFERROR(IF(ISBLANK(INDEX(Backlog[Stream],MATCH($A60,Backlog[Requirement ID],0))),"",INDEX(Backlog[Stream],MATCH($A60,Backlog[Requirement ID],0))),"")</f>
        <v>Growth</v>
      </c>
      <c r="D60" s="26" t="str">
        <f aca="false">IFERROR(IF(ISBLANK(INDEX(Backlog[Stream Owner],MATCH($A60,Backlog[Requirement ID],0))),"",INDEX(Backlog[Stream Owner],MATCH($A60,Backlog[Requirement ID],0))),"")</f>
        <v>B2CW</v>
      </c>
      <c r="E60" s="26" t="str">
        <f aca="false">IFERROR(IF(ISBLANK(INDEX(Backlog[Jira Link],MATCH($A60,Backlog[Requirement ID],0))),"",INDEX(Backlog[Jira Link],MATCH($A60,Backlog[Requirement ID],0))),"")</f>
        <v/>
      </c>
      <c r="F60" s="24" t="s">
        <v>387</v>
      </c>
      <c r="G60" s="24" t="s">
        <v>387</v>
      </c>
      <c r="H60" s="37" t="str">
        <f aca="false">IFERROR(IF(ISBLANK(INDEX(SprintPlanning[Sprint],MATCH($A60,SprintPlanning[Requirement ID],0))),"",INDEX(SprintPlanning[Sprint],MATCH($A60,SprintPlanning[Requirement ID],0))),"")</f>
        <v>To Plan</v>
      </c>
      <c r="I60" s="26" t="str">
        <f aca="false">IFERROR(IF(ISBLANK(INDEX(Backlog[Status],MATCH($A60,Backlog[Requirement ID],0))),"",INDEX(Backlog[Status],MATCH($A60,Backlog[Requirement ID],0))),"")</f>
        <v>ON HOLD</v>
      </c>
      <c r="J60" s="26" t="str">
        <f aca="false">IFERROR(IF(ISBLANK(INDEX(Backlog[Priority],MATCH($A60,Backlog[Requirement ID],0))),"",INDEX(Backlog[Priority],MATCH($A60,Backlog[Requirement ID],0))),"")</f>
        <v>Medium</v>
      </c>
      <c r="K60" s="24"/>
      <c r="L60" s="60"/>
      <c r="M60" s="60"/>
      <c r="N60" s="24"/>
      <c r="O60" s="61"/>
      <c r="P60" s="30"/>
      <c r="Q60" s="30"/>
    </row>
    <row r="61" customFormat="false" ht="15" hidden="false" customHeight="true" outlineLevel="0" collapsed="false">
      <c r="A61" s="24" t="str">
        <f aca="false">Backlog!A61</f>
        <v>NEW-0358</v>
      </c>
      <c r="B61" s="26" t="str">
        <f aca="false">IFERROR(IF(ISBLANK(INDEX(Backlog[Requirement Name],MATCH($A61,Backlog[Requirement ID],0))),"",INDEX(Backlog[Requirement Name],MATCH($A61,Backlog[Requirement ID],0))),"")</f>
        <v>CMS Configuration for Airports in B2CW Booking Funnel</v>
      </c>
      <c r="C61" s="26" t="str">
        <f aca="false">IFERROR(IF(ISBLANK(INDEX(Backlog[Stream],MATCH($A61,Backlog[Requirement ID],0))),"",INDEX(Backlog[Stream],MATCH($A61,Backlog[Requirement ID],0))),"")</f>
        <v>Growth</v>
      </c>
      <c r="D61" s="26" t="str">
        <f aca="false">IFERROR(IF(ISBLANK(INDEX(Backlog[Stream Owner],MATCH($A61,Backlog[Requirement ID],0))),"",INDEX(Backlog[Stream Owner],MATCH($A61,Backlog[Requirement ID],0))),"")</f>
        <v>B2CW</v>
      </c>
      <c r="E61" s="26" t="str">
        <f aca="false">IFERROR(IF(ISBLANK(INDEX(Backlog[Jira Link],MATCH($A61,Backlog[Requirement ID],0))),"",INDEX(Backlog[Jira Link],MATCH($A61,Backlog[Requirement ID],0))),"")</f>
        <v/>
      </c>
      <c r="F61" s="24" t="s">
        <v>387</v>
      </c>
      <c r="G61" s="24" t="s">
        <v>387</v>
      </c>
      <c r="H61" s="37" t="str">
        <f aca="false">IFERROR(IF(ISBLANK(INDEX(SprintPlanning[Sprint],MATCH($A61,SprintPlanning[Requirement ID],0))),"",INDEX(SprintPlanning[Sprint],MATCH($A61,SprintPlanning[Requirement ID],0))),"")</f>
        <v>To Plan</v>
      </c>
      <c r="I61" s="26" t="str">
        <f aca="false">IFERROR(IF(ISBLANK(INDEX(Backlog[Status],MATCH($A61,Backlog[Requirement ID],0))),"",INDEX(Backlog[Status],MATCH($A61,Backlog[Requirement ID],0))),"")</f>
        <v>ON HOLD</v>
      </c>
      <c r="J61" s="26" t="str">
        <f aca="false">IFERROR(IF(ISBLANK(INDEX(Backlog[Priority],MATCH($A61,Backlog[Requirement ID],0))),"",INDEX(Backlog[Priority],MATCH($A61,Backlog[Requirement ID],0))),"")</f>
        <v>Medium</v>
      </c>
      <c r="K61" s="24"/>
      <c r="L61" s="60"/>
      <c r="M61" s="60"/>
      <c r="N61" s="24"/>
      <c r="O61" s="61"/>
      <c r="P61" s="30"/>
      <c r="Q61" s="30"/>
    </row>
    <row r="62" customFormat="false" ht="15" hidden="false" customHeight="true" outlineLevel="0" collapsed="false">
      <c r="A62" s="24" t="str">
        <f aca="false">Backlog!A62</f>
        <v>NEW-0360</v>
      </c>
      <c r="B62" s="26" t="str">
        <f aca="false">IFERROR(IF(ISBLANK(INDEX(Backlog[Requirement Name],MATCH($A62,Backlog[Requirement ID],0))),"",INDEX(Backlog[Requirement Name],MATCH($A62,Backlog[Requirement ID],0))),"")</f>
        <v>Paypal Reconciliation for prepaid</v>
      </c>
      <c r="C62" s="26" t="str">
        <f aca="false">IFERROR(IF(ISBLANK(INDEX(Backlog[Stream],MATCH($A62,Backlog[Requirement ID],0))),"",INDEX(Backlog[Stream],MATCH($A62,Backlog[Requirement ID],0))),"")</f>
        <v>Growth</v>
      </c>
      <c r="D62" s="26" t="str">
        <f aca="false">IFERROR(IF(ISBLANK(INDEX(Backlog[Stream Owner],MATCH($A62,Backlog[Requirement ID],0))),"",INDEX(Backlog[Stream Owner],MATCH($A62,Backlog[Requirement ID],0))),"")</f>
        <v>B2CW</v>
      </c>
      <c r="E62" s="26" t="str">
        <f aca="false">IFERROR(IF(ISBLANK(INDEX(Backlog[Jira Link],MATCH($A62,Backlog[Requirement ID],0))),"",INDEX(Backlog[Jira Link],MATCH($A62,Backlog[Requirement ID],0))),"")</f>
        <v/>
      </c>
      <c r="F62" s="24" t="s">
        <v>387</v>
      </c>
      <c r="G62" s="24" t="s">
        <v>387</v>
      </c>
      <c r="H62" s="37" t="str">
        <f aca="false">IFERROR(IF(ISBLANK(INDEX(SprintPlanning[Sprint],MATCH($A62,SprintPlanning[Requirement ID],0))),"",INDEX(SprintPlanning[Sprint],MATCH($A62,SprintPlanning[Requirement ID],0))),"")</f>
        <v>To Plan</v>
      </c>
      <c r="I62" s="26" t="str">
        <f aca="false">IFERROR(IF(ISBLANK(INDEX(Backlog[Status],MATCH($A62,Backlog[Requirement ID],0))),"",INDEX(Backlog[Status],MATCH($A62,Backlog[Requirement ID],0))),"")</f>
        <v>NEW</v>
      </c>
      <c r="J62" s="26" t="str">
        <f aca="false">IFERROR(IF(ISBLANK(INDEX(Backlog[Priority],MATCH($A62,Backlog[Requirement ID],0))),"",INDEX(Backlog[Priority],MATCH($A62,Backlog[Requirement ID],0))),"")</f>
        <v>Medium</v>
      </c>
      <c r="K62" s="24"/>
      <c r="L62" s="60"/>
      <c r="M62" s="60"/>
      <c r="N62" s="24"/>
      <c r="O62" s="61"/>
      <c r="P62" s="30"/>
      <c r="Q62" s="30"/>
    </row>
    <row r="63" customFormat="false" ht="15" hidden="false" customHeight="true" outlineLevel="0" collapsed="false">
      <c r="A63" s="24" t="str">
        <f aca="false">Backlog!A63</f>
        <v>NEW-0361</v>
      </c>
      <c r="B63" s="26" t="str">
        <f aca="false">IFERROR(IF(ISBLANK(INDEX(Backlog[Requirement Name],MATCH($A63,Backlog[Requirement ID],0))),"",INDEX(Backlog[Requirement Name],MATCH($A63,Backlog[Requirement ID],0))),"")</f>
        <v>US - adding of fields to Hold option orchestration in call to AJO  -cabincode, embarkation date, cruise area</v>
      </c>
      <c r="C63" s="26" t="str">
        <f aca="false">IFERROR(IF(ISBLANK(INDEX(Backlog[Stream],MATCH($A63,Backlog[Requirement ID],0))),"",INDEX(Backlog[Stream],MATCH($A63,Backlog[Requirement ID],0))),"")</f>
        <v>Growth</v>
      </c>
      <c r="D63" s="26" t="str">
        <f aca="false">IFERROR(IF(ISBLANK(INDEX(Backlog[Stream Owner],MATCH($A63,Backlog[Requirement ID],0))),"",INDEX(Backlog[Stream Owner],MATCH($A63,Backlog[Requirement ID],0))),"")</f>
        <v>MA</v>
      </c>
      <c r="E63" s="26" t="str">
        <f aca="false">IFERROR(IF(ISBLANK(INDEX(Backlog[Jira Link],MATCH($A63,Backlog[Requirement ID],0))),"",INDEX(Backlog[Jira Link],MATCH($A63,Backlog[Requirement ID],0))),"")</f>
        <v/>
      </c>
      <c r="F63" s="24" t="s">
        <v>387</v>
      </c>
      <c r="G63" s="24" t="s">
        <v>387</v>
      </c>
      <c r="H63" s="37" t="str">
        <f aca="false">IFERROR(IF(ISBLANK(INDEX(SprintPlanning[Sprint],MATCH($A63,SprintPlanning[Requirement ID],0))),"",INDEX(SprintPlanning[Sprint],MATCH($A63,SprintPlanning[Requirement ID],0))),"")</f>
        <v>To Plan</v>
      </c>
      <c r="I63" s="26" t="str">
        <f aca="false">IFERROR(IF(ISBLANK(INDEX(Backlog[Status],MATCH($A63,Backlog[Requirement ID],0))),"",INDEX(Backlog[Status],MATCH($A63,Backlog[Requirement ID],0))),"")</f>
        <v>NEW</v>
      </c>
      <c r="J63" s="26" t="str">
        <f aca="false">IFERROR(IF(ISBLANK(INDEX(Backlog[Priority],MATCH($A63,Backlog[Requirement ID],0))),"",INDEX(Backlog[Priority],MATCH($A63,Backlog[Requirement ID],0))),"")</f>
        <v>Medium</v>
      </c>
      <c r="K63" s="24"/>
      <c r="L63" s="60"/>
      <c r="M63" s="60"/>
      <c r="N63" s="24"/>
      <c r="O63" s="61"/>
      <c r="P63" s="30"/>
      <c r="Q63" s="30"/>
    </row>
    <row r="64" customFormat="false" ht="15" hidden="false" customHeight="true" outlineLevel="0" collapsed="false">
      <c r="A64" s="24" t="str">
        <f aca="false">Backlog!A64</f>
        <v>NEW-0362</v>
      </c>
      <c r="B64" s="26" t="str">
        <f aca="false">IFERROR(IF(ISBLANK(INDEX(Backlog[Requirement Name],MATCH($A64,Backlog[Requirement ID],0))),"",INDEX(Backlog[Requirement Name],MATCH($A64,Backlog[Requirement ID],0))),"")</f>
        <v>US - Known and Unknown management analysis for US (CDP/AJO)</v>
      </c>
      <c r="C64" s="26" t="str">
        <f aca="false">IFERROR(IF(ISBLANK(INDEX(Backlog[Stream],MATCH($A64,Backlog[Requirement ID],0))),"",INDEX(Backlog[Stream],MATCH($A64,Backlog[Requirement ID],0))),"")</f>
        <v>Growth</v>
      </c>
      <c r="D64" s="26" t="str">
        <f aca="false">IFERROR(IF(ISBLANK(INDEX(Backlog[Stream Owner],MATCH($A64,Backlog[Requirement ID],0))),"",INDEX(Backlog[Stream Owner],MATCH($A64,Backlog[Requirement ID],0))),"")</f>
        <v>MA</v>
      </c>
      <c r="E64" s="26" t="str">
        <f aca="false">IFERROR(IF(ISBLANK(INDEX(Backlog[Jira Link],MATCH($A64,Backlog[Requirement ID],0))),"",INDEX(Backlog[Jira Link],MATCH($A64,Backlog[Requirement ID],0))),"")</f>
        <v/>
      </c>
      <c r="F64" s="24" t="s">
        <v>387</v>
      </c>
      <c r="G64" s="24" t="s">
        <v>387</v>
      </c>
      <c r="H64" s="37" t="str">
        <f aca="false">IFERROR(IF(ISBLANK(INDEX(SprintPlanning[Sprint],MATCH($A64,SprintPlanning[Requirement ID],0))),"",INDEX(SprintPlanning[Sprint],MATCH($A64,SprintPlanning[Requirement ID],0))),"")</f>
        <v>To Plan</v>
      </c>
      <c r="I64" s="26" t="str">
        <f aca="false">IFERROR(IF(ISBLANK(INDEX(Backlog[Status],MATCH($A64,Backlog[Requirement ID],0))),"",INDEX(Backlog[Status],MATCH($A64,Backlog[Requirement ID],0))),"")</f>
        <v>NEW</v>
      </c>
      <c r="J64" s="26" t="str">
        <f aca="false">IFERROR(IF(ISBLANK(INDEX(Backlog[Priority],MATCH($A64,Backlog[Requirement ID],0))),"",INDEX(Backlog[Priority],MATCH($A64,Backlog[Requirement ID],0))),"")</f>
        <v>Medium</v>
      </c>
      <c r="K64" s="24"/>
      <c r="L64" s="60"/>
      <c r="M64" s="60"/>
      <c r="N64" s="24"/>
      <c r="O64" s="61"/>
      <c r="P64" s="30"/>
      <c r="Q64" s="30"/>
    </row>
    <row r="65" customFormat="false" ht="15" hidden="false" customHeight="true" outlineLevel="0" collapsed="false">
      <c r="A65" s="24" t="str">
        <f aca="false">Backlog!A65</f>
        <v>NEW-0363</v>
      </c>
      <c r="B65" s="26" t="str">
        <f aca="false">IFERROR(IF(ISBLANK(INDEX(Backlog[Requirement Name],MATCH($A65,Backlog[Requirement ID],0))),"",INDEX(Backlog[Requirement Name],MATCH($A65,Backlog[Requirement ID],0))),"")</f>
        <v>US - Outbound Leads - Light Login for Leads Moving Option Expiring</v>
      </c>
      <c r="C65" s="26" t="str">
        <f aca="false">IFERROR(IF(ISBLANK(INDEX(Backlog[Stream],MATCH($A65,Backlog[Requirement ID],0))),"",INDEX(Backlog[Stream],MATCH($A65,Backlog[Requirement ID],0))),"")</f>
        <v>Growth</v>
      </c>
      <c r="D65" s="26" t="str">
        <f aca="false">IFERROR(IF(ISBLANK(INDEX(Backlog[Stream Owner],MATCH($A65,Backlog[Requirement ID],0))),"",INDEX(Backlog[Stream Owner],MATCH($A65,Backlog[Requirement ID],0))),"")</f>
        <v>B2CW</v>
      </c>
      <c r="E65" s="26" t="str">
        <f aca="false">IFERROR(IF(ISBLANK(INDEX(Backlog[Jira Link],MATCH($A65,Backlog[Requirement ID],0))),"",INDEX(Backlog[Jira Link],MATCH($A65,Backlog[Requirement ID],0))),"")</f>
        <v/>
      </c>
      <c r="F65" s="24" t="s">
        <v>387</v>
      </c>
      <c r="G65" s="24" t="s">
        <v>387</v>
      </c>
      <c r="H65" s="37" t="str">
        <f aca="false">IFERROR(IF(ISBLANK(INDEX(SprintPlanning[Sprint],MATCH($A65,SprintPlanning[Requirement ID],0))),"",INDEX(SprintPlanning[Sprint],MATCH($A65,SprintPlanning[Requirement ID],0))),"")</f>
        <v>To Plan</v>
      </c>
      <c r="I65" s="26" t="str">
        <f aca="false">IFERROR(IF(ISBLANK(INDEX(Backlog[Status],MATCH($A65,Backlog[Requirement ID],0))),"",INDEX(Backlog[Status],MATCH($A65,Backlog[Requirement ID],0))),"")</f>
        <v>NEW</v>
      </c>
      <c r="J65" s="26" t="str">
        <f aca="false">IFERROR(IF(ISBLANK(INDEX(Backlog[Priority],MATCH($A65,Backlog[Requirement ID],0))),"",INDEX(Backlog[Priority],MATCH($A65,Backlog[Requirement ID],0))),"")</f>
        <v>Medium</v>
      </c>
      <c r="K65" s="24"/>
      <c r="L65" s="60"/>
      <c r="M65" s="60"/>
      <c r="N65" s="24"/>
      <c r="O65" s="61"/>
      <c r="P65" s="30"/>
      <c r="Q65" s="30"/>
    </row>
    <row r="66" customFormat="false" ht="15" hidden="false" customHeight="true" outlineLevel="0" collapsed="false">
      <c r="A66" s="24" t="str">
        <f aca="false">Backlog!A66</f>
        <v>NEW-0364</v>
      </c>
      <c r="B66" s="26" t="str">
        <f aca="false">IFERROR(IF(ISBLANK(INDEX(Backlog[Requirement Name],MATCH($A66,Backlog[Requirement ID],0))),"",INDEX(Backlog[Requirement Name],MATCH($A66,Backlog[Requirement ID],0))),"")</f>
        <v>B2CW Booking Funnel - TRF and Pricing Structure Assessment – ESP Market</v>
      </c>
      <c r="C66" s="26" t="str">
        <f aca="false">IFERROR(IF(ISBLANK(INDEX(Backlog[Stream],MATCH($A66,Backlog[Requirement ID],0))),"",INDEX(Backlog[Stream],MATCH($A66,Backlog[Requirement ID],0))),"")</f>
        <v>Growth</v>
      </c>
      <c r="D66" s="26" t="str">
        <f aca="false">IFERROR(IF(ISBLANK(INDEX(Backlog[Stream Owner],MATCH($A66,Backlog[Requirement ID],0))),"",INDEX(Backlog[Stream Owner],MATCH($A66,Backlog[Requirement ID],0))),"")</f>
        <v>B2CW</v>
      </c>
      <c r="E66" s="26" t="str">
        <f aca="false">IFERROR(IF(ISBLANK(INDEX(Backlog[Jira Link],MATCH($A66,Backlog[Requirement ID],0))),"",INDEX(Backlog[Jira Link],MATCH($A66,Backlog[Requirement ID],0))),"")</f>
        <v/>
      </c>
      <c r="F66" s="24" t="s">
        <v>383</v>
      </c>
      <c r="G66" s="24" t="s">
        <v>383</v>
      </c>
      <c r="H66" s="37" t="str">
        <f aca="false">IFERROR(IF(ISBLANK(INDEX(SprintPlanning[Sprint],MATCH($A66,SprintPlanning[Requirement ID],0))),"",INDEX(SprintPlanning[Sprint],MATCH($A66,SprintPlanning[Requirement ID],0))),"")</f>
        <v>To Plan</v>
      </c>
      <c r="I66" s="26" t="str">
        <f aca="false">IFERROR(IF(ISBLANK(INDEX(Backlog[Status],MATCH($A66,Backlog[Requirement ID],0))),"",INDEX(Backlog[Status],MATCH($A66,Backlog[Requirement ID],0))),"")</f>
        <v>NEW</v>
      </c>
      <c r="J66" s="26" t="str">
        <f aca="false">IFERROR(IF(ISBLANK(INDEX(Backlog[Priority],MATCH($A66,Backlog[Requirement ID],0))),"",INDEX(Backlog[Priority],MATCH($A66,Backlog[Requirement ID],0))),"")</f>
        <v>Medium</v>
      </c>
      <c r="K66" s="24"/>
      <c r="L66" s="60"/>
      <c r="M66" s="60"/>
      <c r="N66" s="24"/>
      <c r="O66" s="61"/>
      <c r="P66" s="30"/>
      <c r="Q66" s="30"/>
    </row>
    <row r="67" customFormat="false" ht="15" hidden="false" customHeight="true" outlineLevel="0" collapsed="false">
      <c r="A67" s="24" t="str">
        <f aca="false">Backlog!A67</f>
        <v>NEW-0366</v>
      </c>
      <c r="B67" s="26" t="str">
        <f aca="false">IFERROR(IF(ISBLANK(INDEX(Backlog[Requirement Name],MATCH($A67,Backlog[Requirement ID],0))),"",INDEX(Backlog[Requirement Name],MATCH($A67,Backlog[Requirement ID],0))),"")</f>
        <v>B2CW Accessibility &amp; Medical Webform Business Rules for booking</v>
      </c>
      <c r="C67" s="26" t="str">
        <f aca="false">IFERROR(IF(ISBLANK(INDEX(Backlog[Stream],MATCH($A67,Backlog[Requirement ID],0))),"",INDEX(Backlog[Stream],MATCH($A67,Backlog[Requirement ID],0))),"")</f>
        <v>Growth</v>
      </c>
      <c r="D67" s="26" t="str">
        <f aca="false">IFERROR(IF(ISBLANK(INDEX(Backlog[Stream Owner],MATCH($A67,Backlog[Requirement ID],0))),"",INDEX(Backlog[Stream Owner],MATCH($A67,Backlog[Requirement ID],0))),"")</f>
        <v>B2CW</v>
      </c>
      <c r="E67" s="26" t="str">
        <f aca="false">IFERROR(IF(ISBLANK(INDEX(Backlog[Jira Link],MATCH($A67,Backlog[Requirement ID],0))),"",INDEX(Backlog[Jira Link],MATCH($A67,Backlog[Requirement ID],0))),"")</f>
        <v/>
      </c>
      <c r="F67" s="24" t="s">
        <v>387</v>
      </c>
      <c r="G67" s="24" t="s">
        <v>387</v>
      </c>
      <c r="H67" s="37" t="str">
        <f aca="false">IFERROR(IF(ISBLANK(INDEX(SprintPlanning[Sprint],MATCH($A67,SprintPlanning[Requirement ID],0))),"",INDEX(SprintPlanning[Sprint],MATCH($A67,SprintPlanning[Requirement ID],0))),"")</f>
        <v>To Plan</v>
      </c>
      <c r="I67" s="26" t="str">
        <f aca="false">IFERROR(IF(ISBLANK(INDEX(Backlog[Status],MATCH($A67,Backlog[Requirement ID],0))),"",INDEX(Backlog[Status],MATCH($A67,Backlog[Requirement ID],0))),"")</f>
        <v>NEW</v>
      </c>
      <c r="J67" s="26" t="str">
        <f aca="false">IFERROR(IF(ISBLANK(INDEX(Backlog[Priority],MATCH($A67,Backlog[Requirement ID],0))),"",INDEX(Backlog[Priority],MATCH($A67,Backlog[Requirement ID],0))),"")</f>
        <v>Medium</v>
      </c>
      <c r="K67" s="24"/>
      <c r="L67" s="60"/>
      <c r="M67" s="60"/>
      <c r="N67" s="24"/>
      <c r="O67" s="61"/>
      <c r="P67" s="30"/>
      <c r="Q67" s="30"/>
    </row>
    <row r="68" customFormat="false" ht="15" hidden="false" customHeight="true" outlineLevel="0" collapsed="false">
      <c r="A68" s="24" t="str">
        <f aca="false">Backlog!A68</f>
        <v>NEW-0367</v>
      </c>
      <c r="B68" s="26" t="str">
        <f aca="false">IFERROR(IF(ISBLANK(INDEX(Backlog[Requirement Name],MATCH($A68,Backlog[Requirement ID],0))),"",INDEX(Backlog[Requirement Name],MATCH($A68,Backlog[Requirement ID],0))),"")</f>
        <v>MyMSC US | Extend JWT expiry</v>
      </c>
      <c r="C68" s="26" t="str">
        <f aca="false">IFERROR(IF(ISBLANK(INDEX(Backlog[Stream],MATCH($A68,Backlog[Requirement ID],0))),"",INDEX(Backlog[Stream],MATCH($A68,Backlog[Requirement ID],0))),"")</f>
        <v>Growth</v>
      </c>
      <c r="D68" s="26" t="str">
        <f aca="false">IFERROR(IF(ISBLANK(INDEX(Backlog[Stream Owner],MATCH($A68,Backlog[Requirement ID],0))),"",INDEX(Backlog[Stream Owner],MATCH($A68,Backlog[Requirement ID],0))),"")</f>
        <v>B2CW</v>
      </c>
      <c r="E68" s="26" t="str">
        <f aca="false">IFERROR(IF(ISBLANK(INDEX(Backlog[Jira Link],MATCH($A68,Backlog[Requirement ID],0))),"",INDEX(Backlog[Jira Link],MATCH($A68,Backlog[Requirement ID],0))),"")</f>
        <v/>
      </c>
      <c r="F68" s="24" t="s">
        <v>387</v>
      </c>
      <c r="G68" s="24" t="s">
        <v>387</v>
      </c>
      <c r="H68" s="37" t="str">
        <f aca="false">IFERROR(IF(ISBLANK(INDEX(SprintPlanning[Sprint],MATCH($A68,SprintPlanning[Requirement ID],0))),"",INDEX(SprintPlanning[Sprint],MATCH($A68,SprintPlanning[Requirement ID],0))),"")</f>
        <v>To Plan</v>
      </c>
      <c r="I68" s="26" t="str">
        <f aca="false">IFERROR(IF(ISBLANK(INDEX(Backlog[Status],MATCH($A68,Backlog[Requirement ID],0))),"",INDEX(Backlog[Status],MATCH($A68,Backlog[Requirement ID],0))),"")</f>
        <v>NEW</v>
      </c>
      <c r="J68" s="26" t="str">
        <f aca="false">IFERROR(IF(ISBLANK(INDEX(Backlog[Priority],MATCH($A68,Backlog[Requirement ID],0))),"",INDEX(Backlog[Priority],MATCH($A68,Backlog[Requirement ID],0))),"")</f>
        <v>Medium</v>
      </c>
      <c r="K68" s="24"/>
      <c r="L68" s="60"/>
      <c r="M68" s="60"/>
      <c r="N68" s="24"/>
      <c r="O68" s="61"/>
      <c r="P68" s="30"/>
      <c r="Q68" s="30"/>
    </row>
    <row r="69" customFormat="false" ht="15" hidden="false" customHeight="true" outlineLevel="0" collapsed="false">
      <c r="A69" s="24" t="str">
        <f aca="false">Backlog!A69</f>
        <v>NEW-0370</v>
      </c>
      <c r="B69" s="26" t="str">
        <f aca="false">IFERROR(IF(ISBLANK(INDEX(Backlog[Requirement Name],MATCH($A69,Backlog[Requirement ID],0))),"",INDEX(Backlog[Requirement Name],MATCH($A69,Backlog[Requirement ID],0))),"")</f>
        <v>Handling DSC_076 scenario in booking funnel</v>
      </c>
      <c r="C69" s="26" t="str">
        <f aca="false">IFERROR(IF(ISBLANK(INDEX(Backlog[Stream],MATCH($A69,Backlog[Requirement ID],0))),"",INDEX(Backlog[Stream],MATCH($A69,Backlog[Requirement ID],0))),"")</f>
        <v>Growth</v>
      </c>
      <c r="D69" s="26" t="str">
        <f aca="false">IFERROR(IF(ISBLANK(INDEX(Backlog[Stream Owner],MATCH($A69,Backlog[Requirement ID],0))),"",INDEX(Backlog[Stream Owner],MATCH($A69,Backlog[Requirement ID],0))),"")</f>
        <v>B2CW</v>
      </c>
      <c r="E69" s="26" t="str">
        <f aca="false">IFERROR(IF(ISBLANK(INDEX(Backlog[Jira Link],MATCH($A69,Backlog[Requirement ID],0))),"",INDEX(Backlog[Jira Link],MATCH($A69,Backlog[Requirement ID],0))),"")</f>
        <v/>
      </c>
      <c r="F69" s="24" t="s">
        <v>387</v>
      </c>
      <c r="G69" s="24" t="s">
        <v>387</v>
      </c>
      <c r="H69" s="37" t="str">
        <f aca="false">IFERROR(IF(ISBLANK(INDEX(SprintPlanning[Sprint],MATCH($A69,SprintPlanning[Requirement ID],0))),"",INDEX(SprintPlanning[Sprint],MATCH($A69,SprintPlanning[Requirement ID],0))),"")</f>
        <v>To Plan</v>
      </c>
      <c r="I69" s="26" t="str">
        <f aca="false">IFERROR(IF(ISBLANK(INDEX(Backlog[Status],MATCH($A69,Backlog[Requirement ID],0))),"",INDEX(Backlog[Status],MATCH($A69,Backlog[Requirement ID],0))),"")</f>
        <v/>
      </c>
      <c r="J69" s="26" t="str">
        <f aca="false">IFERROR(IF(ISBLANK(INDEX(Backlog[Priority],MATCH($A69,Backlog[Requirement ID],0))),"",INDEX(Backlog[Priority],MATCH($A69,Backlog[Requirement ID],0))),"")</f>
        <v>Medium</v>
      </c>
      <c r="K69" s="24"/>
      <c r="L69" s="60"/>
      <c r="M69" s="60"/>
      <c r="N69" s="24"/>
      <c r="O69" s="61"/>
      <c r="P69" s="30"/>
      <c r="Q69" s="30"/>
    </row>
    <row r="70" customFormat="false" ht="15" hidden="false" customHeight="true" outlineLevel="0" collapsed="false">
      <c r="A70" s="24" t="str">
        <f aca="false">Backlog!A70</f>
        <v>NEW-0371</v>
      </c>
      <c r="B70" s="26" t="str">
        <f aca="false">IFERROR(IF(ISBLANK(INDEX(Backlog[Requirement Name],MATCH($A70,Backlog[Requirement ID],0))),"",INDEX(Backlog[Requirement Name],MATCH($A70,Backlog[Requirement ID],0))),"")</f>
        <v>B2CW Prospect Onsite Quotation</v>
      </c>
      <c r="C70" s="26" t="str">
        <f aca="false">IFERROR(IF(ISBLANK(INDEX(Backlog[Stream],MATCH($A70,Backlog[Requirement ID],0))),"",INDEX(Backlog[Stream],MATCH($A70,Backlog[Requirement ID],0))),"")</f>
        <v>Growth</v>
      </c>
      <c r="D70" s="26" t="str">
        <f aca="false">IFERROR(IF(ISBLANK(INDEX(Backlog[Stream Owner],MATCH($A70,Backlog[Requirement ID],0))),"",INDEX(Backlog[Stream Owner],MATCH($A70,Backlog[Requirement ID],0))),"")</f>
        <v>B2CW</v>
      </c>
      <c r="E70" s="26" t="str">
        <f aca="false">IFERROR(IF(ISBLANK(INDEX(Backlog[Jira Link],MATCH($A70,Backlog[Requirement ID],0))),"",INDEX(Backlog[Jira Link],MATCH($A70,Backlog[Requirement ID],0))),"")</f>
        <v/>
      </c>
      <c r="F70" s="24" t="s">
        <v>387</v>
      </c>
      <c r="G70" s="24" t="s">
        <v>387</v>
      </c>
      <c r="H70" s="37" t="str">
        <f aca="false">IFERROR(IF(ISBLANK(INDEX(SprintPlanning[Sprint],MATCH($A70,SprintPlanning[Requirement ID],0))),"",INDEX(SprintPlanning[Sprint],MATCH($A70,SprintPlanning[Requirement ID],0))),"")</f>
        <v>To Plan</v>
      </c>
      <c r="I70" s="26" t="str">
        <f aca="false">IFERROR(IF(ISBLANK(INDEX(Backlog[Status],MATCH($A70,Backlog[Requirement ID],0))),"",INDEX(Backlog[Status],MATCH($A70,Backlog[Requirement ID],0))),"")</f>
        <v>NEW</v>
      </c>
      <c r="J70" s="26" t="str">
        <f aca="false">IFERROR(IF(ISBLANK(INDEX(Backlog[Priority],MATCH($A70,Backlog[Requirement ID],0))),"",INDEX(Backlog[Priority],MATCH($A70,Backlog[Requirement ID],0))),"")</f>
        <v>Medium</v>
      </c>
      <c r="K70" s="24"/>
      <c r="L70" s="60"/>
      <c r="M70" s="60"/>
      <c r="N70" s="24"/>
      <c r="O70" s="61"/>
      <c r="P70" s="30"/>
      <c r="Q70" s="30"/>
    </row>
    <row r="71" customFormat="false" ht="15" hidden="false" customHeight="true" outlineLevel="0" collapsed="false">
      <c r="A71" s="24" t="str">
        <f aca="false">Backlog!A71</f>
        <v>NEW-0373</v>
      </c>
      <c r="B71" s="26" t="str">
        <f aca="false">IFERROR(IF(ISBLANK(INDEX(Backlog[Requirement Name],MATCH($A71,Backlog[Requirement ID],0))),"",INDEX(Backlog[Requirement Name],MATCH($A71,Backlog[Requirement ID],0))),"")</f>
        <v>Booking Funnel - AI Optimisation</v>
      </c>
      <c r="C71" s="26" t="str">
        <f aca="false">IFERROR(IF(ISBLANK(INDEX(Backlog[Stream],MATCH($A71,Backlog[Requirement ID],0))),"",INDEX(Backlog[Stream],MATCH($A71,Backlog[Requirement ID],0))),"")</f>
        <v>Backlog / Tech Enh</v>
      </c>
      <c r="D71" s="26" t="str">
        <f aca="false">IFERROR(IF(ISBLANK(INDEX(Backlog[Stream Owner],MATCH($A71,Backlog[Requirement ID],0))),"",INDEX(Backlog[Stream Owner],MATCH($A71,Backlog[Requirement ID],0))),"")</f>
        <v>ALL</v>
      </c>
      <c r="E71" s="26" t="str">
        <f aca="false">IFERROR(IF(ISBLANK(INDEX(Backlog[Jira Link],MATCH($A71,Backlog[Requirement ID],0))),"",INDEX(Backlog[Jira Link],MATCH($A71,Backlog[Requirement ID],0))),"")</f>
        <v/>
      </c>
      <c r="F71" s="24" t="s">
        <v>387</v>
      </c>
      <c r="G71" s="24" t="s">
        <v>387</v>
      </c>
      <c r="H71" s="37" t="str">
        <f aca="false">IFERROR(IF(ISBLANK(INDEX(SprintPlanning[Sprint],MATCH($A71,SprintPlanning[Requirement ID],0))),"",INDEX(SprintPlanning[Sprint],MATCH($A71,SprintPlanning[Requirement ID],0))),"")</f>
        <v>To Plan</v>
      </c>
      <c r="I71" s="26" t="str">
        <f aca="false">IFERROR(IF(ISBLANK(INDEX(Backlog[Status],MATCH($A71,Backlog[Requirement ID],0))),"",INDEX(Backlog[Status],MATCH($A71,Backlog[Requirement ID],0))),"")</f>
        <v>NEW</v>
      </c>
      <c r="J71" s="26" t="str">
        <f aca="false">IFERROR(IF(ISBLANK(INDEX(Backlog[Priority],MATCH($A71,Backlog[Requirement ID],0))),"",INDEX(Backlog[Priority],MATCH($A71,Backlog[Requirement ID],0))),"")</f>
        <v>Medium</v>
      </c>
      <c r="K71" s="24"/>
      <c r="L71" s="60"/>
      <c r="M71" s="60"/>
      <c r="N71" s="24"/>
      <c r="O71" s="61"/>
      <c r="P71" s="30"/>
      <c r="Q71" s="30"/>
    </row>
    <row r="72" customFormat="false" ht="15" hidden="false" customHeight="true" outlineLevel="0" collapsed="false">
      <c r="A72" s="24" t="str">
        <f aca="false">Backlog!A72</f>
        <v>NEW-0375</v>
      </c>
      <c r="B72" s="26" t="str">
        <f aca="false">IFERROR(IF(ISBLANK(INDEX(Backlog[Requirement Name],MATCH($A72,Backlog[Requirement ID],0))),"",INDEX(Backlog[Requirement Name],MATCH($A72,Backlog[Requirement ID],0))),"")</f>
        <v>Booking Funnel - OTEL</v>
      </c>
      <c r="C72" s="26" t="str">
        <f aca="false">IFERROR(IF(ISBLANK(INDEX(Backlog[Stream],MATCH($A72,Backlog[Requirement ID],0))),"",INDEX(Backlog[Stream],MATCH($A72,Backlog[Requirement ID],0))),"")</f>
        <v>Backlog / Tech Enh</v>
      </c>
      <c r="D72" s="26" t="str">
        <f aca="false">IFERROR(IF(ISBLANK(INDEX(Backlog[Stream Owner],MATCH($A72,Backlog[Requirement ID],0))),"",INDEX(Backlog[Stream Owner],MATCH($A72,Backlog[Requirement ID],0))),"")</f>
        <v>ALL</v>
      </c>
      <c r="E72" s="26" t="str">
        <f aca="false">IFERROR(IF(ISBLANK(INDEX(Backlog[Jira Link],MATCH($A72,Backlog[Requirement ID],0))),"",INDEX(Backlog[Jira Link],MATCH($A72,Backlog[Requirement ID],0))),"")</f>
        <v/>
      </c>
      <c r="F72" s="24" t="s">
        <v>387</v>
      </c>
      <c r="G72" s="24" t="s">
        <v>387</v>
      </c>
      <c r="H72" s="37" t="str">
        <f aca="false">IFERROR(IF(ISBLANK(INDEX(SprintPlanning[Sprint],MATCH($A72,SprintPlanning[Requirement ID],0))),"",INDEX(SprintPlanning[Sprint],MATCH($A72,SprintPlanning[Requirement ID],0))),"")</f>
        <v>To Plan</v>
      </c>
      <c r="I72" s="26" t="str">
        <f aca="false">IFERROR(IF(ISBLANK(INDEX(Backlog[Status],MATCH($A72,Backlog[Requirement ID],0))),"",INDEX(Backlog[Status],MATCH($A72,Backlog[Requirement ID],0))),"")</f>
        <v>IN PROGRESS</v>
      </c>
      <c r="J72" s="26" t="str">
        <f aca="false">IFERROR(IF(ISBLANK(INDEX(Backlog[Priority],MATCH($A72,Backlog[Requirement ID],0))),"",INDEX(Backlog[Priority],MATCH($A72,Backlog[Requirement ID],0))),"")</f>
        <v>Medium</v>
      </c>
      <c r="K72" s="24"/>
      <c r="L72" s="60"/>
      <c r="M72" s="60"/>
      <c r="N72" s="24"/>
      <c r="O72" s="61"/>
      <c r="P72" s="30"/>
      <c r="Q72" s="30"/>
    </row>
    <row r="73" customFormat="false" ht="15" hidden="false" customHeight="true" outlineLevel="0" collapsed="false">
      <c r="A73" s="24" t="str">
        <f aca="false">Backlog!A73</f>
        <v>NEW-0376</v>
      </c>
      <c r="B73" s="26" t="str">
        <f aca="false">IFERROR(IF(ISBLANK(INDEX(Backlog[Requirement Name],MATCH($A73,Backlog[Requirement ID],0))),"",INDEX(Backlog[Requirement Name],MATCH($A73,Backlog[Requirement ID],0))),"")</f>
        <v>Improve error handling in booking creation</v>
      </c>
      <c r="C73" s="26" t="str">
        <f aca="false">IFERROR(IF(ISBLANK(INDEX(Backlog[Stream],MATCH($A73,Backlog[Requirement ID],0))),"",INDEX(Backlog[Stream],MATCH($A73,Backlog[Requirement ID],0))),"")</f>
        <v>Backlog / Tech Enh</v>
      </c>
      <c r="D73" s="26" t="str">
        <f aca="false">IFERROR(IF(ISBLANK(INDEX(Backlog[Stream Owner],MATCH($A73,Backlog[Requirement ID],0))),"",INDEX(Backlog[Stream Owner],MATCH($A73,Backlog[Requirement ID],0))),"")</f>
        <v>ALL</v>
      </c>
      <c r="E73" s="26" t="str">
        <f aca="false">IFERROR(IF(ISBLANK(INDEX(Backlog[Jira Link],MATCH($A73,Backlog[Requirement ID],0))),"",INDEX(Backlog[Jira Link],MATCH($A73,Backlog[Requirement ID],0))),"")</f>
        <v/>
      </c>
      <c r="F73" s="24" t="s">
        <v>383</v>
      </c>
      <c r="G73" s="24" t="s">
        <v>383</v>
      </c>
      <c r="H73" s="37" t="str">
        <f aca="false">IFERROR(IF(ISBLANK(INDEX(SprintPlanning[Sprint],MATCH($A73,SprintPlanning[Requirement ID],0))),"",INDEX(SprintPlanning[Sprint],MATCH($A73,SprintPlanning[Requirement ID],0))),"")</f>
        <v>To Plan</v>
      </c>
      <c r="I73" s="26" t="str">
        <f aca="false">IFERROR(IF(ISBLANK(INDEX(Backlog[Status],MATCH($A73,Backlog[Requirement ID],0))),"",INDEX(Backlog[Status],MATCH($A73,Backlog[Requirement ID],0))),"")</f>
        <v>NEW</v>
      </c>
      <c r="J73" s="26" t="str">
        <f aca="false">IFERROR(IF(ISBLANK(INDEX(Backlog[Priority],MATCH($A73,Backlog[Requirement ID],0))),"",INDEX(Backlog[Priority],MATCH($A73,Backlog[Requirement ID],0))),"")</f>
        <v>Medium</v>
      </c>
      <c r="K73" s="24"/>
      <c r="L73" s="60"/>
      <c r="M73" s="60"/>
      <c r="N73" s="24"/>
      <c r="O73" s="61"/>
      <c r="P73" s="30"/>
      <c r="Q73" s="30"/>
    </row>
    <row r="74" customFormat="false" ht="15" hidden="false" customHeight="true" outlineLevel="0" collapsed="false">
      <c r="A74" s="24" t="str">
        <f aca="false">Backlog!A74</f>
        <v>NEW-0377</v>
      </c>
      <c r="B74" s="26" t="str">
        <f aca="false">IFERROR(IF(ISBLANK(INDEX(Backlog[Requirement Name],MATCH($A74,Backlog[Requirement ID],0))),"",INDEX(Backlog[Requirement Name],MATCH($A74,Backlog[Requirement ID],0))),"")</f>
        <v>DTTP25-27161 Change payment and newsletter redirection URL logic</v>
      </c>
      <c r="C74" s="26" t="str">
        <f aca="false">IFERROR(IF(ISBLANK(INDEX(Backlog[Stream],MATCH($A74,Backlog[Requirement ID],0))),"",INDEX(Backlog[Stream],MATCH($A74,Backlog[Requirement ID],0))),"")</f>
        <v>Backlog / Tech Enh</v>
      </c>
      <c r="D74" s="26" t="str">
        <f aca="false">IFERROR(IF(ISBLANK(INDEX(Backlog[Stream Owner],MATCH($A74,Backlog[Requirement ID],0))),"",INDEX(Backlog[Stream Owner],MATCH($A74,Backlog[Requirement ID],0))),"")</f>
        <v>ALL</v>
      </c>
      <c r="E74" s="26" t="str">
        <f aca="false">IFERROR(IF(ISBLANK(INDEX(Backlog[Jira Link],MATCH($A74,Backlog[Requirement ID],0))),"",INDEX(Backlog[Jira Link],MATCH($A74,Backlog[Requirement ID],0))),"")</f>
        <v/>
      </c>
      <c r="F74" s="24" t="s">
        <v>139</v>
      </c>
      <c r="G74" s="24" t="s">
        <v>139</v>
      </c>
      <c r="H74" s="37" t="str">
        <f aca="false">IFERROR(IF(ISBLANK(INDEX(SprintPlanning[Sprint],MATCH($A74,SprintPlanning[Requirement ID],0))),"",INDEX(SprintPlanning[Sprint],MATCH($A74,SprintPlanning[Requirement ID],0))),"")</f>
        <v>To Plan</v>
      </c>
      <c r="I74" s="26" t="str">
        <f aca="false">IFERROR(IF(ISBLANK(INDEX(Backlog[Status],MATCH($A74,Backlog[Requirement ID],0))),"",INDEX(Backlog[Status],MATCH($A74,Backlog[Requirement ID],0))),"")</f>
        <v>NEW</v>
      </c>
      <c r="J74" s="26" t="str">
        <f aca="false">IFERROR(IF(ISBLANK(INDEX(Backlog[Priority],MATCH($A74,Backlog[Requirement ID],0))),"",INDEX(Backlog[Priority],MATCH($A74,Backlog[Requirement ID],0))),"")</f>
        <v>Medium</v>
      </c>
      <c r="K74" s="24"/>
      <c r="L74" s="60"/>
      <c r="M74" s="60"/>
      <c r="N74" s="24"/>
      <c r="O74" s="61"/>
      <c r="P74" s="30"/>
      <c r="Q74" s="30"/>
    </row>
    <row r="75" customFormat="false" ht="15" hidden="false" customHeight="true" outlineLevel="0" collapsed="false">
      <c r="A75" s="24" t="str">
        <f aca="false">Backlog!A75</f>
        <v>NEW-0384</v>
      </c>
      <c r="B75" s="26" t="str">
        <f aca="false">IFERROR(IF(ISBLANK(INDEX(Backlog[Requirement Name],MATCH($A75,Backlog[Requirement ID],0))),"",INDEX(Backlog[Requirement Name],MATCH($A75,Backlog[Requirement ID],0))),"")</f>
        <v>New Security Remediation - DTTP Stack to CRM ASIS_EA</v>
      </c>
      <c r="C75" s="26" t="str">
        <f aca="false">IFERROR(IF(ISBLANK(INDEX(Backlog[Stream],MATCH($A75,Backlog[Requirement ID],0))),"",INDEX(Backlog[Stream],MATCH($A75,Backlog[Requirement ID],0))),"")</f>
        <v>PI10</v>
      </c>
      <c r="D75" s="26" t="str">
        <f aca="false">IFERROR(IF(ISBLANK(INDEX(Backlog[Stream Owner],MATCH($A75,Backlog[Requirement ID],0))),"",INDEX(Backlog[Stream Owner],MATCH($A75,Backlog[Requirement ID],0))),"")</f>
        <v>CRMASIS</v>
      </c>
      <c r="E75" s="26" t="str">
        <f aca="false">IFERROR(IF(ISBLANK(INDEX(Backlog[Jira Link],MATCH($A75,Backlog[Requirement ID],0))),"",INDEX(Backlog[Jira Link],MATCH($A75,Backlog[Requirement ID],0))),"")</f>
        <v/>
      </c>
      <c r="F75" s="24" t="s">
        <v>387</v>
      </c>
      <c r="G75" s="24" t="s">
        <v>387</v>
      </c>
      <c r="H75" s="37" t="str">
        <f aca="false">IFERROR(IF(ISBLANK(INDEX(SprintPlanning[Sprint],MATCH($A75,SprintPlanning[Requirement ID],0))),"",INDEX(SprintPlanning[Sprint],MATCH($A75,SprintPlanning[Requirement ID],0))),"")</f>
        <v/>
      </c>
      <c r="I75" s="26" t="str">
        <f aca="false">IFERROR(IF(ISBLANK(INDEX(Backlog[Status],MATCH($A75,Backlog[Requirement ID],0))),"",INDEX(Backlog[Status],MATCH($A75,Backlog[Requirement ID],0))),"")</f>
        <v>DONE</v>
      </c>
      <c r="J75" s="26" t="str">
        <f aca="false">IFERROR(IF(ISBLANK(INDEX(Backlog[Priority],MATCH($A75,Backlog[Requirement ID],0))),"",INDEX(Backlog[Priority],MATCH($A75,Backlog[Requirement ID],0))),"")</f>
        <v>Medium</v>
      </c>
      <c r="K75" s="24"/>
      <c r="L75" s="60"/>
      <c r="M75" s="60"/>
      <c r="N75" s="24"/>
      <c r="O75" s="61"/>
      <c r="P75" s="30"/>
      <c r="Q75" s="30"/>
    </row>
    <row r="76" customFormat="false" ht="15" hidden="false" customHeight="true" outlineLevel="0" collapsed="false">
      <c r="A76" s="24" t="str">
        <f aca="false">Backlog!A76</f>
        <v>NEW-0395</v>
      </c>
      <c r="B76" s="26" t="str">
        <f aca="false">IFERROR(IF(ISBLANK(INDEX(Backlog[Requirement Name],MATCH($A76,Backlog[Requirement ID],0))),"",INDEX(Backlog[Requirement Name],MATCH($A76,Backlog[Requirement ID],0))),"")</f>
        <v>PDF: age restrictions management</v>
      </c>
      <c r="C76" s="26" t="str">
        <f aca="false">IFERROR(IF(ISBLANK(INDEX(Backlog[Stream],MATCH($A76,Backlog[Requirement ID],0))),"",INDEX(Backlog[Stream],MATCH($A76,Backlog[Requirement ID],0))),"")</f>
        <v>MyMSC</v>
      </c>
      <c r="D76" s="26" t="str">
        <f aca="false">IFERROR(IF(ISBLANK(INDEX(Backlog[Stream Owner],MATCH($A76,Backlog[Requirement ID],0))),"",INDEX(Backlog[Stream Owner],MATCH($A76,Backlog[Requirement ID],0))),"")</f>
        <v>B2CW</v>
      </c>
      <c r="E76" s="26" t="str">
        <f aca="false">IFERROR(IF(ISBLANK(INDEX(Backlog[Jira Link],MATCH($A76,Backlog[Requirement ID],0))),"",INDEX(Backlog[Jira Link],MATCH($A76,Backlog[Requirement ID],0))),"")</f>
        <v/>
      </c>
      <c r="F76" s="24" t="s">
        <v>387</v>
      </c>
      <c r="G76" s="24" t="s">
        <v>387</v>
      </c>
      <c r="H76" s="37" t="str">
        <f aca="false">IFERROR(IF(ISBLANK(INDEX(SprintPlanning[Sprint],MATCH($A76,SprintPlanning[Requirement ID],0))),"",INDEX(SprintPlanning[Sprint],MATCH($A76,SprintPlanning[Requirement ID],0))),"")</f>
        <v>To Plan</v>
      </c>
      <c r="I76" s="26" t="str">
        <f aca="false">IFERROR(IF(ISBLANK(INDEX(Backlog[Status],MATCH($A76,Backlog[Requirement ID],0))),"",INDEX(Backlog[Status],MATCH($A76,Backlog[Requirement ID],0))),"")</f>
        <v>NEW</v>
      </c>
      <c r="J76" s="26" t="str">
        <f aca="false">IFERROR(IF(ISBLANK(INDEX(Backlog[Priority],MATCH($A76,Backlog[Requirement ID],0))),"",INDEX(Backlog[Priority],MATCH($A76,Backlog[Requirement ID],0))),"")</f>
        <v>Medium</v>
      </c>
      <c r="K76" s="24"/>
      <c r="L76" s="60"/>
      <c r="M76" s="60"/>
      <c r="N76" s="24"/>
      <c r="O76" s="61"/>
      <c r="P76" s="30"/>
      <c r="Q76" s="30"/>
    </row>
    <row r="77" customFormat="false" ht="15" hidden="false" customHeight="true" outlineLevel="0" collapsed="false">
      <c r="A77" s="24" t="str">
        <f aca="false">Backlog!A77</f>
        <v>NEW-0397</v>
      </c>
      <c r="B77" s="26" t="str">
        <f aca="false">IFERROR(IF(ISBLANK(INDEX(Backlog[Requirement Name],MATCH($A77,Backlog[Requirement ID],0))),"",INDEX(Backlog[Requirement Name],MATCH($A77,Backlog[Requirement ID],0))),"")</f>
        <v>MSC Voyagers Club subscription block for pending Status Match request for the same user</v>
      </c>
      <c r="C77" s="26" t="str">
        <f aca="false">IFERROR(IF(ISBLANK(INDEX(Backlog[Stream],MATCH($A77,Backlog[Requirement ID],0))),"",INDEX(Backlog[Stream],MATCH($A77,Backlog[Requirement ID],0))),"")</f>
        <v>MyMSC</v>
      </c>
      <c r="D77" s="26" t="str">
        <f aca="false">IFERROR(IF(ISBLANK(INDEX(Backlog[Stream Owner],MATCH($A77,Backlog[Requirement ID],0))),"",INDEX(Backlog[Stream Owner],MATCH($A77,Backlog[Requirement ID],0))),"")</f>
        <v>B2CW</v>
      </c>
      <c r="E77" s="26" t="str">
        <f aca="false">IFERROR(IF(ISBLANK(INDEX(Backlog[Jira Link],MATCH($A77,Backlog[Requirement ID],0))),"",INDEX(Backlog[Jira Link],MATCH($A77,Backlog[Requirement ID],0))),"")</f>
        <v/>
      </c>
      <c r="F77" s="24" t="s">
        <v>387</v>
      </c>
      <c r="G77" s="24" t="s">
        <v>387</v>
      </c>
      <c r="H77" s="37" t="str">
        <f aca="false">IFERROR(IF(ISBLANK(INDEX(SprintPlanning[Sprint],MATCH($A77,SprintPlanning[Requirement ID],0))),"",INDEX(SprintPlanning[Sprint],MATCH($A77,SprintPlanning[Requirement ID],0))),"")</f>
        <v>To Plan</v>
      </c>
      <c r="I77" s="26" t="str">
        <f aca="false">IFERROR(IF(ISBLANK(INDEX(Backlog[Status],MATCH($A77,Backlog[Requirement ID],0))),"",INDEX(Backlog[Status],MATCH($A77,Backlog[Requirement ID],0))),"")</f>
        <v>NEW</v>
      </c>
      <c r="J77" s="26" t="str">
        <f aca="false">IFERROR(IF(ISBLANK(INDEX(Backlog[Priority],MATCH($A77,Backlog[Requirement ID],0))),"",INDEX(Backlog[Priority],MATCH($A77,Backlog[Requirement ID],0))),"")</f>
        <v>Medium</v>
      </c>
      <c r="K77" s="24"/>
      <c r="L77" s="60"/>
      <c r="M77" s="60"/>
      <c r="N77" s="24"/>
      <c r="O77" s="61"/>
      <c r="P77" s="30"/>
      <c r="Q77" s="30"/>
    </row>
    <row r="78" customFormat="false" ht="15" hidden="false" customHeight="true" outlineLevel="0" collapsed="false">
      <c r="A78" s="24" t="str">
        <f aca="false">Backlog!A78</f>
        <v>NEW-0398</v>
      </c>
      <c r="B78" s="26" t="str">
        <f aca="false">IFERROR(IF(ISBLANK(INDEX(Backlog[Requirement Name],MATCH($A78,Backlog[Requirement ID],0))),"",INDEX(Backlog[Requirement Name],MATCH($A78,Backlog[Requirement ID],0))),"")</f>
        <v>MSC Voyagers Club children association</v>
      </c>
      <c r="C78" s="26" t="str">
        <f aca="false">IFERROR(IF(ISBLANK(INDEX(Backlog[Stream],MATCH($A78,Backlog[Requirement ID],0))),"",INDEX(Backlog[Stream],MATCH($A78,Backlog[Requirement ID],0))),"")</f>
        <v>MyMSC</v>
      </c>
      <c r="D78" s="26" t="str">
        <f aca="false">IFERROR(IF(ISBLANK(INDEX(Backlog[Stream Owner],MATCH($A78,Backlog[Requirement ID],0))),"",INDEX(Backlog[Stream Owner],MATCH($A78,Backlog[Requirement ID],0))),"")</f>
        <v>B2CW</v>
      </c>
      <c r="E78" s="26" t="str">
        <f aca="false">IFERROR(IF(ISBLANK(INDEX(Backlog[Jira Link],MATCH($A78,Backlog[Requirement ID],0))),"",INDEX(Backlog[Jira Link],MATCH($A78,Backlog[Requirement ID],0))),"")</f>
        <v/>
      </c>
      <c r="F78" s="24" t="s">
        <v>387</v>
      </c>
      <c r="G78" s="24" t="s">
        <v>387</v>
      </c>
      <c r="H78" s="37" t="str">
        <f aca="false">IFERROR(IF(ISBLANK(INDEX(SprintPlanning[Sprint],MATCH($A78,SprintPlanning[Requirement ID],0))),"",INDEX(SprintPlanning[Sprint],MATCH($A78,SprintPlanning[Requirement ID],0))),"")</f>
        <v>To Plan</v>
      </c>
      <c r="I78" s="26" t="str">
        <f aca="false">IFERROR(IF(ISBLANK(INDEX(Backlog[Status],MATCH($A78,Backlog[Requirement ID],0))),"",INDEX(Backlog[Status],MATCH($A78,Backlog[Requirement ID],0))),"")</f>
        <v>NEW</v>
      </c>
      <c r="J78" s="26" t="str">
        <f aca="false">IFERROR(IF(ISBLANK(INDEX(Backlog[Priority],MATCH($A78,Backlog[Requirement ID],0))),"",INDEX(Backlog[Priority],MATCH($A78,Backlog[Requirement ID],0))),"")</f>
        <v>Medium</v>
      </c>
      <c r="K78" s="24"/>
      <c r="L78" s="60"/>
      <c r="M78" s="60"/>
      <c r="N78" s="24"/>
      <c r="O78" s="61"/>
      <c r="P78" s="30"/>
      <c r="Q78" s="30"/>
    </row>
    <row r="79" customFormat="false" ht="15" hidden="false" customHeight="true" outlineLevel="0" collapsed="false">
      <c r="A79" s="24" t="str">
        <f aca="false">Backlog!A79</f>
        <v>NEW-0399</v>
      </c>
      <c r="B79" s="26" t="str">
        <f aca="false">IFERROR(IF(ISBLANK(INDEX(Backlog[Requirement Name],MATCH($A79,Backlog[Requirement ID],0))),"",INDEX(Backlog[Requirement Name],MATCH($A79,Backlog[Requirement ID],0))),"")</f>
        <v>Managing the possibility of multiple categories for the same EXC item</v>
      </c>
      <c r="C79" s="26" t="str">
        <f aca="false">IFERROR(IF(ISBLANK(INDEX(Backlog[Stream],MATCH($A79,Backlog[Requirement ID],0))),"",INDEX(Backlog[Stream],MATCH($A79,Backlog[Requirement ID],0))),"")</f>
        <v>MyMSC</v>
      </c>
      <c r="D79" s="26" t="str">
        <f aca="false">IFERROR(IF(ISBLANK(INDEX(Backlog[Stream Owner],MATCH($A79,Backlog[Requirement ID],0))),"",INDEX(Backlog[Stream Owner],MATCH($A79,Backlog[Requirement ID],0))),"")</f>
        <v>B2CW</v>
      </c>
      <c r="E79" s="26" t="str">
        <f aca="false">IFERROR(IF(ISBLANK(INDEX(Backlog[Jira Link],MATCH($A79,Backlog[Requirement ID],0))),"",INDEX(Backlog[Jira Link],MATCH($A79,Backlog[Requirement ID],0))),"")</f>
        <v/>
      </c>
      <c r="F79" s="24" t="s">
        <v>387</v>
      </c>
      <c r="G79" s="24" t="s">
        <v>387</v>
      </c>
      <c r="H79" s="37" t="str">
        <f aca="false">IFERROR(IF(ISBLANK(INDEX(SprintPlanning[Sprint],MATCH($A79,SprintPlanning[Requirement ID],0))),"",INDEX(SprintPlanning[Sprint],MATCH($A79,SprintPlanning[Requirement ID],0))),"")</f>
        <v>To Plan</v>
      </c>
      <c r="I79" s="26" t="str">
        <f aca="false">IFERROR(IF(ISBLANK(INDEX(Backlog[Status],MATCH($A79,Backlog[Requirement ID],0))),"",INDEX(Backlog[Status],MATCH($A79,Backlog[Requirement ID],0))),"")</f>
        <v>NEW</v>
      </c>
      <c r="J79" s="26" t="str">
        <f aca="false">IFERROR(IF(ISBLANK(INDEX(Backlog[Priority],MATCH($A79,Backlog[Requirement ID],0))),"",INDEX(Backlog[Priority],MATCH($A79,Backlog[Requirement ID],0))),"")</f>
        <v>Medium</v>
      </c>
      <c r="K79" s="24"/>
      <c r="L79" s="60"/>
      <c r="M79" s="60"/>
      <c r="N79" s="24"/>
      <c r="O79" s="61"/>
      <c r="P79" s="30"/>
      <c r="Q79" s="30"/>
    </row>
    <row r="80" customFormat="false" ht="15" hidden="false" customHeight="true" outlineLevel="0" collapsed="false">
      <c r="A80" s="24" t="str">
        <f aca="false">Backlog!A80</f>
        <v>NEW-0400</v>
      </c>
      <c r="B80" s="26" t="str">
        <f aca="false">IFERROR(IF(ISBLANK(INDEX(Backlog[Requirement Name],MATCH($A80,Backlog[Requirement ID],0))),"",INDEX(Backlog[Requirement Name],MATCH($A80,Backlog[Requirement ID],0))),"")</f>
        <v>Card Points History Reliability Enhancement - B2C</v>
      </c>
      <c r="C80" s="26" t="str">
        <f aca="false">IFERROR(IF(ISBLANK(INDEX(Backlog[Stream],MATCH($A80,Backlog[Requirement ID],0))),"",INDEX(Backlog[Stream],MATCH($A80,Backlog[Requirement ID],0))),"")</f>
        <v>MyMSC</v>
      </c>
      <c r="D80" s="26" t="str">
        <f aca="false">IFERROR(IF(ISBLANK(INDEX(Backlog[Stream Owner],MATCH($A80,Backlog[Requirement ID],0))),"",INDEX(Backlog[Stream Owner],MATCH($A80,Backlog[Requirement ID],0))),"")</f>
        <v>B2CW</v>
      </c>
      <c r="E80" s="26" t="str">
        <f aca="false">IFERROR(IF(ISBLANK(INDEX(Backlog[Jira Link],MATCH($A80,Backlog[Requirement ID],0))),"",INDEX(Backlog[Jira Link],MATCH($A80,Backlog[Requirement ID],0))),"")</f>
        <v/>
      </c>
      <c r="F80" s="24" t="s">
        <v>387</v>
      </c>
      <c r="G80" s="24" t="s">
        <v>387</v>
      </c>
      <c r="H80" s="37" t="str">
        <f aca="false">IFERROR(IF(ISBLANK(INDEX(SprintPlanning[Sprint],MATCH($A80,SprintPlanning[Requirement ID],0))),"",INDEX(SprintPlanning[Sprint],MATCH($A80,SprintPlanning[Requirement ID],0))),"")</f>
        <v>To Plan</v>
      </c>
      <c r="I80" s="26" t="str">
        <f aca="false">IFERROR(IF(ISBLANK(INDEX(Backlog[Status],MATCH($A80,Backlog[Requirement ID],0))),"",INDEX(Backlog[Status],MATCH($A80,Backlog[Requirement ID],0))),"")</f>
        <v>NEW</v>
      </c>
      <c r="J80" s="26" t="str">
        <f aca="false">IFERROR(IF(ISBLANK(INDEX(Backlog[Priority],MATCH($A80,Backlog[Requirement ID],0))),"",INDEX(Backlog[Priority],MATCH($A80,Backlog[Requirement ID],0))),"")</f>
        <v>Medium</v>
      </c>
      <c r="K80" s="24"/>
      <c r="L80" s="60"/>
      <c r="M80" s="60"/>
      <c r="N80" s="24"/>
      <c r="O80" s="61"/>
      <c r="P80" s="30"/>
      <c r="Q80" s="30"/>
    </row>
    <row r="81" customFormat="false" ht="15" hidden="false" customHeight="true" outlineLevel="0" collapsed="false">
      <c r="A81" s="24" t="str">
        <f aca="false">Backlog!A81</f>
        <v>NEW-0401</v>
      </c>
      <c r="B81" s="26" t="str">
        <f aca="false">IFERROR(IF(ISBLANK(INDEX(Backlog[Requirement Name],MATCH($A81,Backlog[Requirement ID],0))),"",INDEX(Backlog[Requirement Name],MATCH($A81,Backlog[Requirement ID],0))),"")</f>
        <v>Excursions' category not visible, neither in the catalogue nor in the modal</v>
      </c>
      <c r="C81" s="26" t="str">
        <f aca="false">IFERROR(IF(ISBLANK(INDEX(Backlog[Stream],MATCH($A81,Backlog[Requirement ID],0))),"",INDEX(Backlog[Stream],MATCH($A81,Backlog[Requirement ID],0))),"")</f>
        <v>MyMSC</v>
      </c>
      <c r="D81" s="26" t="str">
        <f aca="false">IFERROR(IF(ISBLANK(INDEX(Backlog[Stream Owner],MATCH($A81,Backlog[Requirement ID],0))),"",INDEX(Backlog[Stream Owner],MATCH($A81,Backlog[Requirement ID],0))),"")</f>
        <v>B2CW</v>
      </c>
      <c r="E81" s="26" t="str">
        <f aca="false">IFERROR(IF(ISBLANK(INDEX(Backlog[Jira Link],MATCH($A81,Backlog[Requirement ID],0))),"",INDEX(Backlog[Jira Link],MATCH($A81,Backlog[Requirement ID],0))),"")</f>
        <v/>
      </c>
      <c r="F81" s="24" t="s">
        <v>387</v>
      </c>
      <c r="G81" s="24" t="s">
        <v>387</v>
      </c>
      <c r="H81" s="37" t="str">
        <f aca="false">IFERROR(IF(ISBLANK(INDEX(SprintPlanning[Sprint],MATCH($A81,SprintPlanning[Requirement ID],0))),"",INDEX(SprintPlanning[Sprint],MATCH($A81,SprintPlanning[Requirement ID],0))),"")</f>
        <v>To Plan</v>
      </c>
      <c r="I81" s="26" t="str">
        <f aca="false">IFERROR(IF(ISBLANK(INDEX(Backlog[Status],MATCH($A81,Backlog[Requirement ID],0))),"",INDEX(Backlog[Status],MATCH($A81,Backlog[Requirement ID],0))),"")</f>
        <v>NEW</v>
      </c>
      <c r="J81" s="26" t="str">
        <f aca="false">IFERROR(IF(ISBLANK(INDEX(Backlog[Priority],MATCH($A81,Backlog[Requirement ID],0))),"",INDEX(Backlog[Priority],MATCH($A81,Backlog[Requirement ID],0))),"")</f>
        <v>Medium</v>
      </c>
      <c r="K81" s="24"/>
      <c r="L81" s="60"/>
      <c r="M81" s="60"/>
      <c r="N81" s="24"/>
      <c r="O81" s="61"/>
      <c r="P81" s="30"/>
      <c r="Q81" s="30"/>
    </row>
    <row r="82" customFormat="false" ht="15" hidden="false" customHeight="true" outlineLevel="0" collapsed="false">
      <c r="A82" s="24" t="str">
        <f aca="false">Backlog!A82</f>
        <v>NEW-0402</v>
      </c>
      <c r="B82" s="26" t="str">
        <f aca="false">IFERROR(IF(ISBLANK(INDEX(Backlog[Requirement Name],MATCH($A82,Backlog[Requirement ID],0))),"",INDEX(Backlog[Requirement Name],MATCH($A82,Backlog[Requirement ID],0))),"")</f>
        <v>Cross Device &gt; Plan my cruise: Cart &gt; Impossible to apply a coupon on a NON-Discounted item</v>
      </c>
      <c r="C82" s="26" t="str">
        <f aca="false">IFERROR(IF(ISBLANK(INDEX(Backlog[Stream],MATCH($A82,Backlog[Requirement ID],0))),"",INDEX(Backlog[Stream],MATCH($A82,Backlog[Requirement ID],0))),"")</f>
        <v>MyMSC</v>
      </c>
      <c r="D82" s="26" t="str">
        <f aca="false">IFERROR(IF(ISBLANK(INDEX(Backlog[Stream Owner],MATCH($A82,Backlog[Requirement ID],0))),"",INDEX(Backlog[Stream Owner],MATCH($A82,Backlog[Requirement ID],0))),"")</f>
        <v>B2CW</v>
      </c>
      <c r="E82" s="26" t="str">
        <f aca="false">IFERROR(IF(ISBLANK(INDEX(Backlog[Jira Link],MATCH($A82,Backlog[Requirement ID],0))),"",INDEX(Backlog[Jira Link],MATCH($A82,Backlog[Requirement ID],0))),"")</f>
        <v/>
      </c>
      <c r="F82" s="24" t="s">
        <v>387</v>
      </c>
      <c r="G82" s="24" t="s">
        <v>387</v>
      </c>
      <c r="H82" s="37" t="str">
        <f aca="false">IFERROR(IF(ISBLANK(INDEX(SprintPlanning[Sprint],MATCH($A82,SprintPlanning[Requirement ID],0))),"",INDEX(SprintPlanning[Sprint],MATCH($A82,SprintPlanning[Requirement ID],0))),"")</f>
        <v>To Plan</v>
      </c>
      <c r="I82" s="26" t="str">
        <f aca="false">IFERROR(IF(ISBLANK(INDEX(Backlog[Status],MATCH($A82,Backlog[Requirement ID],0))),"",INDEX(Backlog[Status],MATCH($A82,Backlog[Requirement ID],0))),"")</f>
        <v>NEW</v>
      </c>
      <c r="J82" s="26" t="str">
        <f aca="false">IFERROR(IF(ISBLANK(INDEX(Backlog[Priority],MATCH($A82,Backlog[Requirement ID],0))),"",INDEX(Backlog[Priority],MATCH($A82,Backlog[Requirement ID],0))),"")</f>
        <v>Medium</v>
      </c>
      <c r="K82" s="24"/>
      <c r="L82" s="60"/>
      <c r="M82" s="60"/>
      <c r="N82" s="24"/>
      <c r="O82" s="61"/>
      <c r="P82" s="30"/>
      <c r="Q82" s="30"/>
    </row>
    <row r="83" customFormat="false" ht="15" hidden="false" customHeight="true" outlineLevel="0" collapsed="false">
      <c r="A83" s="24" t="str">
        <f aca="false">Backlog!A83</f>
        <v>NEW-0403</v>
      </c>
      <c r="B83" s="26" t="str">
        <f aca="false">IFERROR(IF(ISBLANK(INDEX(Backlog[Requirement Name],MATCH($A83,Backlog[Requirement ID],0))),"",INDEX(Backlog[Requirement Name],MATCH($A83,Backlog[Requirement ID],0))),"")</f>
        <v>Wider management of label</v>
      </c>
      <c r="C83" s="26" t="str">
        <f aca="false">IFERROR(IF(ISBLANK(INDEX(Backlog[Stream],MATCH($A83,Backlog[Requirement ID],0))),"",INDEX(Backlog[Stream],MATCH($A83,Backlog[Requirement ID],0))),"")</f>
        <v>MyMSC</v>
      </c>
      <c r="D83" s="26" t="str">
        <f aca="false">IFERROR(IF(ISBLANK(INDEX(Backlog[Stream Owner],MATCH($A83,Backlog[Requirement ID],0))),"",INDEX(Backlog[Stream Owner],MATCH($A83,Backlog[Requirement ID],0))),"")</f>
        <v>B2CW</v>
      </c>
      <c r="E83" s="26" t="str">
        <f aca="false">IFERROR(IF(ISBLANK(INDEX(Backlog[Jira Link],MATCH($A83,Backlog[Requirement ID],0))),"",INDEX(Backlog[Jira Link],MATCH($A83,Backlog[Requirement ID],0))),"")</f>
        <v/>
      </c>
      <c r="F83" s="24" t="s">
        <v>387</v>
      </c>
      <c r="G83" s="24" t="s">
        <v>387</v>
      </c>
      <c r="H83" s="37" t="str">
        <f aca="false">IFERROR(IF(ISBLANK(INDEX(SprintPlanning[Sprint],MATCH($A83,SprintPlanning[Requirement ID],0))),"",INDEX(SprintPlanning[Sprint],MATCH($A83,SprintPlanning[Requirement ID],0))),"")</f>
        <v>To Plan</v>
      </c>
      <c r="I83" s="26" t="str">
        <f aca="false">IFERROR(IF(ISBLANK(INDEX(Backlog[Status],MATCH($A83,Backlog[Requirement ID],0))),"",INDEX(Backlog[Status],MATCH($A83,Backlog[Requirement ID],0))),"")</f>
        <v>NEW</v>
      </c>
      <c r="J83" s="26" t="str">
        <f aca="false">IFERROR(IF(ISBLANK(INDEX(Backlog[Priority],MATCH($A83,Backlog[Requirement ID],0))),"",INDEX(Backlog[Priority],MATCH($A83,Backlog[Requirement ID],0))),"")</f>
        <v>Medium</v>
      </c>
      <c r="K83" s="24"/>
      <c r="L83" s="60"/>
      <c r="M83" s="60"/>
      <c r="N83" s="24"/>
      <c r="O83" s="61"/>
      <c r="P83" s="30"/>
      <c r="Q83" s="30"/>
    </row>
    <row r="84" customFormat="false" ht="15" hidden="false" customHeight="true" outlineLevel="0" collapsed="false">
      <c r="A84" s="24" t="str">
        <f aca="false">Backlog!A84</f>
        <v>NEW-0404</v>
      </c>
      <c r="B84" s="26" t="str">
        <f aca="false">IFERROR(IF(ISBLANK(INDEX(Backlog[Requirement Name],MATCH($A84,Backlog[Requirement ID],0))),"",INDEX(Backlog[Requirement Name],MATCH($A84,Backlog[Requirement ID],0))),"")</f>
        <v>Cross Device &gt; Plan My Cruise &gt; OBS/ACT 'Add passenger' CTA shown even if only non-eligible pax</v>
      </c>
      <c r="C84" s="26" t="str">
        <f aca="false">IFERROR(IF(ISBLANK(INDEX(Backlog[Stream],MATCH($A84,Backlog[Requirement ID],0))),"",INDEX(Backlog[Stream],MATCH($A84,Backlog[Requirement ID],0))),"")</f>
        <v>MyMSC</v>
      </c>
      <c r="D84" s="26" t="str">
        <f aca="false">IFERROR(IF(ISBLANK(INDEX(Backlog[Stream Owner],MATCH($A84,Backlog[Requirement ID],0))),"",INDEX(Backlog[Stream Owner],MATCH($A84,Backlog[Requirement ID],0))),"")</f>
        <v>B2CW</v>
      </c>
      <c r="E84" s="26" t="str">
        <f aca="false">IFERROR(IF(ISBLANK(INDEX(Backlog[Jira Link],MATCH($A84,Backlog[Requirement ID],0))),"",INDEX(Backlog[Jira Link],MATCH($A84,Backlog[Requirement ID],0))),"")</f>
        <v/>
      </c>
      <c r="F84" s="24" t="s">
        <v>387</v>
      </c>
      <c r="G84" s="24" t="s">
        <v>387</v>
      </c>
      <c r="H84" s="37" t="str">
        <f aca="false">IFERROR(IF(ISBLANK(INDEX(SprintPlanning[Sprint],MATCH($A84,SprintPlanning[Requirement ID],0))),"",INDEX(SprintPlanning[Sprint],MATCH($A84,SprintPlanning[Requirement ID],0))),"")</f>
        <v>To Plan</v>
      </c>
      <c r="I84" s="26" t="str">
        <f aca="false">IFERROR(IF(ISBLANK(INDEX(Backlog[Status],MATCH($A84,Backlog[Requirement ID],0))),"",INDEX(Backlog[Status],MATCH($A84,Backlog[Requirement ID],0))),"")</f>
        <v>NEW</v>
      </c>
      <c r="J84" s="26" t="str">
        <f aca="false">IFERROR(IF(ISBLANK(INDEX(Backlog[Priority],MATCH($A84,Backlog[Requirement ID],0))),"",INDEX(Backlog[Priority],MATCH($A84,Backlog[Requirement ID],0))),"")</f>
        <v>Medium</v>
      </c>
      <c r="K84" s="24"/>
      <c r="L84" s="60"/>
      <c r="M84" s="60"/>
      <c r="N84" s="24"/>
      <c r="O84" s="61"/>
      <c r="P84" s="30"/>
      <c r="Q84" s="30"/>
    </row>
    <row r="85" customFormat="false" ht="15" hidden="false" customHeight="true" outlineLevel="0" collapsed="false">
      <c r="A85" s="1" t="str">
        <f aca="false">Backlog!A85</f>
        <v>NEW-0405</v>
      </c>
      <c r="B85" s="1" t="str">
        <f aca="false">IFERROR(IF(ISBLANK(INDEX(Backlog[Requirement Name],MATCH($A85,Backlog[Requirement ID],0))),"",INDEX(Backlog[Requirement Name],MATCH($A85,Backlog[Requirement ID],0))),"")</f>
        <v>Whatsapp Subscription (Phase 3)</v>
      </c>
      <c r="C85" s="1" t="str">
        <f aca="false">IFERROR(IF(ISBLANK(INDEX(Backlog[Stream],MATCH($A85,Backlog[Requirement ID],0))),"",INDEX(Backlog[Stream],MATCH($A85,Backlog[Requirement ID],0))),"")</f>
        <v>Backlog</v>
      </c>
      <c r="D85" s="1" t="str">
        <f aca="false">IFERROR(IF(ISBLANK(INDEX(Backlog[Stream Owner],MATCH($A85,Backlog[Requirement ID],0))),"",INDEX(Backlog[Stream Owner],MATCH($A85,Backlog[Requirement ID],0))),"")</f>
        <v>MA</v>
      </c>
      <c r="E85" s="1" t="str">
        <f aca="false">IFERROR(IF(ISBLANK(INDEX(Backlog[Jira Link],MATCH($A85,Backlog[Requirement ID],0))),"",INDEX(Backlog[Jira Link],MATCH($A85,Backlog[Requirement ID],0))),"")</f>
        <v/>
      </c>
      <c r="F85" s="24" t="s">
        <v>387</v>
      </c>
      <c r="G85" s="24" t="s">
        <v>387</v>
      </c>
      <c r="H85" s="1" t="str">
        <f aca="false">IFERROR(IF(ISBLANK(INDEX(SprintPlanning[Sprint],MATCH($A85,SprintPlanning[Requirement ID],0))),"",INDEX(SprintPlanning[Sprint],MATCH($A85,SprintPlanning[Requirement ID],0))),"")</f>
        <v>To Plan</v>
      </c>
      <c r="I85" s="1" t="str">
        <f aca="false">IFERROR(IF(ISBLANK(INDEX(Backlog[Status],MATCH($A85,Backlog[Requirement ID],0))),"",INDEX(Backlog[Status],MATCH($A85,Backlog[Requirement ID],0))),"")</f>
        <v>NEW</v>
      </c>
      <c r="J85" s="1" t="str">
        <f aca="false">IFERROR(IF(ISBLANK(INDEX(Backlog[Priority],MATCH($A85,Backlog[Requirement ID],0))),"",INDEX(Backlog[Priority],MATCH($A85,Backlog[Requirement ID],0))),"")</f>
        <v>Medium</v>
      </c>
      <c r="K85" s="30"/>
      <c r="L85" s="61"/>
      <c r="M85" s="61"/>
      <c r="N85" s="30"/>
      <c r="O85" s="61"/>
      <c r="P85" s="30"/>
      <c r="Q85" s="30"/>
    </row>
    <row r="86" customFormat="false" ht="15" hidden="false" customHeight="true" outlineLevel="0" collapsed="false">
      <c r="A86" s="1" t="str">
        <f aca="false">Backlog!A86</f>
        <v>NEW-0407</v>
      </c>
      <c r="B86" s="1" t="str">
        <f aca="false">IFERROR(IF(ISBLANK(INDEX(Backlog[Requirement Name],MATCH($A86,Backlog[Requirement ID],0))),"",INDEX(Backlog[Requirement Name],MATCH($A86,Backlog[Requirement ID],0))),"")</f>
        <v>Puerto Rico on US site Status Match (INT010.3)</v>
      </c>
      <c r="C86" s="1" t="str">
        <f aca="false">IFERROR(IF(ISBLANK(INDEX(Backlog[Stream],MATCH($A86,Backlog[Requirement ID],0))),"",INDEX(Backlog[Stream],MATCH($A86,Backlog[Requirement ID],0))),"")</f>
        <v>US</v>
      </c>
      <c r="D86" s="1" t="str">
        <f aca="false">IFERROR(IF(ISBLANK(INDEX(Backlog[Stream Owner],MATCH($A86,Backlog[Requirement ID],0))),"",INDEX(Backlog[Stream Owner],MATCH($A86,Backlog[Requirement ID],0))),"")</f>
        <v>B2CW</v>
      </c>
      <c r="E86" s="1" t="str">
        <f aca="false">IFERROR(IF(ISBLANK(INDEX(Backlog[Jira Link],MATCH($A86,Backlog[Requirement ID],0))),"",INDEX(Backlog[Jira Link],MATCH($A86,Backlog[Requirement ID],0))),"")</f>
        <v>https://smartship.atlassian.net/browse/MDTTPU-15251</v>
      </c>
      <c r="F86" s="30" t="s">
        <v>383</v>
      </c>
      <c r="G86" s="30" t="s">
        <v>387</v>
      </c>
      <c r="H86" s="1" t="str">
        <f aca="false">IFERROR(IF(ISBLANK(INDEX(SprintPlanning[Sprint],MATCH($A86,SprintPlanning[Requirement ID],0))),"",INDEX(SprintPlanning[Sprint],MATCH($A86,SprintPlanning[Requirement ID],0))),"")</f>
        <v>To Plan</v>
      </c>
      <c r="I86" s="1" t="str">
        <f aca="false">IFERROR(IF(ISBLANK(INDEX(Backlog[Status],MATCH($A86,Backlog[Requirement ID],0))),"",INDEX(Backlog[Status],MATCH($A86,Backlog[Requirement ID],0))),"")</f>
        <v>NEW</v>
      </c>
      <c r="J86" s="1" t="str">
        <f aca="false">IFERROR(IF(ISBLANK(INDEX(Backlog[Priority],MATCH($A86,Backlog[Requirement ID],0))),"",INDEX(Backlog[Priority],MATCH($A86,Backlog[Requirement ID],0))),"")</f>
        <v>High</v>
      </c>
      <c r="K86" s="30"/>
      <c r="L86" s="61"/>
      <c r="M86" s="61"/>
      <c r="N86" s="30"/>
      <c r="O86" s="61"/>
      <c r="P86" s="30"/>
      <c r="Q86" s="30"/>
    </row>
    <row r="87" customFormat="false" ht="15" hidden="false" customHeight="true" outlineLevel="0" collapsed="false">
      <c r="A87" s="1" t="str">
        <f aca="false">Backlog!A87</f>
        <v>NEW-0413</v>
      </c>
      <c r="B87" s="1" t="str">
        <f aca="false">IFERROR(IF(ISBLANK(INDEX(Backlog[Requirement Name],MATCH($A87,Backlog[Requirement ID],0))),"",INDEX(Backlog[Requirement Name],MATCH($A87,Backlog[Requirement ID],0))),"")</f>
        <v>[EINT][INT187][INT139][INT145] - Remove phone number mapping from Datatrans transaction creation</v>
      </c>
      <c r="C87" s="1" t="str">
        <f aca="false">IFERROR(IF(ISBLANK(INDEX(Backlog[Stream],MATCH($A87,Backlog[Requirement ID],0))),"",INDEX(Backlog[Stream],MATCH($A87,Backlog[Requirement ID],0))),"")</f>
        <v>PI10</v>
      </c>
      <c r="D87" s="1" t="str">
        <f aca="false">IFERROR(IF(ISBLANK(INDEX(Backlog[Stream Owner],MATCH($A87,Backlog[Requirement ID],0))),"",INDEX(Backlog[Stream Owner],MATCH($A87,Backlog[Requirement ID],0))),"")</f>
        <v>M4M</v>
      </c>
      <c r="E87" s="1" t="str">
        <f aca="false">IFERROR(IF(ISBLANK(INDEX(Backlog[Jira Link],MATCH($A87,Backlog[Requirement ID],0))),"",INDEX(Backlog[Jira Link],MATCH($A87,Backlog[Requirement ID],0))),"")</f>
        <v>https://smartship.atlassian.net/browse/DTTP25-41728</v>
      </c>
      <c r="F87" s="30" t="s">
        <v>383</v>
      </c>
      <c r="G87" s="30" t="s">
        <v>387</v>
      </c>
      <c r="H87" s="1" t="str">
        <f aca="false">IFERROR(IF(ISBLANK(INDEX(SprintPlanning[Sprint],MATCH($A87,SprintPlanning[Requirement ID],0))),"",INDEX(SprintPlanning[Sprint],MATCH($A87,SprintPlanning[Requirement ID],0))),"")</f>
        <v>To Plan</v>
      </c>
      <c r="I87" s="1" t="str">
        <f aca="false">IFERROR(IF(ISBLANK(INDEX(Backlog[Status],MATCH($A87,Backlog[Requirement ID],0))),"",INDEX(Backlog[Status],MATCH($A87,Backlog[Requirement ID],0))),"")</f>
        <v>NEW</v>
      </c>
      <c r="J87" s="1" t="str">
        <f aca="false">IFERROR(IF(ISBLANK(INDEX(Backlog[Priority],MATCH($A87,Backlog[Requirement ID],0))),"",INDEX(Backlog[Priority],MATCH($A87,Backlog[Requirement ID],0))),"")</f>
        <v>Medium</v>
      </c>
      <c r="K87" s="30"/>
      <c r="L87" s="61"/>
      <c r="M87" s="61"/>
      <c r="N87" s="30"/>
      <c r="O87" s="61"/>
      <c r="P87" s="30"/>
      <c r="Q87" s="30"/>
    </row>
    <row r="88" customFormat="false" ht="15" hidden="false" customHeight="true" outlineLevel="0" collapsed="false">
      <c r="A88" s="1" t="str">
        <f aca="false">Backlog!A88</f>
        <v>NEW-0414</v>
      </c>
      <c r="B88" s="1" t="str">
        <f aca="false">IFERROR(IF(ISBLANK(INDEX(Backlog[Requirement Name],MATCH($A88,Backlog[Requirement ID],0))),"",INDEX(Backlog[Requirement Name],MATCH($A88,Backlog[Requirement ID],0))),"")</f>
        <v>[EINT][INT139][INT140][INT187][INT188] - Fix PromoCodeData coupon/discount code field mapping</v>
      </c>
      <c r="C88" s="1" t="str">
        <f aca="false">IFERROR(IF(ISBLANK(INDEX(Backlog[Stream],MATCH($A88,Backlog[Requirement ID],0))),"",INDEX(Backlog[Stream],MATCH($A88,Backlog[Requirement ID],0))),"")</f>
        <v>PI10</v>
      </c>
      <c r="D88" s="1" t="str">
        <f aca="false">IFERROR(IF(ISBLANK(INDEX(Backlog[Stream Owner],MATCH($A88,Backlog[Requirement ID],0))),"",INDEX(Backlog[Stream Owner],MATCH($A88,Backlog[Requirement ID],0))),"")</f>
        <v>M4M</v>
      </c>
      <c r="E88" s="1" t="str">
        <f aca="false">IFERROR(IF(ISBLANK(INDEX(Backlog[Jira Link],MATCH($A88,Backlog[Requirement ID],0))),"",INDEX(Backlog[Jira Link],MATCH($A88,Backlog[Requirement ID],0))),"")</f>
        <v>https://smartship.atlassian.net/browse/DTTP25-41730</v>
      </c>
      <c r="F88" s="30" t="s">
        <v>383</v>
      </c>
      <c r="G88" s="30" t="s">
        <v>387</v>
      </c>
      <c r="H88" s="1" t="str">
        <f aca="false">IFERROR(IF(ISBLANK(INDEX(SprintPlanning[Sprint],MATCH($A88,SprintPlanning[Requirement ID],0))),"",INDEX(SprintPlanning[Sprint],MATCH($A88,SprintPlanning[Requirement ID],0))),"")</f>
        <v>To Plan</v>
      </c>
      <c r="I88" s="1" t="str">
        <f aca="false">IFERROR(IF(ISBLANK(INDEX(Backlog[Status],MATCH($A88,Backlog[Requirement ID],0))),"",INDEX(Backlog[Status],MATCH($A88,Backlog[Requirement ID],0))),"")</f>
        <v>NEW</v>
      </c>
      <c r="J88" s="1" t="str">
        <f aca="false">IFERROR(IF(ISBLANK(INDEX(Backlog[Priority],MATCH($A88,Backlog[Requirement ID],0))),"",INDEX(Backlog[Priority],MATCH($A88,Backlog[Requirement ID],0))),"")</f>
        <v>Medium</v>
      </c>
      <c r="K88" s="30"/>
      <c r="L88" s="61"/>
      <c r="M88" s="61"/>
      <c r="N88" s="30"/>
      <c r="O88" s="61"/>
      <c r="P88" s="30"/>
      <c r="Q88" s="30"/>
    </row>
    <row r="89" customFormat="false" ht="15" hidden="false" customHeight="true" outlineLevel="0" collapsed="false">
      <c r="A89" s="1" t="str">
        <f aca="false">Backlog!A89</f>
        <v>NEW-0415</v>
      </c>
      <c r="B89" s="1" t="str">
        <f aca="false">IFERROR(IF(ISBLANK(INDEX(Backlog[Requirement Name],MATCH($A89,Backlog[Requirement ID],0))),"",INDEX(Backlog[Requirement Name],MATCH($A89,Backlog[Requirement ID],0))),"")</f>
        <v>[EINT][INT139][INT187][INT140][INT188] - Improve error handling: BKGREQ_098, BKGREQ_050, PPI_DRIPR_11</v>
      </c>
      <c r="C89" s="1" t="str">
        <f aca="false">IFERROR(IF(ISBLANK(INDEX(Backlog[Stream],MATCH($A89,Backlog[Requirement ID],0))),"",INDEX(Backlog[Stream],MATCH($A89,Backlog[Requirement ID],0))),"")</f>
        <v>PI10</v>
      </c>
      <c r="D89" s="1" t="str">
        <f aca="false">IFERROR(IF(ISBLANK(INDEX(Backlog[Stream Owner],MATCH($A89,Backlog[Requirement ID],0))),"",INDEX(Backlog[Stream Owner],MATCH($A89,Backlog[Requirement ID],0))),"")</f>
        <v>M4M</v>
      </c>
      <c r="E89" s="1" t="str">
        <f aca="false">IFERROR(IF(ISBLANK(INDEX(Backlog[Jira Link],MATCH($A89,Backlog[Requirement ID],0))),"",INDEX(Backlog[Jira Link],MATCH($A89,Backlog[Requirement ID],0))),"")</f>
        <v>https://smartship.atlassian.net/browse/DTTP25-41725</v>
      </c>
      <c r="F89" s="30" t="s">
        <v>139</v>
      </c>
      <c r="G89" s="30" t="s">
        <v>139</v>
      </c>
      <c r="H89" s="1" t="str">
        <f aca="false">IFERROR(IF(ISBLANK(INDEX(SprintPlanning[Sprint],MATCH($A89,SprintPlanning[Requirement ID],0))),"",INDEX(SprintPlanning[Sprint],MATCH($A89,SprintPlanning[Requirement ID],0))),"")</f>
        <v>To Plan</v>
      </c>
      <c r="I89" s="1" t="str">
        <f aca="false">IFERROR(IF(ISBLANK(INDEX(Backlog[Status],MATCH($A89,Backlog[Requirement ID],0))),"",INDEX(Backlog[Status],MATCH($A89,Backlog[Requirement ID],0))),"")</f>
        <v>NEW</v>
      </c>
      <c r="J89" s="1" t="str">
        <f aca="false">IFERROR(IF(ISBLANK(INDEX(Backlog[Priority],MATCH($A89,Backlog[Requirement ID],0))),"",INDEX(Backlog[Priority],MATCH($A89,Backlog[Requirement ID],0))),"")</f>
        <v>Medium</v>
      </c>
      <c r="K89" s="30"/>
      <c r="L89" s="61"/>
      <c r="M89" s="61"/>
      <c r="N89" s="30"/>
      <c r="O89" s="61"/>
      <c r="P89" s="30"/>
      <c r="Q89" s="30"/>
    </row>
    <row r="90" customFormat="false" ht="15" hidden="false" customHeight="true" outlineLevel="0" collapsed="false">
      <c r="A90" s="1" t="str">
        <f aca="false">Backlog!A90</f>
        <v>NEW-0084</v>
      </c>
      <c r="B90" s="1" t="str">
        <f aca="false">IFERROR(IF(ISBLANK(INDEX(Backlog[Requirement Name],MATCH($A90,Backlog[Requirement ID],0))),"",INDEX(Backlog[Requirement Name],MATCH($A90,Backlog[Requirement ID],0))),"")</f>
        <v>PI11-07 [B2C] Hold Option (Placeholder - MuleSoft should not be involved)</v>
      </c>
      <c r="C90" s="1" t="str">
        <f aca="false">IFERROR(IF(ISBLANK(INDEX(Backlog[Stream],MATCH($A90,Backlog[Requirement ID],0))),"",INDEX(Backlog[Stream],MATCH($A90,Backlog[Requirement ID],0))),"")</f>
        <v>PI11</v>
      </c>
      <c r="D90" s="1" t="str">
        <f aca="false">IFERROR(IF(ISBLANK(INDEX(Backlog[Stream Owner],MATCH($A90,Backlog[Requirement ID],0))),"",INDEX(Backlog[Stream Owner],MATCH($A90,Backlog[Requirement ID],0))),"")</f>
        <v>B2CW</v>
      </c>
      <c r="E90" s="1" t="str">
        <f aca="false">IFERROR(IF(ISBLANK(INDEX(Backlog[Jira Link],MATCH($A90,Backlog[Requirement ID],0))),"",INDEX(Backlog[Jira Link],MATCH($A90,Backlog[Requirement ID],0))),"")</f>
        <v/>
      </c>
      <c r="F90" s="30" t="s">
        <v>139</v>
      </c>
      <c r="G90" s="30" t="s">
        <v>139</v>
      </c>
      <c r="H90" s="1" t="str">
        <f aca="false">IFERROR(IF(ISBLANK(INDEX(SprintPlanning[Sprint],MATCH($A90,SprintPlanning[Requirement ID],0))),"",INDEX(SprintPlanning[Sprint],MATCH($A90,SprintPlanning[Requirement ID],0))),"")</f>
        <v>To Plan</v>
      </c>
      <c r="I90" s="1" t="str">
        <f aca="false">IFERROR(IF(ISBLANK(INDEX(Backlog[Status],MATCH($A90,Backlog[Requirement ID],0))),"",INDEX(Backlog[Status],MATCH($A90,Backlog[Requirement ID],0))),"")</f>
        <v>NEW</v>
      </c>
      <c r="J90" s="1" t="str">
        <f aca="false">IFERROR(IF(ISBLANK(INDEX(Backlog[Priority],MATCH($A90,Backlog[Requirement ID],0))),"",INDEX(Backlog[Priority],MATCH($A90,Backlog[Requirement ID],0))),"")</f>
        <v>Medium</v>
      </c>
      <c r="K90" s="30"/>
      <c r="L90" s="61"/>
      <c r="M90" s="61"/>
      <c r="N90" s="30"/>
      <c r="O90" s="61"/>
      <c r="P90" s="30"/>
      <c r="Q90" s="30"/>
    </row>
    <row r="91" customFormat="false" ht="15" hidden="false" customHeight="true" outlineLevel="0" collapsed="false">
      <c r="A91" s="1" t="str">
        <f aca="false">Backlog!A91</f>
        <v>NEW-0072</v>
      </c>
      <c r="B91" s="1" t="str">
        <f aca="false">IFERROR(IF(ISBLANK(INDEX(Backlog[Requirement Name],MATCH($A91,Backlog[Requirement ID],0))),"",INDEX(Backlog[Requirement Name],MATCH($A91,Backlog[Requirement ID],0))),"")</f>
        <v>PI11-04 [B2C] Post Cruise Complaint Form Part 2 (Multiple Attachment) - DTTP25-38913</v>
      </c>
      <c r="C91" s="1" t="str">
        <f aca="false">IFERROR(IF(ISBLANK(INDEX(Backlog[Stream],MATCH($A91,Backlog[Requirement ID],0))),"",INDEX(Backlog[Stream],MATCH($A91,Backlog[Requirement ID],0))),"")</f>
        <v>PI11</v>
      </c>
      <c r="D91" s="1" t="str">
        <f aca="false">IFERROR(IF(ISBLANK(INDEX(Backlog[Stream Owner],MATCH($A91,Backlog[Requirement ID],0))),"",INDEX(Backlog[Stream Owner],MATCH($A91,Backlog[Requirement ID],0))),"")</f>
        <v>B2CW</v>
      </c>
      <c r="E91" s="1" t="str">
        <f aca="false">IFERROR(IF(ISBLANK(INDEX(Backlog[Jira Link],MATCH($A91,Backlog[Requirement ID],0))),"",INDEX(Backlog[Jira Link],MATCH($A91,Backlog[Requirement ID],0))),"")</f>
        <v>https://smartship.atlassian.net/browse/DTTP25-41932</v>
      </c>
      <c r="F91" s="24" t="s">
        <v>387</v>
      </c>
      <c r="G91" s="24" t="s">
        <v>387</v>
      </c>
      <c r="H91" s="1" t="str">
        <f aca="false">IFERROR(IF(ISBLANK(INDEX(SprintPlanning[Sprint],MATCH($A91,SprintPlanning[Requirement ID],0))),"",INDEX(SprintPlanning[Sprint],MATCH($A91,SprintPlanning[Requirement ID],0))),"")</f>
        <v>To Plan</v>
      </c>
      <c r="I91" s="1" t="str">
        <f aca="false">IFERROR(IF(ISBLANK(INDEX(Backlog[Status],MATCH($A91,Backlog[Requirement ID],0))),"",INDEX(Backlog[Status],MATCH($A91,Backlog[Requirement ID],0))),"")</f>
        <v>NEW</v>
      </c>
      <c r="J91" s="1" t="str">
        <f aca="false">IFERROR(IF(ISBLANK(INDEX(Backlog[Priority],MATCH($A91,Backlog[Requirement ID],0))),"",INDEX(Backlog[Priority],MATCH($A91,Backlog[Requirement ID],0))),"")</f>
        <v>Medium</v>
      </c>
      <c r="K91" s="30"/>
      <c r="L91" s="61"/>
      <c r="M91" s="61"/>
      <c r="N91" s="30"/>
      <c r="O91" s="61"/>
      <c r="P91" s="30"/>
      <c r="Q91" s="30"/>
    </row>
    <row r="92" customFormat="false" ht="15" hidden="false" customHeight="true" outlineLevel="0" collapsed="false">
      <c r="A92" s="1" t="str">
        <f aca="false">Backlog!A92</f>
        <v>NEW-0073</v>
      </c>
      <c r="B92" s="1" t="str">
        <f aca="false">IFERROR(IF(ISBLANK(INDEX(Backlog[Requirement Name],MATCH($A92,Backlog[Requirement ID],0))),"",INDEX(Backlog[Requirement Name],MATCH($A92,Backlog[Requirement ID],0))),"")</f>
        <v>PI11-05 [B2C] Accessibility Form - DTTP25-38914</v>
      </c>
      <c r="C92" s="1" t="str">
        <f aca="false">IFERROR(IF(ISBLANK(INDEX(Backlog[Stream],MATCH($A92,Backlog[Requirement ID],0))),"",INDEX(Backlog[Stream],MATCH($A92,Backlog[Requirement ID],0))),"")</f>
        <v>PI11</v>
      </c>
      <c r="D92" s="1" t="str">
        <f aca="false">IFERROR(IF(ISBLANK(INDEX(Backlog[Stream Owner],MATCH($A92,Backlog[Requirement ID],0))),"",INDEX(Backlog[Stream Owner],MATCH($A92,Backlog[Requirement ID],0))),"")</f>
        <v>B2CW</v>
      </c>
      <c r="E92" s="1" t="str">
        <f aca="false">IFERROR(IF(ISBLANK(INDEX(Backlog[Jira Link],MATCH($A92,Backlog[Requirement ID],0))),"",INDEX(Backlog[Jira Link],MATCH($A92,Backlog[Requirement ID],0))),"")</f>
        <v>https://smartship.atlassian.net/browse/DTTP25-41933</v>
      </c>
      <c r="F92" s="24" t="s">
        <v>387</v>
      </c>
      <c r="G92" s="24" t="s">
        <v>387</v>
      </c>
      <c r="H92" s="1" t="str">
        <f aca="false">IFERROR(IF(ISBLANK(INDEX(SprintPlanning[Sprint],MATCH($A92,SprintPlanning[Requirement ID],0))),"",INDEX(SprintPlanning[Sprint],MATCH($A92,SprintPlanning[Requirement ID],0))),"")</f>
        <v>To Plan</v>
      </c>
      <c r="I92" s="1" t="str">
        <f aca="false">IFERROR(IF(ISBLANK(INDEX(Backlog[Status],MATCH($A92,Backlog[Requirement ID],0))),"",INDEX(Backlog[Status],MATCH($A92,Backlog[Requirement ID],0))),"")</f>
        <v>NEW</v>
      </c>
      <c r="J92" s="1" t="str">
        <f aca="false">IFERROR(IF(ISBLANK(INDEX(Backlog[Priority],MATCH($A92,Backlog[Requirement ID],0))),"",INDEX(Backlog[Priority],MATCH($A92,Backlog[Requirement ID],0))),"")</f>
        <v>Medium</v>
      </c>
      <c r="K92" s="30"/>
      <c r="L92" s="61"/>
      <c r="M92" s="61"/>
      <c r="N92" s="30"/>
      <c r="O92" s="61"/>
      <c r="P92" s="30"/>
      <c r="Q92" s="30"/>
    </row>
    <row r="93" customFormat="false" ht="15" hidden="false" customHeight="true" outlineLevel="0" collapsed="false">
      <c r="A93" s="1" t="str">
        <f aca="false">Backlog!A93</f>
        <v>NEW-0074</v>
      </c>
      <c r="B93" s="1" t="str">
        <f aca="false">IFERROR(IF(ISBLANK(INDEX(Backlog[Requirement Name],MATCH($A93,Backlog[Requirement ID],0))),"",INDEX(Backlog[Requirement Name],MATCH($A93,Backlog[Requirement ID],0))),"")</f>
        <v>PI11-06 [B2C] Cabin Position - DTTP25-40042</v>
      </c>
      <c r="C93" s="1" t="str">
        <f aca="false">IFERROR(IF(ISBLANK(INDEX(Backlog[Stream],MATCH($A93,Backlog[Requirement ID],0))),"",INDEX(Backlog[Stream],MATCH($A93,Backlog[Requirement ID],0))),"")</f>
        <v>PI11</v>
      </c>
      <c r="D93" s="1" t="str">
        <f aca="false">IFERROR(IF(ISBLANK(INDEX(Backlog[Stream Owner],MATCH($A93,Backlog[Requirement ID],0))),"",INDEX(Backlog[Stream Owner],MATCH($A93,Backlog[Requirement ID],0))),"")</f>
        <v>B2CW</v>
      </c>
      <c r="E93" s="1" t="str">
        <f aca="false">IFERROR(IF(ISBLANK(INDEX(Backlog[Jira Link],MATCH($A93,Backlog[Requirement ID],0))),"",INDEX(Backlog[Jira Link],MATCH($A93,Backlog[Requirement ID],0))),"")</f>
        <v>https://smartship.atlassian.net/browse/DTTP25-41934</v>
      </c>
      <c r="F93" s="24" t="s">
        <v>387</v>
      </c>
      <c r="G93" s="24" t="s">
        <v>387</v>
      </c>
      <c r="H93" s="1" t="str">
        <f aca="false">IFERROR(IF(ISBLANK(INDEX(SprintPlanning[Sprint],MATCH($A93,SprintPlanning[Requirement ID],0))),"",INDEX(SprintPlanning[Sprint],MATCH($A93,SprintPlanning[Requirement ID],0))),"")</f>
        <v>To Plan</v>
      </c>
      <c r="I93" s="1" t="str">
        <f aca="false">IFERROR(IF(ISBLANK(INDEX(Backlog[Status],MATCH($A93,Backlog[Requirement ID],0))),"",INDEX(Backlog[Status],MATCH($A93,Backlog[Requirement ID],0))),"")</f>
        <v>NEW</v>
      </c>
      <c r="J93" s="1" t="str">
        <f aca="false">IFERROR(IF(ISBLANK(INDEX(Backlog[Priority],MATCH($A93,Backlog[Requirement ID],0))),"",INDEX(Backlog[Priority],MATCH($A93,Backlog[Requirement ID],0))),"")</f>
        <v>Medium</v>
      </c>
      <c r="K93" s="30"/>
      <c r="L93" s="61"/>
      <c r="M93" s="61"/>
      <c r="N93" s="30"/>
      <c r="O93" s="61"/>
      <c r="P93" s="30"/>
      <c r="Q93" s="30"/>
    </row>
    <row r="94" customFormat="false" ht="15" hidden="false" customHeight="true" outlineLevel="0" collapsed="false">
      <c r="A94" s="1" t="str">
        <f aca="false">Backlog!A94</f>
        <v>NEW-0436</v>
      </c>
      <c r="B94" s="1" t="str">
        <f aca="false">IFERROR(IF(ISBLANK(INDEX(Backlog[Requirement Name],MATCH($A94,Backlog[Requirement ID],0))),"",INDEX(Backlog[Requirement Name],MATCH($A94,Backlog[Requirement ID],0))),"")</f>
        <v>[Growth] [CR] [INT005.2][INT004.3][INT004.4][INT006][INT007] - Conditionally capture outbound/return dates for One-Way Air Packages</v>
      </c>
      <c r="C94" s="1" t="str">
        <f aca="false">IFERROR(IF(ISBLANK(INDEX(Backlog[Stream],MATCH($A94,Backlog[Requirement ID],0))),"",INDEX(Backlog[Stream],MATCH($A94,Backlog[Requirement ID],0))),"")</f>
        <v>Growth</v>
      </c>
      <c r="D94" s="1" t="str">
        <f aca="false">IFERROR(IF(ISBLANK(INDEX(Backlog[Stream Owner],MATCH($A94,Backlog[Requirement ID],0))),"",INDEX(Backlog[Stream Owner],MATCH($A94,Backlog[Requirement ID],0))),"")</f>
        <v>B2CW</v>
      </c>
      <c r="E94" s="1" t="str">
        <f aca="false">IFERROR(IF(ISBLANK(INDEX(Backlog[Jira Link],MATCH($A94,Backlog[Requirement ID],0))),"",INDEX(Backlog[Jira Link],MATCH($A94,Backlog[Requirement ID],0))),"")</f>
        <v>https://smartship.atlassian.net/browse/DTTP25-40435</v>
      </c>
      <c r="H94" s="1" t="str">
        <f aca="false">IFERROR(IF(ISBLANK(INDEX(SprintPlanning[Sprint],MATCH($A94,SprintPlanning[Requirement ID],0))),"",INDEX(SprintPlanning[Sprint],MATCH($A94,SprintPlanning[Requirement ID],0))),"")</f>
        <v>Sprint 11</v>
      </c>
      <c r="I94" s="1" t="str">
        <f aca="false">IFERROR(IF(ISBLANK(INDEX(Backlog[Status],MATCH($A94,Backlog[Requirement ID],0))),"",INDEX(Backlog[Status],MATCH($A94,Backlog[Requirement ID],0))),"")</f>
        <v>NEW</v>
      </c>
      <c r="J94" s="1" t="str">
        <f aca="false">IFERROR(IF(ISBLANK(INDEX(Backlog[Priority],MATCH($A94,Backlog[Requirement ID],0))),"",INDEX(Backlog[Priority],MATCH($A94,Backlog[Requirement ID],0))),"")</f>
        <v>Medium</v>
      </c>
      <c r="L94" s="57"/>
      <c r="M94" s="57"/>
      <c r="O94" s="57"/>
    </row>
    <row r="95" customFormat="false" ht="15" hidden="false" customHeight="true" outlineLevel="0" collapsed="false">
      <c r="A95" s="1" t="str">
        <f aca="false">Backlog!A95</f>
        <v>NEW-0437</v>
      </c>
      <c r="B95" s="1" t="str">
        <f aca="false">IFERROR(IF(ISBLANK(INDEX(Backlog[Requirement Name],MATCH($A95,Backlog[Requirement ID],0))),"",INDEX(Backlog[Requirement Name],MATCH($A95,Backlog[Requirement ID],0))),"")</f>
        <v>Frictionless secure fields payments</v>
      </c>
      <c r="C95" s="1" t="str">
        <f aca="false">IFERROR(IF(ISBLANK(INDEX(Backlog[Stream],MATCH($A95,Backlog[Requirement ID],0))),"",INDEX(Backlog[Stream],MATCH($A95,Backlog[Requirement ID],0))),"")</f>
        <v>Growth</v>
      </c>
      <c r="D95" s="1" t="str">
        <f aca="false">IFERROR(IF(ISBLANK(INDEX(Backlog[Stream Owner],MATCH($A95,Backlog[Requirement ID],0))),"",INDEX(Backlog[Stream Owner],MATCH($A95,Backlog[Requirement ID],0))),"")</f>
        <v>B2CW</v>
      </c>
      <c r="E95" s="1" t="str">
        <f aca="false">IFERROR(IF(ISBLANK(INDEX(Backlog[Jira Link],MATCH($A95,Backlog[Requirement ID],0))),"",INDEX(Backlog[Jira Link],MATCH($A95,Backlog[Requirement ID],0))),"")</f>
        <v>https://smartship.atlassian.net/browse/DTTP25-42079</v>
      </c>
      <c r="H95" s="1" t="str">
        <f aca="false">IFERROR(IF(ISBLANK(INDEX(SprintPlanning[Sprint],MATCH($A95,SprintPlanning[Requirement ID],0))),"",INDEX(SprintPlanning[Sprint],MATCH($A95,SprintPlanning[Requirement ID],0))),"")</f>
        <v>Sprint 11</v>
      </c>
      <c r="I95" s="1" t="str">
        <f aca="false">IFERROR(IF(ISBLANK(INDEX(Backlog[Status],MATCH($A95,Backlog[Requirement ID],0))),"",INDEX(Backlog[Status],MATCH($A95,Backlog[Requirement ID],0))),"")</f>
        <v>NEW</v>
      </c>
      <c r="J95" s="1" t="str">
        <f aca="false">IFERROR(IF(ISBLANK(INDEX(Backlog[Priority],MATCH($A95,Backlog[Requirement ID],0))),"",INDEX(Backlog[Priority],MATCH($A95,Backlog[Requirement ID],0))),"")</f>
        <v>High</v>
      </c>
      <c r="L95" s="57"/>
      <c r="M95" s="57"/>
      <c r="O95" s="57"/>
    </row>
    <row r="96" customFormat="false" ht="15" hidden="false" customHeight="true" outlineLevel="0" collapsed="false">
      <c r="A96" s="1" t="str">
        <f aca="false">Backlog!A96</f>
        <v>NEW-0438</v>
      </c>
      <c r="B96" s="1" t="str">
        <f aca="false">IFERROR(IF(ISBLANK(INDEX(Backlog[Requirement Name],MATCH($A96,Backlog[Requirement ID],0))),"",INDEX(Backlog[Requirement Name],MATCH($A96,Backlog[Requirement ID],0))),"")</f>
        <v>US: Changes to A070/A013 mapping - refund</v>
      </c>
      <c r="C96" s="1" t="str">
        <f aca="false">IFERROR(IF(ISBLANK(INDEX(Backlog[Stream],MATCH($A96,Backlog[Requirement ID],0))),"",INDEX(Backlog[Stream],MATCH($A96,Backlog[Requirement ID],0))),"")</f>
        <v>Growth</v>
      </c>
      <c r="D96" s="1" t="str">
        <f aca="false">IFERROR(IF(ISBLANK(INDEX(Backlog[Stream Owner],MATCH($A96,Backlog[Requirement ID],0))),"",INDEX(Backlog[Stream Owner],MATCH($A96,Backlog[Requirement ID],0))),"")</f>
        <v>MA</v>
      </c>
      <c r="E96" s="1" t="str">
        <f aca="false">IFERROR(IF(ISBLANK(INDEX(Backlog[Jira Link],MATCH($A96,Backlog[Requirement ID],0))),"",INDEX(Backlog[Jira Link],MATCH($A96,Backlog[Requirement ID],0))),"")</f>
        <v/>
      </c>
      <c r="H96" s="1" t="str">
        <f aca="false">IFERROR(IF(ISBLANK(INDEX(SprintPlanning[Sprint],MATCH($A96,SprintPlanning[Requirement ID],0))),"",INDEX(SprintPlanning[Sprint],MATCH($A96,SprintPlanning[Requirement ID],0))),"")</f>
        <v>To Plan</v>
      </c>
      <c r="I96" s="1" t="str">
        <f aca="false">IFERROR(IF(ISBLANK(INDEX(Backlog[Status],MATCH($A96,Backlog[Requirement ID],0))),"",INDEX(Backlog[Status],MATCH($A96,Backlog[Requirement ID],0))),"")</f>
        <v>NEW</v>
      </c>
      <c r="J96" s="1" t="str">
        <f aca="false">IFERROR(IF(ISBLANK(INDEX(Backlog[Priority],MATCH($A96,Backlog[Requirement ID],0))),"",INDEX(Backlog[Priority],MATCH($A96,Backlog[Requirement ID],0))),"")</f>
        <v>Medium</v>
      </c>
      <c r="L96" s="57"/>
      <c r="M96" s="57"/>
      <c r="O96" s="57"/>
    </row>
    <row r="97" customFormat="false" ht="15" hidden="false" customHeight="true" outlineLevel="0" collapsed="false">
      <c r="A97" s="1" t="str">
        <f aca="false">Backlog!A97</f>
        <v>NEW-0439</v>
      </c>
      <c r="B97" s="1" t="str">
        <f aca="false">IFERROR(IF(ISBLANK(INDEX(Backlog[Requirement Name],MATCH($A97,Backlog[Requirement ID],0))),"",INDEX(Backlog[Requirement Name],MATCH($A97,Backlog[Requirement ID],0))),"")</f>
        <v>[EINT] [CR] Map timezone in case creation in scheduled callback - US Stream</v>
      </c>
      <c r="C97" s="1" t="str">
        <f aca="false">IFERROR(IF(ISBLANK(INDEX(Backlog[Stream],MATCH($A97,Backlog[Requirement ID],0))),"",INDEX(Backlog[Stream],MATCH($A97,Backlog[Requirement ID],0))),"")</f>
        <v>US</v>
      </c>
      <c r="D97" s="1" t="str">
        <f aca="false">IFERROR(IF(ISBLANK(INDEX(Backlog[Stream Owner],MATCH($A97,Backlog[Requirement ID],0))),"",INDEX(Backlog[Stream Owner],MATCH($A97,Backlog[Requirement ID],0))),"")</f>
        <v>S&amp;S</v>
      </c>
      <c r="E97" s="1" t="str">
        <f aca="false">IFERROR(IF(ISBLANK(INDEX(Backlog[Jira Link],MATCH($A97,Backlog[Requirement ID],0))),"",INDEX(Backlog[Jira Link],MATCH($A97,Backlog[Requirement ID],0))),"")</f>
        <v>https://smartship.atlassian.net/browse/MDTTPU-16586</v>
      </c>
      <c r="H97" s="1" t="str">
        <f aca="false">IFERROR(IF(ISBLANK(INDEX(SprintPlanning[Sprint],MATCH($A97,SprintPlanning[Requirement ID],0))),"",INDEX(SprintPlanning[Sprint],MATCH($A97,SprintPlanning[Requirement ID],0))),"")</f>
        <v>Sprint 11</v>
      </c>
      <c r="I97" s="1" t="str">
        <f aca="false">IFERROR(IF(ISBLANK(INDEX(Backlog[Status],MATCH($A97,Backlog[Requirement ID],0))),"",INDEX(Backlog[Status],MATCH($A97,Backlog[Requirement ID],0))),"")</f>
        <v>NEW</v>
      </c>
      <c r="J97" s="1" t="str">
        <f aca="false">IFERROR(IF(ISBLANK(INDEX(Backlog[Priority],MATCH($A97,Backlog[Requirement ID],0))),"",INDEX(Backlog[Priority],MATCH($A97,Backlog[Requirement ID],0))),"")</f>
        <v>Medium</v>
      </c>
      <c r="L97" s="57"/>
      <c r="M97" s="57"/>
      <c r="O97" s="57"/>
    </row>
    <row r="98" customFormat="false" ht="15" hidden="false" customHeight="true" outlineLevel="0" collapsed="false">
      <c r="A98" s="1" t="str">
        <f aca="false">Backlog!A98</f>
        <v>NEW-0440</v>
      </c>
      <c r="B98" s="1" t="str">
        <f aca="false">IFERROR(IF(ISBLANK(INDEX(Backlog[Requirement Name],MATCH($A98,Backlog[Requirement ID],0))),"",INDEX(Backlog[Requirement Name],MATCH($A98,Backlog[Requirement ID],0))),"")</f>
        <v>Load Test + Performance Enhancements - Part 2 (Placeholder)</v>
      </c>
      <c r="C98" s="1" t="str">
        <f aca="false">IFERROR(IF(ISBLANK(INDEX(Backlog[Stream],MATCH($A98,Backlog[Requirement ID],0))),"",INDEX(Backlog[Stream],MATCH($A98,Backlog[Requirement ID],0))),"")</f>
        <v>US</v>
      </c>
      <c r="D98" s="1" t="str">
        <f aca="false">IFERROR(IF(ISBLANK(INDEX(Backlog[Stream Owner],MATCH($A98,Backlog[Requirement ID],0))),"",INDEX(Backlog[Stream Owner],MATCH($A98,Backlog[Requirement ID],0))),"")</f>
        <v>ALL</v>
      </c>
      <c r="E98" s="1" t="str">
        <f aca="false">IFERROR(IF(ISBLANK(INDEX(Backlog[Jira Link],MATCH($A98,Backlog[Requirement ID],0))),"",INDEX(Backlog[Jira Link],MATCH($A98,Backlog[Requirement ID],0))),"")</f>
        <v/>
      </c>
      <c r="H98" s="1" t="str">
        <f aca="false">IFERROR(IF(ISBLANK(INDEX(SprintPlanning[Sprint],MATCH($A98,SprintPlanning[Requirement ID],0))),"",INDEX(SprintPlanning[Sprint],MATCH($A98,SprintPlanning[Requirement ID],0))),"")</f>
        <v>Sprint 11</v>
      </c>
      <c r="I98" s="1" t="str">
        <f aca="false">IFERROR(IF(ISBLANK(INDEX(Backlog[Status],MATCH($A98,Backlog[Requirement ID],0))),"",INDEX(Backlog[Status],MATCH($A98,Backlog[Requirement ID],0))),"")</f>
        <v>NEW</v>
      </c>
      <c r="J98" s="1" t="str">
        <f aca="false">IFERROR(IF(ISBLANK(INDEX(Backlog[Priority],MATCH($A98,Backlog[Requirement ID],0))),"",INDEX(Backlog[Priority],MATCH($A98,Backlog[Requirement ID],0))),"")</f>
        <v>High</v>
      </c>
      <c r="L98" s="57"/>
      <c r="M98" s="57"/>
      <c r="O98" s="57"/>
    </row>
    <row r="99" customFormat="false" ht="15" hidden="false" customHeight="true" outlineLevel="0" collapsed="false">
      <c r="A99" s="1" t="str">
        <f aca="false">Backlog!A99</f>
        <v>NEW-0441</v>
      </c>
      <c r="B99" s="1" t="str">
        <f aca="false">IFERROR(IF(ISBLANK(INDEX(Backlog[Requirement Name],MATCH($A99,Backlog[Requirement ID],0))),"",INDEX(Backlog[Requirement Name],MATCH($A99,Backlog[Requirement ID],0))),"")</f>
        <v>E2E Ticket Support - FAT and Canary Tests - Sprint 11</v>
      </c>
      <c r="C99" s="1" t="str">
        <f aca="false">IFERROR(IF(ISBLANK(INDEX(Backlog[Stream],MATCH($A99,Backlog[Requirement ID],0))),"",INDEX(Backlog[Stream],MATCH($A99,Backlog[Requirement ID],0))),"")</f>
        <v>Cross</v>
      </c>
      <c r="D99" s="1" t="str">
        <f aca="false">IFERROR(IF(ISBLANK(INDEX(Backlog[Stream Owner],MATCH($A99,Backlog[Requirement ID],0))),"",INDEX(Backlog[Stream Owner],MATCH($A99,Backlog[Requirement ID],0))),"")</f>
        <v>ALL</v>
      </c>
      <c r="E99" s="1" t="str">
        <f aca="false">IFERROR(IF(ISBLANK(INDEX(Backlog[Jira Link],MATCH($A99,Backlog[Requirement ID],0))),"",INDEX(Backlog[Jira Link],MATCH($A99,Backlog[Requirement ID],0))),"")</f>
        <v/>
      </c>
      <c r="H99" s="1" t="str">
        <f aca="false">IFERROR(IF(ISBLANK(INDEX(SprintPlanning[Sprint],MATCH($A99,SprintPlanning[Requirement ID],0))),"",INDEX(SprintPlanning[Sprint],MATCH($A99,SprintPlanning[Requirement ID],0))),"")</f>
        <v>Sprint 11</v>
      </c>
      <c r="I99" s="1" t="str">
        <f aca="false">IFERROR(IF(ISBLANK(INDEX(Backlog[Status],MATCH($A99,Backlog[Requirement ID],0))),"",INDEX(Backlog[Status],MATCH($A99,Backlog[Requirement ID],0))),"")</f>
        <v>NEW</v>
      </c>
      <c r="J99" s="1" t="str">
        <f aca="false">IFERROR(IF(ISBLANK(INDEX(Backlog[Priority],MATCH($A99,Backlog[Requirement ID],0))),"",INDEX(Backlog[Priority],MATCH($A99,Backlog[Requirement ID],0))),"")</f>
        <v>Medium</v>
      </c>
      <c r="L99" s="57"/>
      <c r="M99" s="57"/>
      <c r="O99" s="57"/>
    </row>
    <row r="100" customFormat="false" ht="15" hidden="false" customHeight="true" outlineLevel="0" collapsed="false">
      <c r="A100" s="1" t="str">
        <f aca="false">Backlog!A100</f>
        <v>NEW-0442</v>
      </c>
      <c r="B100" s="1" t="str">
        <f aca="false">IFERROR(IF(ISBLANK(INDEX(Backlog[Requirement Name],MATCH($A100,Backlog[Requirement ID],0))),"",INDEX(Backlog[Requirement Name],MATCH($A100,Backlog[Requirement ID],0))),"")</f>
        <v>2nd of September Release Prep</v>
      </c>
      <c r="C100" s="1" t="str">
        <f aca="false">IFERROR(IF(ISBLANK(INDEX(Backlog[Stream],MATCH($A100,Backlog[Requirement ID],0))),"",INDEX(Backlog[Stream],MATCH($A100,Backlog[Requirement ID],0))),"")</f>
        <v>US</v>
      </c>
      <c r="D100" s="1" t="str">
        <f aca="false">IFERROR(IF(ISBLANK(INDEX(Backlog[Stream Owner],MATCH($A100,Backlog[Requirement ID],0))),"",INDEX(Backlog[Stream Owner],MATCH($A100,Backlog[Requirement ID],0))),"")</f>
        <v>ALL</v>
      </c>
      <c r="E100" s="1" t="str">
        <f aca="false">IFERROR(IF(ISBLANK(INDEX(Backlog[Jira Link],MATCH($A100,Backlog[Requirement ID],0))),"",INDEX(Backlog[Jira Link],MATCH($A100,Backlog[Requirement ID],0))),"")</f>
        <v/>
      </c>
      <c r="H100" s="1" t="str">
        <f aca="false">IFERROR(IF(ISBLANK(INDEX(SprintPlanning[Sprint],MATCH($A100,SprintPlanning[Requirement ID],0))),"",INDEX(SprintPlanning[Sprint],MATCH($A100,SprintPlanning[Requirement ID],0))),"")</f>
        <v>Sprint 11</v>
      </c>
      <c r="I100" s="1" t="str">
        <f aca="false">IFERROR(IF(ISBLANK(INDEX(Backlog[Status],MATCH($A100,Backlog[Requirement ID],0))),"",INDEX(Backlog[Status],MATCH($A100,Backlog[Requirement ID],0))),"")</f>
        <v>NEW</v>
      </c>
      <c r="J100" s="1" t="str">
        <f aca="false">IFERROR(IF(ISBLANK(INDEX(Backlog[Priority],MATCH($A100,Backlog[Requirement ID],0))),"",INDEX(Backlog[Priority],MATCH($A100,Backlog[Requirement ID],0))),"")</f>
        <v>High</v>
      </c>
      <c r="L100" s="57"/>
      <c r="M100" s="57"/>
      <c r="O100" s="57"/>
    </row>
    <row r="101" customFormat="false" ht="15" hidden="false" customHeight="true" outlineLevel="0" collapsed="false">
      <c r="A101" s="1" t="str">
        <f aca="false">Backlog!A101</f>
        <v>NEW-0443</v>
      </c>
      <c r="B101" s="1" t="str">
        <f aca="false">IFERROR(IF(ISBLANK(INDEX(Backlog[Requirement Name],MATCH($A101,Backlog[Requirement ID],0))),"",INDEX(Backlog[Requirement Name],MATCH($A101,Backlog[Requirement ID],0))),"")</f>
        <v>MyMSC Login after Purchase in Booking Funnel</v>
      </c>
      <c r="C101" s="1" t="str">
        <f aca="false">IFERROR(IF(ISBLANK(INDEX(Backlog[Stream],MATCH($A101,Backlog[Requirement ID],0))),"",INDEX(Backlog[Stream],MATCH($A101,Backlog[Requirement ID],0))),"")</f>
        <v>MyMSC</v>
      </c>
      <c r="D101" s="1" t="str">
        <f aca="false">IFERROR(IF(ISBLANK(INDEX(Backlog[Stream Owner],MATCH($A101,Backlog[Requirement ID],0))),"",INDEX(Backlog[Stream Owner],MATCH($A101,Backlog[Requirement ID],0))),"")</f>
        <v>B2CW</v>
      </c>
      <c r="E101" s="1" t="str">
        <f aca="false">IFERROR(IF(ISBLANK(INDEX(Backlog[Jira Link],MATCH($A101,Backlog[Requirement ID],0))),"",INDEX(Backlog[Jira Link],MATCH($A101,Backlog[Requirement ID],0))),"")</f>
        <v>https://smartship.atlassian.net/browse/DTTP25-42351</v>
      </c>
      <c r="H101" s="1" t="str">
        <f aca="false">IFERROR(IF(ISBLANK(INDEX(SprintPlanning[Sprint],MATCH($A101,SprintPlanning[Requirement ID],0))),"",INDEX(SprintPlanning[Sprint],MATCH($A101,SprintPlanning[Requirement ID],0))),"")</f>
        <v/>
      </c>
      <c r="I101" s="1" t="str">
        <f aca="false">IFERROR(IF(ISBLANK(INDEX(Backlog[Status],MATCH($A101,Backlog[Requirement ID],0))),"",INDEX(Backlog[Status],MATCH($A101,Backlog[Requirement ID],0))),"")</f>
        <v>NEW</v>
      </c>
      <c r="J101" s="1" t="str">
        <f aca="false">IFERROR(IF(ISBLANK(INDEX(Backlog[Priority],MATCH($A101,Backlog[Requirement ID],0))),"",INDEX(Backlog[Priority],MATCH($A101,Backlog[Requirement ID],0))),"")</f>
        <v>Critical</v>
      </c>
      <c r="L101" s="57"/>
      <c r="M101" s="57"/>
      <c r="O101" s="57"/>
    </row>
    <row r="102" customFormat="false" ht="15" hidden="false" customHeight="true" outlineLevel="0" collapsed="false">
      <c r="A102" s="1" t="str">
        <f aca="false">Backlog!A102</f>
        <v>NEW-0444</v>
      </c>
      <c r="B102" s="1" t="str">
        <f aca="false">IFERROR(IF(ISBLANK(INDEX(Backlog[Requirement Name],MATCH($A102,Backlog[Requirement ID],0))),"",INDEX(Backlog[Requirement Name],MATCH($A102,Backlog[Requirement ID],0))),"")</f>
        <v>M4M Configuration of AU+DE markets</v>
      </c>
      <c r="C102" s="1" t="str">
        <f aca="false">IFERROR(IF(ISBLANK(INDEX(Backlog[Stream],MATCH($A102,Backlog[Requirement ID],0))),"",INDEX(Backlog[Stream],MATCH($A102,Backlog[Requirement ID],0))),"")</f>
        <v>M4M</v>
      </c>
      <c r="D102" s="1" t="str">
        <f aca="false">IFERROR(IF(ISBLANK(INDEX(Backlog[Stream Owner],MATCH($A102,Backlog[Requirement ID],0))),"",INDEX(Backlog[Stream Owner],MATCH($A102,Backlog[Requirement ID],0))),"")</f>
        <v>M4M</v>
      </c>
      <c r="E102" s="1" t="str">
        <f aca="false">IFERROR(IF(ISBLANK(INDEX(Backlog[Jira Link],MATCH($A102,Backlog[Requirement ID],0))),"",INDEX(Backlog[Jira Link],MATCH($A102,Backlog[Requirement ID],0))),"")</f>
        <v/>
      </c>
      <c r="H102" s="1" t="str">
        <f aca="false">IFERROR(IF(ISBLANK(INDEX(SprintPlanning[Sprint],MATCH($A102,SprintPlanning[Requirement ID],0))),"",INDEX(SprintPlanning[Sprint],MATCH($A102,SprintPlanning[Requirement ID],0))),"")</f>
        <v/>
      </c>
      <c r="I102" s="1" t="str">
        <f aca="false">IFERROR(IF(ISBLANK(INDEX(Backlog[Status],MATCH($A102,Backlog[Requirement ID],0))),"",INDEX(Backlog[Status],MATCH($A102,Backlog[Requirement ID],0))),"")</f>
        <v>NEW</v>
      </c>
      <c r="J102" s="1" t="str">
        <f aca="false">IFERROR(IF(ISBLANK(INDEX(Backlog[Priority],MATCH($A102,Backlog[Requirement ID],0))),"",INDEX(Backlog[Priority],MATCH($A102,Backlog[Requirement ID],0))),"")</f>
        <v>High</v>
      </c>
      <c r="L102" s="57"/>
      <c r="M102" s="57"/>
      <c r="O102" s="57"/>
    </row>
    <row r="103" customFormat="false" ht="15" hidden="false" customHeight="true" outlineLevel="0" collapsed="false">
      <c r="A103" s="1" t="str">
        <f aca="false">Backlog!A103</f>
        <v>NEW-0445</v>
      </c>
      <c r="B103" s="1" t="str">
        <f aca="false">IFERROR(IF(ISBLANK(INDEX(Backlog[Requirement Name],MATCH($A103,Backlog[Requirement ID],0))),"",INDEX(Backlog[Requirement Name],MATCH($A103,Backlog[Requirement ID],0))),"")</f>
        <v>M4M New Fields on INT181</v>
      </c>
      <c r="C103" s="1" t="str">
        <f aca="false">IFERROR(IF(ISBLANK(INDEX(Backlog[Stream],MATCH($A103,Backlog[Requirement ID],0))),"",INDEX(Backlog[Stream],MATCH($A103,Backlog[Requirement ID],0))),"")</f>
        <v>M4M</v>
      </c>
      <c r="D103" s="1" t="str">
        <f aca="false">IFERROR(IF(ISBLANK(INDEX(Backlog[Stream Owner],MATCH($A103,Backlog[Requirement ID],0))),"",INDEX(Backlog[Stream Owner],MATCH($A103,Backlog[Requirement ID],0))),"")</f>
        <v>M4M</v>
      </c>
      <c r="E103" s="1" t="str">
        <f aca="false">IFERROR(IF(ISBLANK(INDEX(Backlog[Jira Link],MATCH($A103,Backlog[Requirement ID],0))),"",INDEX(Backlog[Jira Link],MATCH($A103,Backlog[Requirement ID],0))),"")</f>
        <v/>
      </c>
      <c r="H103" s="1" t="str">
        <f aca="false">IFERROR(IF(ISBLANK(INDEX(SprintPlanning[Sprint],MATCH($A103,SprintPlanning[Requirement ID],0))),"",INDEX(SprintPlanning[Sprint],MATCH($A103,SprintPlanning[Requirement ID],0))),"")</f>
        <v/>
      </c>
      <c r="I103" s="1" t="str">
        <f aca="false">IFERROR(IF(ISBLANK(INDEX(Backlog[Status],MATCH($A103,Backlog[Requirement ID],0))),"",INDEX(Backlog[Status],MATCH($A103,Backlog[Requirement ID],0))),"")</f>
        <v>NEW</v>
      </c>
      <c r="J103" s="1" t="str">
        <f aca="false">IFERROR(IF(ISBLANK(INDEX(Backlog[Priority],MATCH($A103,Backlog[Requirement ID],0))),"",INDEX(Backlog[Priority],MATCH($A103,Backlog[Requirement ID],0))),"")</f>
        <v>Medium</v>
      </c>
      <c r="L103" s="57"/>
      <c r="M103" s="57"/>
      <c r="O103" s="57"/>
    </row>
    <row r="104" customFormat="false" ht="15" hidden="false" customHeight="true" outlineLevel="0" collapsed="false">
      <c r="A104" s="1" t="str">
        <f aca="false">Backlog!A104</f>
        <v>NEW-0446</v>
      </c>
      <c r="B104" s="1" t="str">
        <f aca="false">IFERROR(IF(ISBLANK(INDEX(Backlog[Requirement Name],MATCH($A104,Backlog[Requirement ID],0))),"",INDEX(Backlog[Requirement Name],MATCH($A104,Backlog[Requirement ID],0))),"")</f>
        <v>M4M Gender in Marketing email in INT188</v>
      </c>
      <c r="C104" s="1" t="str">
        <f aca="false">IFERROR(IF(ISBLANK(INDEX(Backlog[Stream],MATCH($A104,Backlog[Requirement ID],0))),"",INDEX(Backlog[Stream],MATCH($A104,Backlog[Requirement ID],0))),"")</f>
        <v>M4M</v>
      </c>
      <c r="D104" s="1" t="str">
        <f aca="false">IFERROR(IF(ISBLANK(INDEX(Backlog[Stream Owner],MATCH($A104,Backlog[Requirement ID],0))),"",INDEX(Backlog[Stream Owner],MATCH($A104,Backlog[Requirement ID],0))),"")</f>
        <v>M4M</v>
      </c>
      <c r="E104" s="1" t="str">
        <f aca="false">IFERROR(IF(ISBLANK(INDEX(Backlog[Jira Link],MATCH($A104,Backlog[Requirement ID],0))),"",INDEX(Backlog[Jira Link],MATCH($A104,Backlog[Requirement ID],0))),"")</f>
        <v/>
      </c>
      <c r="H104" s="1" t="str">
        <f aca="false">IFERROR(IF(ISBLANK(INDEX(SprintPlanning[Sprint],MATCH($A104,SprintPlanning[Requirement ID],0))),"",INDEX(SprintPlanning[Sprint],MATCH($A104,SprintPlanning[Requirement ID],0))),"")</f>
        <v/>
      </c>
      <c r="I104" s="1" t="str">
        <f aca="false">IFERROR(IF(ISBLANK(INDEX(Backlog[Status],MATCH($A104,Backlog[Requirement ID],0))),"",INDEX(Backlog[Status],MATCH($A104,Backlog[Requirement ID],0))),"")</f>
        <v>NEW</v>
      </c>
      <c r="J104" s="1" t="str">
        <f aca="false">IFERROR(IF(ISBLANK(INDEX(Backlog[Priority],MATCH($A104,Backlog[Requirement ID],0))),"",INDEX(Backlog[Priority],MATCH($A104,Backlog[Requirement ID],0))),"")</f>
        <v>Medium</v>
      </c>
      <c r="L104" s="57"/>
      <c r="M104" s="57"/>
      <c r="O104" s="57"/>
    </row>
    <row r="105" customFormat="false" ht="15" hidden="false" customHeight="true" outlineLevel="0" collapsed="false">
      <c r="A105" s="1" t="str">
        <f aca="false">Backlog!A105</f>
        <v>NEW-0447</v>
      </c>
      <c r="B105" s="1" t="str">
        <f aca="false">IFERROR(IF(ISBLANK(INDEX(Backlog[Requirement Name],MATCH($A105,Backlog[Requirement ID],0))),"",INDEX(Backlog[Requirement Name],MATCH($A105,Backlog[Requirement ID],0))),"")</f>
        <v>M4M Datatrans information in INT188 response</v>
      </c>
      <c r="C105" s="1" t="str">
        <f aca="false">IFERROR(IF(ISBLANK(INDEX(Backlog[Stream],MATCH($A105,Backlog[Requirement ID],0))),"",INDEX(Backlog[Stream],MATCH($A105,Backlog[Requirement ID],0))),"")</f>
        <v>M4M</v>
      </c>
      <c r="D105" s="1" t="str">
        <f aca="false">IFERROR(IF(ISBLANK(INDEX(Backlog[Stream Owner],MATCH($A105,Backlog[Requirement ID],0))),"",INDEX(Backlog[Stream Owner],MATCH($A105,Backlog[Requirement ID],0))),"")</f>
        <v>M4M</v>
      </c>
      <c r="E105" s="1" t="str">
        <f aca="false">IFERROR(IF(ISBLANK(INDEX(Backlog[Jira Link],MATCH($A105,Backlog[Requirement ID],0))),"",INDEX(Backlog[Jira Link],MATCH($A105,Backlog[Requirement ID],0))),"")</f>
        <v/>
      </c>
      <c r="H105" s="1" t="str">
        <f aca="false">IFERROR(IF(ISBLANK(INDEX(SprintPlanning[Sprint],MATCH($A105,SprintPlanning[Requirement ID],0))),"",INDEX(SprintPlanning[Sprint],MATCH($A105,SprintPlanning[Requirement ID],0))),"")</f>
        <v/>
      </c>
      <c r="I105" s="1" t="str">
        <f aca="false">IFERROR(IF(ISBLANK(INDEX(Backlog[Status],MATCH($A105,Backlog[Requirement ID],0))),"",INDEX(Backlog[Status],MATCH($A105,Backlog[Requirement ID],0))),"")</f>
        <v>NEW</v>
      </c>
      <c r="J105" s="1" t="str">
        <f aca="false">IFERROR(IF(ISBLANK(INDEX(Backlog[Priority],MATCH($A105,Backlog[Requirement ID],0))),"",INDEX(Backlog[Priority],MATCH($A105,Backlog[Requirement ID],0))),"")</f>
        <v>Medium</v>
      </c>
      <c r="L105" s="57"/>
      <c r="M105" s="57"/>
      <c r="O105" s="57"/>
    </row>
    <row r="106" customFormat="false" ht="15" hidden="false" customHeight="true" outlineLevel="0" collapsed="false">
      <c r="A106" s="1" t="str">
        <f aca="false">Backlog!A106</f>
        <v>NEW-0448</v>
      </c>
      <c r="B106" s="1" t="str">
        <f aca="false">IFERROR(IF(ISBLANK(INDEX(Backlog[Requirement Name],MATCH($A106,Backlog[Requirement ID],0))),"",INDEX(Backlog[Requirement Name],MATCH($A106,Backlog[Requirement ID],0))),"")</f>
        <v>MYMSC | Club enrollment template checkpoint</v>
      </c>
      <c r="C106" s="1" t="str">
        <f aca="false">IFERROR(IF(ISBLANK(INDEX(Backlog[Stream],MATCH($A106,Backlog[Requirement ID],0))),"",INDEX(Backlog[Stream],MATCH($A106,Backlog[Requirement ID],0))),"")</f>
        <v>MyMSC</v>
      </c>
      <c r="D106" s="1" t="str">
        <f aca="false">IFERROR(IF(ISBLANK(INDEX(Backlog[Stream Owner],MATCH($A106,Backlog[Requirement ID],0))),"",INDEX(Backlog[Stream Owner],MATCH($A106,Backlog[Requirement ID],0))),"")</f>
        <v>B2CW</v>
      </c>
      <c r="E106" s="1" t="str">
        <f aca="false">IFERROR(IF(ISBLANK(INDEX(Backlog[Jira Link],MATCH($A106,Backlog[Requirement ID],0))),"",INDEX(Backlog[Jira Link],MATCH($A106,Backlog[Requirement ID],0))),"")</f>
        <v/>
      </c>
      <c r="H106" s="1" t="str">
        <f aca="false">IFERROR(IF(ISBLANK(INDEX(SprintPlanning[Sprint],MATCH($A106,SprintPlanning[Requirement ID],0))),"",INDEX(SprintPlanning[Sprint],MATCH($A106,SprintPlanning[Requirement ID],0))),"")</f>
        <v/>
      </c>
      <c r="I106" s="1" t="str">
        <f aca="false">IFERROR(IF(ISBLANK(INDEX(Backlog[Status],MATCH($A106,Backlog[Requirement ID],0))),"",INDEX(Backlog[Status],MATCH($A106,Backlog[Requirement ID],0))),"")</f>
        <v>NEW</v>
      </c>
      <c r="J106" s="1" t="str">
        <f aca="false">IFERROR(IF(ISBLANK(INDEX(Backlog[Priority],MATCH($A106,Backlog[Requirement ID],0))),"",INDEX(Backlog[Priority],MATCH($A106,Backlog[Requirement ID],0))),"")</f>
        <v>High</v>
      </c>
      <c r="L106" s="57"/>
      <c r="M106" s="57"/>
      <c r="O106" s="57"/>
    </row>
    <row r="107" customFormat="false" ht="15" hidden="false" customHeight="true" outlineLevel="0" collapsed="false">
      <c r="A107" s="1" t="str">
        <f aca="false">Backlog!A107</f>
        <v>NEW-0449</v>
      </c>
      <c r="B107" s="1" t="str">
        <f aca="false">IFERROR(IF(ISBLANK(INDEX(Backlog[Requirement Name],MATCH($A107,Backlog[Requirement ID],0))),"",INDEX(Backlog[Requirement Name],MATCH($A107,Backlog[Requirement ID],0))),"")</f>
        <v>Restructure the orchestration of INT188</v>
      </c>
      <c r="C107" s="1" t="str">
        <f aca="false">IFERROR(IF(ISBLANK(INDEX(Backlog[Stream],MATCH($A107,Backlog[Requirement ID],0))),"",INDEX(Backlog[Stream],MATCH($A107,Backlog[Requirement ID],0))),"")</f>
        <v>M4M</v>
      </c>
      <c r="D107" s="1" t="str">
        <f aca="false">IFERROR(IF(ISBLANK(INDEX(Backlog[Stream Owner],MATCH($A107,Backlog[Requirement ID],0))),"",INDEX(Backlog[Stream Owner],MATCH($A107,Backlog[Requirement ID],0))),"")</f>
        <v>M4M</v>
      </c>
      <c r="E107" s="1" t="str">
        <f aca="false">IFERROR(IF(ISBLANK(INDEX(Backlog[Jira Link],MATCH($A107,Backlog[Requirement ID],0))),"",INDEX(Backlog[Jira Link],MATCH($A107,Backlog[Requirement ID],0))),"")</f>
        <v>https://smartship.atlassian.net/browse/DTTP25-42277</v>
      </c>
      <c r="H107" s="1" t="str">
        <f aca="false">IFERROR(IF(ISBLANK(INDEX(SprintPlanning[Sprint],MATCH($A107,SprintPlanning[Requirement ID],0))),"",INDEX(SprintPlanning[Sprint],MATCH($A107,SprintPlanning[Requirement ID],0))),"")</f>
        <v>Sprint 12</v>
      </c>
      <c r="I107" s="1" t="str">
        <f aca="false">IFERROR(IF(ISBLANK(INDEX(Backlog[Status],MATCH($A107,Backlog[Requirement ID],0))),"",INDEX(Backlog[Status],MATCH($A107,Backlog[Requirement ID],0))),"")</f>
        <v>NEW</v>
      </c>
      <c r="J107" s="1" t="str">
        <f aca="false">IFERROR(IF(ISBLANK(INDEX(Backlog[Priority],MATCH($A107,Backlog[Requirement ID],0))),"",INDEX(Backlog[Priority],MATCH($A107,Backlog[Requirement ID],0))),"")</f>
        <v>High</v>
      </c>
      <c r="L107" s="57"/>
      <c r="M107" s="57"/>
      <c r="O107" s="57"/>
    </row>
    <row r="108" customFormat="false" ht="15" hidden="false" customHeight="true" outlineLevel="0" collapsed="false">
      <c r="A108" s="1" t="str">
        <f aca="false">Backlog!A108</f>
        <v>NEW-0451</v>
      </c>
      <c r="B108" s="1" t="str">
        <f aca="false">IFERROR(IF(ISBLANK(INDEX(Backlog[Requirement Name],MATCH($A108,Backlog[Requirement ID],0))),"",INDEX(Backlog[Requirement Name],MATCH($A108,Backlog[Requirement ID],0))),"")</f>
        <v>[INT188] EAPI incorrectly calling CHUB</v>
      </c>
      <c r="C108" s="1" t="str">
        <f aca="false">IFERROR(IF(ISBLANK(INDEX(Backlog[Stream],MATCH($A108,Backlog[Requirement ID],0))),"",INDEX(Backlog[Stream],MATCH($A108,Backlog[Requirement ID],0))),"")</f>
        <v>M4M</v>
      </c>
      <c r="D108" s="1" t="str">
        <f aca="false">IFERROR(IF(ISBLANK(INDEX(Backlog[Stream Owner],MATCH($A108,Backlog[Requirement ID],0))),"",INDEX(Backlog[Stream Owner],MATCH($A108,Backlog[Requirement ID],0))),"")</f>
        <v>M4M</v>
      </c>
      <c r="E108" s="1" t="str">
        <f aca="false">IFERROR(IF(ISBLANK(INDEX(Backlog[Jira Link],MATCH($A108,Backlog[Requirement ID],0))),"",INDEX(Backlog[Jira Link],MATCH($A108,Backlog[Requirement ID],0))),"")</f>
        <v/>
      </c>
      <c r="H108" s="1" t="str">
        <f aca="false">IFERROR(IF(ISBLANK(INDEX(SprintPlanning[Sprint],MATCH($A108,SprintPlanning[Requirement ID],0))),"",INDEX(SprintPlanning[Sprint],MATCH($A108,SprintPlanning[Requirement ID],0))),"")</f>
        <v>Sprint 11</v>
      </c>
      <c r="I108" s="1" t="str">
        <f aca="false">IFERROR(IF(ISBLANK(INDEX(Backlog[Status],MATCH($A108,Backlog[Requirement ID],0))),"",INDEX(Backlog[Status],MATCH($A108,Backlog[Requirement ID],0))),"")</f>
        <v>NEW</v>
      </c>
      <c r="J108" s="1" t="str">
        <f aca="false">IFERROR(IF(ISBLANK(INDEX(Backlog[Priority],MATCH($A108,Backlog[Requirement ID],0))),"",INDEX(Backlog[Priority],MATCH($A108,Backlog[Requirement ID],0))),"")</f>
        <v>High</v>
      </c>
      <c r="L108" s="57"/>
      <c r="M108" s="57"/>
      <c r="O108" s="57"/>
    </row>
    <row r="109" customFormat="false" ht="15" hidden="false" customHeight="true" outlineLevel="0" collapsed="false">
      <c r="A109" s="1" t="str">
        <f aca="false">Backlog!A109</f>
        <v>NEW-0452</v>
      </c>
      <c r="B109" s="1" t="str">
        <f aca="false">IFERROR(IF(ISBLANK(INDEX(Backlog[Requirement Name],MATCH($A109,Backlog[Requirement ID],0))),"",INDEX(Backlog[Requirement Name],MATCH($A109,Backlog[Requirement ID],0))),"")</f>
        <v>MSC-US | Homeless Email Flexibility - Additional Requirement</v>
      </c>
      <c r="C109" s="1" t="str">
        <f aca="false">IFERROR(IF(ISBLANK(INDEX(Backlog[Stream],MATCH($A109,Backlog[Requirement ID],0))),"",INDEX(Backlog[Stream],MATCH($A109,Backlog[Requirement ID],0))),"")</f>
        <v>US</v>
      </c>
      <c r="D109" s="1" t="str">
        <f aca="false">IFERROR(IF(ISBLANK(INDEX(Backlog[Stream Owner],MATCH($A109,Backlog[Requirement ID],0))),"",INDEX(Backlog[Stream Owner],MATCH($A109,Backlog[Requirement ID],0))),"")</f>
        <v>MA</v>
      </c>
      <c r="E109" s="1" t="str">
        <f aca="false">IFERROR(IF(ISBLANK(INDEX(Backlog[Jira Link],MATCH($A109,Backlog[Requirement ID],0))),"",INDEX(Backlog[Jira Link],MATCH($A109,Backlog[Requirement ID],0))),"")</f>
        <v/>
      </c>
      <c r="H109" s="1" t="str">
        <f aca="false">IFERROR(IF(ISBLANK(INDEX(SprintPlanning[Sprint],MATCH($A109,SprintPlanning[Requirement ID],0))),"",INDEX(SprintPlanning[Sprint],MATCH($A109,SprintPlanning[Requirement ID],0))),"")</f>
        <v/>
      </c>
      <c r="I109" s="1" t="str">
        <f aca="false">IFERROR(IF(ISBLANK(INDEX(Backlog[Status],MATCH($A109,Backlog[Requirement ID],0))),"",INDEX(Backlog[Status],MATCH($A109,Backlog[Requirement ID],0))),"")</f>
        <v>NA</v>
      </c>
      <c r="J109" s="1" t="str">
        <f aca="false">IFERROR(IF(ISBLANK(INDEX(Backlog[Priority],MATCH($A109,Backlog[Requirement ID],0))),"",INDEX(Backlog[Priority],MATCH($A109,Backlog[Requirement ID],0))),"")</f>
        <v>Medium</v>
      </c>
      <c r="L109" s="57"/>
      <c r="M109" s="57"/>
      <c r="O109" s="57"/>
    </row>
    <row r="110" customFormat="false" ht="15" hidden="false" customHeight="true" outlineLevel="0" collapsed="false">
      <c r="A110" s="1" t="str">
        <f aca="false">Backlog!A110</f>
        <v/>
      </c>
      <c r="B110" s="1" t="str">
        <f aca="false">IFERROR(IF(ISBLANK(INDEX(Backlog[Requirement Name],MATCH($A110,Backlog[Requirement ID],0))),"",INDEX(Backlog[Requirement Name],MATCH($A110,Backlog[Requirement ID],0))),"")</f>
        <v/>
      </c>
      <c r="C110" s="1" t="str">
        <f aca="false">IFERROR(IF(ISBLANK(INDEX(Backlog[Stream],MATCH($A110,Backlog[Requirement ID],0))),"",INDEX(Backlog[Stream],MATCH($A110,Backlog[Requirement ID],0))),"")</f>
        <v/>
      </c>
      <c r="D110" s="1" t="str">
        <f aca="false">IFERROR(IF(ISBLANK(INDEX(Backlog[Stream Owner],MATCH($A110,Backlog[Requirement ID],0))),"",INDEX(Backlog[Stream Owner],MATCH($A110,Backlog[Requirement ID],0))),"")</f>
        <v/>
      </c>
      <c r="E110" s="1" t="str">
        <f aca="false">IFERROR(IF(ISBLANK(INDEX(Backlog[Jira Link],MATCH($A110,Backlog[Requirement ID],0))),"",INDEX(Backlog[Jira Link],MATCH($A110,Backlog[Requirement ID],0))),"")</f>
        <v/>
      </c>
      <c r="H110" s="1" t="str">
        <f aca="false">IFERROR(IF(ISBLANK(INDEX(SprintPlanning[Sprint],MATCH($A110,SprintPlanning[Requirement ID],0))),"",INDEX(SprintPlanning[Sprint],MATCH($A110,SprintPlanning[Requirement ID],0))),"")</f>
        <v/>
      </c>
      <c r="I110" s="1" t="str">
        <f aca="false">IFERROR(IF(ISBLANK(INDEX(Backlog[Status],MATCH($A110,Backlog[Requirement ID],0))),"",INDEX(Backlog[Status],MATCH($A110,Backlog[Requirement ID],0))),"")</f>
        <v/>
      </c>
      <c r="J110" s="1" t="str">
        <f aca="false">IFERROR(IF(ISBLANK(INDEX(Backlog[Priority],MATCH($A110,Backlog[Requirement ID],0))),"",INDEX(Backlog[Priority],MATCH($A110,Backlog[Requirement ID],0))),"")</f>
        <v/>
      </c>
      <c r="L110" s="57"/>
      <c r="M110" s="57"/>
      <c r="O110" s="57"/>
    </row>
    <row r="111" customFormat="false" ht="15" hidden="false" customHeight="true" outlineLevel="0" collapsed="false">
      <c r="A111" s="1" t="str">
        <f aca="false">Backlog!A111</f>
        <v/>
      </c>
      <c r="B111" s="1" t="str">
        <f aca="false">IFERROR(IF(ISBLANK(INDEX(Backlog[Requirement Name],MATCH($A111,Backlog[Requirement ID],0))),"",INDEX(Backlog[Requirement Name],MATCH($A111,Backlog[Requirement ID],0))),"")</f>
        <v/>
      </c>
      <c r="C111" s="1" t="str">
        <f aca="false">IFERROR(IF(ISBLANK(INDEX(Backlog[Stream],MATCH($A111,Backlog[Requirement ID],0))),"",INDEX(Backlog[Stream],MATCH($A111,Backlog[Requirement ID],0))),"")</f>
        <v/>
      </c>
      <c r="D111" s="1" t="str">
        <f aca="false">IFERROR(IF(ISBLANK(INDEX(Backlog[Stream Owner],MATCH($A111,Backlog[Requirement ID],0))),"",INDEX(Backlog[Stream Owner],MATCH($A111,Backlog[Requirement ID],0))),"")</f>
        <v/>
      </c>
      <c r="E111" s="1" t="str">
        <f aca="false">IFERROR(IF(ISBLANK(INDEX(Backlog[Jira Link],MATCH($A111,Backlog[Requirement ID],0))),"",INDEX(Backlog[Jira Link],MATCH($A111,Backlog[Requirement ID],0))),"")</f>
        <v/>
      </c>
      <c r="H111" s="1" t="str">
        <f aca="false">IFERROR(IF(ISBLANK(INDEX(SprintPlanning[Sprint],MATCH($A111,SprintPlanning[Requirement ID],0))),"",INDEX(SprintPlanning[Sprint],MATCH($A111,SprintPlanning[Requirement ID],0))),"")</f>
        <v/>
      </c>
      <c r="I111" s="1" t="str">
        <f aca="false">IFERROR(IF(ISBLANK(INDEX(Backlog[Status],MATCH($A111,Backlog[Requirement ID],0))),"",INDEX(Backlog[Status],MATCH($A111,Backlog[Requirement ID],0))),"")</f>
        <v/>
      </c>
      <c r="J111" s="1" t="str">
        <f aca="false">IFERROR(IF(ISBLANK(INDEX(Backlog[Priority],MATCH($A111,Backlog[Requirement ID],0))),"",INDEX(Backlog[Priority],MATCH($A111,Backlog[Requirement ID],0))),"")</f>
        <v/>
      </c>
      <c r="L111" s="57"/>
      <c r="M111" s="57"/>
      <c r="O111" s="57"/>
    </row>
    <row r="112" customFormat="false" ht="15" hidden="false" customHeight="true" outlineLevel="0" collapsed="false">
      <c r="A112" s="1" t="str">
        <f aca="false">Backlog!A112</f>
        <v/>
      </c>
      <c r="B112" s="1" t="str">
        <f aca="false">IFERROR(IF(ISBLANK(INDEX(Backlog[Requirement Name],MATCH($A112,Backlog[Requirement ID],0))),"",INDEX(Backlog[Requirement Name],MATCH($A112,Backlog[Requirement ID],0))),"")</f>
        <v/>
      </c>
      <c r="C112" s="1" t="str">
        <f aca="false">IFERROR(IF(ISBLANK(INDEX(Backlog[Stream],MATCH($A112,Backlog[Requirement ID],0))),"",INDEX(Backlog[Stream],MATCH($A112,Backlog[Requirement ID],0))),"")</f>
        <v/>
      </c>
      <c r="D112" s="1" t="str">
        <f aca="false">IFERROR(IF(ISBLANK(INDEX(Backlog[Stream Owner],MATCH($A112,Backlog[Requirement ID],0))),"",INDEX(Backlog[Stream Owner],MATCH($A112,Backlog[Requirement ID],0))),"")</f>
        <v/>
      </c>
      <c r="E112" s="1" t="str">
        <f aca="false">IFERROR(IF(ISBLANK(INDEX(Backlog[Jira Link],MATCH($A112,Backlog[Requirement ID],0))),"",INDEX(Backlog[Jira Link],MATCH($A112,Backlog[Requirement ID],0))),"")</f>
        <v/>
      </c>
      <c r="H112" s="1" t="str">
        <f aca="false">IFERROR(IF(ISBLANK(INDEX(SprintPlanning[Sprint],MATCH($A112,SprintPlanning[Requirement ID],0))),"",INDEX(SprintPlanning[Sprint],MATCH($A112,SprintPlanning[Requirement ID],0))),"")</f>
        <v/>
      </c>
      <c r="I112" s="1" t="str">
        <f aca="false">IFERROR(IF(ISBLANK(INDEX(Backlog[Status],MATCH($A112,Backlog[Requirement ID],0))),"",INDEX(Backlog[Status],MATCH($A112,Backlog[Requirement ID],0))),"")</f>
        <v/>
      </c>
      <c r="J112" s="1" t="str">
        <f aca="false">IFERROR(IF(ISBLANK(INDEX(Backlog[Priority],MATCH($A112,Backlog[Requirement ID],0))),"",INDEX(Backlog[Priority],MATCH($A112,Backlog[Requirement ID],0))),"")</f>
        <v/>
      </c>
      <c r="L112" s="57"/>
      <c r="M112" s="57"/>
      <c r="O112" s="57"/>
    </row>
    <row r="113" customFormat="false" ht="15" hidden="false" customHeight="true" outlineLevel="0" collapsed="false">
      <c r="A113" s="1" t="str">
        <f aca="false">Backlog!A113</f>
        <v/>
      </c>
      <c r="B113" s="1" t="str">
        <f aca="false">IFERROR(IF(ISBLANK(INDEX(Backlog[Requirement Name],MATCH($A113,Backlog[Requirement ID],0))),"",INDEX(Backlog[Requirement Name],MATCH($A113,Backlog[Requirement ID],0))),"")</f>
        <v/>
      </c>
      <c r="C113" s="1" t="str">
        <f aca="false">IFERROR(IF(ISBLANK(INDEX(Backlog[Stream],MATCH($A113,Backlog[Requirement ID],0))),"",INDEX(Backlog[Stream],MATCH($A113,Backlog[Requirement ID],0))),"")</f>
        <v/>
      </c>
      <c r="D113" s="1" t="str">
        <f aca="false">IFERROR(IF(ISBLANK(INDEX(Backlog[Stream Owner],MATCH($A113,Backlog[Requirement ID],0))),"",INDEX(Backlog[Stream Owner],MATCH($A113,Backlog[Requirement ID],0))),"")</f>
        <v/>
      </c>
      <c r="E113" s="1" t="str">
        <f aca="false">IFERROR(IF(ISBLANK(INDEX(Backlog[Jira Link],MATCH($A113,Backlog[Requirement ID],0))),"",INDEX(Backlog[Jira Link],MATCH($A113,Backlog[Requirement ID],0))),"")</f>
        <v/>
      </c>
      <c r="H113" s="1" t="str">
        <f aca="false">IFERROR(IF(ISBLANK(INDEX(SprintPlanning[Sprint],MATCH($A113,SprintPlanning[Requirement ID],0))),"",INDEX(SprintPlanning[Sprint],MATCH($A113,SprintPlanning[Requirement ID],0))),"")</f>
        <v/>
      </c>
      <c r="I113" s="1" t="str">
        <f aca="false">IFERROR(IF(ISBLANK(INDEX(Backlog[Status],MATCH($A113,Backlog[Requirement ID],0))),"",INDEX(Backlog[Status],MATCH($A113,Backlog[Requirement ID],0))),"")</f>
        <v/>
      </c>
      <c r="J113" s="1" t="str">
        <f aca="false">IFERROR(IF(ISBLANK(INDEX(Backlog[Priority],MATCH($A113,Backlog[Requirement ID],0))),"",INDEX(Backlog[Priority],MATCH($A113,Backlog[Requirement ID],0))),"")</f>
        <v/>
      </c>
      <c r="L113" s="57"/>
      <c r="M113" s="57"/>
      <c r="O113" s="57"/>
    </row>
    <row r="114" customFormat="false" ht="15" hidden="false" customHeight="true" outlineLevel="0" collapsed="false">
      <c r="A114" s="1" t="str">
        <f aca="false">Backlog!A114</f>
        <v/>
      </c>
      <c r="B114" s="1" t="str">
        <f aca="false">IFERROR(IF(ISBLANK(INDEX(Backlog[Requirement Name],MATCH($A114,Backlog[Requirement ID],0))),"",INDEX(Backlog[Requirement Name],MATCH($A114,Backlog[Requirement ID],0))),"")</f>
        <v/>
      </c>
      <c r="C114" s="1" t="str">
        <f aca="false">IFERROR(IF(ISBLANK(INDEX(Backlog[Stream],MATCH($A114,Backlog[Requirement ID],0))),"",INDEX(Backlog[Stream],MATCH($A114,Backlog[Requirement ID],0))),"")</f>
        <v/>
      </c>
      <c r="D114" s="1" t="str">
        <f aca="false">IFERROR(IF(ISBLANK(INDEX(Backlog[Stream Owner],MATCH($A114,Backlog[Requirement ID],0))),"",INDEX(Backlog[Stream Owner],MATCH($A114,Backlog[Requirement ID],0))),"")</f>
        <v/>
      </c>
      <c r="E114" s="1" t="str">
        <f aca="false">IFERROR(IF(ISBLANK(INDEX(Backlog[Jira Link],MATCH($A114,Backlog[Requirement ID],0))),"",INDEX(Backlog[Jira Link],MATCH($A114,Backlog[Requirement ID],0))),"")</f>
        <v/>
      </c>
      <c r="H114" s="1" t="str">
        <f aca="false">IFERROR(IF(ISBLANK(INDEX(SprintPlanning[Sprint],MATCH($A114,SprintPlanning[Requirement ID],0))),"",INDEX(SprintPlanning[Sprint],MATCH($A114,SprintPlanning[Requirement ID],0))),"")</f>
        <v/>
      </c>
      <c r="I114" s="1" t="str">
        <f aca="false">IFERROR(IF(ISBLANK(INDEX(Backlog[Status],MATCH($A114,Backlog[Requirement ID],0))),"",INDEX(Backlog[Status],MATCH($A114,Backlog[Requirement ID],0))),"")</f>
        <v/>
      </c>
      <c r="J114" s="1" t="str">
        <f aca="false">IFERROR(IF(ISBLANK(INDEX(Backlog[Priority],MATCH($A114,Backlog[Requirement ID],0))),"",INDEX(Backlog[Priority],MATCH($A114,Backlog[Requirement ID],0))),"")</f>
        <v/>
      </c>
      <c r="L114" s="57"/>
      <c r="M114" s="57"/>
      <c r="O114" s="57"/>
    </row>
    <row r="115" customFormat="false" ht="15" hidden="false" customHeight="true" outlineLevel="0" collapsed="false">
      <c r="A115" s="1" t="str">
        <f aca="false">Backlog!A115</f>
        <v/>
      </c>
      <c r="B115" s="1" t="str">
        <f aca="false">IFERROR(IF(ISBLANK(INDEX(Backlog[Requirement Name],MATCH($A115,Backlog[Requirement ID],0))),"",INDEX(Backlog[Requirement Name],MATCH($A115,Backlog[Requirement ID],0))),"")</f>
        <v/>
      </c>
      <c r="C115" s="1" t="str">
        <f aca="false">IFERROR(IF(ISBLANK(INDEX(Backlog[Stream],MATCH($A115,Backlog[Requirement ID],0))),"",INDEX(Backlog[Stream],MATCH($A115,Backlog[Requirement ID],0))),"")</f>
        <v/>
      </c>
      <c r="D115" s="1" t="str">
        <f aca="false">IFERROR(IF(ISBLANK(INDEX(Backlog[Stream Owner],MATCH($A115,Backlog[Requirement ID],0))),"",INDEX(Backlog[Stream Owner],MATCH($A115,Backlog[Requirement ID],0))),"")</f>
        <v/>
      </c>
      <c r="E115" s="1" t="str">
        <f aca="false">IFERROR(IF(ISBLANK(INDEX(Backlog[Jira Link],MATCH($A115,Backlog[Requirement ID],0))),"",INDEX(Backlog[Jira Link],MATCH($A115,Backlog[Requirement ID],0))),"")</f>
        <v/>
      </c>
      <c r="H115" s="1" t="str">
        <f aca="false">IFERROR(IF(ISBLANK(INDEX(SprintPlanning[Sprint],MATCH($A115,SprintPlanning[Requirement ID],0))),"",INDEX(SprintPlanning[Sprint],MATCH($A115,SprintPlanning[Requirement ID],0))),"")</f>
        <v/>
      </c>
      <c r="I115" s="1" t="str">
        <f aca="false">IFERROR(IF(ISBLANK(INDEX(Backlog[Status],MATCH($A115,Backlog[Requirement ID],0))),"",INDEX(Backlog[Status],MATCH($A115,Backlog[Requirement ID],0))),"")</f>
        <v/>
      </c>
      <c r="J115" s="1" t="str">
        <f aca="false">IFERROR(IF(ISBLANK(INDEX(Backlog[Priority],MATCH($A115,Backlog[Requirement ID],0))),"",INDEX(Backlog[Priority],MATCH($A115,Backlog[Requirement ID],0))),"")</f>
        <v/>
      </c>
      <c r="L115" s="57"/>
      <c r="M115" s="57"/>
      <c r="O115" s="57"/>
    </row>
    <row r="116" customFormat="false" ht="15" hidden="false" customHeight="true" outlineLevel="0" collapsed="false">
      <c r="A116" s="1" t="str">
        <f aca="false">Backlog!A116</f>
        <v/>
      </c>
      <c r="B116" s="1" t="str">
        <f aca="false">IFERROR(IF(ISBLANK(INDEX(Backlog[Requirement Name],MATCH($A116,Backlog[Requirement ID],0))),"",INDEX(Backlog[Requirement Name],MATCH($A116,Backlog[Requirement ID],0))),"")</f>
        <v/>
      </c>
      <c r="C116" s="1" t="str">
        <f aca="false">IFERROR(IF(ISBLANK(INDEX(Backlog[Stream],MATCH($A116,Backlog[Requirement ID],0))),"",INDEX(Backlog[Stream],MATCH($A116,Backlog[Requirement ID],0))),"")</f>
        <v/>
      </c>
      <c r="D116" s="1" t="str">
        <f aca="false">IFERROR(IF(ISBLANK(INDEX(Backlog[Stream Owner],MATCH($A116,Backlog[Requirement ID],0))),"",INDEX(Backlog[Stream Owner],MATCH($A116,Backlog[Requirement ID],0))),"")</f>
        <v/>
      </c>
      <c r="E116" s="1" t="str">
        <f aca="false">IFERROR(IF(ISBLANK(INDEX(Backlog[Jira Link],MATCH($A116,Backlog[Requirement ID],0))),"",INDEX(Backlog[Jira Link],MATCH($A116,Backlog[Requirement ID],0))),"")</f>
        <v/>
      </c>
      <c r="H116" s="1" t="str">
        <f aca="false">IFERROR(IF(ISBLANK(INDEX(SprintPlanning[Sprint],MATCH($A116,SprintPlanning[Requirement ID],0))),"",INDEX(SprintPlanning[Sprint],MATCH($A116,SprintPlanning[Requirement ID],0))),"")</f>
        <v/>
      </c>
      <c r="I116" s="1" t="str">
        <f aca="false">IFERROR(IF(ISBLANK(INDEX(Backlog[Status],MATCH($A116,Backlog[Requirement ID],0))),"",INDEX(Backlog[Status],MATCH($A116,Backlog[Requirement ID],0))),"")</f>
        <v/>
      </c>
      <c r="J116" s="1" t="str">
        <f aca="false">IFERROR(IF(ISBLANK(INDEX(Backlog[Priority],MATCH($A116,Backlog[Requirement ID],0))),"",INDEX(Backlog[Priority],MATCH($A116,Backlog[Requirement ID],0))),"")</f>
        <v/>
      </c>
      <c r="L116" s="57"/>
      <c r="M116" s="57"/>
      <c r="O116" s="57"/>
    </row>
    <row r="117" customFormat="false" ht="15" hidden="false" customHeight="true" outlineLevel="0" collapsed="false">
      <c r="A117" s="1" t="str">
        <f aca="false">Backlog!A117</f>
        <v/>
      </c>
      <c r="B117" s="1" t="str">
        <f aca="false">IFERROR(IF(ISBLANK(INDEX(Backlog[Requirement Name],MATCH($A117,Backlog[Requirement ID],0))),"",INDEX(Backlog[Requirement Name],MATCH($A117,Backlog[Requirement ID],0))),"")</f>
        <v/>
      </c>
      <c r="C117" s="1" t="str">
        <f aca="false">IFERROR(IF(ISBLANK(INDEX(Backlog[Stream],MATCH($A117,Backlog[Requirement ID],0))),"",INDEX(Backlog[Stream],MATCH($A117,Backlog[Requirement ID],0))),"")</f>
        <v/>
      </c>
      <c r="D117" s="1" t="str">
        <f aca="false">IFERROR(IF(ISBLANK(INDEX(Backlog[Stream Owner],MATCH($A117,Backlog[Requirement ID],0))),"",INDEX(Backlog[Stream Owner],MATCH($A117,Backlog[Requirement ID],0))),"")</f>
        <v/>
      </c>
      <c r="E117" s="1" t="str">
        <f aca="false">IFERROR(IF(ISBLANK(INDEX(Backlog[Jira Link],MATCH($A117,Backlog[Requirement ID],0))),"",INDEX(Backlog[Jira Link],MATCH($A117,Backlog[Requirement ID],0))),"")</f>
        <v/>
      </c>
      <c r="H117" s="1" t="str">
        <f aca="false">IFERROR(IF(ISBLANK(INDEX(SprintPlanning[Sprint],MATCH($A117,SprintPlanning[Requirement ID],0))),"",INDEX(SprintPlanning[Sprint],MATCH($A117,SprintPlanning[Requirement ID],0))),"")</f>
        <v/>
      </c>
      <c r="I117" s="1" t="str">
        <f aca="false">IFERROR(IF(ISBLANK(INDEX(Backlog[Status],MATCH($A117,Backlog[Requirement ID],0))),"",INDEX(Backlog[Status],MATCH($A117,Backlog[Requirement ID],0))),"")</f>
        <v/>
      </c>
      <c r="J117" s="1" t="str">
        <f aca="false">IFERROR(IF(ISBLANK(INDEX(Backlog[Priority],MATCH($A117,Backlog[Requirement ID],0))),"",INDEX(Backlog[Priority],MATCH($A117,Backlog[Requirement ID],0))),"")</f>
        <v/>
      </c>
      <c r="L117" s="57"/>
      <c r="M117" s="57"/>
      <c r="O117" s="57"/>
    </row>
    <row r="118" customFormat="false" ht="15" hidden="false" customHeight="true" outlineLevel="0" collapsed="false">
      <c r="A118" s="1" t="str">
        <f aca="false">Backlog!A118</f>
        <v/>
      </c>
      <c r="B118" s="1" t="str">
        <f aca="false">IFERROR(IF(ISBLANK(INDEX(Backlog[Requirement Name],MATCH($A118,Backlog[Requirement ID],0))),"",INDEX(Backlog[Requirement Name],MATCH($A118,Backlog[Requirement ID],0))),"")</f>
        <v/>
      </c>
      <c r="C118" s="1" t="str">
        <f aca="false">IFERROR(IF(ISBLANK(INDEX(Backlog[Stream],MATCH($A118,Backlog[Requirement ID],0))),"",INDEX(Backlog[Stream],MATCH($A118,Backlog[Requirement ID],0))),"")</f>
        <v/>
      </c>
      <c r="D118" s="1" t="str">
        <f aca="false">IFERROR(IF(ISBLANK(INDEX(Backlog[Stream Owner],MATCH($A118,Backlog[Requirement ID],0))),"",INDEX(Backlog[Stream Owner],MATCH($A118,Backlog[Requirement ID],0))),"")</f>
        <v/>
      </c>
      <c r="E118" s="1" t="str">
        <f aca="false">IFERROR(IF(ISBLANK(INDEX(Backlog[Jira Link],MATCH($A118,Backlog[Requirement ID],0))),"",INDEX(Backlog[Jira Link],MATCH($A118,Backlog[Requirement ID],0))),"")</f>
        <v/>
      </c>
      <c r="H118" s="1" t="str">
        <f aca="false">IFERROR(IF(ISBLANK(INDEX(SprintPlanning[Sprint],MATCH($A118,SprintPlanning[Requirement ID],0))),"",INDEX(SprintPlanning[Sprint],MATCH($A118,SprintPlanning[Requirement ID],0))),"")</f>
        <v/>
      </c>
      <c r="I118" s="1" t="str">
        <f aca="false">IFERROR(IF(ISBLANK(INDEX(Backlog[Status],MATCH($A118,Backlog[Requirement ID],0))),"",INDEX(Backlog[Status],MATCH($A118,Backlog[Requirement ID],0))),"")</f>
        <v/>
      </c>
      <c r="J118" s="1" t="str">
        <f aca="false">IFERROR(IF(ISBLANK(INDEX(Backlog[Priority],MATCH($A118,Backlog[Requirement ID],0))),"",INDEX(Backlog[Priority],MATCH($A118,Backlog[Requirement ID],0))),"")</f>
        <v/>
      </c>
      <c r="L118" s="57"/>
      <c r="M118" s="57"/>
      <c r="O118" s="57"/>
    </row>
    <row r="119" customFormat="false" ht="15" hidden="false" customHeight="true" outlineLevel="0" collapsed="false">
      <c r="A119" s="1" t="str">
        <f aca="false">Backlog!A119</f>
        <v/>
      </c>
      <c r="B119" s="1" t="str">
        <f aca="false">IFERROR(IF(ISBLANK(INDEX(Backlog[Requirement Name],MATCH($A119,Backlog[Requirement ID],0))),"",INDEX(Backlog[Requirement Name],MATCH($A119,Backlog[Requirement ID],0))),"")</f>
        <v/>
      </c>
      <c r="C119" s="1" t="str">
        <f aca="false">IFERROR(IF(ISBLANK(INDEX(Backlog[Stream],MATCH($A119,Backlog[Requirement ID],0))),"",INDEX(Backlog[Stream],MATCH($A119,Backlog[Requirement ID],0))),"")</f>
        <v/>
      </c>
      <c r="D119" s="1" t="str">
        <f aca="false">IFERROR(IF(ISBLANK(INDEX(Backlog[Stream Owner],MATCH($A119,Backlog[Requirement ID],0))),"",INDEX(Backlog[Stream Owner],MATCH($A119,Backlog[Requirement ID],0))),"")</f>
        <v/>
      </c>
      <c r="E119" s="1" t="str">
        <f aca="false">IFERROR(IF(ISBLANK(INDEX(Backlog[Jira Link],MATCH($A119,Backlog[Requirement ID],0))),"",INDEX(Backlog[Jira Link],MATCH($A119,Backlog[Requirement ID],0))),"")</f>
        <v/>
      </c>
      <c r="H119" s="1" t="str">
        <f aca="false">IFERROR(IF(ISBLANK(INDEX(SprintPlanning[Sprint],MATCH($A119,SprintPlanning[Requirement ID],0))),"",INDEX(SprintPlanning[Sprint],MATCH($A119,SprintPlanning[Requirement ID],0))),"")</f>
        <v/>
      </c>
      <c r="I119" s="1" t="str">
        <f aca="false">IFERROR(IF(ISBLANK(INDEX(Backlog[Status],MATCH($A119,Backlog[Requirement ID],0))),"",INDEX(Backlog[Status],MATCH($A119,Backlog[Requirement ID],0))),"")</f>
        <v/>
      </c>
      <c r="J119" s="1" t="str">
        <f aca="false">IFERROR(IF(ISBLANK(INDEX(Backlog[Priority],MATCH($A119,Backlog[Requirement ID],0))),"",INDEX(Backlog[Priority],MATCH($A119,Backlog[Requirement ID],0))),"")</f>
        <v/>
      </c>
      <c r="L119" s="57"/>
      <c r="M119" s="57"/>
      <c r="O119" s="57"/>
    </row>
    <row r="120" customFormat="false" ht="15" hidden="false" customHeight="true" outlineLevel="0" collapsed="false">
      <c r="A120" s="1" t="str">
        <f aca="false">Backlog!A120</f>
        <v/>
      </c>
      <c r="B120" s="1" t="str">
        <f aca="false">IFERROR(IF(ISBLANK(INDEX(Backlog[Requirement Name],MATCH($A120,Backlog[Requirement ID],0))),"",INDEX(Backlog[Requirement Name],MATCH($A120,Backlog[Requirement ID],0))),"")</f>
        <v/>
      </c>
      <c r="C120" s="1" t="str">
        <f aca="false">IFERROR(IF(ISBLANK(INDEX(Backlog[Stream],MATCH($A120,Backlog[Requirement ID],0))),"",INDEX(Backlog[Stream],MATCH($A120,Backlog[Requirement ID],0))),"")</f>
        <v/>
      </c>
      <c r="D120" s="1" t="str">
        <f aca="false">IFERROR(IF(ISBLANK(INDEX(Backlog[Stream Owner],MATCH($A120,Backlog[Requirement ID],0))),"",INDEX(Backlog[Stream Owner],MATCH($A120,Backlog[Requirement ID],0))),"")</f>
        <v/>
      </c>
      <c r="E120" s="1" t="str">
        <f aca="false">IFERROR(IF(ISBLANK(INDEX(Backlog[Jira Link],MATCH($A120,Backlog[Requirement ID],0))),"",INDEX(Backlog[Jira Link],MATCH($A120,Backlog[Requirement ID],0))),"")</f>
        <v/>
      </c>
      <c r="H120" s="1" t="str">
        <f aca="false">IFERROR(IF(ISBLANK(INDEX(SprintPlanning[Sprint],MATCH($A120,SprintPlanning[Requirement ID],0))),"",INDEX(SprintPlanning[Sprint],MATCH($A120,SprintPlanning[Requirement ID],0))),"")</f>
        <v/>
      </c>
      <c r="I120" s="1" t="str">
        <f aca="false">IFERROR(IF(ISBLANK(INDEX(Backlog[Status],MATCH($A120,Backlog[Requirement ID],0))),"",INDEX(Backlog[Status],MATCH($A120,Backlog[Requirement ID],0))),"")</f>
        <v/>
      </c>
      <c r="J120" s="1" t="str">
        <f aca="false">IFERROR(IF(ISBLANK(INDEX(Backlog[Priority],MATCH($A120,Backlog[Requirement ID],0))),"",INDEX(Backlog[Priority],MATCH($A120,Backlog[Requirement ID],0))),"")</f>
        <v/>
      </c>
      <c r="L120" s="57"/>
      <c r="M120" s="57"/>
      <c r="O120" s="57"/>
    </row>
    <row r="121" customFormat="false" ht="15" hidden="false" customHeight="true" outlineLevel="0" collapsed="false">
      <c r="A121" s="1" t="str">
        <f aca="false">Backlog!A121</f>
        <v/>
      </c>
      <c r="B121" s="1" t="str">
        <f aca="false">IFERROR(IF(ISBLANK(INDEX(Backlog[Requirement Name],MATCH($A121,Backlog[Requirement ID],0))),"",INDEX(Backlog[Requirement Name],MATCH($A121,Backlog[Requirement ID],0))),"")</f>
        <v/>
      </c>
      <c r="C121" s="1" t="str">
        <f aca="false">IFERROR(IF(ISBLANK(INDEX(Backlog[Stream],MATCH($A121,Backlog[Requirement ID],0))),"",INDEX(Backlog[Stream],MATCH($A121,Backlog[Requirement ID],0))),"")</f>
        <v/>
      </c>
      <c r="D121" s="1" t="str">
        <f aca="false">IFERROR(IF(ISBLANK(INDEX(Backlog[Stream Owner],MATCH($A121,Backlog[Requirement ID],0))),"",INDEX(Backlog[Stream Owner],MATCH($A121,Backlog[Requirement ID],0))),"")</f>
        <v/>
      </c>
      <c r="E121" s="1" t="str">
        <f aca="false">IFERROR(IF(ISBLANK(INDEX(Backlog[Jira Link],MATCH($A121,Backlog[Requirement ID],0))),"",INDEX(Backlog[Jira Link],MATCH($A121,Backlog[Requirement ID],0))),"")</f>
        <v/>
      </c>
      <c r="H121" s="1" t="str">
        <f aca="false">IFERROR(IF(ISBLANK(INDEX(SprintPlanning[Sprint],MATCH($A121,SprintPlanning[Requirement ID],0))),"",INDEX(SprintPlanning[Sprint],MATCH($A121,SprintPlanning[Requirement ID],0))),"")</f>
        <v/>
      </c>
      <c r="I121" s="1" t="str">
        <f aca="false">IFERROR(IF(ISBLANK(INDEX(Backlog[Status],MATCH($A121,Backlog[Requirement ID],0))),"",INDEX(Backlog[Status],MATCH($A121,Backlog[Requirement ID],0))),"")</f>
        <v/>
      </c>
      <c r="J121" s="1" t="str">
        <f aca="false">IFERROR(IF(ISBLANK(INDEX(Backlog[Priority],MATCH($A121,Backlog[Requirement ID],0))),"",INDEX(Backlog[Priority],MATCH($A121,Backlog[Requirement ID],0))),"")</f>
        <v/>
      </c>
      <c r="L121" s="57"/>
      <c r="M121" s="57"/>
      <c r="O121" s="57"/>
    </row>
    <row r="122" customFormat="false" ht="15" hidden="false" customHeight="true" outlineLevel="0" collapsed="false">
      <c r="A122" s="1" t="str">
        <f aca="false">Backlog!A122</f>
        <v/>
      </c>
      <c r="B122" s="1" t="str">
        <f aca="false">IFERROR(IF(ISBLANK(INDEX(Backlog[Requirement Name],MATCH($A122,Backlog[Requirement ID],0))),"",INDEX(Backlog[Requirement Name],MATCH($A122,Backlog[Requirement ID],0))),"")</f>
        <v/>
      </c>
      <c r="C122" s="1" t="str">
        <f aca="false">IFERROR(IF(ISBLANK(INDEX(Backlog[Stream],MATCH($A122,Backlog[Requirement ID],0))),"",INDEX(Backlog[Stream],MATCH($A122,Backlog[Requirement ID],0))),"")</f>
        <v/>
      </c>
      <c r="D122" s="1" t="str">
        <f aca="false">IFERROR(IF(ISBLANK(INDEX(Backlog[Stream Owner],MATCH($A122,Backlog[Requirement ID],0))),"",INDEX(Backlog[Stream Owner],MATCH($A122,Backlog[Requirement ID],0))),"")</f>
        <v/>
      </c>
      <c r="E122" s="1" t="str">
        <f aca="false">IFERROR(IF(ISBLANK(INDEX(Backlog[Jira Link],MATCH($A122,Backlog[Requirement ID],0))),"",INDEX(Backlog[Jira Link],MATCH($A122,Backlog[Requirement ID],0))),"")</f>
        <v/>
      </c>
      <c r="H122" s="1" t="str">
        <f aca="false">IFERROR(IF(ISBLANK(INDEX(SprintPlanning[Sprint],MATCH($A122,SprintPlanning[Requirement ID],0))),"",INDEX(SprintPlanning[Sprint],MATCH($A122,SprintPlanning[Requirement ID],0))),"")</f>
        <v/>
      </c>
      <c r="I122" s="1" t="str">
        <f aca="false">IFERROR(IF(ISBLANK(INDEX(Backlog[Status],MATCH($A122,Backlog[Requirement ID],0))),"",INDEX(Backlog[Status],MATCH($A122,Backlog[Requirement ID],0))),"")</f>
        <v/>
      </c>
      <c r="J122" s="1" t="str">
        <f aca="false">IFERROR(IF(ISBLANK(INDEX(Backlog[Priority],MATCH($A122,Backlog[Requirement ID],0))),"",INDEX(Backlog[Priority],MATCH($A122,Backlog[Requirement ID],0))),"")</f>
        <v/>
      </c>
      <c r="L122" s="57"/>
      <c r="M122" s="57"/>
      <c r="O122" s="57"/>
    </row>
    <row r="123" customFormat="false" ht="15" hidden="false" customHeight="true" outlineLevel="0" collapsed="false">
      <c r="A123" s="1" t="str">
        <f aca="false">Backlog!A123</f>
        <v/>
      </c>
      <c r="B123" s="1" t="str">
        <f aca="false">IFERROR(IF(ISBLANK(INDEX(Backlog[Requirement Name],MATCH($A123,Backlog[Requirement ID],0))),"",INDEX(Backlog[Requirement Name],MATCH($A123,Backlog[Requirement ID],0))),"")</f>
        <v/>
      </c>
      <c r="C123" s="1" t="str">
        <f aca="false">IFERROR(IF(ISBLANK(INDEX(Backlog[Stream],MATCH($A123,Backlog[Requirement ID],0))),"",INDEX(Backlog[Stream],MATCH($A123,Backlog[Requirement ID],0))),"")</f>
        <v/>
      </c>
      <c r="D123" s="1" t="str">
        <f aca="false">IFERROR(IF(ISBLANK(INDEX(Backlog[Stream Owner],MATCH($A123,Backlog[Requirement ID],0))),"",INDEX(Backlog[Stream Owner],MATCH($A123,Backlog[Requirement ID],0))),"")</f>
        <v/>
      </c>
      <c r="E123" s="1" t="str">
        <f aca="false">IFERROR(IF(ISBLANK(INDEX(Backlog[Jira Link],MATCH($A123,Backlog[Requirement ID],0))),"",INDEX(Backlog[Jira Link],MATCH($A123,Backlog[Requirement ID],0))),"")</f>
        <v/>
      </c>
      <c r="H123" s="1" t="str">
        <f aca="false">IFERROR(IF(ISBLANK(INDEX(SprintPlanning[Sprint],MATCH($A123,SprintPlanning[Requirement ID],0))),"",INDEX(SprintPlanning[Sprint],MATCH($A123,SprintPlanning[Requirement ID],0))),"")</f>
        <v/>
      </c>
      <c r="I123" s="1" t="str">
        <f aca="false">IFERROR(IF(ISBLANK(INDEX(Backlog[Status],MATCH($A123,Backlog[Requirement ID],0))),"",INDEX(Backlog[Status],MATCH($A123,Backlog[Requirement ID],0))),"")</f>
        <v/>
      </c>
      <c r="J123" s="1" t="str">
        <f aca="false">IFERROR(IF(ISBLANK(INDEX(Backlog[Priority],MATCH($A123,Backlog[Requirement ID],0))),"",INDEX(Backlog[Priority],MATCH($A123,Backlog[Requirement ID],0))),"")</f>
        <v/>
      </c>
      <c r="L123" s="57"/>
      <c r="M123" s="57"/>
      <c r="O123" s="57"/>
    </row>
    <row r="124" customFormat="false" ht="15" hidden="false" customHeight="true" outlineLevel="0" collapsed="false">
      <c r="A124" s="1" t="str">
        <f aca="false">Backlog!A124</f>
        <v/>
      </c>
      <c r="B124" s="1" t="str">
        <f aca="false">IFERROR(IF(ISBLANK(INDEX(Backlog[Requirement Name],MATCH($A124,Backlog[Requirement ID],0))),"",INDEX(Backlog[Requirement Name],MATCH($A124,Backlog[Requirement ID],0))),"")</f>
        <v/>
      </c>
      <c r="C124" s="1" t="str">
        <f aca="false">IFERROR(IF(ISBLANK(INDEX(Backlog[Stream],MATCH($A124,Backlog[Requirement ID],0))),"",INDEX(Backlog[Stream],MATCH($A124,Backlog[Requirement ID],0))),"")</f>
        <v/>
      </c>
      <c r="D124" s="1" t="str">
        <f aca="false">IFERROR(IF(ISBLANK(INDEX(Backlog[Stream Owner],MATCH($A124,Backlog[Requirement ID],0))),"",INDEX(Backlog[Stream Owner],MATCH($A124,Backlog[Requirement ID],0))),"")</f>
        <v/>
      </c>
      <c r="E124" s="1" t="str">
        <f aca="false">IFERROR(IF(ISBLANK(INDEX(Backlog[Jira Link],MATCH($A124,Backlog[Requirement ID],0))),"",INDEX(Backlog[Jira Link],MATCH($A124,Backlog[Requirement ID],0))),"")</f>
        <v/>
      </c>
      <c r="H124" s="1" t="str">
        <f aca="false">IFERROR(IF(ISBLANK(INDEX(SprintPlanning[Sprint],MATCH($A124,SprintPlanning[Requirement ID],0))),"",INDEX(SprintPlanning[Sprint],MATCH($A124,SprintPlanning[Requirement ID],0))),"")</f>
        <v/>
      </c>
      <c r="I124" s="1" t="str">
        <f aca="false">IFERROR(IF(ISBLANK(INDEX(Backlog[Status],MATCH($A124,Backlog[Requirement ID],0))),"",INDEX(Backlog[Status],MATCH($A124,Backlog[Requirement ID],0))),"")</f>
        <v/>
      </c>
      <c r="J124" s="1" t="str">
        <f aca="false">IFERROR(IF(ISBLANK(INDEX(Backlog[Priority],MATCH($A124,Backlog[Requirement ID],0))),"",INDEX(Backlog[Priority],MATCH($A124,Backlog[Requirement ID],0))),"")</f>
        <v/>
      </c>
      <c r="L124" s="57"/>
      <c r="M124" s="57"/>
      <c r="O124" s="57"/>
    </row>
    <row r="125" customFormat="false" ht="15" hidden="false" customHeight="true" outlineLevel="0" collapsed="false">
      <c r="A125" s="1" t="str">
        <f aca="false">Backlog!A125</f>
        <v/>
      </c>
      <c r="B125" s="1" t="str">
        <f aca="false">IFERROR(IF(ISBLANK(INDEX(Backlog[Requirement Name],MATCH($A125,Backlog[Requirement ID],0))),"",INDEX(Backlog[Requirement Name],MATCH($A125,Backlog[Requirement ID],0))),"")</f>
        <v/>
      </c>
      <c r="C125" s="1" t="str">
        <f aca="false">IFERROR(IF(ISBLANK(INDEX(Backlog[Stream],MATCH($A125,Backlog[Requirement ID],0))),"",INDEX(Backlog[Stream],MATCH($A125,Backlog[Requirement ID],0))),"")</f>
        <v/>
      </c>
      <c r="D125" s="1" t="str">
        <f aca="false">IFERROR(IF(ISBLANK(INDEX(Backlog[Stream Owner],MATCH($A125,Backlog[Requirement ID],0))),"",INDEX(Backlog[Stream Owner],MATCH($A125,Backlog[Requirement ID],0))),"")</f>
        <v/>
      </c>
      <c r="E125" s="1" t="str">
        <f aca="false">IFERROR(IF(ISBLANK(INDEX(Backlog[Jira Link],MATCH($A125,Backlog[Requirement ID],0))),"",INDEX(Backlog[Jira Link],MATCH($A125,Backlog[Requirement ID],0))),"")</f>
        <v/>
      </c>
      <c r="H125" s="1" t="str">
        <f aca="false">IFERROR(IF(ISBLANK(INDEX(SprintPlanning[Sprint],MATCH($A125,SprintPlanning[Requirement ID],0))),"",INDEX(SprintPlanning[Sprint],MATCH($A125,SprintPlanning[Requirement ID],0))),"")</f>
        <v/>
      </c>
      <c r="I125" s="1" t="str">
        <f aca="false">IFERROR(IF(ISBLANK(INDEX(Backlog[Status],MATCH($A125,Backlog[Requirement ID],0))),"",INDEX(Backlog[Status],MATCH($A125,Backlog[Requirement ID],0))),"")</f>
        <v/>
      </c>
      <c r="J125" s="1" t="str">
        <f aca="false">IFERROR(IF(ISBLANK(INDEX(Backlog[Priority],MATCH($A125,Backlog[Requirement ID],0))),"",INDEX(Backlog[Priority],MATCH($A125,Backlog[Requirement ID],0))),"")</f>
        <v/>
      </c>
      <c r="L125" s="57"/>
      <c r="M125" s="57"/>
      <c r="O125" s="57"/>
    </row>
    <row r="126" customFormat="false" ht="15" hidden="false" customHeight="true" outlineLevel="0" collapsed="false">
      <c r="A126" s="1" t="str">
        <f aca="false">Backlog!A126</f>
        <v/>
      </c>
      <c r="B126" s="1" t="str">
        <f aca="false">IFERROR(IF(ISBLANK(INDEX(Backlog[Requirement Name],MATCH($A126,Backlog[Requirement ID],0))),"",INDEX(Backlog[Requirement Name],MATCH($A126,Backlog[Requirement ID],0))),"")</f>
        <v/>
      </c>
      <c r="C126" s="1" t="str">
        <f aca="false">IFERROR(IF(ISBLANK(INDEX(Backlog[Stream],MATCH($A126,Backlog[Requirement ID],0))),"",INDEX(Backlog[Stream],MATCH($A126,Backlog[Requirement ID],0))),"")</f>
        <v/>
      </c>
      <c r="D126" s="1" t="str">
        <f aca="false">IFERROR(IF(ISBLANK(INDEX(Backlog[Stream Owner],MATCH($A126,Backlog[Requirement ID],0))),"",INDEX(Backlog[Stream Owner],MATCH($A126,Backlog[Requirement ID],0))),"")</f>
        <v/>
      </c>
      <c r="E126" s="1" t="str">
        <f aca="false">IFERROR(IF(ISBLANK(INDEX(Backlog[Jira Link],MATCH($A126,Backlog[Requirement ID],0))),"",INDEX(Backlog[Jira Link],MATCH($A126,Backlog[Requirement ID],0))),"")</f>
        <v/>
      </c>
      <c r="H126" s="1" t="str">
        <f aca="false">IFERROR(IF(ISBLANK(INDEX(SprintPlanning[Sprint],MATCH($A126,SprintPlanning[Requirement ID],0))),"",INDEX(SprintPlanning[Sprint],MATCH($A126,SprintPlanning[Requirement ID],0))),"")</f>
        <v/>
      </c>
      <c r="I126" s="1" t="str">
        <f aca="false">IFERROR(IF(ISBLANK(INDEX(Backlog[Status],MATCH($A126,Backlog[Requirement ID],0))),"",INDEX(Backlog[Status],MATCH($A126,Backlog[Requirement ID],0))),"")</f>
        <v/>
      </c>
      <c r="J126" s="1" t="str">
        <f aca="false">IFERROR(IF(ISBLANK(INDEX(Backlog[Priority],MATCH($A126,Backlog[Requirement ID],0))),"",INDEX(Backlog[Priority],MATCH($A126,Backlog[Requirement ID],0))),"")</f>
        <v/>
      </c>
      <c r="L126" s="57"/>
      <c r="M126" s="57"/>
      <c r="O126" s="57"/>
    </row>
    <row r="127" customFormat="false" ht="15" hidden="false" customHeight="true" outlineLevel="0" collapsed="false">
      <c r="A127" s="1" t="str">
        <f aca="false">Backlog!A127</f>
        <v/>
      </c>
      <c r="B127" s="1" t="str">
        <f aca="false">IFERROR(IF(ISBLANK(INDEX(Backlog[Requirement Name],MATCH($A127,Backlog[Requirement ID],0))),"",INDEX(Backlog[Requirement Name],MATCH($A127,Backlog[Requirement ID],0))),"")</f>
        <v/>
      </c>
      <c r="C127" s="1" t="str">
        <f aca="false">IFERROR(IF(ISBLANK(INDEX(Backlog[Stream],MATCH($A127,Backlog[Requirement ID],0))),"",INDEX(Backlog[Stream],MATCH($A127,Backlog[Requirement ID],0))),"")</f>
        <v/>
      </c>
      <c r="D127" s="1" t="str">
        <f aca="false">IFERROR(IF(ISBLANK(INDEX(Backlog[Stream Owner],MATCH($A127,Backlog[Requirement ID],0))),"",INDEX(Backlog[Stream Owner],MATCH($A127,Backlog[Requirement ID],0))),"")</f>
        <v/>
      </c>
      <c r="E127" s="1" t="str">
        <f aca="false">IFERROR(IF(ISBLANK(INDEX(Backlog[Jira Link],MATCH($A127,Backlog[Requirement ID],0))),"",INDEX(Backlog[Jira Link],MATCH($A127,Backlog[Requirement ID],0))),"")</f>
        <v/>
      </c>
      <c r="H127" s="1" t="str">
        <f aca="false">IFERROR(IF(ISBLANK(INDEX(SprintPlanning[Sprint],MATCH($A127,SprintPlanning[Requirement ID],0))),"",INDEX(SprintPlanning[Sprint],MATCH($A127,SprintPlanning[Requirement ID],0))),"")</f>
        <v/>
      </c>
      <c r="I127" s="1" t="str">
        <f aca="false">IFERROR(IF(ISBLANK(INDEX(Backlog[Status],MATCH($A127,Backlog[Requirement ID],0))),"",INDEX(Backlog[Status],MATCH($A127,Backlog[Requirement ID],0))),"")</f>
        <v/>
      </c>
      <c r="J127" s="1" t="str">
        <f aca="false">IFERROR(IF(ISBLANK(INDEX(Backlog[Priority],MATCH($A127,Backlog[Requirement ID],0))),"",INDEX(Backlog[Priority],MATCH($A127,Backlog[Requirement ID],0))),"")</f>
        <v/>
      </c>
      <c r="L127" s="57"/>
      <c r="M127" s="57"/>
      <c r="O127" s="57"/>
    </row>
    <row r="128" customFormat="false" ht="15" hidden="false" customHeight="true" outlineLevel="0" collapsed="false">
      <c r="A128" s="1" t="str">
        <f aca="false">Backlog!A128</f>
        <v/>
      </c>
      <c r="B128" s="1" t="str">
        <f aca="false">IFERROR(IF(ISBLANK(INDEX(Backlog[Requirement Name],MATCH($A128,Backlog[Requirement ID],0))),"",INDEX(Backlog[Requirement Name],MATCH($A128,Backlog[Requirement ID],0))),"")</f>
        <v/>
      </c>
      <c r="C128" s="1" t="str">
        <f aca="false">IFERROR(IF(ISBLANK(INDEX(Backlog[Stream],MATCH($A128,Backlog[Requirement ID],0))),"",INDEX(Backlog[Stream],MATCH($A128,Backlog[Requirement ID],0))),"")</f>
        <v/>
      </c>
      <c r="D128" s="1" t="str">
        <f aca="false">IFERROR(IF(ISBLANK(INDEX(Backlog[Stream Owner],MATCH($A128,Backlog[Requirement ID],0))),"",INDEX(Backlog[Stream Owner],MATCH($A128,Backlog[Requirement ID],0))),"")</f>
        <v/>
      </c>
      <c r="E128" s="1" t="str">
        <f aca="false">IFERROR(IF(ISBLANK(INDEX(Backlog[Jira Link],MATCH($A128,Backlog[Requirement ID],0))),"",INDEX(Backlog[Jira Link],MATCH($A128,Backlog[Requirement ID],0))),"")</f>
        <v/>
      </c>
      <c r="H128" s="1" t="str">
        <f aca="false">IFERROR(IF(ISBLANK(INDEX(SprintPlanning[Sprint],MATCH($A128,SprintPlanning[Requirement ID],0))),"",INDEX(SprintPlanning[Sprint],MATCH($A128,SprintPlanning[Requirement ID],0))),"")</f>
        <v/>
      </c>
      <c r="I128" s="1" t="str">
        <f aca="false">IFERROR(IF(ISBLANK(INDEX(Backlog[Status],MATCH($A128,Backlog[Requirement ID],0))),"",INDEX(Backlog[Status],MATCH($A128,Backlog[Requirement ID],0))),"")</f>
        <v/>
      </c>
      <c r="J128" s="1" t="str">
        <f aca="false">IFERROR(IF(ISBLANK(INDEX(Backlog[Priority],MATCH($A128,Backlog[Requirement ID],0))),"",INDEX(Backlog[Priority],MATCH($A128,Backlog[Requirement ID],0))),"")</f>
        <v/>
      </c>
      <c r="L128" s="57"/>
      <c r="M128" s="57"/>
      <c r="O128" s="57"/>
    </row>
    <row r="129" customFormat="false" ht="15" hidden="false" customHeight="true" outlineLevel="0" collapsed="false">
      <c r="A129" s="1" t="str">
        <f aca="false">Backlog!A129</f>
        <v/>
      </c>
      <c r="B129" s="1" t="str">
        <f aca="false">IFERROR(IF(ISBLANK(INDEX(Backlog[Requirement Name],MATCH($A129,Backlog[Requirement ID],0))),"",INDEX(Backlog[Requirement Name],MATCH($A129,Backlog[Requirement ID],0))),"")</f>
        <v/>
      </c>
      <c r="C129" s="1" t="str">
        <f aca="false">IFERROR(IF(ISBLANK(INDEX(Backlog[Stream],MATCH($A129,Backlog[Requirement ID],0))),"",INDEX(Backlog[Stream],MATCH($A129,Backlog[Requirement ID],0))),"")</f>
        <v/>
      </c>
      <c r="D129" s="1" t="str">
        <f aca="false">IFERROR(IF(ISBLANK(INDEX(Backlog[Stream Owner],MATCH($A129,Backlog[Requirement ID],0))),"",INDEX(Backlog[Stream Owner],MATCH($A129,Backlog[Requirement ID],0))),"")</f>
        <v/>
      </c>
      <c r="E129" s="1" t="str">
        <f aca="false">IFERROR(IF(ISBLANK(INDEX(Backlog[Jira Link],MATCH($A129,Backlog[Requirement ID],0))),"",INDEX(Backlog[Jira Link],MATCH($A129,Backlog[Requirement ID],0))),"")</f>
        <v/>
      </c>
      <c r="H129" s="1" t="str">
        <f aca="false">IFERROR(IF(ISBLANK(INDEX(SprintPlanning[Sprint],MATCH($A129,SprintPlanning[Requirement ID],0))),"",INDEX(SprintPlanning[Sprint],MATCH($A129,SprintPlanning[Requirement ID],0))),"")</f>
        <v/>
      </c>
      <c r="I129" s="1" t="str">
        <f aca="false">IFERROR(IF(ISBLANK(INDEX(Backlog[Status],MATCH($A129,Backlog[Requirement ID],0))),"",INDEX(Backlog[Status],MATCH($A129,Backlog[Requirement ID],0))),"")</f>
        <v/>
      </c>
      <c r="J129" s="1" t="str">
        <f aca="false">IFERROR(IF(ISBLANK(INDEX(Backlog[Priority],MATCH($A129,Backlog[Requirement ID],0))),"",INDEX(Backlog[Priority],MATCH($A129,Backlog[Requirement ID],0))),"")</f>
        <v/>
      </c>
      <c r="L129" s="57"/>
      <c r="M129" s="57"/>
      <c r="O129" s="57"/>
    </row>
    <row r="130" customFormat="false" ht="15" hidden="false" customHeight="true" outlineLevel="0" collapsed="false">
      <c r="A130" s="1" t="str">
        <f aca="false">Backlog!A130</f>
        <v/>
      </c>
      <c r="B130" s="1" t="str">
        <f aca="false">IFERROR(IF(ISBLANK(INDEX(Backlog[Requirement Name],MATCH($A130,Backlog[Requirement ID],0))),"",INDEX(Backlog[Requirement Name],MATCH($A130,Backlog[Requirement ID],0))),"")</f>
        <v/>
      </c>
      <c r="C130" s="1" t="str">
        <f aca="false">IFERROR(IF(ISBLANK(INDEX(Backlog[Stream],MATCH($A130,Backlog[Requirement ID],0))),"",INDEX(Backlog[Stream],MATCH($A130,Backlog[Requirement ID],0))),"")</f>
        <v/>
      </c>
      <c r="D130" s="1" t="str">
        <f aca="false">IFERROR(IF(ISBLANK(INDEX(Backlog[Stream Owner],MATCH($A130,Backlog[Requirement ID],0))),"",INDEX(Backlog[Stream Owner],MATCH($A130,Backlog[Requirement ID],0))),"")</f>
        <v/>
      </c>
      <c r="E130" s="1" t="str">
        <f aca="false">IFERROR(IF(ISBLANK(INDEX(Backlog[Jira Link],MATCH($A130,Backlog[Requirement ID],0))),"",INDEX(Backlog[Jira Link],MATCH($A130,Backlog[Requirement ID],0))),"")</f>
        <v/>
      </c>
      <c r="H130" s="1" t="str">
        <f aca="false">IFERROR(IF(ISBLANK(INDEX(SprintPlanning[Sprint],MATCH($A130,SprintPlanning[Requirement ID],0))),"",INDEX(SprintPlanning[Sprint],MATCH($A130,SprintPlanning[Requirement ID],0))),"")</f>
        <v/>
      </c>
      <c r="I130" s="1" t="str">
        <f aca="false">IFERROR(IF(ISBLANK(INDEX(Backlog[Status],MATCH($A130,Backlog[Requirement ID],0))),"",INDEX(Backlog[Status],MATCH($A130,Backlog[Requirement ID],0))),"")</f>
        <v/>
      </c>
      <c r="J130" s="1" t="str">
        <f aca="false">IFERROR(IF(ISBLANK(INDEX(Backlog[Priority],MATCH($A130,Backlog[Requirement ID],0))),"",INDEX(Backlog[Priority],MATCH($A130,Backlog[Requirement ID],0))),"")</f>
        <v/>
      </c>
      <c r="L130" s="57"/>
      <c r="M130" s="57"/>
      <c r="O130" s="57"/>
    </row>
    <row r="131" customFormat="false" ht="15" hidden="false" customHeight="true" outlineLevel="0" collapsed="false">
      <c r="A131" s="1" t="str">
        <f aca="false">Backlog!A131</f>
        <v/>
      </c>
      <c r="B131" s="1" t="str">
        <f aca="false">IFERROR(IF(ISBLANK(INDEX(Backlog[Requirement Name],MATCH($A131,Backlog[Requirement ID],0))),"",INDEX(Backlog[Requirement Name],MATCH($A131,Backlog[Requirement ID],0))),"")</f>
        <v/>
      </c>
      <c r="C131" s="1" t="str">
        <f aca="false">IFERROR(IF(ISBLANK(INDEX(Backlog[Stream],MATCH($A131,Backlog[Requirement ID],0))),"",INDEX(Backlog[Stream],MATCH($A131,Backlog[Requirement ID],0))),"")</f>
        <v/>
      </c>
      <c r="D131" s="1" t="str">
        <f aca="false">IFERROR(IF(ISBLANK(INDEX(Backlog[Stream Owner],MATCH($A131,Backlog[Requirement ID],0))),"",INDEX(Backlog[Stream Owner],MATCH($A131,Backlog[Requirement ID],0))),"")</f>
        <v/>
      </c>
      <c r="E131" s="1" t="str">
        <f aca="false">IFERROR(IF(ISBLANK(INDEX(Backlog[Jira Link],MATCH($A131,Backlog[Requirement ID],0))),"",INDEX(Backlog[Jira Link],MATCH($A131,Backlog[Requirement ID],0))),"")</f>
        <v/>
      </c>
      <c r="H131" s="1" t="str">
        <f aca="false">IFERROR(IF(ISBLANK(INDEX(SprintPlanning[Sprint],MATCH($A131,SprintPlanning[Requirement ID],0))),"",INDEX(SprintPlanning[Sprint],MATCH($A131,SprintPlanning[Requirement ID],0))),"")</f>
        <v/>
      </c>
      <c r="I131" s="1" t="str">
        <f aca="false">IFERROR(IF(ISBLANK(INDEX(Backlog[Status],MATCH($A131,Backlog[Requirement ID],0))),"",INDEX(Backlog[Status],MATCH($A131,Backlog[Requirement ID],0))),"")</f>
        <v/>
      </c>
      <c r="J131" s="1" t="str">
        <f aca="false">IFERROR(IF(ISBLANK(INDEX(Backlog[Priority],MATCH($A131,Backlog[Requirement ID],0))),"",INDEX(Backlog[Priority],MATCH($A131,Backlog[Requirement ID],0))),"")</f>
        <v/>
      </c>
      <c r="L131" s="57"/>
      <c r="M131" s="57"/>
      <c r="O131" s="57"/>
    </row>
    <row r="132" customFormat="false" ht="15" hidden="false" customHeight="true" outlineLevel="0" collapsed="false">
      <c r="A132" s="1" t="str">
        <f aca="false">Backlog!A132</f>
        <v/>
      </c>
      <c r="B132" s="1" t="str">
        <f aca="false">IFERROR(IF(ISBLANK(INDEX(Backlog[Requirement Name],MATCH($A132,Backlog[Requirement ID],0))),"",INDEX(Backlog[Requirement Name],MATCH($A132,Backlog[Requirement ID],0))),"")</f>
        <v/>
      </c>
      <c r="C132" s="1" t="str">
        <f aca="false">IFERROR(IF(ISBLANK(INDEX(Backlog[Stream],MATCH($A132,Backlog[Requirement ID],0))),"",INDEX(Backlog[Stream],MATCH($A132,Backlog[Requirement ID],0))),"")</f>
        <v/>
      </c>
      <c r="D132" s="1" t="str">
        <f aca="false">IFERROR(IF(ISBLANK(INDEX(Backlog[Stream Owner],MATCH($A132,Backlog[Requirement ID],0))),"",INDEX(Backlog[Stream Owner],MATCH($A132,Backlog[Requirement ID],0))),"")</f>
        <v/>
      </c>
      <c r="E132" s="1" t="str">
        <f aca="false">IFERROR(IF(ISBLANK(INDEX(Backlog[Jira Link],MATCH($A132,Backlog[Requirement ID],0))),"",INDEX(Backlog[Jira Link],MATCH($A132,Backlog[Requirement ID],0))),"")</f>
        <v/>
      </c>
      <c r="H132" s="1" t="str">
        <f aca="false">IFERROR(IF(ISBLANK(INDEX(SprintPlanning[Sprint],MATCH($A132,SprintPlanning[Requirement ID],0))),"",INDEX(SprintPlanning[Sprint],MATCH($A132,SprintPlanning[Requirement ID],0))),"")</f>
        <v/>
      </c>
      <c r="I132" s="1" t="str">
        <f aca="false">IFERROR(IF(ISBLANK(INDEX(Backlog[Status],MATCH($A132,Backlog[Requirement ID],0))),"",INDEX(Backlog[Status],MATCH($A132,Backlog[Requirement ID],0))),"")</f>
        <v/>
      </c>
      <c r="J132" s="1" t="str">
        <f aca="false">IFERROR(IF(ISBLANK(INDEX(Backlog[Priority],MATCH($A132,Backlog[Requirement ID],0))),"",INDEX(Backlog[Priority],MATCH($A132,Backlog[Requirement ID],0))),"")</f>
        <v/>
      </c>
      <c r="L132" s="57"/>
      <c r="M132" s="57"/>
      <c r="O132" s="57"/>
    </row>
    <row r="133" customFormat="false" ht="15" hidden="false" customHeight="true" outlineLevel="0" collapsed="false">
      <c r="A133" s="1" t="str">
        <f aca="false">Backlog!A133</f>
        <v/>
      </c>
      <c r="B133" s="1" t="str">
        <f aca="false">IFERROR(IF(ISBLANK(INDEX(Backlog[Requirement Name],MATCH($A133,Backlog[Requirement ID],0))),"",INDEX(Backlog[Requirement Name],MATCH($A133,Backlog[Requirement ID],0))),"")</f>
        <v/>
      </c>
      <c r="C133" s="1" t="str">
        <f aca="false">IFERROR(IF(ISBLANK(INDEX(Backlog[Stream],MATCH($A133,Backlog[Requirement ID],0))),"",INDEX(Backlog[Stream],MATCH($A133,Backlog[Requirement ID],0))),"")</f>
        <v/>
      </c>
      <c r="D133" s="1" t="str">
        <f aca="false">IFERROR(IF(ISBLANK(INDEX(Backlog[Stream Owner],MATCH($A133,Backlog[Requirement ID],0))),"",INDEX(Backlog[Stream Owner],MATCH($A133,Backlog[Requirement ID],0))),"")</f>
        <v/>
      </c>
      <c r="E133" s="1" t="str">
        <f aca="false">IFERROR(IF(ISBLANK(INDEX(Backlog[Jira Link],MATCH($A133,Backlog[Requirement ID],0))),"",INDEX(Backlog[Jira Link],MATCH($A133,Backlog[Requirement ID],0))),"")</f>
        <v/>
      </c>
      <c r="H133" s="1" t="str">
        <f aca="false">IFERROR(IF(ISBLANK(INDEX(SprintPlanning[Sprint],MATCH($A133,SprintPlanning[Requirement ID],0))),"",INDEX(SprintPlanning[Sprint],MATCH($A133,SprintPlanning[Requirement ID],0))),"")</f>
        <v/>
      </c>
      <c r="I133" s="1" t="str">
        <f aca="false">IFERROR(IF(ISBLANK(INDEX(Backlog[Status],MATCH($A133,Backlog[Requirement ID],0))),"",INDEX(Backlog[Status],MATCH($A133,Backlog[Requirement ID],0))),"")</f>
        <v/>
      </c>
      <c r="J133" s="1" t="str">
        <f aca="false">IFERROR(IF(ISBLANK(INDEX(Backlog[Priority],MATCH($A133,Backlog[Requirement ID],0))),"",INDEX(Backlog[Priority],MATCH($A133,Backlog[Requirement ID],0))),"")</f>
        <v/>
      </c>
      <c r="L133" s="57"/>
      <c r="M133" s="57"/>
      <c r="O133" s="57"/>
    </row>
    <row r="134" customFormat="false" ht="15" hidden="false" customHeight="true" outlineLevel="0" collapsed="false">
      <c r="A134" s="1" t="str">
        <f aca="false">Backlog!A134</f>
        <v/>
      </c>
      <c r="B134" s="1" t="str">
        <f aca="false">IFERROR(IF(ISBLANK(INDEX(Backlog[Requirement Name],MATCH($A134,Backlog[Requirement ID],0))),"",INDEX(Backlog[Requirement Name],MATCH($A134,Backlog[Requirement ID],0))),"")</f>
        <v/>
      </c>
      <c r="C134" s="1" t="str">
        <f aca="false">IFERROR(IF(ISBLANK(INDEX(Backlog[Stream],MATCH($A134,Backlog[Requirement ID],0))),"",INDEX(Backlog[Stream],MATCH($A134,Backlog[Requirement ID],0))),"")</f>
        <v/>
      </c>
      <c r="D134" s="1" t="str">
        <f aca="false">IFERROR(IF(ISBLANK(INDEX(Backlog[Stream Owner],MATCH($A134,Backlog[Requirement ID],0))),"",INDEX(Backlog[Stream Owner],MATCH($A134,Backlog[Requirement ID],0))),"")</f>
        <v/>
      </c>
      <c r="E134" s="1" t="str">
        <f aca="false">IFERROR(IF(ISBLANK(INDEX(Backlog[Jira Link],MATCH($A134,Backlog[Requirement ID],0))),"",INDEX(Backlog[Jira Link],MATCH($A134,Backlog[Requirement ID],0))),"")</f>
        <v/>
      </c>
      <c r="H134" s="1" t="str">
        <f aca="false">IFERROR(IF(ISBLANK(INDEX(SprintPlanning[Sprint],MATCH($A134,SprintPlanning[Requirement ID],0))),"",INDEX(SprintPlanning[Sprint],MATCH($A134,SprintPlanning[Requirement ID],0))),"")</f>
        <v/>
      </c>
      <c r="I134" s="1" t="str">
        <f aca="false">IFERROR(IF(ISBLANK(INDEX(Backlog[Status],MATCH($A134,Backlog[Requirement ID],0))),"",INDEX(Backlog[Status],MATCH($A134,Backlog[Requirement ID],0))),"")</f>
        <v/>
      </c>
      <c r="J134" s="1" t="str">
        <f aca="false">IFERROR(IF(ISBLANK(INDEX(Backlog[Priority],MATCH($A134,Backlog[Requirement ID],0))),"",INDEX(Backlog[Priority],MATCH($A134,Backlog[Requirement ID],0))),"")</f>
        <v/>
      </c>
      <c r="L134" s="57"/>
      <c r="M134" s="57"/>
      <c r="O134" s="57"/>
    </row>
    <row r="135" customFormat="false" ht="23.25" hidden="false" customHeight="true" outlineLevel="0" collapsed="false">
      <c r="A135" s="1" t="str">
        <f aca="false">Backlog!A135</f>
        <v/>
      </c>
      <c r="B135" s="1" t="str">
        <f aca="false">IFERROR(IF(ISBLANK(INDEX(Backlog[Requirement Name],MATCH($A135,Backlog[Requirement ID],0))),"",INDEX(Backlog[Requirement Name],MATCH($A135,Backlog[Requirement ID],0))),"")</f>
        <v/>
      </c>
      <c r="C135" s="1" t="str">
        <f aca="false">IFERROR(IF(ISBLANK(INDEX(Backlog[Stream],MATCH($A135,Backlog[Requirement ID],0))),"",INDEX(Backlog[Stream],MATCH($A135,Backlog[Requirement ID],0))),"")</f>
        <v/>
      </c>
      <c r="D135" s="1" t="str">
        <f aca="false">IFERROR(IF(ISBLANK(INDEX(Backlog[Stream Owner],MATCH($A135,Backlog[Requirement ID],0))),"",INDEX(Backlog[Stream Owner],MATCH($A135,Backlog[Requirement ID],0))),"")</f>
        <v/>
      </c>
      <c r="E135" s="1" t="str">
        <f aca="false">IFERROR(IF(ISBLANK(INDEX(Backlog[Jira Link],MATCH($A135,Backlog[Requirement ID],0))),"",INDEX(Backlog[Jira Link],MATCH($A135,Backlog[Requirement ID],0))),"")</f>
        <v/>
      </c>
      <c r="H135" s="1" t="str">
        <f aca="false">IFERROR(IF(ISBLANK(INDEX(SprintPlanning[Sprint],MATCH($A135,SprintPlanning[Requirement ID],0))),"",INDEX(SprintPlanning[Sprint],MATCH($A135,SprintPlanning[Requirement ID],0))),"")</f>
        <v/>
      </c>
      <c r="I135" s="1" t="str">
        <f aca="false">IFERROR(IF(ISBLANK(INDEX(Backlog[Status],MATCH($A135,Backlog[Requirement ID],0))),"",INDEX(Backlog[Status],MATCH($A135,Backlog[Requirement ID],0))),"")</f>
        <v/>
      </c>
      <c r="J135" s="1" t="str">
        <f aca="false">IFERROR(IF(ISBLANK(INDEX(Backlog[Priority],MATCH($A135,Backlog[Requirement ID],0))),"",INDEX(Backlog[Priority],MATCH($A135,Backlog[Requirement ID],0))),"")</f>
        <v/>
      </c>
      <c r="L135" s="57"/>
      <c r="M135" s="57"/>
      <c r="O135" s="57"/>
    </row>
    <row r="136" customFormat="false" ht="15" hidden="false" customHeight="true" outlineLevel="0" collapsed="false">
      <c r="A136" s="1" t="str">
        <f aca="false">Backlog!A136</f>
        <v/>
      </c>
      <c r="B136" s="1" t="str">
        <f aca="false">IFERROR(IF(ISBLANK(INDEX(Backlog[Requirement Name],MATCH($A136,Backlog[Requirement ID],0))),"",INDEX(Backlog[Requirement Name],MATCH($A136,Backlog[Requirement ID],0))),"")</f>
        <v/>
      </c>
      <c r="C136" s="1" t="str">
        <f aca="false">IFERROR(IF(ISBLANK(INDEX(Backlog[Stream],MATCH($A136,Backlog[Requirement ID],0))),"",INDEX(Backlog[Stream],MATCH($A136,Backlog[Requirement ID],0))),"")</f>
        <v/>
      </c>
      <c r="D136" s="1" t="str">
        <f aca="false">IFERROR(IF(ISBLANK(INDEX(Backlog[Stream Owner],MATCH($A136,Backlog[Requirement ID],0))),"",INDEX(Backlog[Stream Owner],MATCH($A136,Backlog[Requirement ID],0))),"")</f>
        <v/>
      </c>
      <c r="E136" s="1" t="str">
        <f aca="false">IFERROR(IF(ISBLANK(INDEX(Backlog[Jira Link],MATCH($A136,Backlog[Requirement ID],0))),"",INDEX(Backlog[Jira Link],MATCH($A136,Backlog[Requirement ID],0))),"")</f>
        <v/>
      </c>
      <c r="H136" s="1" t="str">
        <f aca="false">IFERROR(IF(ISBLANK(INDEX(SprintPlanning[Sprint],MATCH($A136,SprintPlanning[Requirement ID],0))),"",INDEX(SprintPlanning[Sprint],MATCH($A136,SprintPlanning[Requirement ID],0))),"")</f>
        <v/>
      </c>
      <c r="I136" s="1" t="str">
        <f aca="false">IFERROR(IF(ISBLANK(INDEX(Backlog[Status],MATCH($A136,Backlog[Requirement ID],0))),"",INDEX(Backlog[Status],MATCH($A136,Backlog[Requirement ID],0))),"")</f>
        <v/>
      </c>
      <c r="J136" s="1" t="str">
        <f aca="false">IFERROR(IF(ISBLANK(INDEX(Backlog[Priority],MATCH($A136,Backlog[Requirement ID],0))),"",INDEX(Backlog[Priority],MATCH($A136,Backlog[Requirement ID],0))),"")</f>
        <v/>
      </c>
      <c r="L136" s="57"/>
      <c r="M136" s="57"/>
      <c r="O136" s="57"/>
    </row>
    <row r="137" customFormat="false" ht="15" hidden="false" customHeight="true" outlineLevel="0" collapsed="false">
      <c r="A137" s="1" t="str">
        <f aca="false">Backlog!A137</f>
        <v/>
      </c>
      <c r="B137" s="1" t="str">
        <f aca="false">IFERROR(IF(ISBLANK(INDEX(Backlog[Requirement Name],MATCH($A137,Backlog[Requirement ID],0))),"",INDEX(Backlog[Requirement Name],MATCH($A137,Backlog[Requirement ID],0))),"")</f>
        <v/>
      </c>
      <c r="C137" s="1" t="str">
        <f aca="false">IFERROR(IF(ISBLANK(INDEX(Backlog[Stream],MATCH($A137,Backlog[Requirement ID],0))),"",INDEX(Backlog[Stream],MATCH($A137,Backlog[Requirement ID],0))),"")</f>
        <v/>
      </c>
      <c r="D137" s="1" t="str">
        <f aca="false">IFERROR(IF(ISBLANK(INDEX(Backlog[Stream Owner],MATCH($A137,Backlog[Requirement ID],0))),"",INDEX(Backlog[Stream Owner],MATCH($A137,Backlog[Requirement ID],0))),"")</f>
        <v/>
      </c>
      <c r="E137" s="1" t="str">
        <f aca="false">IFERROR(IF(ISBLANK(INDEX(Backlog[Jira Link],MATCH($A137,Backlog[Requirement ID],0))),"",INDEX(Backlog[Jira Link],MATCH($A137,Backlog[Requirement ID],0))),"")</f>
        <v/>
      </c>
      <c r="H137" s="1" t="str">
        <f aca="false">IFERROR(IF(ISBLANK(INDEX(SprintPlanning[Sprint],MATCH($A137,SprintPlanning[Requirement ID],0))),"",INDEX(SprintPlanning[Sprint],MATCH($A137,SprintPlanning[Requirement ID],0))),"")</f>
        <v/>
      </c>
      <c r="I137" s="1" t="str">
        <f aca="false">IFERROR(IF(ISBLANK(INDEX(Backlog[Status],MATCH($A137,Backlog[Requirement ID],0))),"",INDEX(Backlog[Status],MATCH($A137,Backlog[Requirement ID],0))),"")</f>
        <v/>
      </c>
      <c r="J137" s="1" t="str">
        <f aca="false">IFERROR(IF(ISBLANK(INDEX(Backlog[Priority],MATCH($A137,Backlog[Requirement ID],0))),"",INDEX(Backlog[Priority],MATCH($A137,Backlog[Requirement ID],0))),"")</f>
        <v/>
      </c>
      <c r="L137" s="57"/>
      <c r="M137" s="57"/>
      <c r="O137" s="57"/>
    </row>
    <row r="138" customFormat="false" ht="15" hidden="false" customHeight="true" outlineLevel="0" collapsed="false">
      <c r="A138" s="1" t="str">
        <f aca="false">Backlog!A138</f>
        <v/>
      </c>
      <c r="B138" s="1" t="str">
        <f aca="false">IFERROR(IF(ISBLANK(INDEX(Backlog[Requirement Name],MATCH($A138,Backlog[Requirement ID],0))),"",INDEX(Backlog[Requirement Name],MATCH($A138,Backlog[Requirement ID],0))),"")</f>
        <v/>
      </c>
      <c r="C138" s="1" t="str">
        <f aca="false">IFERROR(IF(ISBLANK(INDEX(Backlog[Stream],MATCH($A138,Backlog[Requirement ID],0))),"",INDEX(Backlog[Stream],MATCH($A138,Backlog[Requirement ID],0))),"")</f>
        <v/>
      </c>
      <c r="D138" s="1" t="str">
        <f aca="false">IFERROR(IF(ISBLANK(INDEX(Backlog[Stream Owner],MATCH($A138,Backlog[Requirement ID],0))),"",INDEX(Backlog[Stream Owner],MATCH($A138,Backlog[Requirement ID],0))),"")</f>
        <v/>
      </c>
      <c r="E138" s="1" t="str">
        <f aca="false">IFERROR(IF(ISBLANK(INDEX(Backlog[Jira Link],MATCH($A138,Backlog[Requirement ID],0))),"",INDEX(Backlog[Jira Link],MATCH($A138,Backlog[Requirement ID],0))),"")</f>
        <v/>
      </c>
      <c r="H138" s="1" t="str">
        <f aca="false">IFERROR(IF(ISBLANK(INDEX(SprintPlanning[Sprint],MATCH($A138,SprintPlanning[Requirement ID],0))),"",INDEX(SprintPlanning[Sprint],MATCH($A138,SprintPlanning[Requirement ID],0))),"")</f>
        <v/>
      </c>
      <c r="I138" s="1" t="str">
        <f aca="false">IFERROR(IF(ISBLANK(INDEX(Backlog[Status],MATCH($A138,Backlog[Requirement ID],0))),"",INDEX(Backlog[Status],MATCH($A138,Backlog[Requirement ID],0))),"")</f>
        <v/>
      </c>
      <c r="J138" s="1" t="str">
        <f aca="false">IFERROR(IF(ISBLANK(INDEX(Backlog[Priority],MATCH($A138,Backlog[Requirement ID],0))),"",INDEX(Backlog[Priority],MATCH($A138,Backlog[Requirement ID],0))),"")</f>
        <v/>
      </c>
      <c r="L138" s="57"/>
      <c r="M138" s="57"/>
      <c r="O138" s="57"/>
    </row>
    <row r="139" customFormat="false" ht="15" hidden="false" customHeight="true" outlineLevel="0" collapsed="false">
      <c r="A139" s="1" t="str">
        <f aca="false">Backlog!A139</f>
        <v/>
      </c>
      <c r="B139" s="1" t="str">
        <f aca="false">IFERROR(IF(ISBLANK(INDEX(Backlog[Requirement Name],MATCH($A139,Backlog[Requirement ID],0))),"",INDEX(Backlog[Requirement Name],MATCH($A139,Backlog[Requirement ID],0))),"")</f>
        <v/>
      </c>
      <c r="C139" s="1" t="str">
        <f aca="false">IFERROR(IF(ISBLANK(INDEX(Backlog[Stream],MATCH($A139,Backlog[Requirement ID],0))),"",INDEX(Backlog[Stream],MATCH($A139,Backlog[Requirement ID],0))),"")</f>
        <v/>
      </c>
      <c r="D139" s="1" t="str">
        <f aca="false">IFERROR(IF(ISBLANK(INDEX(Backlog[Stream Owner],MATCH($A139,Backlog[Requirement ID],0))),"",INDEX(Backlog[Stream Owner],MATCH($A139,Backlog[Requirement ID],0))),"")</f>
        <v/>
      </c>
      <c r="E139" s="1" t="str">
        <f aca="false">IFERROR(IF(ISBLANK(INDEX(Backlog[Jira Link],MATCH($A139,Backlog[Requirement ID],0))),"",INDEX(Backlog[Jira Link],MATCH($A139,Backlog[Requirement ID],0))),"")</f>
        <v/>
      </c>
      <c r="H139" s="1" t="str">
        <f aca="false">IFERROR(IF(ISBLANK(INDEX(SprintPlanning[Sprint],MATCH($A139,SprintPlanning[Requirement ID],0))),"",INDEX(SprintPlanning[Sprint],MATCH($A139,SprintPlanning[Requirement ID],0))),"")</f>
        <v/>
      </c>
      <c r="I139" s="1" t="str">
        <f aca="false">IFERROR(IF(ISBLANK(INDEX(Backlog[Status],MATCH($A139,Backlog[Requirement ID],0))),"",INDEX(Backlog[Status],MATCH($A139,Backlog[Requirement ID],0))),"")</f>
        <v/>
      </c>
      <c r="J139" s="1" t="str">
        <f aca="false">IFERROR(IF(ISBLANK(INDEX(Backlog[Priority],MATCH($A139,Backlog[Requirement ID],0))),"",INDEX(Backlog[Priority],MATCH($A139,Backlog[Requirement ID],0))),"")</f>
        <v/>
      </c>
      <c r="L139" s="57"/>
      <c r="M139" s="57"/>
      <c r="O139" s="57"/>
    </row>
    <row r="140" customFormat="false" ht="15" hidden="false" customHeight="true" outlineLevel="0" collapsed="false">
      <c r="A140" s="1" t="str">
        <f aca="false">Backlog!A140</f>
        <v/>
      </c>
      <c r="B140" s="1" t="str">
        <f aca="false">IFERROR(IF(ISBLANK(INDEX(Backlog[Requirement Name],MATCH($A140,Backlog[Requirement ID],0))),"",INDEX(Backlog[Requirement Name],MATCH($A140,Backlog[Requirement ID],0))),"")</f>
        <v/>
      </c>
      <c r="C140" s="1" t="str">
        <f aca="false">IFERROR(IF(ISBLANK(INDEX(Backlog[Stream],MATCH($A140,Backlog[Requirement ID],0))),"",INDEX(Backlog[Stream],MATCH($A140,Backlog[Requirement ID],0))),"")</f>
        <v/>
      </c>
      <c r="D140" s="1" t="str">
        <f aca="false">IFERROR(IF(ISBLANK(INDEX(Backlog[Stream Owner],MATCH($A140,Backlog[Requirement ID],0))),"",INDEX(Backlog[Stream Owner],MATCH($A140,Backlog[Requirement ID],0))),"")</f>
        <v/>
      </c>
      <c r="E140" s="1" t="str">
        <f aca="false">IFERROR(IF(ISBLANK(INDEX(Backlog[Jira Link],MATCH($A140,Backlog[Requirement ID],0))),"",INDEX(Backlog[Jira Link],MATCH($A140,Backlog[Requirement ID],0))),"")</f>
        <v/>
      </c>
      <c r="H140" s="1" t="str">
        <f aca="false">IFERROR(IF(ISBLANK(INDEX(SprintPlanning[Sprint],MATCH($A140,SprintPlanning[Requirement ID],0))),"",INDEX(SprintPlanning[Sprint],MATCH($A140,SprintPlanning[Requirement ID],0))),"")</f>
        <v/>
      </c>
      <c r="I140" s="1" t="str">
        <f aca="false">IFERROR(IF(ISBLANK(INDEX(Backlog[Status],MATCH($A140,Backlog[Requirement ID],0))),"",INDEX(Backlog[Status],MATCH($A140,Backlog[Requirement ID],0))),"")</f>
        <v/>
      </c>
      <c r="J140" s="1" t="str">
        <f aca="false">IFERROR(IF(ISBLANK(INDEX(Backlog[Priority],MATCH($A140,Backlog[Requirement ID],0))),"",INDEX(Backlog[Priority],MATCH($A140,Backlog[Requirement ID],0))),"")</f>
        <v/>
      </c>
      <c r="L140" s="57"/>
      <c r="M140" s="57"/>
      <c r="O140" s="57"/>
    </row>
    <row r="141" customFormat="false" ht="15" hidden="false" customHeight="true" outlineLevel="0" collapsed="false">
      <c r="A141" s="1" t="str">
        <f aca="false">Backlog!A141</f>
        <v/>
      </c>
      <c r="B141" s="1" t="str">
        <f aca="false">IFERROR(IF(ISBLANK(INDEX(Backlog[Requirement Name],MATCH($A141,Backlog[Requirement ID],0))),"",INDEX(Backlog[Requirement Name],MATCH($A141,Backlog[Requirement ID],0))),"")</f>
        <v/>
      </c>
      <c r="C141" s="1" t="str">
        <f aca="false">IFERROR(IF(ISBLANK(INDEX(Backlog[Stream],MATCH($A141,Backlog[Requirement ID],0))),"",INDEX(Backlog[Stream],MATCH($A141,Backlog[Requirement ID],0))),"")</f>
        <v/>
      </c>
      <c r="D141" s="1" t="str">
        <f aca="false">IFERROR(IF(ISBLANK(INDEX(Backlog[Stream Owner],MATCH($A141,Backlog[Requirement ID],0))),"",INDEX(Backlog[Stream Owner],MATCH($A141,Backlog[Requirement ID],0))),"")</f>
        <v/>
      </c>
      <c r="E141" s="1" t="str">
        <f aca="false">IFERROR(IF(ISBLANK(INDEX(Backlog[Jira Link],MATCH($A141,Backlog[Requirement ID],0))),"",INDEX(Backlog[Jira Link],MATCH($A141,Backlog[Requirement ID],0))),"")</f>
        <v/>
      </c>
      <c r="H141" s="1" t="str">
        <f aca="false">IFERROR(IF(ISBLANK(INDEX(SprintPlanning[Sprint],MATCH($A141,SprintPlanning[Requirement ID],0))),"",INDEX(SprintPlanning[Sprint],MATCH($A141,SprintPlanning[Requirement ID],0))),"")</f>
        <v/>
      </c>
      <c r="I141" s="1" t="str">
        <f aca="false">IFERROR(IF(ISBLANK(INDEX(Backlog[Status],MATCH($A141,Backlog[Requirement ID],0))),"",INDEX(Backlog[Status],MATCH($A141,Backlog[Requirement ID],0))),"")</f>
        <v/>
      </c>
      <c r="J141" s="1" t="str">
        <f aca="false">IFERROR(IF(ISBLANK(INDEX(Backlog[Priority],MATCH($A141,Backlog[Requirement ID],0))),"",INDEX(Backlog[Priority],MATCH($A141,Backlog[Requirement ID],0))),"")</f>
        <v/>
      </c>
      <c r="L141" s="57"/>
      <c r="M141" s="57"/>
      <c r="O141" s="57"/>
    </row>
    <row r="142" customFormat="false" ht="15" hidden="false" customHeight="true" outlineLevel="0" collapsed="false">
      <c r="A142" s="1" t="str">
        <f aca="false">Backlog!A142</f>
        <v/>
      </c>
      <c r="B142" s="1" t="str">
        <f aca="false">IFERROR(IF(ISBLANK(INDEX(Backlog[Requirement Name],MATCH($A142,Backlog[Requirement ID],0))),"",INDEX(Backlog[Requirement Name],MATCH($A142,Backlog[Requirement ID],0))),"")</f>
        <v/>
      </c>
      <c r="C142" s="1" t="str">
        <f aca="false">IFERROR(IF(ISBLANK(INDEX(Backlog[Stream],MATCH($A142,Backlog[Requirement ID],0))),"",INDEX(Backlog[Stream],MATCH($A142,Backlog[Requirement ID],0))),"")</f>
        <v/>
      </c>
      <c r="D142" s="1" t="str">
        <f aca="false">IFERROR(IF(ISBLANK(INDEX(Backlog[Stream Owner],MATCH($A142,Backlog[Requirement ID],0))),"",INDEX(Backlog[Stream Owner],MATCH($A142,Backlog[Requirement ID],0))),"")</f>
        <v/>
      </c>
      <c r="E142" s="1" t="str">
        <f aca="false">IFERROR(IF(ISBLANK(INDEX(Backlog[Jira Link],MATCH($A142,Backlog[Requirement ID],0))),"",INDEX(Backlog[Jira Link],MATCH($A142,Backlog[Requirement ID],0))),"")</f>
        <v/>
      </c>
      <c r="H142" s="1" t="str">
        <f aca="false">IFERROR(IF(ISBLANK(INDEX(SprintPlanning[Sprint],MATCH($A142,SprintPlanning[Requirement ID],0))),"",INDEX(SprintPlanning[Sprint],MATCH($A142,SprintPlanning[Requirement ID],0))),"")</f>
        <v/>
      </c>
      <c r="I142" s="1" t="str">
        <f aca="false">IFERROR(IF(ISBLANK(INDEX(Backlog[Status],MATCH($A142,Backlog[Requirement ID],0))),"",INDEX(Backlog[Status],MATCH($A142,Backlog[Requirement ID],0))),"")</f>
        <v/>
      </c>
      <c r="J142" s="1" t="str">
        <f aca="false">IFERROR(IF(ISBLANK(INDEX(Backlog[Priority],MATCH($A142,Backlog[Requirement ID],0))),"",INDEX(Backlog[Priority],MATCH($A142,Backlog[Requirement ID],0))),"")</f>
        <v/>
      </c>
      <c r="L142" s="57"/>
      <c r="M142" s="57"/>
      <c r="O142" s="57"/>
    </row>
    <row r="143" customFormat="false" ht="15" hidden="false" customHeight="true" outlineLevel="0" collapsed="false">
      <c r="A143" s="1" t="str">
        <f aca="false">Backlog!A143</f>
        <v/>
      </c>
      <c r="B143" s="1" t="str">
        <f aca="false">IFERROR(IF(ISBLANK(INDEX(Backlog[Requirement Name],MATCH($A143,Backlog[Requirement ID],0))),"",INDEX(Backlog[Requirement Name],MATCH($A143,Backlog[Requirement ID],0))),"")</f>
        <v/>
      </c>
      <c r="C143" s="1" t="str">
        <f aca="false">IFERROR(IF(ISBLANK(INDEX(Backlog[Stream],MATCH($A143,Backlog[Requirement ID],0))),"",INDEX(Backlog[Stream],MATCH($A143,Backlog[Requirement ID],0))),"")</f>
        <v/>
      </c>
      <c r="D143" s="1" t="str">
        <f aca="false">IFERROR(IF(ISBLANK(INDEX(Backlog[Stream Owner],MATCH($A143,Backlog[Requirement ID],0))),"",INDEX(Backlog[Stream Owner],MATCH($A143,Backlog[Requirement ID],0))),"")</f>
        <v/>
      </c>
      <c r="E143" s="1" t="str">
        <f aca="false">IFERROR(IF(ISBLANK(INDEX(Backlog[Jira Link],MATCH($A143,Backlog[Requirement ID],0))),"",INDEX(Backlog[Jira Link],MATCH($A143,Backlog[Requirement ID],0))),"")</f>
        <v/>
      </c>
      <c r="H143" s="1" t="str">
        <f aca="false">IFERROR(IF(ISBLANK(INDEX(SprintPlanning[Sprint],MATCH($A143,SprintPlanning[Requirement ID],0))),"",INDEX(SprintPlanning[Sprint],MATCH($A143,SprintPlanning[Requirement ID],0))),"")</f>
        <v/>
      </c>
      <c r="I143" s="1" t="str">
        <f aca="false">IFERROR(IF(ISBLANK(INDEX(Backlog[Status],MATCH($A143,Backlog[Requirement ID],0))),"",INDEX(Backlog[Status],MATCH($A143,Backlog[Requirement ID],0))),"")</f>
        <v/>
      </c>
      <c r="J143" s="1" t="str">
        <f aca="false">IFERROR(IF(ISBLANK(INDEX(Backlog[Priority],MATCH($A143,Backlog[Requirement ID],0))),"",INDEX(Backlog[Priority],MATCH($A143,Backlog[Requirement ID],0))),"")</f>
        <v/>
      </c>
      <c r="L143" s="57"/>
      <c r="M143" s="57"/>
      <c r="O143" s="57"/>
    </row>
    <row r="144" customFormat="false" ht="15" hidden="false" customHeight="true" outlineLevel="0" collapsed="false">
      <c r="A144" s="1" t="str">
        <f aca="false">Backlog!A144</f>
        <v/>
      </c>
      <c r="B144" s="1" t="str">
        <f aca="false">IFERROR(IF(ISBLANK(INDEX(Backlog[Requirement Name],MATCH($A144,Backlog[Requirement ID],0))),"",INDEX(Backlog[Requirement Name],MATCH($A144,Backlog[Requirement ID],0))),"")</f>
        <v/>
      </c>
      <c r="C144" s="1" t="str">
        <f aca="false">IFERROR(IF(ISBLANK(INDEX(Backlog[Stream],MATCH($A144,Backlog[Requirement ID],0))),"",INDEX(Backlog[Stream],MATCH($A144,Backlog[Requirement ID],0))),"")</f>
        <v/>
      </c>
      <c r="D144" s="1" t="str">
        <f aca="false">IFERROR(IF(ISBLANK(INDEX(Backlog[Stream Owner],MATCH($A144,Backlog[Requirement ID],0))),"",INDEX(Backlog[Stream Owner],MATCH($A144,Backlog[Requirement ID],0))),"")</f>
        <v/>
      </c>
      <c r="E144" s="1" t="str">
        <f aca="false">IFERROR(IF(ISBLANK(INDEX(Backlog[Jira Link],MATCH($A144,Backlog[Requirement ID],0))),"",INDEX(Backlog[Jira Link],MATCH($A144,Backlog[Requirement ID],0))),"")</f>
        <v/>
      </c>
      <c r="H144" s="1" t="str">
        <f aca="false">IFERROR(IF(ISBLANK(INDEX(SprintPlanning[Sprint],MATCH($A144,SprintPlanning[Requirement ID],0))),"",INDEX(SprintPlanning[Sprint],MATCH($A144,SprintPlanning[Requirement ID],0))),"")</f>
        <v/>
      </c>
      <c r="I144" s="1" t="str">
        <f aca="false">IFERROR(IF(ISBLANK(INDEX(Backlog[Status],MATCH($A144,Backlog[Requirement ID],0))),"",INDEX(Backlog[Status],MATCH($A144,Backlog[Requirement ID],0))),"")</f>
        <v/>
      </c>
      <c r="J144" s="1" t="str">
        <f aca="false">IFERROR(IF(ISBLANK(INDEX(Backlog[Priority],MATCH($A144,Backlog[Requirement ID],0))),"",INDEX(Backlog[Priority],MATCH($A144,Backlog[Requirement ID],0))),"")</f>
        <v/>
      </c>
      <c r="L144" s="57"/>
      <c r="M144" s="57"/>
      <c r="O144" s="57"/>
    </row>
    <row r="145" customFormat="false" ht="15" hidden="false" customHeight="true" outlineLevel="0" collapsed="false">
      <c r="A145" s="1" t="str">
        <f aca="false">Backlog!A145</f>
        <v/>
      </c>
      <c r="B145" s="1" t="str">
        <f aca="false">IFERROR(IF(ISBLANK(INDEX(Backlog[Requirement Name],MATCH($A145,Backlog[Requirement ID],0))),"",INDEX(Backlog[Requirement Name],MATCH($A145,Backlog[Requirement ID],0))),"")</f>
        <v/>
      </c>
      <c r="C145" s="1" t="str">
        <f aca="false">IFERROR(IF(ISBLANK(INDEX(Backlog[Stream],MATCH($A145,Backlog[Requirement ID],0))),"",INDEX(Backlog[Stream],MATCH($A145,Backlog[Requirement ID],0))),"")</f>
        <v/>
      </c>
      <c r="D145" s="1" t="str">
        <f aca="false">IFERROR(IF(ISBLANK(INDEX(Backlog[Stream Owner],MATCH($A145,Backlog[Requirement ID],0))),"",INDEX(Backlog[Stream Owner],MATCH($A145,Backlog[Requirement ID],0))),"")</f>
        <v/>
      </c>
      <c r="E145" s="1" t="str">
        <f aca="false">IFERROR(IF(ISBLANK(INDEX(Backlog[Jira Link],MATCH($A145,Backlog[Requirement ID],0))),"",INDEX(Backlog[Jira Link],MATCH($A145,Backlog[Requirement ID],0))),"")</f>
        <v/>
      </c>
      <c r="H145" s="1" t="str">
        <f aca="false">IFERROR(IF(ISBLANK(INDEX(SprintPlanning[Sprint],MATCH($A145,SprintPlanning[Requirement ID],0))),"",INDEX(SprintPlanning[Sprint],MATCH($A145,SprintPlanning[Requirement ID],0))),"")</f>
        <v/>
      </c>
      <c r="I145" s="1" t="str">
        <f aca="false">IFERROR(IF(ISBLANK(INDEX(Backlog[Status],MATCH($A145,Backlog[Requirement ID],0))),"",INDEX(Backlog[Status],MATCH($A145,Backlog[Requirement ID],0))),"")</f>
        <v/>
      </c>
      <c r="J145" s="1" t="str">
        <f aca="false">IFERROR(IF(ISBLANK(INDEX(Backlog[Priority],MATCH($A145,Backlog[Requirement ID],0))),"",INDEX(Backlog[Priority],MATCH($A145,Backlog[Requirement ID],0))),"")</f>
        <v/>
      </c>
      <c r="L145" s="57"/>
      <c r="M145" s="57"/>
      <c r="O145" s="57"/>
    </row>
    <row r="146" customFormat="false" ht="15" hidden="false" customHeight="true" outlineLevel="0" collapsed="false">
      <c r="A146" s="1" t="str">
        <f aca="false">Backlog!A146</f>
        <v/>
      </c>
      <c r="B146" s="1" t="str">
        <f aca="false">IFERROR(IF(ISBLANK(INDEX(Backlog[Requirement Name],MATCH($A146,Backlog[Requirement ID],0))),"",INDEX(Backlog[Requirement Name],MATCH($A146,Backlog[Requirement ID],0))),"")</f>
        <v/>
      </c>
      <c r="C146" s="1" t="str">
        <f aca="false">IFERROR(IF(ISBLANK(INDEX(Backlog[Stream],MATCH($A146,Backlog[Requirement ID],0))),"",INDEX(Backlog[Stream],MATCH($A146,Backlog[Requirement ID],0))),"")</f>
        <v/>
      </c>
      <c r="D146" s="1" t="str">
        <f aca="false">IFERROR(IF(ISBLANK(INDEX(Backlog[Stream Owner],MATCH($A146,Backlog[Requirement ID],0))),"",INDEX(Backlog[Stream Owner],MATCH($A146,Backlog[Requirement ID],0))),"")</f>
        <v/>
      </c>
      <c r="E146" s="1" t="str">
        <f aca="false">IFERROR(IF(ISBLANK(INDEX(Backlog[Jira Link],MATCH($A146,Backlog[Requirement ID],0))),"",INDEX(Backlog[Jira Link],MATCH($A146,Backlog[Requirement ID],0))),"")</f>
        <v/>
      </c>
      <c r="H146" s="1" t="str">
        <f aca="false">IFERROR(IF(ISBLANK(INDEX(SprintPlanning[Sprint],MATCH($A146,SprintPlanning[Requirement ID],0))),"",INDEX(SprintPlanning[Sprint],MATCH($A146,SprintPlanning[Requirement ID],0))),"")</f>
        <v/>
      </c>
      <c r="I146" s="1" t="str">
        <f aca="false">IFERROR(IF(ISBLANK(INDEX(Backlog[Status],MATCH($A146,Backlog[Requirement ID],0))),"",INDEX(Backlog[Status],MATCH($A146,Backlog[Requirement ID],0))),"")</f>
        <v/>
      </c>
      <c r="J146" s="1" t="str">
        <f aca="false">IFERROR(IF(ISBLANK(INDEX(Backlog[Priority],MATCH($A146,Backlog[Requirement ID],0))),"",INDEX(Backlog[Priority],MATCH($A146,Backlog[Requirement ID],0))),"")</f>
        <v/>
      </c>
      <c r="L146" s="57"/>
      <c r="M146" s="57"/>
      <c r="O146" s="57"/>
    </row>
    <row r="147" customFormat="false" ht="15" hidden="false" customHeight="true" outlineLevel="0" collapsed="false">
      <c r="A147" s="1" t="str">
        <f aca="false">Backlog!A147</f>
        <v/>
      </c>
      <c r="B147" s="1" t="str">
        <f aca="false">IFERROR(IF(ISBLANK(INDEX(Backlog[Requirement Name],MATCH($A147,Backlog[Requirement ID],0))),"",INDEX(Backlog[Requirement Name],MATCH($A147,Backlog[Requirement ID],0))),"")</f>
        <v/>
      </c>
      <c r="C147" s="1" t="str">
        <f aca="false">IFERROR(IF(ISBLANK(INDEX(Backlog[Stream],MATCH($A147,Backlog[Requirement ID],0))),"",INDEX(Backlog[Stream],MATCH($A147,Backlog[Requirement ID],0))),"")</f>
        <v/>
      </c>
      <c r="D147" s="1" t="str">
        <f aca="false">IFERROR(IF(ISBLANK(INDEX(Backlog[Stream Owner],MATCH($A147,Backlog[Requirement ID],0))),"",INDEX(Backlog[Stream Owner],MATCH($A147,Backlog[Requirement ID],0))),"")</f>
        <v/>
      </c>
      <c r="E147" s="1" t="str">
        <f aca="false">IFERROR(IF(ISBLANK(INDEX(Backlog[Jira Link],MATCH($A147,Backlog[Requirement ID],0))),"",INDEX(Backlog[Jira Link],MATCH($A147,Backlog[Requirement ID],0))),"")</f>
        <v/>
      </c>
      <c r="H147" s="1" t="str">
        <f aca="false">IFERROR(IF(ISBLANK(INDEX(SprintPlanning[Sprint],MATCH($A147,SprintPlanning[Requirement ID],0))),"",INDEX(SprintPlanning[Sprint],MATCH($A147,SprintPlanning[Requirement ID],0))),"")</f>
        <v/>
      </c>
      <c r="I147" s="1" t="str">
        <f aca="false">IFERROR(IF(ISBLANK(INDEX(Backlog[Status],MATCH($A147,Backlog[Requirement ID],0))),"",INDEX(Backlog[Status],MATCH($A147,Backlog[Requirement ID],0))),"")</f>
        <v/>
      </c>
      <c r="J147" s="1" t="str">
        <f aca="false">IFERROR(IF(ISBLANK(INDEX(Backlog[Priority],MATCH($A147,Backlog[Requirement ID],0))),"",INDEX(Backlog[Priority],MATCH($A147,Backlog[Requirement ID],0))),"")</f>
        <v/>
      </c>
      <c r="L147" s="57"/>
      <c r="M147" s="57"/>
      <c r="O147" s="57"/>
    </row>
    <row r="148" customFormat="false" ht="15" hidden="false" customHeight="true" outlineLevel="0" collapsed="false">
      <c r="A148" s="1" t="str">
        <f aca="false">Backlog!A148</f>
        <v/>
      </c>
      <c r="B148" s="1" t="str">
        <f aca="false">IFERROR(IF(ISBLANK(INDEX(Backlog[Requirement Name],MATCH($A148,Backlog[Requirement ID],0))),"",INDEX(Backlog[Requirement Name],MATCH($A148,Backlog[Requirement ID],0))),"")</f>
        <v/>
      </c>
      <c r="C148" s="1" t="str">
        <f aca="false">IFERROR(IF(ISBLANK(INDEX(Backlog[Stream],MATCH($A148,Backlog[Requirement ID],0))),"",INDEX(Backlog[Stream],MATCH($A148,Backlog[Requirement ID],0))),"")</f>
        <v/>
      </c>
      <c r="D148" s="1" t="str">
        <f aca="false">IFERROR(IF(ISBLANK(INDEX(Backlog[Stream Owner],MATCH($A148,Backlog[Requirement ID],0))),"",INDEX(Backlog[Stream Owner],MATCH($A148,Backlog[Requirement ID],0))),"")</f>
        <v/>
      </c>
      <c r="E148" s="1" t="str">
        <f aca="false">IFERROR(IF(ISBLANK(INDEX(Backlog[Jira Link],MATCH($A148,Backlog[Requirement ID],0))),"",INDEX(Backlog[Jira Link],MATCH($A148,Backlog[Requirement ID],0))),"")</f>
        <v/>
      </c>
      <c r="H148" s="1" t="str">
        <f aca="false">IFERROR(IF(ISBLANK(INDEX(SprintPlanning[Sprint],MATCH($A148,SprintPlanning[Requirement ID],0))),"",INDEX(SprintPlanning[Sprint],MATCH($A148,SprintPlanning[Requirement ID],0))),"")</f>
        <v/>
      </c>
      <c r="I148" s="1" t="str">
        <f aca="false">IFERROR(IF(ISBLANK(INDEX(Backlog[Status],MATCH($A148,Backlog[Requirement ID],0))),"",INDEX(Backlog[Status],MATCH($A148,Backlog[Requirement ID],0))),"")</f>
        <v/>
      </c>
      <c r="J148" s="1" t="str">
        <f aca="false">IFERROR(IF(ISBLANK(INDEX(Backlog[Priority],MATCH($A148,Backlog[Requirement ID],0))),"",INDEX(Backlog[Priority],MATCH($A148,Backlog[Requirement ID],0))),"")</f>
        <v/>
      </c>
      <c r="L148" s="57"/>
      <c r="M148" s="57"/>
      <c r="O148" s="57"/>
    </row>
    <row r="149" customFormat="false" ht="15" hidden="false" customHeight="true" outlineLevel="0" collapsed="false">
      <c r="A149" s="1" t="str">
        <f aca="false">Backlog!A149</f>
        <v/>
      </c>
      <c r="B149" s="1" t="str">
        <f aca="false">IFERROR(IF(ISBLANK(INDEX(Backlog[Requirement Name],MATCH($A149,Backlog[Requirement ID],0))),"",INDEX(Backlog[Requirement Name],MATCH($A149,Backlog[Requirement ID],0))),"")</f>
        <v/>
      </c>
      <c r="C149" s="1" t="str">
        <f aca="false">IFERROR(IF(ISBLANK(INDEX(Backlog[Stream],MATCH($A149,Backlog[Requirement ID],0))),"",INDEX(Backlog[Stream],MATCH($A149,Backlog[Requirement ID],0))),"")</f>
        <v/>
      </c>
      <c r="D149" s="1" t="str">
        <f aca="false">IFERROR(IF(ISBLANK(INDEX(Backlog[Stream Owner],MATCH($A149,Backlog[Requirement ID],0))),"",INDEX(Backlog[Stream Owner],MATCH($A149,Backlog[Requirement ID],0))),"")</f>
        <v/>
      </c>
      <c r="E149" s="1" t="str">
        <f aca="false">IFERROR(IF(ISBLANK(INDEX(Backlog[Jira Link],MATCH($A149,Backlog[Requirement ID],0))),"",INDEX(Backlog[Jira Link],MATCH($A149,Backlog[Requirement ID],0))),"")</f>
        <v/>
      </c>
      <c r="H149" s="1" t="str">
        <f aca="false">IFERROR(IF(ISBLANK(INDEX(SprintPlanning[Sprint],MATCH($A149,SprintPlanning[Requirement ID],0))),"",INDEX(SprintPlanning[Sprint],MATCH($A149,SprintPlanning[Requirement ID],0))),"")</f>
        <v/>
      </c>
      <c r="I149" s="1" t="str">
        <f aca="false">IFERROR(IF(ISBLANK(INDEX(Backlog[Status],MATCH($A149,Backlog[Requirement ID],0))),"",INDEX(Backlog[Status],MATCH($A149,Backlog[Requirement ID],0))),"")</f>
        <v/>
      </c>
      <c r="J149" s="1" t="str">
        <f aca="false">IFERROR(IF(ISBLANK(INDEX(Backlog[Priority],MATCH($A149,Backlog[Requirement ID],0))),"",INDEX(Backlog[Priority],MATCH($A149,Backlog[Requirement ID],0))),"")</f>
        <v/>
      </c>
      <c r="L149" s="57"/>
      <c r="M149" s="57"/>
      <c r="O149" s="57"/>
    </row>
    <row r="150" customFormat="false" ht="15" hidden="false" customHeight="true" outlineLevel="0" collapsed="false">
      <c r="A150" s="1" t="str">
        <f aca="false">Backlog!A150</f>
        <v/>
      </c>
      <c r="B150" s="1" t="str">
        <f aca="false">IFERROR(IF(ISBLANK(INDEX(Backlog[Requirement Name],MATCH($A150,Backlog[Requirement ID],0))),"",INDEX(Backlog[Requirement Name],MATCH($A150,Backlog[Requirement ID],0))),"")</f>
        <v/>
      </c>
      <c r="C150" s="1" t="str">
        <f aca="false">IFERROR(IF(ISBLANK(INDEX(Backlog[Stream],MATCH($A150,Backlog[Requirement ID],0))),"",INDEX(Backlog[Stream],MATCH($A150,Backlog[Requirement ID],0))),"")</f>
        <v/>
      </c>
      <c r="D150" s="1" t="str">
        <f aca="false">IFERROR(IF(ISBLANK(INDEX(Backlog[Stream Owner],MATCH($A150,Backlog[Requirement ID],0))),"",INDEX(Backlog[Stream Owner],MATCH($A150,Backlog[Requirement ID],0))),"")</f>
        <v/>
      </c>
      <c r="E150" s="1" t="str">
        <f aca="false">IFERROR(IF(ISBLANK(INDEX(Backlog[Jira Link],MATCH($A150,Backlog[Requirement ID],0))),"",INDEX(Backlog[Jira Link],MATCH($A150,Backlog[Requirement ID],0))),"")</f>
        <v/>
      </c>
      <c r="H150" s="1" t="str">
        <f aca="false">IFERROR(IF(ISBLANK(INDEX(SprintPlanning[Sprint],MATCH($A150,SprintPlanning[Requirement ID],0))),"",INDEX(SprintPlanning[Sprint],MATCH($A150,SprintPlanning[Requirement ID],0))),"")</f>
        <v/>
      </c>
      <c r="I150" s="1" t="str">
        <f aca="false">IFERROR(IF(ISBLANK(INDEX(Backlog[Status],MATCH($A150,Backlog[Requirement ID],0))),"",INDEX(Backlog[Status],MATCH($A150,Backlog[Requirement ID],0))),"")</f>
        <v/>
      </c>
      <c r="J150" s="1" t="str">
        <f aca="false">IFERROR(IF(ISBLANK(INDEX(Backlog[Priority],MATCH($A150,Backlog[Requirement ID],0))),"",INDEX(Backlog[Priority],MATCH($A150,Backlog[Requirement ID],0))),"")</f>
        <v/>
      </c>
      <c r="L150" s="57"/>
      <c r="M150" s="57"/>
      <c r="O150" s="57"/>
    </row>
    <row r="151" customFormat="false" ht="15" hidden="false" customHeight="true" outlineLevel="0" collapsed="false">
      <c r="A151" s="1" t="str">
        <f aca="false">Backlog!A151</f>
        <v/>
      </c>
      <c r="B151" s="1" t="str">
        <f aca="false">IFERROR(IF(ISBLANK(INDEX(Backlog[Requirement Name],MATCH($A151,Backlog[Requirement ID],0))),"",INDEX(Backlog[Requirement Name],MATCH($A151,Backlog[Requirement ID],0))),"")</f>
        <v/>
      </c>
      <c r="C151" s="1" t="str">
        <f aca="false">IFERROR(IF(ISBLANK(INDEX(Backlog[Stream],MATCH($A151,Backlog[Requirement ID],0))),"",INDEX(Backlog[Stream],MATCH($A151,Backlog[Requirement ID],0))),"")</f>
        <v/>
      </c>
      <c r="D151" s="1" t="str">
        <f aca="false">IFERROR(IF(ISBLANK(INDEX(Backlog[Stream Owner],MATCH($A151,Backlog[Requirement ID],0))),"",INDEX(Backlog[Stream Owner],MATCH($A151,Backlog[Requirement ID],0))),"")</f>
        <v/>
      </c>
      <c r="E151" s="1" t="str">
        <f aca="false">IFERROR(IF(ISBLANK(INDEX(Backlog[Jira Link],MATCH($A151,Backlog[Requirement ID],0))),"",INDEX(Backlog[Jira Link],MATCH($A151,Backlog[Requirement ID],0))),"")</f>
        <v/>
      </c>
      <c r="H151" s="1" t="str">
        <f aca="false">IFERROR(IF(ISBLANK(INDEX(SprintPlanning[Sprint],MATCH($A151,SprintPlanning[Requirement ID],0))),"",INDEX(SprintPlanning[Sprint],MATCH($A151,SprintPlanning[Requirement ID],0))),"")</f>
        <v/>
      </c>
      <c r="I151" s="1" t="str">
        <f aca="false">IFERROR(IF(ISBLANK(INDEX(Backlog[Status],MATCH($A151,Backlog[Requirement ID],0))),"",INDEX(Backlog[Status],MATCH($A151,Backlog[Requirement ID],0))),"")</f>
        <v/>
      </c>
      <c r="J151" s="1" t="str">
        <f aca="false">IFERROR(IF(ISBLANK(INDEX(Backlog[Priority],MATCH($A151,Backlog[Requirement ID],0))),"",INDEX(Backlog[Priority],MATCH($A151,Backlog[Requirement ID],0))),"")</f>
        <v/>
      </c>
      <c r="L151" s="57"/>
      <c r="M151" s="57"/>
      <c r="O151" s="57"/>
    </row>
    <row r="152" customFormat="false" ht="15" hidden="false" customHeight="true" outlineLevel="0" collapsed="false">
      <c r="A152" s="1" t="str">
        <f aca="false">Backlog!A152</f>
        <v/>
      </c>
      <c r="B152" s="1" t="str">
        <f aca="false">IFERROR(IF(ISBLANK(INDEX(Backlog[Requirement Name],MATCH($A152,Backlog[Requirement ID],0))),"",INDEX(Backlog[Requirement Name],MATCH($A152,Backlog[Requirement ID],0))),"")</f>
        <v/>
      </c>
      <c r="C152" s="1" t="str">
        <f aca="false">IFERROR(IF(ISBLANK(INDEX(Backlog[Stream],MATCH($A152,Backlog[Requirement ID],0))),"",INDEX(Backlog[Stream],MATCH($A152,Backlog[Requirement ID],0))),"")</f>
        <v/>
      </c>
      <c r="D152" s="1" t="str">
        <f aca="false">IFERROR(IF(ISBLANK(INDEX(Backlog[Stream Owner],MATCH($A152,Backlog[Requirement ID],0))),"",INDEX(Backlog[Stream Owner],MATCH($A152,Backlog[Requirement ID],0))),"")</f>
        <v/>
      </c>
      <c r="E152" s="1" t="str">
        <f aca="false">IFERROR(IF(ISBLANK(INDEX(Backlog[Jira Link],MATCH($A152,Backlog[Requirement ID],0))),"",INDEX(Backlog[Jira Link],MATCH($A152,Backlog[Requirement ID],0))),"")</f>
        <v/>
      </c>
      <c r="H152" s="1" t="str">
        <f aca="false">IFERROR(IF(ISBLANK(INDEX(SprintPlanning[Sprint],MATCH($A152,SprintPlanning[Requirement ID],0))),"",INDEX(SprintPlanning[Sprint],MATCH($A152,SprintPlanning[Requirement ID],0))),"")</f>
        <v/>
      </c>
      <c r="I152" s="1" t="str">
        <f aca="false">IFERROR(IF(ISBLANK(INDEX(Backlog[Status],MATCH($A152,Backlog[Requirement ID],0))),"",INDEX(Backlog[Status],MATCH($A152,Backlog[Requirement ID],0))),"")</f>
        <v/>
      </c>
      <c r="J152" s="1" t="str">
        <f aca="false">IFERROR(IF(ISBLANK(INDEX(Backlog[Priority],MATCH($A152,Backlog[Requirement ID],0))),"",INDEX(Backlog[Priority],MATCH($A152,Backlog[Requirement ID],0))),"")</f>
        <v/>
      </c>
      <c r="L152" s="57"/>
      <c r="M152" s="57"/>
      <c r="O152" s="57"/>
    </row>
    <row r="153" customFormat="false" ht="15" hidden="false" customHeight="true" outlineLevel="0" collapsed="false">
      <c r="A153" s="1" t="str">
        <f aca="false">Backlog!A153</f>
        <v/>
      </c>
      <c r="B153" s="1" t="str">
        <f aca="false">IFERROR(IF(ISBLANK(INDEX(Backlog[Requirement Name],MATCH($A153,Backlog[Requirement ID],0))),"",INDEX(Backlog[Requirement Name],MATCH($A153,Backlog[Requirement ID],0))),"")</f>
        <v/>
      </c>
      <c r="C153" s="1" t="str">
        <f aca="false">IFERROR(IF(ISBLANK(INDEX(Backlog[Stream],MATCH($A153,Backlog[Requirement ID],0))),"",INDEX(Backlog[Stream],MATCH($A153,Backlog[Requirement ID],0))),"")</f>
        <v/>
      </c>
      <c r="D153" s="1" t="str">
        <f aca="false">IFERROR(IF(ISBLANK(INDEX(Backlog[Stream Owner],MATCH($A153,Backlog[Requirement ID],0))),"",INDEX(Backlog[Stream Owner],MATCH($A153,Backlog[Requirement ID],0))),"")</f>
        <v/>
      </c>
      <c r="E153" s="1" t="str">
        <f aca="false">IFERROR(IF(ISBLANK(INDEX(Backlog[Jira Link],MATCH($A153,Backlog[Requirement ID],0))),"",INDEX(Backlog[Jira Link],MATCH($A153,Backlog[Requirement ID],0))),"")</f>
        <v/>
      </c>
      <c r="H153" s="1" t="str">
        <f aca="false">IFERROR(IF(ISBLANK(INDEX(SprintPlanning[Sprint],MATCH($A153,SprintPlanning[Requirement ID],0))),"",INDEX(SprintPlanning[Sprint],MATCH($A153,SprintPlanning[Requirement ID],0))),"")</f>
        <v/>
      </c>
      <c r="I153" s="1" t="str">
        <f aca="false">IFERROR(IF(ISBLANK(INDEX(Backlog[Status],MATCH($A153,Backlog[Requirement ID],0))),"",INDEX(Backlog[Status],MATCH($A153,Backlog[Requirement ID],0))),"")</f>
        <v/>
      </c>
      <c r="J153" s="1" t="str">
        <f aca="false">IFERROR(IF(ISBLANK(INDEX(Backlog[Priority],MATCH($A153,Backlog[Requirement ID],0))),"",INDEX(Backlog[Priority],MATCH($A153,Backlog[Requirement ID],0))),"")</f>
        <v/>
      </c>
      <c r="L153" s="57"/>
      <c r="M153" s="57"/>
      <c r="O153" s="57"/>
    </row>
    <row r="154" customFormat="false" ht="15" hidden="false" customHeight="true" outlineLevel="0" collapsed="false">
      <c r="A154" s="1" t="str">
        <f aca="false">Backlog!A154</f>
        <v/>
      </c>
      <c r="B154" s="1" t="str">
        <f aca="false">IFERROR(IF(ISBLANK(INDEX(Backlog[Requirement Name],MATCH($A154,Backlog[Requirement ID],0))),"",INDEX(Backlog[Requirement Name],MATCH($A154,Backlog[Requirement ID],0))),"")</f>
        <v/>
      </c>
      <c r="C154" s="1" t="str">
        <f aca="false">IFERROR(IF(ISBLANK(INDEX(Backlog[Stream],MATCH($A154,Backlog[Requirement ID],0))),"",INDEX(Backlog[Stream],MATCH($A154,Backlog[Requirement ID],0))),"")</f>
        <v/>
      </c>
      <c r="D154" s="1" t="str">
        <f aca="false">IFERROR(IF(ISBLANK(INDEX(Backlog[Stream Owner],MATCH($A154,Backlog[Requirement ID],0))),"",INDEX(Backlog[Stream Owner],MATCH($A154,Backlog[Requirement ID],0))),"")</f>
        <v/>
      </c>
      <c r="E154" s="1" t="str">
        <f aca="false">IFERROR(IF(ISBLANK(INDEX(Backlog[Jira Link],MATCH($A154,Backlog[Requirement ID],0))),"",INDEX(Backlog[Jira Link],MATCH($A154,Backlog[Requirement ID],0))),"")</f>
        <v/>
      </c>
      <c r="H154" s="1" t="str">
        <f aca="false">IFERROR(IF(ISBLANK(INDEX(SprintPlanning[Sprint],MATCH($A154,SprintPlanning[Requirement ID],0))),"",INDEX(SprintPlanning[Sprint],MATCH($A154,SprintPlanning[Requirement ID],0))),"")</f>
        <v/>
      </c>
      <c r="I154" s="1" t="str">
        <f aca="false">IFERROR(IF(ISBLANK(INDEX(Backlog[Status],MATCH($A154,Backlog[Requirement ID],0))),"",INDEX(Backlog[Status],MATCH($A154,Backlog[Requirement ID],0))),"")</f>
        <v/>
      </c>
      <c r="J154" s="1" t="str">
        <f aca="false">IFERROR(IF(ISBLANK(INDEX(Backlog[Priority],MATCH($A154,Backlog[Requirement ID],0))),"",INDEX(Backlog[Priority],MATCH($A154,Backlog[Requirement ID],0))),"")</f>
        <v/>
      </c>
      <c r="L154" s="57"/>
      <c r="M154" s="57"/>
      <c r="O154" s="57"/>
    </row>
    <row r="155" customFormat="false" ht="15" hidden="false" customHeight="true" outlineLevel="0" collapsed="false">
      <c r="A155" s="1" t="str">
        <f aca="false">Backlog!A155</f>
        <v/>
      </c>
      <c r="B155" s="1" t="str">
        <f aca="false">IFERROR(IF(ISBLANK(INDEX(Backlog[Requirement Name],MATCH($A155,Backlog[Requirement ID],0))),"",INDEX(Backlog[Requirement Name],MATCH($A155,Backlog[Requirement ID],0))),"")</f>
        <v/>
      </c>
      <c r="C155" s="1" t="str">
        <f aca="false">IFERROR(IF(ISBLANK(INDEX(Backlog[Stream],MATCH($A155,Backlog[Requirement ID],0))),"",INDEX(Backlog[Stream],MATCH($A155,Backlog[Requirement ID],0))),"")</f>
        <v/>
      </c>
      <c r="D155" s="1" t="str">
        <f aca="false">IFERROR(IF(ISBLANK(INDEX(Backlog[Stream Owner],MATCH($A155,Backlog[Requirement ID],0))),"",INDEX(Backlog[Stream Owner],MATCH($A155,Backlog[Requirement ID],0))),"")</f>
        <v/>
      </c>
      <c r="E155" s="1" t="str">
        <f aca="false">IFERROR(IF(ISBLANK(INDEX(Backlog[Jira Link],MATCH($A155,Backlog[Requirement ID],0))),"",INDEX(Backlog[Jira Link],MATCH($A155,Backlog[Requirement ID],0))),"")</f>
        <v/>
      </c>
      <c r="H155" s="1" t="str">
        <f aca="false">IFERROR(IF(ISBLANK(INDEX(SprintPlanning[Sprint],MATCH($A155,SprintPlanning[Requirement ID],0))),"",INDEX(SprintPlanning[Sprint],MATCH($A155,SprintPlanning[Requirement ID],0))),"")</f>
        <v/>
      </c>
      <c r="I155" s="1" t="str">
        <f aca="false">IFERROR(IF(ISBLANK(INDEX(Backlog[Status],MATCH($A155,Backlog[Requirement ID],0))),"",INDEX(Backlog[Status],MATCH($A155,Backlog[Requirement ID],0))),"")</f>
        <v/>
      </c>
      <c r="J155" s="1" t="str">
        <f aca="false">IFERROR(IF(ISBLANK(INDEX(Backlog[Priority],MATCH($A155,Backlog[Requirement ID],0))),"",INDEX(Backlog[Priority],MATCH($A155,Backlog[Requirement ID],0))),"")</f>
        <v/>
      </c>
      <c r="L155" s="57"/>
      <c r="M155" s="57"/>
      <c r="O155" s="57"/>
    </row>
    <row r="156" customFormat="false" ht="15" hidden="false" customHeight="true" outlineLevel="0" collapsed="false">
      <c r="A156" s="1" t="str">
        <f aca="false">Backlog!A156</f>
        <v/>
      </c>
      <c r="B156" s="1" t="str">
        <f aca="false">IFERROR(IF(ISBLANK(INDEX(Backlog[Requirement Name],MATCH($A156,Backlog[Requirement ID],0))),"",INDEX(Backlog[Requirement Name],MATCH($A156,Backlog[Requirement ID],0))),"")</f>
        <v/>
      </c>
      <c r="C156" s="1" t="str">
        <f aca="false">IFERROR(IF(ISBLANK(INDEX(Backlog[Stream],MATCH($A156,Backlog[Requirement ID],0))),"",INDEX(Backlog[Stream],MATCH($A156,Backlog[Requirement ID],0))),"")</f>
        <v/>
      </c>
      <c r="D156" s="1" t="str">
        <f aca="false">IFERROR(IF(ISBLANK(INDEX(Backlog[Stream Owner],MATCH($A156,Backlog[Requirement ID],0))),"",INDEX(Backlog[Stream Owner],MATCH($A156,Backlog[Requirement ID],0))),"")</f>
        <v/>
      </c>
      <c r="E156" s="1" t="str">
        <f aca="false">IFERROR(IF(ISBLANK(INDEX(Backlog[Jira Link],MATCH($A156,Backlog[Requirement ID],0))),"",INDEX(Backlog[Jira Link],MATCH($A156,Backlog[Requirement ID],0))),"")</f>
        <v/>
      </c>
      <c r="H156" s="1" t="str">
        <f aca="false">IFERROR(IF(ISBLANK(INDEX(SprintPlanning[Sprint],MATCH($A156,SprintPlanning[Requirement ID],0))),"",INDEX(SprintPlanning[Sprint],MATCH($A156,SprintPlanning[Requirement ID],0))),"")</f>
        <v/>
      </c>
      <c r="I156" s="1" t="str">
        <f aca="false">IFERROR(IF(ISBLANK(INDEX(Backlog[Status],MATCH($A156,Backlog[Requirement ID],0))),"",INDEX(Backlog[Status],MATCH($A156,Backlog[Requirement ID],0))),"")</f>
        <v/>
      </c>
      <c r="J156" s="1" t="str">
        <f aca="false">IFERROR(IF(ISBLANK(INDEX(Backlog[Priority],MATCH($A156,Backlog[Requirement ID],0))),"",INDEX(Backlog[Priority],MATCH($A156,Backlog[Requirement ID],0))),"")</f>
        <v/>
      </c>
      <c r="L156" s="57"/>
      <c r="M156" s="57"/>
      <c r="O156" s="57"/>
    </row>
    <row r="157" customFormat="false" ht="15" hidden="false" customHeight="true" outlineLevel="0" collapsed="false">
      <c r="A157" s="1" t="str">
        <f aca="false">Backlog!A157</f>
        <v/>
      </c>
      <c r="B157" s="1" t="str">
        <f aca="false">IFERROR(IF(ISBLANK(INDEX(Backlog[Requirement Name],MATCH($A157,Backlog[Requirement ID],0))),"",INDEX(Backlog[Requirement Name],MATCH($A157,Backlog[Requirement ID],0))),"")</f>
        <v/>
      </c>
      <c r="C157" s="1" t="str">
        <f aca="false">IFERROR(IF(ISBLANK(INDEX(Backlog[Stream],MATCH($A157,Backlog[Requirement ID],0))),"",INDEX(Backlog[Stream],MATCH($A157,Backlog[Requirement ID],0))),"")</f>
        <v/>
      </c>
      <c r="D157" s="1" t="str">
        <f aca="false">IFERROR(IF(ISBLANK(INDEX(Backlog[Stream Owner],MATCH($A157,Backlog[Requirement ID],0))),"",INDEX(Backlog[Stream Owner],MATCH($A157,Backlog[Requirement ID],0))),"")</f>
        <v/>
      </c>
      <c r="E157" s="1" t="str">
        <f aca="false">IFERROR(IF(ISBLANK(INDEX(Backlog[Jira Link],MATCH($A157,Backlog[Requirement ID],0))),"",INDEX(Backlog[Jira Link],MATCH($A157,Backlog[Requirement ID],0))),"")</f>
        <v/>
      </c>
      <c r="H157" s="1" t="str">
        <f aca="false">IFERROR(IF(ISBLANK(INDEX(SprintPlanning[Sprint],MATCH($A157,SprintPlanning[Requirement ID],0))),"",INDEX(SprintPlanning[Sprint],MATCH($A157,SprintPlanning[Requirement ID],0))),"")</f>
        <v/>
      </c>
      <c r="I157" s="1" t="str">
        <f aca="false">IFERROR(IF(ISBLANK(INDEX(Backlog[Status],MATCH($A157,Backlog[Requirement ID],0))),"",INDEX(Backlog[Status],MATCH($A157,Backlog[Requirement ID],0))),"")</f>
        <v/>
      </c>
      <c r="J157" s="1" t="str">
        <f aca="false">IFERROR(IF(ISBLANK(INDEX(Backlog[Priority],MATCH($A157,Backlog[Requirement ID],0))),"",INDEX(Backlog[Priority],MATCH($A157,Backlog[Requirement ID],0))),"")</f>
        <v/>
      </c>
      <c r="L157" s="57"/>
      <c r="M157" s="57"/>
      <c r="O157" s="57"/>
    </row>
    <row r="158" customFormat="false" ht="15" hidden="false" customHeight="true" outlineLevel="0" collapsed="false">
      <c r="A158" s="1" t="str">
        <f aca="false">Backlog!A158</f>
        <v/>
      </c>
      <c r="B158" s="1" t="str">
        <f aca="false">IFERROR(IF(ISBLANK(INDEX(Backlog[Requirement Name],MATCH($A158,Backlog[Requirement ID],0))),"",INDEX(Backlog[Requirement Name],MATCH($A158,Backlog[Requirement ID],0))),"")</f>
        <v/>
      </c>
      <c r="C158" s="1" t="str">
        <f aca="false">IFERROR(IF(ISBLANK(INDEX(Backlog[Stream],MATCH($A158,Backlog[Requirement ID],0))),"",INDEX(Backlog[Stream],MATCH($A158,Backlog[Requirement ID],0))),"")</f>
        <v/>
      </c>
      <c r="D158" s="1" t="str">
        <f aca="false">IFERROR(IF(ISBLANK(INDEX(Backlog[Stream Owner],MATCH($A158,Backlog[Requirement ID],0))),"",INDEX(Backlog[Stream Owner],MATCH($A158,Backlog[Requirement ID],0))),"")</f>
        <v/>
      </c>
      <c r="E158" s="1" t="str">
        <f aca="false">IFERROR(IF(ISBLANK(INDEX(Backlog[Jira Link],MATCH($A158,Backlog[Requirement ID],0))),"",INDEX(Backlog[Jira Link],MATCH($A158,Backlog[Requirement ID],0))),"")</f>
        <v/>
      </c>
      <c r="H158" s="1" t="str">
        <f aca="false">IFERROR(IF(ISBLANK(INDEX(SprintPlanning[Sprint],MATCH($A158,SprintPlanning[Requirement ID],0))),"",INDEX(SprintPlanning[Sprint],MATCH($A158,SprintPlanning[Requirement ID],0))),"")</f>
        <v/>
      </c>
      <c r="I158" s="1" t="str">
        <f aca="false">IFERROR(IF(ISBLANK(INDEX(Backlog[Status],MATCH($A158,Backlog[Requirement ID],0))),"",INDEX(Backlog[Status],MATCH($A158,Backlog[Requirement ID],0))),"")</f>
        <v/>
      </c>
      <c r="J158" s="1" t="str">
        <f aca="false">IFERROR(IF(ISBLANK(INDEX(Backlog[Priority],MATCH($A158,Backlog[Requirement ID],0))),"",INDEX(Backlog[Priority],MATCH($A158,Backlog[Requirement ID],0))),"")</f>
        <v/>
      </c>
      <c r="L158" s="57"/>
      <c r="M158" s="57"/>
      <c r="O158" s="57"/>
    </row>
    <row r="159" customFormat="false" ht="15" hidden="false" customHeight="true" outlineLevel="0" collapsed="false">
      <c r="A159" s="1" t="str">
        <f aca="false">Backlog!A159</f>
        <v/>
      </c>
      <c r="B159" s="1" t="str">
        <f aca="false">IFERROR(IF(ISBLANK(INDEX(Backlog[Requirement Name],MATCH($A159,Backlog[Requirement ID],0))),"",INDEX(Backlog[Requirement Name],MATCH($A159,Backlog[Requirement ID],0))),"")</f>
        <v/>
      </c>
      <c r="C159" s="1" t="str">
        <f aca="false">IFERROR(IF(ISBLANK(INDEX(Backlog[Stream],MATCH($A159,Backlog[Requirement ID],0))),"",INDEX(Backlog[Stream],MATCH($A159,Backlog[Requirement ID],0))),"")</f>
        <v/>
      </c>
      <c r="D159" s="1" t="str">
        <f aca="false">IFERROR(IF(ISBLANK(INDEX(Backlog[Stream Owner],MATCH($A159,Backlog[Requirement ID],0))),"",INDEX(Backlog[Stream Owner],MATCH($A159,Backlog[Requirement ID],0))),"")</f>
        <v/>
      </c>
      <c r="E159" s="1" t="str">
        <f aca="false">IFERROR(IF(ISBLANK(INDEX(Backlog[Jira Link],MATCH($A159,Backlog[Requirement ID],0))),"",INDEX(Backlog[Jira Link],MATCH($A159,Backlog[Requirement ID],0))),"")</f>
        <v/>
      </c>
      <c r="H159" s="1" t="str">
        <f aca="false">IFERROR(IF(ISBLANK(INDEX(SprintPlanning[Sprint],MATCH($A159,SprintPlanning[Requirement ID],0))),"",INDEX(SprintPlanning[Sprint],MATCH($A159,SprintPlanning[Requirement ID],0))),"")</f>
        <v/>
      </c>
      <c r="I159" s="1" t="str">
        <f aca="false">IFERROR(IF(ISBLANK(INDEX(Backlog[Status],MATCH($A159,Backlog[Requirement ID],0))),"",INDEX(Backlog[Status],MATCH($A159,Backlog[Requirement ID],0))),"")</f>
        <v/>
      </c>
      <c r="J159" s="1" t="str">
        <f aca="false">IFERROR(IF(ISBLANK(INDEX(Backlog[Priority],MATCH($A159,Backlog[Requirement ID],0))),"",INDEX(Backlog[Priority],MATCH($A159,Backlog[Requirement ID],0))),"")</f>
        <v/>
      </c>
      <c r="L159" s="57"/>
      <c r="M159" s="57"/>
      <c r="O159" s="57"/>
    </row>
    <row r="160" customFormat="false" ht="15" hidden="false" customHeight="true" outlineLevel="0" collapsed="false">
      <c r="A160" s="1" t="str">
        <f aca="false">Backlog!A160</f>
        <v/>
      </c>
      <c r="B160" s="1" t="str">
        <f aca="false">IFERROR(IF(ISBLANK(INDEX(Backlog[Requirement Name],MATCH($A160,Backlog[Requirement ID],0))),"",INDEX(Backlog[Requirement Name],MATCH($A160,Backlog[Requirement ID],0))),"")</f>
        <v/>
      </c>
      <c r="C160" s="1" t="str">
        <f aca="false">IFERROR(IF(ISBLANK(INDEX(Backlog[Stream],MATCH($A160,Backlog[Requirement ID],0))),"",INDEX(Backlog[Stream],MATCH($A160,Backlog[Requirement ID],0))),"")</f>
        <v/>
      </c>
      <c r="D160" s="1" t="str">
        <f aca="false">IFERROR(IF(ISBLANK(INDEX(Backlog[Stream Owner],MATCH($A160,Backlog[Requirement ID],0))),"",INDEX(Backlog[Stream Owner],MATCH($A160,Backlog[Requirement ID],0))),"")</f>
        <v/>
      </c>
      <c r="E160" s="1" t="str">
        <f aca="false">IFERROR(IF(ISBLANK(INDEX(Backlog[Jira Link],MATCH($A160,Backlog[Requirement ID],0))),"",INDEX(Backlog[Jira Link],MATCH($A160,Backlog[Requirement ID],0))),"")</f>
        <v/>
      </c>
      <c r="H160" s="1" t="str">
        <f aca="false">IFERROR(IF(ISBLANK(INDEX(SprintPlanning[Sprint],MATCH($A160,SprintPlanning[Requirement ID],0))),"",INDEX(SprintPlanning[Sprint],MATCH($A160,SprintPlanning[Requirement ID],0))),"")</f>
        <v/>
      </c>
      <c r="I160" s="1" t="str">
        <f aca="false">IFERROR(IF(ISBLANK(INDEX(Backlog[Status],MATCH($A160,Backlog[Requirement ID],0))),"",INDEX(Backlog[Status],MATCH($A160,Backlog[Requirement ID],0))),"")</f>
        <v/>
      </c>
      <c r="J160" s="1" t="str">
        <f aca="false">IFERROR(IF(ISBLANK(INDEX(Backlog[Priority],MATCH($A160,Backlog[Requirement ID],0))),"",INDEX(Backlog[Priority],MATCH($A160,Backlog[Requirement ID],0))),"")</f>
        <v/>
      </c>
      <c r="L160" s="57"/>
      <c r="M160" s="57"/>
      <c r="O160" s="57"/>
    </row>
    <row r="161" customFormat="false" ht="15" hidden="false" customHeight="true" outlineLevel="0" collapsed="false">
      <c r="A161" s="1" t="str">
        <f aca="false">Backlog!A161</f>
        <v/>
      </c>
      <c r="B161" s="1" t="str">
        <f aca="false">IFERROR(IF(ISBLANK(INDEX(Backlog[Requirement Name],MATCH($A161,Backlog[Requirement ID],0))),"",INDEX(Backlog[Requirement Name],MATCH($A161,Backlog[Requirement ID],0))),"")</f>
        <v/>
      </c>
      <c r="C161" s="1" t="str">
        <f aca="false">IFERROR(IF(ISBLANK(INDEX(Backlog[Stream],MATCH($A161,Backlog[Requirement ID],0))),"",INDEX(Backlog[Stream],MATCH($A161,Backlog[Requirement ID],0))),"")</f>
        <v/>
      </c>
      <c r="D161" s="1" t="str">
        <f aca="false">IFERROR(IF(ISBLANK(INDEX(Backlog[Stream Owner],MATCH($A161,Backlog[Requirement ID],0))),"",INDEX(Backlog[Stream Owner],MATCH($A161,Backlog[Requirement ID],0))),"")</f>
        <v/>
      </c>
      <c r="E161" s="1" t="str">
        <f aca="false">IFERROR(IF(ISBLANK(INDEX(Backlog[Jira Link],MATCH($A161,Backlog[Requirement ID],0))),"",INDEX(Backlog[Jira Link],MATCH($A161,Backlog[Requirement ID],0))),"")</f>
        <v/>
      </c>
      <c r="H161" s="1" t="str">
        <f aca="false">IFERROR(IF(ISBLANK(INDEX(SprintPlanning[Sprint],MATCH($A161,SprintPlanning[Requirement ID],0))),"",INDEX(SprintPlanning[Sprint],MATCH($A161,SprintPlanning[Requirement ID],0))),"")</f>
        <v/>
      </c>
      <c r="I161" s="1" t="str">
        <f aca="false">IFERROR(IF(ISBLANK(INDEX(Backlog[Status],MATCH($A161,Backlog[Requirement ID],0))),"",INDEX(Backlog[Status],MATCH($A161,Backlog[Requirement ID],0))),"")</f>
        <v/>
      </c>
      <c r="J161" s="1" t="str">
        <f aca="false">IFERROR(IF(ISBLANK(INDEX(Backlog[Priority],MATCH($A161,Backlog[Requirement ID],0))),"",INDEX(Backlog[Priority],MATCH($A161,Backlog[Requirement ID],0))),"")</f>
        <v/>
      </c>
      <c r="L161" s="57"/>
      <c r="M161" s="57"/>
      <c r="O161" s="57"/>
    </row>
    <row r="162" customFormat="false" ht="15" hidden="false" customHeight="true" outlineLevel="0" collapsed="false">
      <c r="A162" s="1" t="str">
        <f aca="false">Backlog!A162</f>
        <v/>
      </c>
      <c r="B162" s="1" t="str">
        <f aca="false">IFERROR(IF(ISBLANK(INDEX(Backlog[Requirement Name],MATCH($A162,Backlog[Requirement ID],0))),"",INDEX(Backlog[Requirement Name],MATCH($A162,Backlog[Requirement ID],0))),"")</f>
        <v/>
      </c>
      <c r="C162" s="1" t="str">
        <f aca="false">IFERROR(IF(ISBLANK(INDEX(Backlog[Stream],MATCH($A162,Backlog[Requirement ID],0))),"",INDEX(Backlog[Stream],MATCH($A162,Backlog[Requirement ID],0))),"")</f>
        <v/>
      </c>
      <c r="D162" s="1" t="str">
        <f aca="false">IFERROR(IF(ISBLANK(INDEX(Backlog[Stream Owner],MATCH($A162,Backlog[Requirement ID],0))),"",INDEX(Backlog[Stream Owner],MATCH($A162,Backlog[Requirement ID],0))),"")</f>
        <v/>
      </c>
      <c r="E162" s="1" t="str">
        <f aca="false">IFERROR(IF(ISBLANK(INDEX(Backlog[Jira Link],MATCH($A162,Backlog[Requirement ID],0))),"",INDEX(Backlog[Jira Link],MATCH($A162,Backlog[Requirement ID],0))),"")</f>
        <v/>
      </c>
      <c r="H162" s="1" t="str">
        <f aca="false">IFERROR(IF(ISBLANK(INDEX(SprintPlanning[Sprint],MATCH($A162,SprintPlanning[Requirement ID],0))),"",INDEX(SprintPlanning[Sprint],MATCH($A162,SprintPlanning[Requirement ID],0))),"")</f>
        <v/>
      </c>
      <c r="I162" s="1" t="str">
        <f aca="false">IFERROR(IF(ISBLANK(INDEX(Backlog[Status],MATCH($A162,Backlog[Requirement ID],0))),"",INDEX(Backlog[Status],MATCH($A162,Backlog[Requirement ID],0))),"")</f>
        <v/>
      </c>
      <c r="J162" s="1" t="str">
        <f aca="false">IFERROR(IF(ISBLANK(INDEX(Backlog[Priority],MATCH($A162,Backlog[Requirement ID],0))),"",INDEX(Backlog[Priority],MATCH($A162,Backlog[Requirement ID],0))),"")</f>
        <v/>
      </c>
      <c r="L162" s="57"/>
      <c r="M162" s="57"/>
      <c r="O162" s="57"/>
    </row>
    <row r="163" customFormat="false" ht="15" hidden="false" customHeight="true" outlineLevel="0" collapsed="false">
      <c r="A163" s="1" t="str">
        <f aca="false">Backlog!A163</f>
        <v/>
      </c>
      <c r="B163" s="1" t="str">
        <f aca="false">IFERROR(IF(ISBLANK(INDEX(Backlog[Requirement Name],MATCH($A163,Backlog[Requirement ID],0))),"",INDEX(Backlog[Requirement Name],MATCH($A163,Backlog[Requirement ID],0))),"")</f>
        <v/>
      </c>
      <c r="C163" s="1" t="str">
        <f aca="false">IFERROR(IF(ISBLANK(INDEX(Backlog[Stream],MATCH($A163,Backlog[Requirement ID],0))),"",INDEX(Backlog[Stream],MATCH($A163,Backlog[Requirement ID],0))),"")</f>
        <v/>
      </c>
      <c r="D163" s="1" t="str">
        <f aca="false">IFERROR(IF(ISBLANK(INDEX(Backlog[Stream Owner],MATCH($A163,Backlog[Requirement ID],0))),"",INDEX(Backlog[Stream Owner],MATCH($A163,Backlog[Requirement ID],0))),"")</f>
        <v/>
      </c>
      <c r="E163" s="1" t="str">
        <f aca="false">IFERROR(IF(ISBLANK(INDEX(Backlog[Jira Link],MATCH($A163,Backlog[Requirement ID],0))),"",INDEX(Backlog[Jira Link],MATCH($A163,Backlog[Requirement ID],0))),"")</f>
        <v/>
      </c>
      <c r="H163" s="1" t="str">
        <f aca="false">IFERROR(IF(ISBLANK(INDEX(SprintPlanning[Sprint],MATCH($A163,SprintPlanning[Requirement ID],0))),"",INDEX(SprintPlanning[Sprint],MATCH($A163,SprintPlanning[Requirement ID],0))),"")</f>
        <v/>
      </c>
      <c r="I163" s="1" t="str">
        <f aca="false">IFERROR(IF(ISBLANK(INDEX(Backlog[Status],MATCH($A163,Backlog[Requirement ID],0))),"",INDEX(Backlog[Status],MATCH($A163,Backlog[Requirement ID],0))),"")</f>
        <v/>
      </c>
      <c r="J163" s="1" t="str">
        <f aca="false">IFERROR(IF(ISBLANK(INDEX(Backlog[Priority],MATCH($A163,Backlog[Requirement ID],0))),"",INDEX(Backlog[Priority],MATCH($A163,Backlog[Requirement ID],0))),"")</f>
        <v/>
      </c>
      <c r="L163" s="57"/>
      <c r="M163" s="57"/>
      <c r="O163" s="57"/>
    </row>
    <row r="164" customFormat="false" ht="15" hidden="false" customHeight="true" outlineLevel="0" collapsed="false">
      <c r="A164" s="1" t="str">
        <f aca="false">Backlog!A164</f>
        <v/>
      </c>
      <c r="B164" s="1" t="str">
        <f aca="false">IFERROR(IF(ISBLANK(INDEX(Backlog[Requirement Name],MATCH($A164,Backlog[Requirement ID],0))),"",INDEX(Backlog[Requirement Name],MATCH($A164,Backlog[Requirement ID],0))),"")</f>
        <v/>
      </c>
      <c r="C164" s="1" t="str">
        <f aca="false">IFERROR(IF(ISBLANK(INDEX(Backlog[Stream],MATCH($A164,Backlog[Requirement ID],0))),"",INDEX(Backlog[Stream],MATCH($A164,Backlog[Requirement ID],0))),"")</f>
        <v/>
      </c>
      <c r="D164" s="1" t="str">
        <f aca="false">IFERROR(IF(ISBLANK(INDEX(Backlog[Stream Owner],MATCH($A164,Backlog[Requirement ID],0))),"",INDEX(Backlog[Stream Owner],MATCH($A164,Backlog[Requirement ID],0))),"")</f>
        <v/>
      </c>
      <c r="E164" s="1" t="str">
        <f aca="false">IFERROR(IF(ISBLANK(INDEX(Backlog[Jira Link],MATCH($A164,Backlog[Requirement ID],0))),"",INDEX(Backlog[Jira Link],MATCH($A164,Backlog[Requirement ID],0))),"")</f>
        <v/>
      </c>
      <c r="H164" s="1" t="str">
        <f aca="false">IFERROR(IF(ISBLANK(INDEX(SprintPlanning[Sprint],MATCH($A164,SprintPlanning[Requirement ID],0))),"",INDEX(SprintPlanning[Sprint],MATCH($A164,SprintPlanning[Requirement ID],0))),"")</f>
        <v/>
      </c>
      <c r="I164" s="1" t="str">
        <f aca="false">IFERROR(IF(ISBLANK(INDEX(Backlog[Status],MATCH($A164,Backlog[Requirement ID],0))),"",INDEX(Backlog[Status],MATCH($A164,Backlog[Requirement ID],0))),"")</f>
        <v/>
      </c>
      <c r="J164" s="1" t="str">
        <f aca="false">IFERROR(IF(ISBLANK(INDEX(Backlog[Priority],MATCH($A164,Backlog[Requirement ID],0))),"",INDEX(Backlog[Priority],MATCH($A164,Backlog[Requirement ID],0))),"")</f>
        <v/>
      </c>
      <c r="L164" s="57"/>
      <c r="M164" s="57"/>
      <c r="O164" s="57"/>
    </row>
    <row r="165" customFormat="false" ht="15" hidden="false" customHeight="true" outlineLevel="0" collapsed="false">
      <c r="A165" s="1" t="str">
        <f aca="false">Backlog!A165</f>
        <v/>
      </c>
      <c r="B165" s="1" t="str">
        <f aca="false">IFERROR(IF(ISBLANK(INDEX(Backlog[Requirement Name],MATCH($A165,Backlog[Requirement ID],0))),"",INDEX(Backlog[Requirement Name],MATCH($A165,Backlog[Requirement ID],0))),"")</f>
        <v/>
      </c>
      <c r="C165" s="1" t="str">
        <f aca="false">IFERROR(IF(ISBLANK(INDEX(Backlog[Stream],MATCH($A165,Backlog[Requirement ID],0))),"",INDEX(Backlog[Stream],MATCH($A165,Backlog[Requirement ID],0))),"")</f>
        <v/>
      </c>
      <c r="D165" s="1" t="str">
        <f aca="false">IFERROR(IF(ISBLANK(INDEX(Backlog[Stream Owner],MATCH($A165,Backlog[Requirement ID],0))),"",INDEX(Backlog[Stream Owner],MATCH($A165,Backlog[Requirement ID],0))),"")</f>
        <v/>
      </c>
      <c r="E165" s="1" t="str">
        <f aca="false">IFERROR(IF(ISBLANK(INDEX(Backlog[Jira Link],MATCH($A165,Backlog[Requirement ID],0))),"",INDEX(Backlog[Jira Link],MATCH($A165,Backlog[Requirement ID],0))),"")</f>
        <v/>
      </c>
      <c r="H165" s="1" t="str">
        <f aca="false">IFERROR(IF(ISBLANK(INDEX(SprintPlanning[Sprint],MATCH($A165,SprintPlanning[Requirement ID],0))),"",INDEX(SprintPlanning[Sprint],MATCH($A165,SprintPlanning[Requirement ID],0))),"")</f>
        <v/>
      </c>
      <c r="I165" s="1" t="str">
        <f aca="false">IFERROR(IF(ISBLANK(INDEX(Backlog[Status],MATCH($A165,Backlog[Requirement ID],0))),"",INDEX(Backlog[Status],MATCH($A165,Backlog[Requirement ID],0))),"")</f>
        <v/>
      </c>
      <c r="J165" s="1" t="str">
        <f aca="false">IFERROR(IF(ISBLANK(INDEX(Backlog[Priority],MATCH($A165,Backlog[Requirement ID],0))),"",INDEX(Backlog[Priority],MATCH($A165,Backlog[Requirement ID],0))),"")</f>
        <v/>
      </c>
      <c r="L165" s="57"/>
      <c r="M165" s="57"/>
      <c r="O165" s="57"/>
    </row>
    <row r="166" customFormat="false" ht="15" hidden="false" customHeight="true" outlineLevel="0" collapsed="false">
      <c r="A166" s="1" t="str">
        <f aca="false">Backlog!A166</f>
        <v/>
      </c>
      <c r="B166" s="1" t="str">
        <f aca="false">IFERROR(IF(ISBLANK(INDEX(Backlog[Requirement Name],MATCH($A166,Backlog[Requirement ID],0))),"",INDEX(Backlog[Requirement Name],MATCH($A166,Backlog[Requirement ID],0))),"")</f>
        <v/>
      </c>
      <c r="C166" s="1" t="str">
        <f aca="false">IFERROR(IF(ISBLANK(INDEX(Backlog[Stream],MATCH($A166,Backlog[Requirement ID],0))),"",INDEX(Backlog[Stream],MATCH($A166,Backlog[Requirement ID],0))),"")</f>
        <v/>
      </c>
      <c r="D166" s="1" t="str">
        <f aca="false">IFERROR(IF(ISBLANK(INDEX(Backlog[Stream Owner],MATCH($A166,Backlog[Requirement ID],0))),"",INDEX(Backlog[Stream Owner],MATCH($A166,Backlog[Requirement ID],0))),"")</f>
        <v/>
      </c>
      <c r="E166" s="1" t="str">
        <f aca="false">IFERROR(IF(ISBLANK(INDEX(Backlog[Jira Link],MATCH($A166,Backlog[Requirement ID],0))),"",INDEX(Backlog[Jira Link],MATCH($A166,Backlog[Requirement ID],0))),"")</f>
        <v/>
      </c>
      <c r="H166" s="1" t="str">
        <f aca="false">IFERROR(IF(ISBLANK(INDEX(SprintPlanning[Sprint],MATCH($A166,SprintPlanning[Requirement ID],0))),"",INDEX(SprintPlanning[Sprint],MATCH($A166,SprintPlanning[Requirement ID],0))),"")</f>
        <v/>
      </c>
      <c r="I166" s="1" t="str">
        <f aca="false">IFERROR(IF(ISBLANK(INDEX(Backlog[Status],MATCH($A166,Backlog[Requirement ID],0))),"",INDEX(Backlog[Status],MATCH($A166,Backlog[Requirement ID],0))),"")</f>
        <v/>
      </c>
      <c r="J166" s="1" t="str">
        <f aca="false">IFERROR(IF(ISBLANK(INDEX(Backlog[Priority],MATCH($A166,Backlog[Requirement ID],0))),"",INDEX(Backlog[Priority],MATCH($A166,Backlog[Requirement ID],0))),"")</f>
        <v/>
      </c>
      <c r="L166" s="57"/>
      <c r="M166" s="57"/>
      <c r="O166" s="57"/>
    </row>
    <row r="167" customFormat="false" ht="15" hidden="false" customHeight="true" outlineLevel="0" collapsed="false">
      <c r="A167" s="1" t="str">
        <f aca="false">Backlog!A167</f>
        <v/>
      </c>
      <c r="B167" s="1" t="str">
        <f aca="false">IFERROR(IF(ISBLANK(INDEX(Backlog[Requirement Name],MATCH($A167,Backlog[Requirement ID],0))),"",INDEX(Backlog[Requirement Name],MATCH($A167,Backlog[Requirement ID],0))),"")</f>
        <v/>
      </c>
      <c r="C167" s="1" t="str">
        <f aca="false">IFERROR(IF(ISBLANK(INDEX(Backlog[Stream],MATCH($A167,Backlog[Requirement ID],0))),"",INDEX(Backlog[Stream],MATCH($A167,Backlog[Requirement ID],0))),"")</f>
        <v/>
      </c>
      <c r="D167" s="1" t="str">
        <f aca="false">IFERROR(IF(ISBLANK(INDEX(Backlog[Stream Owner],MATCH($A167,Backlog[Requirement ID],0))),"",INDEX(Backlog[Stream Owner],MATCH($A167,Backlog[Requirement ID],0))),"")</f>
        <v/>
      </c>
      <c r="E167" s="1" t="str">
        <f aca="false">IFERROR(IF(ISBLANK(INDEX(Backlog[Jira Link],MATCH($A167,Backlog[Requirement ID],0))),"",INDEX(Backlog[Jira Link],MATCH($A167,Backlog[Requirement ID],0))),"")</f>
        <v/>
      </c>
      <c r="H167" s="1" t="str">
        <f aca="false">IFERROR(IF(ISBLANK(INDEX(SprintPlanning[Sprint],MATCH($A167,SprintPlanning[Requirement ID],0))),"",INDEX(SprintPlanning[Sprint],MATCH($A167,SprintPlanning[Requirement ID],0))),"")</f>
        <v/>
      </c>
      <c r="I167" s="1" t="str">
        <f aca="false">IFERROR(IF(ISBLANK(INDEX(Backlog[Status],MATCH($A167,Backlog[Requirement ID],0))),"",INDEX(Backlog[Status],MATCH($A167,Backlog[Requirement ID],0))),"")</f>
        <v/>
      </c>
      <c r="J167" s="1" t="str">
        <f aca="false">IFERROR(IF(ISBLANK(INDEX(Backlog[Priority],MATCH($A167,Backlog[Requirement ID],0))),"",INDEX(Backlog[Priority],MATCH($A167,Backlog[Requirement ID],0))),"")</f>
        <v/>
      </c>
      <c r="L167" s="57"/>
      <c r="M167" s="57"/>
      <c r="O167" s="57"/>
    </row>
    <row r="168" customFormat="false" ht="15" hidden="false" customHeight="true" outlineLevel="0" collapsed="false">
      <c r="A168" s="1" t="str">
        <f aca="false">Backlog!A168</f>
        <v/>
      </c>
      <c r="B168" s="1" t="str">
        <f aca="false">IFERROR(IF(ISBLANK(INDEX(Backlog[Requirement Name],MATCH($A168,Backlog[Requirement ID],0))),"",INDEX(Backlog[Requirement Name],MATCH($A168,Backlog[Requirement ID],0))),"")</f>
        <v/>
      </c>
      <c r="C168" s="1" t="str">
        <f aca="false">IFERROR(IF(ISBLANK(INDEX(Backlog[Stream],MATCH($A168,Backlog[Requirement ID],0))),"",INDEX(Backlog[Stream],MATCH($A168,Backlog[Requirement ID],0))),"")</f>
        <v/>
      </c>
      <c r="D168" s="1" t="str">
        <f aca="false">IFERROR(IF(ISBLANK(INDEX(Backlog[Stream Owner],MATCH($A168,Backlog[Requirement ID],0))),"",INDEX(Backlog[Stream Owner],MATCH($A168,Backlog[Requirement ID],0))),"")</f>
        <v/>
      </c>
      <c r="E168" s="1" t="str">
        <f aca="false">IFERROR(IF(ISBLANK(INDEX(Backlog[Jira Link],MATCH($A168,Backlog[Requirement ID],0))),"",INDEX(Backlog[Jira Link],MATCH($A168,Backlog[Requirement ID],0))),"")</f>
        <v/>
      </c>
      <c r="H168" s="1" t="str">
        <f aca="false">IFERROR(IF(ISBLANK(INDEX(SprintPlanning[Sprint],MATCH($A168,SprintPlanning[Requirement ID],0))),"",INDEX(SprintPlanning[Sprint],MATCH($A168,SprintPlanning[Requirement ID],0))),"")</f>
        <v/>
      </c>
      <c r="I168" s="1" t="str">
        <f aca="false">IFERROR(IF(ISBLANK(INDEX(Backlog[Status],MATCH($A168,Backlog[Requirement ID],0))),"",INDEX(Backlog[Status],MATCH($A168,Backlog[Requirement ID],0))),"")</f>
        <v/>
      </c>
      <c r="J168" s="1" t="str">
        <f aca="false">IFERROR(IF(ISBLANK(INDEX(Backlog[Priority],MATCH($A168,Backlog[Requirement ID],0))),"",INDEX(Backlog[Priority],MATCH($A168,Backlog[Requirement ID],0))),"")</f>
        <v/>
      </c>
      <c r="L168" s="57"/>
      <c r="M168" s="57"/>
      <c r="O168" s="57"/>
    </row>
    <row r="169" customFormat="false" ht="15" hidden="false" customHeight="true" outlineLevel="0" collapsed="false">
      <c r="A169" s="1" t="str">
        <f aca="false">Backlog!A169</f>
        <v/>
      </c>
      <c r="B169" s="1" t="str">
        <f aca="false">IFERROR(IF(ISBLANK(INDEX(Backlog[Requirement Name],MATCH($A169,Backlog[Requirement ID],0))),"",INDEX(Backlog[Requirement Name],MATCH($A169,Backlog[Requirement ID],0))),"")</f>
        <v/>
      </c>
      <c r="C169" s="1" t="str">
        <f aca="false">IFERROR(IF(ISBLANK(INDEX(Backlog[Stream],MATCH($A169,Backlog[Requirement ID],0))),"",INDEX(Backlog[Stream],MATCH($A169,Backlog[Requirement ID],0))),"")</f>
        <v/>
      </c>
      <c r="D169" s="1" t="str">
        <f aca="false">IFERROR(IF(ISBLANK(INDEX(Backlog[Stream Owner],MATCH($A169,Backlog[Requirement ID],0))),"",INDEX(Backlog[Stream Owner],MATCH($A169,Backlog[Requirement ID],0))),"")</f>
        <v/>
      </c>
      <c r="E169" s="1" t="str">
        <f aca="false">IFERROR(IF(ISBLANK(INDEX(Backlog[Jira Link],MATCH($A169,Backlog[Requirement ID],0))),"",INDEX(Backlog[Jira Link],MATCH($A169,Backlog[Requirement ID],0))),"")</f>
        <v/>
      </c>
      <c r="H169" s="1" t="str">
        <f aca="false">IFERROR(IF(ISBLANK(INDEX(SprintPlanning[Sprint],MATCH($A169,SprintPlanning[Requirement ID],0))),"",INDEX(SprintPlanning[Sprint],MATCH($A169,SprintPlanning[Requirement ID],0))),"")</f>
        <v/>
      </c>
      <c r="I169" s="1" t="str">
        <f aca="false">IFERROR(IF(ISBLANK(INDEX(Backlog[Status],MATCH($A169,Backlog[Requirement ID],0))),"",INDEX(Backlog[Status],MATCH($A169,Backlog[Requirement ID],0))),"")</f>
        <v/>
      </c>
      <c r="J169" s="1" t="str">
        <f aca="false">IFERROR(IF(ISBLANK(INDEX(Backlog[Priority],MATCH($A169,Backlog[Requirement ID],0))),"",INDEX(Backlog[Priority],MATCH($A169,Backlog[Requirement ID],0))),"")</f>
        <v/>
      </c>
      <c r="L169" s="57"/>
      <c r="M169" s="57"/>
      <c r="O169" s="57"/>
    </row>
    <row r="170" customFormat="false" ht="15" hidden="false" customHeight="true" outlineLevel="0" collapsed="false">
      <c r="A170" s="1" t="str">
        <f aca="false">Backlog!A170</f>
        <v/>
      </c>
      <c r="B170" s="1" t="str">
        <f aca="false">IFERROR(IF(ISBLANK(INDEX(Backlog[Requirement Name],MATCH($A170,Backlog[Requirement ID],0))),"",INDEX(Backlog[Requirement Name],MATCH($A170,Backlog[Requirement ID],0))),"")</f>
        <v/>
      </c>
      <c r="C170" s="1" t="str">
        <f aca="false">IFERROR(IF(ISBLANK(INDEX(Backlog[Stream],MATCH($A170,Backlog[Requirement ID],0))),"",INDEX(Backlog[Stream],MATCH($A170,Backlog[Requirement ID],0))),"")</f>
        <v/>
      </c>
      <c r="D170" s="1" t="str">
        <f aca="false">IFERROR(IF(ISBLANK(INDEX(Backlog[Stream Owner],MATCH($A170,Backlog[Requirement ID],0))),"",INDEX(Backlog[Stream Owner],MATCH($A170,Backlog[Requirement ID],0))),"")</f>
        <v/>
      </c>
      <c r="E170" s="1" t="str">
        <f aca="false">IFERROR(IF(ISBLANK(INDEX(Backlog[Jira Link],MATCH($A170,Backlog[Requirement ID],0))),"",INDEX(Backlog[Jira Link],MATCH($A170,Backlog[Requirement ID],0))),"")</f>
        <v/>
      </c>
      <c r="H170" s="1" t="str">
        <f aca="false">IFERROR(IF(ISBLANK(INDEX(SprintPlanning[Sprint],MATCH($A170,SprintPlanning[Requirement ID],0))),"",INDEX(SprintPlanning[Sprint],MATCH($A170,SprintPlanning[Requirement ID],0))),"")</f>
        <v/>
      </c>
      <c r="I170" s="1" t="str">
        <f aca="false">IFERROR(IF(ISBLANK(INDEX(Backlog[Status],MATCH($A170,Backlog[Requirement ID],0))),"",INDEX(Backlog[Status],MATCH($A170,Backlog[Requirement ID],0))),"")</f>
        <v/>
      </c>
      <c r="J170" s="1" t="str">
        <f aca="false">IFERROR(IF(ISBLANK(INDEX(Backlog[Priority],MATCH($A170,Backlog[Requirement ID],0))),"",INDEX(Backlog[Priority],MATCH($A170,Backlog[Requirement ID],0))),"")</f>
        <v/>
      </c>
      <c r="L170" s="57"/>
      <c r="M170" s="57"/>
      <c r="O170" s="57"/>
    </row>
    <row r="171" customFormat="false" ht="15" hidden="false" customHeight="true" outlineLevel="0" collapsed="false">
      <c r="A171" s="1" t="str">
        <f aca="false">Backlog!A171</f>
        <v/>
      </c>
      <c r="B171" s="1" t="str">
        <f aca="false">IFERROR(IF(ISBLANK(INDEX(Backlog[Requirement Name],MATCH($A171,Backlog[Requirement ID],0))),"",INDEX(Backlog[Requirement Name],MATCH($A171,Backlog[Requirement ID],0))),"")</f>
        <v/>
      </c>
      <c r="C171" s="1" t="str">
        <f aca="false">IFERROR(IF(ISBLANK(INDEX(Backlog[Stream],MATCH($A171,Backlog[Requirement ID],0))),"",INDEX(Backlog[Stream],MATCH($A171,Backlog[Requirement ID],0))),"")</f>
        <v/>
      </c>
      <c r="D171" s="1" t="str">
        <f aca="false">IFERROR(IF(ISBLANK(INDEX(Backlog[Stream Owner],MATCH($A171,Backlog[Requirement ID],0))),"",INDEX(Backlog[Stream Owner],MATCH($A171,Backlog[Requirement ID],0))),"")</f>
        <v/>
      </c>
      <c r="E171" s="1" t="str">
        <f aca="false">IFERROR(IF(ISBLANK(INDEX(Backlog[Jira Link],MATCH($A171,Backlog[Requirement ID],0))),"",INDEX(Backlog[Jira Link],MATCH($A171,Backlog[Requirement ID],0))),"")</f>
        <v/>
      </c>
      <c r="H171" s="1" t="str">
        <f aca="false">IFERROR(IF(ISBLANK(INDEX(SprintPlanning[Sprint],MATCH($A171,SprintPlanning[Requirement ID],0))),"",INDEX(SprintPlanning[Sprint],MATCH($A171,SprintPlanning[Requirement ID],0))),"")</f>
        <v/>
      </c>
      <c r="I171" s="1" t="str">
        <f aca="false">IFERROR(IF(ISBLANK(INDEX(Backlog[Status],MATCH($A171,Backlog[Requirement ID],0))),"",INDEX(Backlog[Status],MATCH($A171,Backlog[Requirement ID],0))),"")</f>
        <v/>
      </c>
      <c r="J171" s="1" t="str">
        <f aca="false">IFERROR(IF(ISBLANK(INDEX(Backlog[Priority],MATCH($A171,Backlog[Requirement ID],0))),"",INDEX(Backlog[Priority],MATCH($A171,Backlog[Requirement ID],0))),"")</f>
        <v/>
      </c>
      <c r="L171" s="57"/>
      <c r="M171" s="57"/>
      <c r="O171" s="57"/>
    </row>
    <row r="172" customFormat="false" ht="15" hidden="false" customHeight="true" outlineLevel="0" collapsed="false">
      <c r="A172" s="1" t="str">
        <f aca="false">Backlog!A172</f>
        <v/>
      </c>
      <c r="B172" s="1" t="str">
        <f aca="false">IFERROR(IF(ISBLANK(INDEX(Backlog[Requirement Name],MATCH($A172,Backlog[Requirement ID],0))),"",INDEX(Backlog[Requirement Name],MATCH($A172,Backlog[Requirement ID],0))),"")</f>
        <v/>
      </c>
      <c r="C172" s="1" t="str">
        <f aca="false">IFERROR(IF(ISBLANK(INDEX(Backlog[Stream],MATCH($A172,Backlog[Requirement ID],0))),"",INDEX(Backlog[Stream],MATCH($A172,Backlog[Requirement ID],0))),"")</f>
        <v/>
      </c>
      <c r="D172" s="1" t="str">
        <f aca="false">IFERROR(IF(ISBLANK(INDEX(Backlog[Stream Owner],MATCH($A172,Backlog[Requirement ID],0))),"",INDEX(Backlog[Stream Owner],MATCH($A172,Backlog[Requirement ID],0))),"")</f>
        <v/>
      </c>
      <c r="E172" s="1" t="str">
        <f aca="false">IFERROR(IF(ISBLANK(INDEX(Backlog[Jira Link],MATCH($A172,Backlog[Requirement ID],0))),"",INDEX(Backlog[Jira Link],MATCH($A172,Backlog[Requirement ID],0))),"")</f>
        <v/>
      </c>
      <c r="H172" s="1" t="str">
        <f aca="false">IFERROR(IF(ISBLANK(INDEX(SprintPlanning[Sprint],MATCH($A172,SprintPlanning[Requirement ID],0))),"",INDEX(SprintPlanning[Sprint],MATCH($A172,SprintPlanning[Requirement ID],0))),"")</f>
        <v/>
      </c>
      <c r="I172" s="1" t="str">
        <f aca="false">IFERROR(IF(ISBLANK(INDEX(Backlog[Status],MATCH($A172,Backlog[Requirement ID],0))),"",INDEX(Backlog[Status],MATCH($A172,Backlog[Requirement ID],0))),"")</f>
        <v/>
      </c>
      <c r="J172" s="1" t="str">
        <f aca="false">IFERROR(IF(ISBLANK(INDEX(Backlog[Priority],MATCH($A172,Backlog[Requirement ID],0))),"",INDEX(Backlog[Priority],MATCH($A172,Backlog[Requirement ID],0))),"")</f>
        <v/>
      </c>
      <c r="L172" s="57"/>
      <c r="M172" s="57"/>
      <c r="O172" s="57"/>
    </row>
    <row r="173" customFormat="false" ht="15" hidden="false" customHeight="true" outlineLevel="0" collapsed="false">
      <c r="A173" s="1" t="str">
        <f aca="false">Backlog!A173</f>
        <v/>
      </c>
      <c r="B173" s="1" t="str">
        <f aca="false">IFERROR(IF(ISBLANK(INDEX(Backlog[Requirement Name],MATCH($A173,Backlog[Requirement ID],0))),"",INDEX(Backlog[Requirement Name],MATCH($A173,Backlog[Requirement ID],0))),"")</f>
        <v/>
      </c>
      <c r="C173" s="1" t="str">
        <f aca="false">IFERROR(IF(ISBLANK(INDEX(Backlog[Stream],MATCH($A173,Backlog[Requirement ID],0))),"",INDEX(Backlog[Stream],MATCH($A173,Backlog[Requirement ID],0))),"")</f>
        <v/>
      </c>
      <c r="D173" s="1" t="str">
        <f aca="false">IFERROR(IF(ISBLANK(INDEX(Backlog[Stream Owner],MATCH($A173,Backlog[Requirement ID],0))),"",INDEX(Backlog[Stream Owner],MATCH($A173,Backlog[Requirement ID],0))),"")</f>
        <v/>
      </c>
      <c r="E173" s="1" t="str">
        <f aca="false">IFERROR(IF(ISBLANK(INDEX(Backlog[Jira Link],MATCH($A173,Backlog[Requirement ID],0))),"",INDEX(Backlog[Jira Link],MATCH($A173,Backlog[Requirement ID],0))),"")</f>
        <v/>
      </c>
      <c r="H173" s="1" t="str">
        <f aca="false">IFERROR(IF(ISBLANK(INDEX(SprintPlanning[Sprint],MATCH($A173,SprintPlanning[Requirement ID],0))),"",INDEX(SprintPlanning[Sprint],MATCH($A173,SprintPlanning[Requirement ID],0))),"")</f>
        <v/>
      </c>
      <c r="I173" s="1" t="str">
        <f aca="false">IFERROR(IF(ISBLANK(INDEX(Backlog[Status],MATCH($A173,Backlog[Requirement ID],0))),"",INDEX(Backlog[Status],MATCH($A173,Backlog[Requirement ID],0))),"")</f>
        <v/>
      </c>
      <c r="J173" s="1" t="str">
        <f aca="false">IFERROR(IF(ISBLANK(INDEX(Backlog[Priority],MATCH($A173,Backlog[Requirement ID],0))),"",INDEX(Backlog[Priority],MATCH($A173,Backlog[Requirement ID],0))),"")</f>
        <v/>
      </c>
      <c r="L173" s="57"/>
      <c r="M173" s="57"/>
      <c r="O173" s="57"/>
    </row>
    <row r="174" customFormat="false" ht="15" hidden="false" customHeight="true" outlineLevel="0" collapsed="false">
      <c r="A174" s="1" t="str">
        <f aca="false">Backlog!A174</f>
        <v/>
      </c>
      <c r="B174" s="1" t="str">
        <f aca="false">IFERROR(IF(ISBLANK(INDEX(Backlog[Requirement Name],MATCH($A174,Backlog[Requirement ID],0))),"",INDEX(Backlog[Requirement Name],MATCH($A174,Backlog[Requirement ID],0))),"")</f>
        <v/>
      </c>
      <c r="C174" s="1" t="str">
        <f aca="false">IFERROR(IF(ISBLANK(INDEX(Backlog[Stream],MATCH($A174,Backlog[Requirement ID],0))),"",INDEX(Backlog[Stream],MATCH($A174,Backlog[Requirement ID],0))),"")</f>
        <v/>
      </c>
      <c r="D174" s="1" t="str">
        <f aca="false">IFERROR(IF(ISBLANK(INDEX(Backlog[Stream Owner],MATCH($A174,Backlog[Requirement ID],0))),"",INDEX(Backlog[Stream Owner],MATCH($A174,Backlog[Requirement ID],0))),"")</f>
        <v/>
      </c>
      <c r="E174" s="1" t="str">
        <f aca="false">IFERROR(IF(ISBLANK(INDEX(Backlog[Jira Link],MATCH($A174,Backlog[Requirement ID],0))),"",INDEX(Backlog[Jira Link],MATCH($A174,Backlog[Requirement ID],0))),"")</f>
        <v/>
      </c>
      <c r="H174" s="1" t="str">
        <f aca="false">IFERROR(IF(ISBLANK(INDEX(SprintPlanning[Sprint],MATCH($A174,SprintPlanning[Requirement ID],0))),"",INDEX(SprintPlanning[Sprint],MATCH($A174,SprintPlanning[Requirement ID],0))),"")</f>
        <v/>
      </c>
      <c r="I174" s="1" t="str">
        <f aca="false">IFERROR(IF(ISBLANK(INDEX(Backlog[Status],MATCH($A174,Backlog[Requirement ID],0))),"",INDEX(Backlog[Status],MATCH($A174,Backlog[Requirement ID],0))),"")</f>
        <v/>
      </c>
      <c r="J174" s="1" t="str">
        <f aca="false">IFERROR(IF(ISBLANK(INDEX(Backlog[Priority],MATCH($A174,Backlog[Requirement ID],0))),"",INDEX(Backlog[Priority],MATCH($A174,Backlog[Requirement ID],0))),"")</f>
        <v/>
      </c>
      <c r="L174" s="57"/>
      <c r="M174" s="57"/>
      <c r="O174" s="57"/>
    </row>
    <row r="175" customFormat="false" ht="15" hidden="false" customHeight="true" outlineLevel="0" collapsed="false">
      <c r="A175" s="1" t="str">
        <f aca="false">Backlog!A175</f>
        <v/>
      </c>
      <c r="B175" s="1" t="str">
        <f aca="false">IFERROR(IF(ISBLANK(INDEX(Backlog[Requirement Name],MATCH($A175,Backlog[Requirement ID],0))),"",INDEX(Backlog[Requirement Name],MATCH($A175,Backlog[Requirement ID],0))),"")</f>
        <v/>
      </c>
      <c r="C175" s="1" t="str">
        <f aca="false">IFERROR(IF(ISBLANK(INDEX(Backlog[Stream],MATCH($A175,Backlog[Requirement ID],0))),"",INDEX(Backlog[Stream],MATCH($A175,Backlog[Requirement ID],0))),"")</f>
        <v/>
      </c>
      <c r="D175" s="1" t="str">
        <f aca="false">IFERROR(IF(ISBLANK(INDEX(Backlog[Stream Owner],MATCH($A175,Backlog[Requirement ID],0))),"",INDEX(Backlog[Stream Owner],MATCH($A175,Backlog[Requirement ID],0))),"")</f>
        <v/>
      </c>
      <c r="E175" s="1" t="str">
        <f aca="false">IFERROR(IF(ISBLANK(INDEX(Backlog[Jira Link],MATCH($A175,Backlog[Requirement ID],0))),"",INDEX(Backlog[Jira Link],MATCH($A175,Backlog[Requirement ID],0))),"")</f>
        <v/>
      </c>
      <c r="H175" s="1" t="str">
        <f aca="false">IFERROR(IF(ISBLANK(INDEX(SprintPlanning[Sprint],MATCH($A175,SprintPlanning[Requirement ID],0))),"",INDEX(SprintPlanning[Sprint],MATCH($A175,SprintPlanning[Requirement ID],0))),"")</f>
        <v/>
      </c>
      <c r="I175" s="1" t="str">
        <f aca="false">IFERROR(IF(ISBLANK(INDEX(Backlog[Status],MATCH($A175,Backlog[Requirement ID],0))),"",INDEX(Backlog[Status],MATCH($A175,Backlog[Requirement ID],0))),"")</f>
        <v/>
      </c>
      <c r="J175" s="1" t="str">
        <f aca="false">IFERROR(IF(ISBLANK(INDEX(Backlog[Priority],MATCH($A175,Backlog[Requirement ID],0))),"",INDEX(Backlog[Priority],MATCH($A175,Backlog[Requirement ID],0))),"")</f>
        <v/>
      </c>
      <c r="L175" s="57"/>
      <c r="M175" s="57"/>
      <c r="O175" s="57"/>
    </row>
    <row r="176" customFormat="false" ht="15" hidden="false" customHeight="true" outlineLevel="0" collapsed="false">
      <c r="A176" s="1" t="str">
        <f aca="false">Backlog!A176</f>
        <v/>
      </c>
      <c r="B176" s="1" t="str">
        <f aca="false">IFERROR(IF(ISBLANK(INDEX(Backlog[Requirement Name],MATCH($A176,Backlog[Requirement ID],0))),"",INDEX(Backlog[Requirement Name],MATCH($A176,Backlog[Requirement ID],0))),"")</f>
        <v/>
      </c>
      <c r="C176" s="1" t="str">
        <f aca="false">IFERROR(IF(ISBLANK(INDEX(Backlog[Stream],MATCH($A176,Backlog[Requirement ID],0))),"",INDEX(Backlog[Stream],MATCH($A176,Backlog[Requirement ID],0))),"")</f>
        <v/>
      </c>
      <c r="D176" s="1" t="str">
        <f aca="false">IFERROR(IF(ISBLANK(INDEX(Backlog[Stream Owner],MATCH($A176,Backlog[Requirement ID],0))),"",INDEX(Backlog[Stream Owner],MATCH($A176,Backlog[Requirement ID],0))),"")</f>
        <v/>
      </c>
      <c r="E176" s="1" t="str">
        <f aca="false">IFERROR(IF(ISBLANK(INDEX(Backlog[Jira Link],MATCH($A176,Backlog[Requirement ID],0))),"",INDEX(Backlog[Jira Link],MATCH($A176,Backlog[Requirement ID],0))),"")</f>
        <v/>
      </c>
      <c r="H176" s="1" t="str">
        <f aca="false">IFERROR(IF(ISBLANK(INDEX(SprintPlanning[Sprint],MATCH($A176,SprintPlanning[Requirement ID],0))),"",INDEX(SprintPlanning[Sprint],MATCH($A176,SprintPlanning[Requirement ID],0))),"")</f>
        <v/>
      </c>
      <c r="I176" s="1" t="str">
        <f aca="false">IFERROR(IF(ISBLANK(INDEX(Backlog[Status],MATCH($A176,Backlog[Requirement ID],0))),"",INDEX(Backlog[Status],MATCH($A176,Backlog[Requirement ID],0))),"")</f>
        <v/>
      </c>
      <c r="J176" s="1" t="str">
        <f aca="false">IFERROR(IF(ISBLANK(INDEX(Backlog[Priority],MATCH($A176,Backlog[Requirement ID],0))),"",INDEX(Backlog[Priority],MATCH($A176,Backlog[Requirement ID],0))),"")</f>
        <v/>
      </c>
      <c r="L176" s="57"/>
      <c r="M176" s="57"/>
      <c r="O176" s="57"/>
    </row>
    <row r="177" customFormat="false" ht="15" hidden="false" customHeight="true" outlineLevel="0" collapsed="false">
      <c r="A177" s="1" t="str">
        <f aca="false">Backlog!A177</f>
        <v/>
      </c>
      <c r="B177" s="1" t="str">
        <f aca="false">IFERROR(IF(ISBLANK(INDEX(Backlog[Requirement Name],MATCH($A177,Backlog[Requirement ID],0))),"",INDEX(Backlog[Requirement Name],MATCH($A177,Backlog[Requirement ID],0))),"")</f>
        <v/>
      </c>
      <c r="C177" s="1" t="str">
        <f aca="false">IFERROR(IF(ISBLANK(INDEX(Backlog[Stream],MATCH($A177,Backlog[Requirement ID],0))),"",INDEX(Backlog[Stream],MATCH($A177,Backlog[Requirement ID],0))),"")</f>
        <v/>
      </c>
      <c r="D177" s="1" t="str">
        <f aca="false">IFERROR(IF(ISBLANK(INDEX(Backlog[Stream Owner],MATCH($A177,Backlog[Requirement ID],0))),"",INDEX(Backlog[Stream Owner],MATCH($A177,Backlog[Requirement ID],0))),"")</f>
        <v/>
      </c>
      <c r="E177" s="1" t="str">
        <f aca="false">IFERROR(IF(ISBLANK(INDEX(Backlog[Jira Link],MATCH($A177,Backlog[Requirement ID],0))),"",INDEX(Backlog[Jira Link],MATCH($A177,Backlog[Requirement ID],0))),"")</f>
        <v/>
      </c>
      <c r="H177" s="1" t="str">
        <f aca="false">IFERROR(IF(ISBLANK(INDEX(SprintPlanning[Sprint],MATCH($A177,SprintPlanning[Requirement ID],0))),"",INDEX(SprintPlanning[Sprint],MATCH($A177,SprintPlanning[Requirement ID],0))),"")</f>
        <v/>
      </c>
      <c r="I177" s="1" t="str">
        <f aca="false">IFERROR(IF(ISBLANK(INDEX(Backlog[Status],MATCH($A177,Backlog[Requirement ID],0))),"",INDEX(Backlog[Status],MATCH($A177,Backlog[Requirement ID],0))),"")</f>
        <v/>
      </c>
      <c r="J177" s="1" t="str">
        <f aca="false">IFERROR(IF(ISBLANK(INDEX(Backlog[Priority],MATCH($A177,Backlog[Requirement ID],0))),"",INDEX(Backlog[Priority],MATCH($A177,Backlog[Requirement ID],0))),"")</f>
        <v/>
      </c>
      <c r="L177" s="57"/>
      <c r="M177" s="57"/>
      <c r="O177" s="57"/>
    </row>
    <row r="178" customFormat="false" ht="15" hidden="false" customHeight="true" outlineLevel="0" collapsed="false">
      <c r="A178" s="1" t="str">
        <f aca="false">Backlog!A178</f>
        <v/>
      </c>
      <c r="B178" s="1" t="str">
        <f aca="false">IFERROR(IF(ISBLANK(INDEX(Backlog[Requirement Name],MATCH($A178,Backlog[Requirement ID],0))),"",INDEX(Backlog[Requirement Name],MATCH($A178,Backlog[Requirement ID],0))),"")</f>
        <v/>
      </c>
      <c r="C178" s="1" t="str">
        <f aca="false">IFERROR(IF(ISBLANK(INDEX(Backlog[Stream],MATCH($A178,Backlog[Requirement ID],0))),"",INDEX(Backlog[Stream],MATCH($A178,Backlog[Requirement ID],0))),"")</f>
        <v/>
      </c>
      <c r="D178" s="1" t="str">
        <f aca="false">IFERROR(IF(ISBLANK(INDEX(Backlog[Stream Owner],MATCH($A178,Backlog[Requirement ID],0))),"",INDEX(Backlog[Stream Owner],MATCH($A178,Backlog[Requirement ID],0))),"")</f>
        <v/>
      </c>
      <c r="E178" s="1" t="str">
        <f aca="false">IFERROR(IF(ISBLANK(INDEX(Backlog[Jira Link],MATCH($A178,Backlog[Requirement ID],0))),"",INDEX(Backlog[Jira Link],MATCH($A178,Backlog[Requirement ID],0))),"")</f>
        <v/>
      </c>
      <c r="H178" s="1" t="str">
        <f aca="false">IFERROR(IF(ISBLANK(INDEX(SprintPlanning[Sprint],MATCH($A178,SprintPlanning[Requirement ID],0))),"",INDEX(SprintPlanning[Sprint],MATCH($A178,SprintPlanning[Requirement ID],0))),"")</f>
        <v/>
      </c>
      <c r="I178" s="1" t="str">
        <f aca="false">IFERROR(IF(ISBLANK(INDEX(Backlog[Status],MATCH($A178,Backlog[Requirement ID],0))),"",INDEX(Backlog[Status],MATCH($A178,Backlog[Requirement ID],0))),"")</f>
        <v/>
      </c>
      <c r="J178" s="1" t="str">
        <f aca="false">IFERROR(IF(ISBLANK(INDEX(Backlog[Priority],MATCH($A178,Backlog[Requirement ID],0))),"",INDEX(Backlog[Priority],MATCH($A178,Backlog[Requirement ID],0))),"")</f>
        <v/>
      </c>
      <c r="L178" s="57"/>
      <c r="M178" s="57"/>
      <c r="O178" s="57"/>
    </row>
    <row r="179" customFormat="false" ht="15" hidden="false" customHeight="true" outlineLevel="0" collapsed="false">
      <c r="A179" s="1" t="str">
        <f aca="false">Backlog!A179</f>
        <v/>
      </c>
      <c r="B179" s="1" t="str">
        <f aca="false">IFERROR(IF(ISBLANK(INDEX(Backlog[Requirement Name],MATCH($A179,Backlog[Requirement ID],0))),"",INDEX(Backlog[Requirement Name],MATCH($A179,Backlog[Requirement ID],0))),"")</f>
        <v/>
      </c>
      <c r="C179" s="1" t="str">
        <f aca="false">IFERROR(IF(ISBLANK(INDEX(Backlog[Stream],MATCH($A179,Backlog[Requirement ID],0))),"",INDEX(Backlog[Stream],MATCH($A179,Backlog[Requirement ID],0))),"")</f>
        <v/>
      </c>
      <c r="D179" s="1" t="str">
        <f aca="false">IFERROR(IF(ISBLANK(INDEX(Backlog[Stream Owner],MATCH($A179,Backlog[Requirement ID],0))),"",INDEX(Backlog[Stream Owner],MATCH($A179,Backlog[Requirement ID],0))),"")</f>
        <v/>
      </c>
      <c r="E179" s="1" t="str">
        <f aca="false">IFERROR(IF(ISBLANK(INDEX(Backlog[Jira Link],MATCH($A179,Backlog[Requirement ID],0))),"",INDEX(Backlog[Jira Link],MATCH($A179,Backlog[Requirement ID],0))),"")</f>
        <v/>
      </c>
      <c r="H179" s="1" t="str">
        <f aca="false">IFERROR(IF(ISBLANK(INDEX(SprintPlanning[Sprint],MATCH($A179,SprintPlanning[Requirement ID],0))),"",INDEX(SprintPlanning[Sprint],MATCH($A179,SprintPlanning[Requirement ID],0))),"")</f>
        <v/>
      </c>
      <c r="I179" s="1" t="str">
        <f aca="false">IFERROR(IF(ISBLANK(INDEX(Backlog[Status],MATCH($A179,Backlog[Requirement ID],0))),"",INDEX(Backlog[Status],MATCH($A179,Backlog[Requirement ID],0))),"")</f>
        <v/>
      </c>
      <c r="J179" s="1" t="str">
        <f aca="false">IFERROR(IF(ISBLANK(INDEX(Backlog[Priority],MATCH($A179,Backlog[Requirement ID],0))),"",INDEX(Backlog[Priority],MATCH($A179,Backlog[Requirement ID],0))),"")</f>
        <v/>
      </c>
      <c r="L179" s="57"/>
      <c r="M179" s="57"/>
      <c r="O179" s="57"/>
    </row>
    <row r="180" customFormat="false" ht="15" hidden="false" customHeight="true" outlineLevel="0" collapsed="false">
      <c r="A180" s="1" t="str">
        <f aca="false">Backlog!A180</f>
        <v/>
      </c>
      <c r="B180" s="1" t="str">
        <f aca="false">IFERROR(IF(ISBLANK(INDEX(Backlog[Requirement Name],MATCH($A180,Backlog[Requirement ID],0))),"",INDEX(Backlog[Requirement Name],MATCH($A180,Backlog[Requirement ID],0))),"")</f>
        <v/>
      </c>
      <c r="C180" s="1" t="str">
        <f aca="false">IFERROR(IF(ISBLANK(INDEX(Backlog[Stream],MATCH($A180,Backlog[Requirement ID],0))),"",INDEX(Backlog[Stream],MATCH($A180,Backlog[Requirement ID],0))),"")</f>
        <v/>
      </c>
      <c r="D180" s="1" t="str">
        <f aca="false">IFERROR(IF(ISBLANK(INDEX(Backlog[Stream Owner],MATCH($A180,Backlog[Requirement ID],0))),"",INDEX(Backlog[Stream Owner],MATCH($A180,Backlog[Requirement ID],0))),"")</f>
        <v/>
      </c>
      <c r="E180" s="1" t="str">
        <f aca="false">IFERROR(IF(ISBLANK(INDEX(Backlog[Jira Link],MATCH($A180,Backlog[Requirement ID],0))),"",INDEX(Backlog[Jira Link],MATCH($A180,Backlog[Requirement ID],0))),"")</f>
        <v/>
      </c>
      <c r="H180" s="1" t="str">
        <f aca="false">IFERROR(IF(ISBLANK(INDEX(SprintPlanning[Sprint],MATCH($A180,SprintPlanning[Requirement ID],0))),"",INDEX(SprintPlanning[Sprint],MATCH($A180,SprintPlanning[Requirement ID],0))),"")</f>
        <v/>
      </c>
      <c r="I180" s="1" t="str">
        <f aca="false">IFERROR(IF(ISBLANK(INDEX(Backlog[Status],MATCH($A180,Backlog[Requirement ID],0))),"",INDEX(Backlog[Status],MATCH($A180,Backlog[Requirement ID],0))),"")</f>
        <v/>
      </c>
      <c r="J180" s="1" t="str">
        <f aca="false">IFERROR(IF(ISBLANK(INDEX(Backlog[Priority],MATCH($A180,Backlog[Requirement ID],0))),"",INDEX(Backlog[Priority],MATCH($A180,Backlog[Requirement ID],0))),"")</f>
        <v/>
      </c>
      <c r="L180" s="57"/>
      <c r="M180" s="57"/>
      <c r="O180" s="57"/>
    </row>
    <row r="181" customFormat="false" ht="15" hidden="false" customHeight="true" outlineLevel="0" collapsed="false">
      <c r="A181" s="1" t="str">
        <f aca="false">Backlog!A181</f>
        <v/>
      </c>
      <c r="B181" s="1" t="str">
        <f aca="false">IFERROR(IF(ISBLANK(INDEX(Backlog[Requirement Name],MATCH($A181,Backlog[Requirement ID],0))),"",INDEX(Backlog[Requirement Name],MATCH($A181,Backlog[Requirement ID],0))),"")</f>
        <v/>
      </c>
      <c r="C181" s="1" t="str">
        <f aca="false">IFERROR(IF(ISBLANK(INDEX(Backlog[Stream],MATCH($A181,Backlog[Requirement ID],0))),"",INDEX(Backlog[Stream],MATCH($A181,Backlog[Requirement ID],0))),"")</f>
        <v/>
      </c>
      <c r="D181" s="1" t="str">
        <f aca="false">IFERROR(IF(ISBLANK(INDEX(Backlog[Stream Owner],MATCH($A181,Backlog[Requirement ID],0))),"",INDEX(Backlog[Stream Owner],MATCH($A181,Backlog[Requirement ID],0))),"")</f>
        <v/>
      </c>
      <c r="E181" s="1" t="str">
        <f aca="false">IFERROR(IF(ISBLANK(INDEX(Backlog[Jira Link],MATCH($A181,Backlog[Requirement ID],0))),"",INDEX(Backlog[Jira Link],MATCH($A181,Backlog[Requirement ID],0))),"")</f>
        <v/>
      </c>
      <c r="H181" s="1" t="str">
        <f aca="false">IFERROR(IF(ISBLANK(INDEX(SprintPlanning[Sprint],MATCH($A181,SprintPlanning[Requirement ID],0))),"",INDEX(SprintPlanning[Sprint],MATCH($A181,SprintPlanning[Requirement ID],0))),"")</f>
        <v/>
      </c>
      <c r="I181" s="1" t="str">
        <f aca="false">IFERROR(IF(ISBLANK(INDEX(Backlog[Status],MATCH($A181,Backlog[Requirement ID],0))),"",INDEX(Backlog[Status],MATCH($A181,Backlog[Requirement ID],0))),"")</f>
        <v/>
      </c>
      <c r="J181" s="1" t="str">
        <f aca="false">IFERROR(IF(ISBLANK(INDEX(Backlog[Priority],MATCH($A181,Backlog[Requirement ID],0))),"",INDEX(Backlog[Priority],MATCH($A181,Backlog[Requirement ID],0))),"")</f>
        <v/>
      </c>
      <c r="L181" s="57"/>
      <c r="M181" s="57"/>
      <c r="O181" s="57"/>
    </row>
    <row r="182" customFormat="false" ht="15" hidden="false" customHeight="true" outlineLevel="0" collapsed="false">
      <c r="A182" s="1" t="str">
        <f aca="false">Backlog!A182</f>
        <v/>
      </c>
      <c r="B182" s="1" t="str">
        <f aca="false">IFERROR(IF(ISBLANK(INDEX(Backlog[Requirement Name],MATCH($A182,Backlog[Requirement ID],0))),"",INDEX(Backlog[Requirement Name],MATCH($A182,Backlog[Requirement ID],0))),"")</f>
        <v/>
      </c>
      <c r="C182" s="1" t="str">
        <f aca="false">IFERROR(IF(ISBLANK(INDEX(Backlog[Stream],MATCH($A182,Backlog[Requirement ID],0))),"",INDEX(Backlog[Stream],MATCH($A182,Backlog[Requirement ID],0))),"")</f>
        <v/>
      </c>
      <c r="D182" s="1" t="str">
        <f aca="false">IFERROR(IF(ISBLANK(INDEX(Backlog[Stream Owner],MATCH($A182,Backlog[Requirement ID],0))),"",INDEX(Backlog[Stream Owner],MATCH($A182,Backlog[Requirement ID],0))),"")</f>
        <v/>
      </c>
      <c r="E182" s="1" t="str">
        <f aca="false">IFERROR(IF(ISBLANK(INDEX(Backlog[Jira Link],MATCH($A182,Backlog[Requirement ID],0))),"",INDEX(Backlog[Jira Link],MATCH($A182,Backlog[Requirement ID],0))),"")</f>
        <v/>
      </c>
      <c r="H182" s="1" t="str">
        <f aca="false">IFERROR(IF(ISBLANK(INDEX(SprintPlanning[Sprint],MATCH($A182,SprintPlanning[Requirement ID],0))),"",INDEX(SprintPlanning[Sprint],MATCH($A182,SprintPlanning[Requirement ID],0))),"")</f>
        <v/>
      </c>
      <c r="I182" s="1" t="str">
        <f aca="false">IFERROR(IF(ISBLANK(INDEX(Backlog[Status],MATCH($A182,Backlog[Requirement ID],0))),"",INDEX(Backlog[Status],MATCH($A182,Backlog[Requirement ID],0))),"")</f>
        <v/>
      </c>
      <c r="J182" s="1" t="str">
        <f aca="false">IFERROR(IF(ISBLANK(INDEX(Backlog[Priority],MATCH($A182,Backlog[Requirement ID],0))),"",INDEX(Backlog[Priority],MATCH($A182,Backlog[Requirement ID],0))),"")</f>
        <v/>
      </c>
      <c r="L182" s="57"/>
      <c r="M182" s="57"/>
      <c r="O182" s="57"/>
    </row>
    <row r="183" customFormat="false" ht="15" hidden="false" customHeight="true" outlineLevel="0" collapsed="false">
      <c r="A183" s="1" t="str">
        <f aca="false">Backlog!A183</f>
        <v/>
      </c>
      <c r="B183" s="1" t="str">
        <f aca="false">IFERROR(IF(ISBLANK(INDEX(Backlog[Requirement Name],MATCH($A183,Backlog[Requirement ID],0))),"",INDEX(Backlog[Requirement Name],MATCH($A183,Backlog[Requirement ID],0))),"")</f>
        <v/>
      </c>
      <c r="C183" s="1" t="str">
        <f aca="false">IFERROR(IF(ISBLANK(INDEX(Backlog[Stream],MATCH($A183,Backlog[Requirement ID],0))),"",INDEX(Backlog[Stream],MATCH($A183,Backlog[Requirement ID],0))),"")</f>
        <v/>
      </c>
      <c r="D183" s="1" t="str">
        <f aca="false">IFERROR(IF(ISBLANK(INDEX(Backlog[Stream Owner],MATCH($A183,Backlog[Requirement ID],0))),"",INDEX(Backlog[Stream Owner],MATCH($A183,Backlog[Requirement ID],0))),"")</f>
        <v/>
      </c>
      <c r="E183" s="1" t="str">
        <f aca="false">IFERROR(IF(ISBLANK(INDEX(Backlog[Jira Link],MATCH($A183,Backlog[Requirement ID],0))),"",INDEX(Backlog[Jira Link],MATCH($A183,Backlog[Requirement ID],0))),"")</f>
        <v/>
      </c>
      <c r="H183" s="1" t="str">
        <f aca="false">IFERROR(IF(ISBLANK(INDEX(SprintPlanning[Sprint],MATCH($A183,SprintPlanning[Requirement ID],0))),"",INDEX(SprintPlanning[Sprint],MATCH($A183,SprintPlanning[Requirement ID],0))),"")</f>
        <v/>
      </c>
      <c r="I183" s="1" t="str">
        <f aca="false">IFERROR(IF(ISBLANK(INDEX(Backlog[Status],MATCH($A183,Backlog[Requirement ID],0))),"",INDEX(Backlog[Status],MATCH($A183,Backlog[Requirement ID],0))),"")</f>
        <v/>
      </c>
      <c r="J183" s="1" t="str">
        <f aca="false">IFERROR(IF(ISBLANK(INDEX(Backlog[Priority],MATCH($A183,Backlog[Requirement ID],0))),"",INDEX(Backlog[Priority],MATCH($A183,Backlog[Requirement ID],0))),"")</f>
        <v/>
      </c>
      <c r="L183" s="57"/>
      <c r="M183" s="57"/>
      <c r="O183" s="57"/>
    </row>
    <row r="184" customFormat="false" ht="15" hidden="false" customHeight="true" outlineLevel="0" collapsed="false">
      <c r="A184" s="1" t="str">
        <f aca="false">Backlog!A184</f>
        <v/>
      </c>
      <c r="B184" s="1" t="str">
        <f aca="false">IFERROR(IF(ISBLANK(INDEX(Backlog[Requirement Name],MATCH($A184,Backlog[Requirement ID],0))),"",INDEX(Backlog[Requirement Name],MATCH($A184,Backlog[Requirement ID],0))),"")</f>
        <v/>
      </c>
      <c r="C184" s="1" t="str">
        <f aca="false">IFERROR(IF(ISBLANK(INDEX(Backlog[Stream],MATCH($A184,Backlog[Requirement ID],0))),"",INDEX(Backlog[Stream],MATCH($A184,Backlog[Requirement ID],0))),"")</f>
        <v/>
      </c>
      <c r="D184" s="1" t="str">
        <f aca="false">IFERROR(IF(ISBLANK(INDEX(Backlog[Stream Owner],MATCH($A184,Backlog[Requirement ID],0))),"",INDEX(Backlog[Stream Owner],MATCH($A184,Backlog[Requirement ID],0))),"")</f>
        <v/>
      </c>
      <c r="E184" s="1" t="str">
        <f aca="false">IFERROR(IF(ISBLANK(INDEX(Backlog[Jira Link],MATCH($A184,Backlog[Requirement ID],0))),"",INDEX(Backlog[Jira Link],MATCH($A184,Backlog[Requirement ID],0))),"")</f>
        <v/>
      </c>
      <c r="H184" s="1" t="str">
        <f aca="false">IFERROR(IF(ISBLANK(INDEX(SprintPlanning[Sprint],MATCH($A184,SprintPlanning[Requirement ID],0))),"",INDEX(SprintPlanning[Sprint],MATCH($A184,SprintPlanning[Requirement ID],0))),"")</f>
        <v/>
      </c>
      <c r="I184" s="1" t="str">
        <f aca="false">IFERROR(IF(ISBLANK(INDEX(Backlog[Status],MATCH($A184,Backlog[Requirement ID],0))),"",INDEX(Backlog[Status],MATCH($A184,Backlog[Requirement ID],0))),"")</f>
        <v/>
      </c>
      <c r="J184" s="1" t="str">
        <f aca="false">IFERROR(IF(ISBLANK(INDEX(Backlog[Priority],MATCH($A184,Backlog[Requirement ID],0))),"",INDEX(Backlog[Priority],MATCH($A184,Backlog[Requirement ID],0))),"")</f>
        <v/>
      </c>
      <c r="L184" s="57"/>
      <c r="M184" s="57"/>
      <c r="O184" s="57"/>
    </row>
    <row r="185" customFormat="false" ht="15" hidden="false" customHeight="true" outlineLevel="0" collapsed="false">
      <c r="A185" s="1" t="str">
        <f aca="false">Backlog!A185</f>
        <v/>
      </c>
      <c r="B185" s="1" t="str">
        <f aca="false">IFERROR(IF(ISBLANK(INDEX(Backlog[Requirement Name],MATCH($A185,Backlog[Requirement ID],0))),"",INDEX(Backlog[Requirement Name],MATCH($A185,Backlog[Requirement ID],0))),"")</f>
        <v/>
      </c>
      <c r="C185" s="1" t="str">
        <f aca="false">IFERROR(IF(ISBLANK(INDEX(Backlog[Stream],MATCH($A185,Backlog[Requirement ID],0))),"",INDEX(Backlog[Stream],MATCH($A185,Backlog[Requirement ID],0))),"")</f>
        <v/>
      </c>
      <c r="D185" s="1" t="str">
        <f aca="false">IFERROR(IF(ISBLANK(INDEX(Backlog[Stream Owner],MATCH($A185,Backlog[Requirement ID],0))),"",INDEX(Backlog[Stream Owner],MATCH($A185,Backlog[Requirement ID],0))),"")</f>
        <v/>
      </c>
      <c r="E185" s="1" t="str">
        <f aca="false">IFERROR(IF(ISBLANK(INDEX(Backlog[Jira Link],MATCH($A185,Backlog[Requirement ID],0))),"",INDEX(Backlog[Jira Link],MATCH($A185,Backlog[Requirement ID],0))),"")</f>
        <v/>
      </c>
      <c r="H185" s="1" t="str">
        <f aca="false">IFERROR(IF(ISBLANK(INDEX(SprintPlanning[Sprint],MATCH($A185,SprintPlanning[Requirement ID],0))),"",INDEX(SprintPlanning[Sprint],MATCH($A185,SprintPlanning[Requirement ID],0))),"")</f>
        <v/>
      </c>
      <c r="I185" s="1" t="str">
        <f aca="false">IFERROR(IF(ISBLANK(INDEX(Backlog[Status],MATCH($A185,Backlog[Requirement ID],0))),"",INDEX(Backlog[Status],MATCH($A185,Backlog[Requirement ID],0))),"")</f>
        <v/>
      </c>
      <c r="J185" s="1" t="str">
        <f aca="false">IFERROR(IF(ISBLANK(INDEX(Backlog[Priority],MATCH($A185,Backlog[Requirement ID],0))),"",INDEX(Backlog[Priority],MATCH($A185,Backlog[Requirement ID],0))),"")</f>
        <v/>
      </c>
      <c r="L185" s="57"/>
      <c r="M185" s="57"/>
      <c r="O185" s="57"/>
    </row>
    <row r="186" customFormat="false" ht="15" hidden="false" customHeight="true" outlineLevel="0" collapsed="false">
      <c r="A186" s="1" t="str">
        <f aca="false">Backlog!A186</f>
        <v/>
      </c>
      <c r="B186" s="1" t="str">
        <f aca="false">IFERROR(IF(ISBLANK(INDEX(Backlog[Requirement Name],MATCH($A186,Backlog[Requirement ID],0))),"",INDEX(Backlog[Requirement Name],MATCH($A186,Backlog[Requirement ID],0))),"")</f>
        <v/>
      </c>
      <c r="C186" s="1" t="str">
        <f aca="false">IFERROR(IF(ISBLANK(INDEX(Backlog[Stream],MATCH($A186,Backlog[Requirement ID],0))),"",INDEX(Backlog[Stream],MATCH($A186,Backlog[Requirement ID],0))),"")</f>
        <v/>
      </c>
      <c r="D186" s="1" t="str">
        <f aca="false">IFERROR(IF(ISBLANK(INDEX(Backlog[Stream Owner],MATCH($A186,Backlog[Requirement ID],0))),"",INDEX(Backlog[Stream Owner],MATCH($A186,Backlog[Requirement ID],0))),"")</f>
        <v/>
      </c>
      <c r="E186" s="1" t="str">
        <f aca="false">IFERROR(IF(ISBLANK(INDEX(Backlog[Jira Link],MATCH($A186,Backlog[Requirement ID],0))),"",INDEX(Backlog[Jira Link],MATCH($A186,Backlog[Requirement ID],0))),"")</f>
        <v/>
      </c>
      <c r="H186" s="1" t="str">
        <f aca="false">IFERROR(IF(ISBLANK(INDEX(SprintPlanning[Sprint],MATCH($A186,SprintPlanning[Requirement ID],0))),"",INDEX(SprintPlanning[Sprint],MATCH($A186,SprintPlanning[Requirement ID],0))),"")</f>
        <v/>
      </c>
      <c r="I186" s="1" t="str">
        <f aca="false">IFERROR(IF(ISBLANK(INDEX(Backlog[Status],MATCH($A186,Backlog[Requirement ID],0))),"",INDEX(Backlog[Status],MATCH($A186,Backlog[Requirement ID],0))),"")</f>
        <v/>
      </c>
      <c r="J186" s="1" t="str">
        <f aca="false">IFERROR(IF(ISBLANK(INDEX(Backlog[Priority],MATCH($A186,Backlog[Requirement ID],0))),"",INDEX(Backlog[Priority],MATCH($A186,Backlog[Requirement ID],0))),"")</f>
        <v/>
      </c>
      <c r="L186" s="57"/>
      <c r="M186" s="57"/>
      <c r="O186" s="57"/>
    </row>
    <row r="187" customFormat="false" ht="15" hidden="false" customHeight="true" outlineLevel="0" collapsed="false">
      <c r="A187" s="1" t="str">
        <f aca="false">Backlog!A187</f>
        <v/>
      </c>
      <c r="B187" s="1" t="str">
        <f aca="false">IFERROR(IF(ISBLANK(INDEX(Backlog[Requirement Name],MATCH($A187,Backlog[Requirement ID],0))),"",INDEX(Backlog[Requirement Name],MATCH($A187,Backlog[Requirement ID],0))),"")</f>
        <v/>
      </c>
      <c r="C187" s="1" t="str">
        <f aca="false">IFERROR(IF(ISBLANK(INDEX(Backlog[Stream],MATCH($A187,Backlog[Requirement ID],0))),"",INDEX(Backlog[Stream],MATCH($A187,Backlog[Requirement ID],0))),"")</f>
        <v/>
      </c>
      <c r="D187" s="1" t="str">
        <f aca="false">IFERROR(IF(ISBLANK(INDEX(Backlog[Stream Owner],MATCH($A187,Backlog[Requirement ID],0))),"",INDEX(Backlog[Stream Owner],MATCH($A187,Backlog[Requirement ID],0))),"")</f>
        <v/>
      </c>
      <c r="E187" s="1" t="str">
        <f aca="false">IFERROR(IF(ISBLANK(INDEX(Backlog[Jira Link],MATCH($A187,Backlog[Requirement ID],0))),"",INDEX(Backlog[Jira Link],MATCH($A187,Backlog[Requirement ID],0))),"")</f>
        <v/>
      </c>
      <c r="H187" s="1" t="str">
        <f aca="false">IFERROR(IF(ISBLANK(INDEX(SprintPlanning[Sprint],MATCH($A187,SprintPlanning[Requirement ID],0))),"",INDEX(SprintPlanning[Sprint],MATCH($A187,SprintPlanning[Requirement ID],0))),"")</f>
        <v/>
      </c>
      <c r="I187" s="1" t="str">
        <f aca="false">IFERROR(IF(ISBLANK(INDEX(Backlog[Status],MATCH($A187,Backlog[Requirement ID],0))),"",INDEX(Backlog[Status],MATCH($A187,Backlog[Requirement ID],0))),"")</f>
        <v/>
      </c>
      <c r="J187" s="1" t="str">
        <f aca="false">IFERROR(IF(ISBLANK(INDEX(Backlog[Priority],MATCH($A187,Backlog[Requirement ID],0))),"",INDEX(Backlog[Priority],MATCH($A187,Backlog[Requirement ID],0))),"")</f>
        <v/>
      </c>
      <c r="L187" s="57"/>
      <c r="M187" s="57"/>
      <c r="O187" s="57"/>
    </row>
    <row r="188" customFormat="false" ht="15" hidden="false" customHeight="true" outlineLevel="0" collapsed="false">
      <c r="A188" s="1" t="str">
        <f aca="false">Backlog!A188</f>
        <v/>
      </c>
      <c r="B188" s="1" t="str">
        <f aca="false">IFERROR(IF(ISBLANK(INDEX(Backlog[Requirement Name],MATCH($A188,Backlog[Requirement ID],0))),"",INDEX(Backlog[Requirement Name],MATCH($A188,Backlog[Requirement ID],0))),"")</f>
        <v/>
      </c>
      <c r="C188" s="1" t="str">
        <f aca="false">IFERROR(IF(ISBLANK(INDEX(Backlog[Stream],MATCH($A188,Backlog[Requirement ID],0))),"",INDEX(Backlog[Stream],MATCH($A188,Backlog[Requirement ID],0))),"")</f>
        <v/>
      </c>
      <c r="D188" s="1" t="str">
        <f aca="false">IFERROR(IF(ISBLANK(INDEX(Backlog[Stream Owner],MATCH($A188,Backlog[Requirement ID],0))),"",INDEX(Backlog[Stream Owner],MATCH($A188,Backlog[Requirement ID],0))),"")</f>
        <v/>
      </c>
      <c r="E188" s="1" t="str">
        <f aca="false">IFERROR(IF(ISBLANK(INDEX(Backlog[Jira Link],MATCH($A188,Backlog[Requirement ID],0))),"",INDEX(Backlog[Jira Link],MATCH($A188,Backlog[Requirement ID],0))),"")</f>
        <v/>
      </c>
      <c r="H188" s="1" t="str">
        <f aca="false">IFERROR(IF(ISBLANK(INDEX(SprintPlanning[Sprint],MATCH($A188,SprintPlanning[Requirement ID],0))),"",INDEX(SprintPlanning[Sprint],MATCH($A188,SprintPlanning[Requirement ID],0))),"")</f>
        <v/>
      </c>
      <c r="I188" s="1" t="str">
        <f aca="false">IFERROR(IF(ISBLANK(INDEX(Backlog[Status],MATCH($A188,Backlog[Requirement ID],0))),"",INDEX(Backlog[Status],MATCH($A188,Backlog[Requirement ID],0))),"")</f>
        <v/>
      </c>
      <c r="J188" s="1" t="str">
        <f aca="false">IFERROR(IF(ISBLANK(INDEX(Backlog[Priority],MATCH($A188,Backlog[Requirement ID],0))),"",INDEX(Backlog[Priority],MATCH($A188,Backlog[Requirement ID],0))),"")</f>
        <v/>
      </c>
      <c r="L188" s="57"/>
      <c r="M188" s="57"/>
      <c r="O188" s="57"/>
    </row>
    <row r="189" customFormat="false" ht="15" hidden="false" customHeight="true" outlineLevel="0" collapsed="false">
      <c r="A189" s="1" t="str">
        <f aca="false">Backlog!A189</f>
        <v/>
      </c>
      <c r="B189" s="1" t="str">
        <f aca="false">IFERROR(IF(ISBLANK(INDEX(Backlog[Requirement Name],MATCH($A189,Backlog[Requirement ID],0))),"",INDEX(Backlog[Requirement Name],MATCH($A189,Backlog[Requirement ID],0))),"")</f>
        <v/>
      </c>
      <c r="C189" s="1" t="str">
        <f aca="false">IFERROR(IF(ISBLANK(INDEX(Backlog[Stream],MATCH($A189,Backlog[Requirement ID],0))),"",INDEX(Backlog[Stream],MATCH($A189,Backlog[Requirement ID],0))),"")</f>
        <v/>
      </c>
      <c r="D189" s="1" t="str">
        <f aca="false">IFERROR(IF(ISBLANK(INDEX(Backlog[Stream Owner],MATCH($A189,Backlog[Requirement ID],0))),"",INDEX(Backlog[Stream Owner],MATCH($A189,Backlog[Requirement ID],0))),"")</f>
        <v/>
      </c>
      <c r="E189" s="1" t="str">
        <f aca="false">IFERROR(IF(ISBLANK(INDEX(Backlog[Jira Link],MATCH($A189,Backlog[Requirement ID],0))),"",INDEX(Backlog[Jira Link],MATCH($A189,Backlog[Requirement ID],0))),"")</f>
        <v/>
      </c>
      <c r="H189" s="1" t="str">
        <f aca="false">IFERROR(IF(ISBLANK(INDEX(SprintPlanning[Sprint],MATCH($A189,SprintPlanning[Requirement ID],0))),"",INDEX(SprintPlanning[Sprint],MATCH($A189,SprintPlanning[Requirement ID],0))),"")</f>
        <v/>
      </c>
      <c r="I189" s="1" t="str">
        <f aca="false">IFERROR(IF(ISBLANK(INDEX(Backlog[Status],MATCH($A189,Backlog[Requirement ID],0))),"",INDEX(Backlog[Status],MATCH($A189,Backlog[Requirement ID],0))),"")</f>
        <v/>
      </c>
      <c r="J189" s="1" t="str">
        <f aca="false">IFERROR(IF(ISBLANK(INDEX(Backlog[Priority],MATCH($A189,Backlog[Requirement ID],0))),"",INDEX(Backlog[Priority],MATCH($A189,Backlog[Requirement ID],0))),"")</f>
        <v/>
      </c>
      <c r="L189" s="57"/>
      <c r="M189" s="57"/>
      <c r="O189" s="57"/>
    </row>
    <row r="190" customFormat="false" ht="15" hidden="false" customHeight="true" outlineLevel="0" collapsed="false">
      <c r="A190" s="1" t="str">
        <f aca="false">Backlog!A190</f>
        <v/>
      </c>
      <c r="B190" s="1" t="str">
        <f aca="false">IFERROR(IF(ISBLANK(INDEX(Backlog[Requirement Name],MATCH($A190,Backlog[Requirement ID],0))),"",INDEX(Backlog[Requirement Name],MATCH($A190,Backlog[Requirement ID],0))),"")</f>
        <v/>
      </c>
      <c r="C190" s="1" t="str">
        <f aca="false">IFERROR(IF(ISBLANK(INDEX(Backlog[Stream],MATCH($A190,Backlog[Requirement ID],0))),"",INDEX(Backlog[Stream],MATCH($A190,Backlog[Requirement ID],0))),"")</f>
        <v/>
      </c>
      <c r="D190" s="1" t="str">
        <f aca="false">IFERROR(IF(ISBLANK(INDEX(Backlog[Stream Owner],MATCH($A190,Backlog[Requirement ID],0))),"",INDEX(Backlog[Stream Owner],MATCH($A190,Backlog[Requirement ID],0))),"")</f>
        <v/>
      </c>
      <c r="E190" s="1" t="str">
        <f aca="false">IFERROR(IF(ISBLANK(INDEX(Backlog[Jira Link],MATCH($A190,Backlog[Requirement ID],0))),"",INDEX(Backlog[Jira Link],MATCH($A190,Backlog[Requirement ID],0))),"")</f>
        <v/>
      </c>
      <c r="H190" s="1" t="str">
        <f aca="false">IFERROR(IF(ISBLANK(INDEX(SprintPlanning[Sprint],MATCH($A190,SprintPlanning[Requirement ID],0))),"",INDEX(SprintPlanning[Sprint],MATCH($A190,SprintPlanning[Requirement ID],0))),"")</f>
        <v/>
      </c>
      <c r="I190" s="1" t="str">
        <f aca="false">IFERROR(IF(ISBLANK(INDEX(Backlog[Status],MATCH($A190,Backlog[Requirement ID],0))),"",INDEX(Backlog[Status],MATCH($A190,Backlog[Requirement ID],0))),"")</f>
        <v/>
      </c>
      <c r="J190" s="1" t="str">
        <f aca="false">IFERROR(IF(ISBLANK(INDEX(Backlog[Priority],MATCH($A190,Backlog[Requirement ID],0))),"",INDEX(Backlog[Priority],MATCH($A190,Backlog[Requirement ID],0))),"")</f>
        <v/>
      </c>
      <c r="L190" s="57"/>
      <c r="M190" s="57"/>
      <c r="O190" s="57"/>
    </row>
    <row r="191" customFormat="false" ht="15" hidden="false" customHeight="true" outlineLevel="0" collapsed="false">
      <c r="A191" s="1" t="str">
        <f aca="false">Backlog!A191</f>
        <v/>
      </c>
      <c r="B191" s="1" t="str">
        <f aca="false">IFERROR(IF(ISBLANK(INDEX(Backlog[Requirement Name],MATCH($A191,Backlog[Requirement ID],0))),"",INDEX(Backlog[Requirement Name],MATCH($A191,Backlog[Requirement ID],0))),"")</f>
        <v/>
      </c>
      <c r="C191" s="1" t="str">
        <f aca="false">IFERROR(IF(ISBLANK(INDEX(Backlog[Stream],MATCH($A191,Backlog[Requirement ID],0))),"",INDEX(Backlog[Stream],MATCH($A191,Backlog[Requirement ID],0))),"")</f>
        <v/>
      </c>
      <c r="D191" s="1" t="str">
        <f aca="false">IFERROR(IF(ISBLANK(INDEX(Backlog[Stream Owner],MATCH($A191,Backlog[Requirement ID],0))),"",INDEX(Backlog[Stream Owner],MATCH($A191,Backlog[Requirement ID],0))),"")</f>
        <v/>
      </c>
      <c r="E191" s="1" t="str">
        <f aca="false">IFERROR(IF(ISBLANK(INDEX(Backlog[Jira Link],MATCH($A191,Backlog[Requirement ID],0))),"",INDEX(Backlog[Jira Link],MATCH($A191,Backlog[Requirement ID],0))),"")</f>
        <v/>
      </c>
      <c r="H191" s="1" t="str">
        <f aca="false">IFERROR(IF(ISBLANK(INDEX(SprintPlanning[Sprint],MATCH($A191,SprintPlanning[Requirement ID],0))),"",INDEX(SprintPlanning[Sprint],MATCH($A191,SprintPlanning[Requirement ID],0))),"")</f>
        <v/>
      </c>
      <c r="I191" s="1" t="str">
        <f aca="false">IFERROR(IF(ISBLANK(INDEX(Backlog[Status],MATCH($A191,Backlog[Requirement ID],0))),"",INDEX(Backlog[Status],MATCH($A191,Backlog[Requirement ID],0))),"")</f>
        <v/>
      </c>
      <c r="J191" s="1" t="str">
        <f aca="false">IFERROR(IF(ISBLANK(INDEX(Backlog[Priority],MATCH($A191,Backlog[Requirement ID],0))),"",INDEX(Backlog[Priority],MATCH($A191,Backlog[Requirement ID],0))),"")</f>
        <v/>
      </c>
      <c r="L191" s="57"/>
      <c r="M191" s="57"/>
      <c r="O191" s="57"/>
    </row>
    <row r="192" customFormat="false" ht="15" hidden="false" customHeight="true" outlineLevel="0" collapsed="false">
      <c r="A192" s="1" t="str">
        <f aca="false">Backlog!A192</f>
        <v/>
      </c>
      <c r="B192" s="1" t="str">
        <f aca="false">IFERROR(IF(ISBLANK(INDEX(Backlog[Requirement Name],MATCH($A192,Backlog[Requirement ID],0))),"",INDEX(Backlog[Requirement Name],MATCH($A192,Backlog[Requirement ID],0))),"")</f>
        <v/>
      </c>
      <c r="C192" s="1" t="str">
        <f aca="false">IFERROR(IF(ISBLANK(INDEX(Backlog[Stream],MATCH($A192,Backlog[Requirement ID],0))),"",INDEX(Backlog[Stream],MATCH($A192,Backlog[Requirement ID],0))),"")</f>
        <v/>
      </c>
      <c r="D192" s="1" t="str">
        <f aca="false">IFERROR(IF(ISBLANK(INDEX(Backlog[Stream Owner],MATCH($A192,Backlog[Requirement ID],0))),"",INDEX(Backlog[Stream Owner],MATCH($A192,Backlog[Requirement ID],0))),"")</f>
        <v/>
      </c>
      <c r="E192" s="1" t="str">
        <f aca="false">IFERROR(IF(ISBLANK(INDEX(Backlog[Jira Link],MATCH($A192,Backlog[Requirement ID],0))),"",INDEX(Backlog[Jira Link],MATCH($A192,Backlog[Requirement ID],0))),"")</f>
        <v/>
      </c>
      <c r="H192" s="1" t="str">
        <f aca="false">IFERROR(IF(ISBLANK(INDEX(SprintPlanning[Sprint],MATCH($A192,SprintPlanning[Requirement ID],0))),"",INDEX(SprintPlanning[Sprint],MATCH($A192,SprintPlanning[Requirement ID],0))),"")</f>
        <v/>
      </c>
      <c r="I192" s="1" t="str">
        <f aca="false">IFERROR(IF(ISBLANK(INDEX(Backlog[Status],MATCH($A192,Backlog[Requirement ID],0))),"",INDEX(Backlog[Status],MATCH($A192,Backlog[Requirement ID],0))),"")</f>
        <v/>
      </c>
      <c r="J192" s="1" t="str">
        <f aca="false">IFERROR(IF(ISBLANK(INDEX(Backlog[Priority],MATCH($A192,Backlog[Requirement ID],0))),"",INDEX(Backlog[Priority],MATCH($A192,Backlog[Requirement ID],0))),"")</f>
        <v/>
      </c>
      <c r="L192" s="57"/>
      <c r="M192" s="57"/>
      <c r="O192" s="57"/>
    </row>
    <row r="193" customFormat="false" ht="15" hidden="false" customHeight="true" outlineLevel="0" collapsed="false">
      <c r="A193" s="1" t="str">
        <f aca="false">Backlog!A193</f>
        <v/>
      </c>
      <c r="B193" s="1" t="str">
        <f aca="false">IFERROR(IF(ISBLANK(INDEX(Backlog[Requirement Name],MATCH($A193,Backlog[Requirement ID],0))),"",INDEX(Backlog[Requirement Name],MATCH($A193,Backlog[Requirement ID],0))),"")</f>
        <v/>
      </c>
      <c r="C193" s="1" t="str">
        <f aca="false">IFERROR(IF(ISBLANK(INDEX(Backlog[Stream],MATCH($A193,Backlog[Requirement ID],0))),"",INDEX(Backlog[Stream],MATCH($A193,Backlog[Requirement ID],0))),"")</f>
        <v/>
      </c>
      <c r="D193" s="1" t="str">
        <f aca="false">IFERROR(IF(ISBLANK(INDEX(Backlog[Stream Owner],MATCH($A193,Backlog[Requirement ID],0))),"",INDEX(Backlog[Stream Owner],MATCH($A193,Backlog[Requirement ID],0))),"")</f>
        <v/>
      </c>
      <c r="E193" s="1" t="str">
        <f aca="false">IFERROR(IF(ISBLANK(INDEX(Backlog[Jira Link],MATCH($A193,Backlog[Requirement ID],0))),"",INDEX(Backlog[Jira Link],MATCH($A193,Backlog[Requirement ID],0))),"")</f>
        <v/>
      </c>
      <c r="H193" s="1" t="str">
        <f aca="false">IFERROR(IF(ISBLANK(INDEX(SprintPlanning[Sprint],MATCH($A193,SprintPlanning[Requirement ID],0))),"",INDEX(SprintPlanning[Sprint],MATCH($A193,SprintPlanning[Requirement ID],0))),"")</f>
        <v/>
      </c>
      <c r="I193" s="1" t="str">
        <f aca="false">IFERROR(IF(ISBLANK(INDEX(Backlog[Status],MATCH($A193,Backlog[Requirement ID],0))),"",INDEX(Backlog[Status],MATCH($A193,Backlog[Requirement ID],0))),"")</f>
        <v/>
      </c>
      <c r="J193" s="1" t="str">
        <f aca="false">IFERROR(IF(ISBLANK(INDEX(Backlog[Priority],MATCH($A193,Backlog[Requirement ID],0))),"",INDEX(Backlog[Priority],MATCH($A193,Backlog[Requirement ID],0))),"")</f>
        <v/>
      </c>
      <c r="L193" s="57"/>
      <c r="M193" s="57"/>
      <c r="O193" s="57"/>
    </row>
    <row r="194" customFormat="false" ht="15" hidden="false" customHeight="true" outlineLevel="0" collapsed="false">
      <c r="A194" s="1" t="str">
        <f aca="false">Backlog!A194</f>
        <v/>
      </c>
      <c r="B194" s="1" t="str">
        <f aca="false">IFERROR(IF(ISBLANK(INDEX(Backlog[Requirement Name],MATCH($A194,Backlog[Requirement ID],0))),"",INDEX(Backlog[Requirement Name],MATCH($A194,Backlog[Requirement ID],0))),"")</f>
        <v/>
      </c>
      <c r="C194" s="1" t="str">
        <f aca="false">IFERROR(IF(ISBLANK(INDEX(Backlog[Stream],MATCH($A194,Backlog[Requirement ID],0))),"",INDEX(Backlog[Stream],MATCH($A194,Backlog[Requirement ID],0))),"")</f>
        <v/>
      </c>
      <c r="D194" s="1" t="str">
        <f aca="false">IFERROR(IF(ISBLANK(INDEX(Backlog[Stream Owner],MATCH($A194,Backlog[Requirement ID],0))),"",INDEX(Backlog[Stream Owner],MATCH($A194,Backlog[Requirement ID],0))),"")</f>
        <v/>
      </c>
      <c r="E194" s="1" t="str">
        <f aca="false">IFERROR(IF(ISBLANK(INDEX(Backlog[Jira Link],MATCH($A194,Backlog[Requirement ID],0))),"",INDEX(Backlog[Jira Link],MATCH($A194,Backlog[Requirement ID],0))),"")</f>
        <v/>
      </c>
      <c r="H194" s="1" t="str">
        <f aca="false">IFERROR(IF(ISBLANK(INDEX(SprintPlanning[Sprint],MATCH($A194,SprintPlanning[Requirement ID],0))),"",INDEX(SprintPlanning[Sprint],MATCH($A194,SprintPlanning[Requirement ID],0))),"")</f>
        <v/>
      </c>
      <c r="I194" s="1" t="str">
        <f aca="false">IFERROR(IF(ISBLANK(INDEX(Backlog[Status],MATCH($A194,Backlog[Requirement ID],0))),"",INDEX(Backlog[Status],MATCH($A194,Backlog[Requirement ID],0))),"")</f>
        <v/>
      </c>
      <c r="J194" s="1" t="str">
        <f aca="false">IFERROR(IF(ISBLANK(INDEX(Backlog[Priority],MATCH($A194,Backlog[Requirement ID],0))),"",INDEX(Backlog[Priority],MATCH($A194,Backlog[Requirement ID],0))),"")</f>
        <v/>
      </c>
      <c r="L194" s="57"/>
      <c r="M194" s="57"/>
      <c r="O194" s="57"/>
    </row>
    <row r="195" customFormat="false" ht="15" hidden="false" customHeight="true" outlineLevel="0" collapsed="false">
      <c r="A195" s="1" t="str">
        <f aca="false">Backlog!A195</f>
        <v/>
      </c>
      <c r="B195" s="1" t="str">
        <f aca="false">IFERROR(IF(ISBLANK(INDEX(Backlog[Requirement Name],MATCH($A195,Backlog[Requirement ID],0))),"",INDEX(Backlog[Requirement Name],MATCH($A195,Backlog[Requirement ID],0))),"")</f>
        <v/>
      </c>
      <c r="C195" s="1" t="str">
        <f aca="false">IFERROR(IF(ISBLANK(INDEX(Backlog[Stream],MATCH($A195,Backlog[Requirement ID],0))),"",INDEX(Backlog[Stream],MATCH($A195,Backlog[Requirement ID],0))),"")</f>
        <v/>
      </c>
      <c r="D195" s="1" t="str">
        <f aca="false">IFERROR(IF(ISBLANK(INDEX(Backlog[Stream Owner],MATCH($A195,Backlog[Requirement ID],0))),"",INDEX(Backlog[Stream Owner],MATCH($A195,Backlog[Requirement ID],0))),"")</f>
        <v/>
      </c>
      <c r="E195" s="1" t="str">
        <f aca="false">IFERROR(IF(ISBLANK(INDEX(Backlog[Jira Link],MATCH($A195,Backlog[Requirement ID],0))),"",INDEX(Backlog[Jira Link],MATCH($A195,Backlog[Requirement ID],0))),"")</f>
        <v/>
      </c>
      <c r="H195" s="1" t="str">
        <f aca="false">IFERROR(IF(ISBLANK(INDEX(SprintPlanning[Sprint],MATCH($A195,SprintPlanning[Requirement ID],0))),"",INDEX(SprintPlanning[Sprint],MATCH($A195,SprintPlanning[Requirement ID],0))),"")</f>
        <v/>
      </c>
      <c r="I195" s="1" t="str">
        <f aca="false">IFERROR(IF(ISBLANK(INDEX(Backlog[Status],MATCH($A195,Backlog[Requirement ID],0))),"",INDEX(Backlog[Status],MATCH($A195,Backlog[Requirement ID],0))),"")</f>
        <v/>
      </c>
      <c r="J195" s="1" t="str">
        <f aca="false">IFERROR(IF(ISBLANK(INDEX(Backlog[Priority],MATCH($A195,Backlog[Requirement ID],0))),"",INDEX(Backlog[Priority],MATCH($A195,Backlog[Requirement ID],0))),"")</f>
        <v/>
      </c>
      <c r="L195" s="57"/>
      <c r="M195" s="57"/>
      <c r="O195" s="57"/>
    </row>
    <row r="196" customFormat="false" ht="15" hidden="false" customHeight="true" outlineLevel="0" collapsed="false">
      <c r="A196" s="1" t="str">
        <f aca="false">Backlog!A196</f>
        <v/>
      </c>
      <c r="B196" s="1" t="str">
        <f aca="false">IFERROR(IF(ISBLANK(INDEX(Backlog[Requirement Name],MATCH($A196,Backlog[Requirement ID],0))),"",INDEX(Backlog[Requirement Name],MATCH($A196,Backlog[Requirement ID],0))),"")</f>
        <v/>
      </c>
      <c r="C196" s="1" t="str">
        <f aca="false">IFERROR(IF(ISBLANK(INDEX(Backlog[Stream],MATCH($A196,Backlog[Requirement ID],0))),"",INDEX(Backlog[Stream],MATCH($A196,Backlog[Requirement ID],0))),"")</f>
        <v/>
      </c>
      <c r="D196" s="1" t="str">
        <f aca="false">IFERROR(IF(ISBLANK(INDEX(Backlog[Stream Owner],MATCH($A196,Backlog[Requirement ID],0))),"",INDEX(Backlog[Stream Owner],MATCH($A196,Backlog[Requirement ID],0))),"")</f>
        <v/>
      </c>
      <c r="E196" s="1" t="str">
        <f aca="false">IFERROR(IF(ISBLANK(INDEX(Backlog[Jira Link],MATCH($A196,Backlog[Requirement ID],0))),"",INDEX(Backlog[Jira Link],MATCH($A196,Backlog[Requirement ID],0))),"")</f>
        <v/>
      </c>
      <c r="H196" s="1" t="str">
        <f aca="false">IFERROR(IF(ISBLANK(INDEX(SprintPlanning[Sprint],MATCH($A196,SprintPlanning[Requirement ID],0))),"",INDEX(SprintPlanning[Sprint],MATCH($A196,SprintPlanning[Requirement ID],0))),"")</f>
        <v/>
      </c>
      <c r="I196" s="1" t="str">
        <f aca="false">IFERROR(IF(ISBLANK(INDEX(Backlog[Status],MATCH($A196,Backlog[Requirement ID],0))),"",INDEX(Backlog[Status],MATCH($A196,Backlog[Requirement ID],0))),"")</f>
        <v/>
      </c>
      <c r="J196" s="1" t="str">
        <f aca="false">IFERROR(IF(ISBLANK(INDEX(Backlog[Priority],MATCH($A196,Backlog[Requirement ID],0))),"",INDEX(Backlog[Priority],MATCH($A196,Backlog[Requirement ID],0))),"")</f>
        <v/>
      </c>
      <c r="L196" s="57"/>
      <c r="M196" s="57"/>
      <c r="O196" s="57"/>
    </row>
    <row r="197" customFormat="false" ht="15" hidden="false" customHeight="true" outlineLevel="0" collapsed="false">
      <c r="A197" s="1" t="str">
        <f aca="false">Backlog!A197</f>
        <v/>
      </c>
      <c r="B197" s="1" t="str">
        <f aca="false">IFERROR(IF(ISBLANK(INDEX(Backlog[Requirement Name],MATCH($A197,Backlog[Requirement ID],0))),"",INDEX(Backlog[Requirement Name],MATCH($A197,Backlog[Requirement ID],0))),"")</f>
        <v/>
      </c>
      <c r="C197" s="1" t="str">
        <f aca="false">IFERROR(IF(ISBLANK(INDEX(Backlog[Stream],MATCH($A197,Backlog[Requirement ID],0))),"",INDEX(Backlog[Stream],MATCH($A197,Backlog[Requirement ID],0))),"")</f>
        <v/>
      </c>
      <c r="D197" s="1" t="str">
        <f aca="false">IFERROR(IF(ISBLANK(INDEX(Backlog[Stream Owner],MATCH($A197,Backlog[Requirement ID],0))),"",INDEX(Backlog[Stream Owner],MATCH($A197,Backlog[Requirement ID],0))),"")</f>
        <v/>
      </c>
      <c r="E197" s="1" t="str">
        <f aca="false">IFERROR(IF(ISBLANK(INDEX(Backlog[Jira Link],MATCH($A197,Backlog[Requirement ID],0))),"",INDEX(Backlog[Jira Link],MATCH($A197,Backlog[Requirement ID],0))),"")</f>
        <v/>
      </c>
      <c r="H197" s="1" t="str">
        <f aca="false">IFERROR(IF(ISBLANK(INDEX(SprintPlanning[Sprint],MATCH($A197,SprintPlanning[Requirement ID],0))),"",INDEX(SprintPlanning[Sprint],MATCH($A197,SprintPlanning[Requirement ID],0))),"")</f>
        <v/>
      </c>
      <c r="I197" s="1" t="str">
        <f aca="false">IFERROR(IF(ISBLANK(INDEX(Backlog[Status],MATCH($A197,Backlog[Requirement ID],0))),"",INDEX(Backlog[Status],MATCH($A197,Backlog[Requirement ID],0))),"")</f>
        <v/>
      </c>
      <c r="J197" s="1" t="str">
        <f aca="false">IFERROR(IF(ISBLANK(INDEX(Backlog[Priority],MATCH($A197,Backlog[Requirement ID],0))),"",INDEX(Backlog[Priority],MATCH($A197,Backlog[Requirement ID],0))),"")</f>
        <v/>
      </c>
      <c r="L197" s="57"/>
      <c r="M197" s="57"/>
      <c r="O197" s="57"/>
    </row>
    <row r="198" customFormat="false" ht="15" hidden="false" customHeight="true" outlineLevel="0" collapsed="false">
      <c r="A198" s="1" t="str">
        <f aca="false">Backlog!A198</f>
        <v/>
      </c>
      <c r="B198" s="1" t="str">
        <f aca="false">IFERROR(IF(ISBLANK(INDEX(Backlog[Requirement Name],MATCH($A198,Backlog[Requirement ID],0))),"",INDEX(Backlog[Requirement Name],MATCH($A198,Backlog[Requirement ID],0))),"")</f>
        <v/>
      </c>
      <c r="C198" s="1" t="str">
        <f aca="false">IFERROR(IF(ISBLANK(INDEX(Backlog[Stream],MATCH($A198,Backlog[Requirement ID],0))),"",INDEX(Backlog[Stream],MATCH($A198,Backlog[Requirement ID],0))),"")</f>
        <v/>
      </c>
      <c r="D198" s="1" t="str">
        <f aca="false">IFERROR(IF(ISBLANK(INDEX(Backlog[Stream Owner],MATCH($A198,Backlog[Requirement ID],0))),"",INDEX(Backlog[Stream Owner],MATCH($A198,Backlog[Requirement ID],0))),"")</f>
        <v/>
      </c>
      <c r="E198" s="1" t="str">
        <f aca="false">IFERROR(IF(ISBLANK(INDEX(Backlog[Jira Link],MATCH($A198,Backlog[Requirement ID],0))),"",INDEX(Backlog[Jira Link],MATCH($A198,Backlog[Requirement ID],0))),"")</f>
        <v/>
      </c>
      <c r="H198" s="1" t="str">
        <f aca="false">IFERROR(IF(ISBLANK(INDEX(SprintPlanning[Sprint],MATCH($A198,SprintPlanning[Requirement ID],0))),"",INDEX(SprintPlanning[Sprint],MATCH($A198,SprintPlanning[Requirement ID],0))),"")</f>
        <v/>
      </c>
      <c r="I198" s="1" t="str">
        <f aca="false">IFERROR(IF(ISBLANK(INDEX(Backlog[Status],MATCH($A198,Backlog[Requirement ID],0))),"",INDEX(Backlog[Status],MATCH($A198,Backlog[Requirement ID],0))),"")</f>
        <v/>
      </c>
      <c r="J198" s="1" t="str">
        <f aca="false">IFERROR(IF(ISBLANK(INDEX(Backlog[Priority],MATCH($A198,Backlog[Requirement ID],0))),"",INDEX(Backlog[Priority],MATCH($A198,Backlog[Requirement ID],0))),"")</f>
        <v/>
      </c>
      <c r="L198" s="57"/>
      <c r="M198" s="57"/>
      <c r="O198" s="57"/>
    </row>
    <row r="199" customFormat="false" ht="15" hidden="false" customHeight="true" outlineLevel="0" collapsed="false">
      <c r="A199" s="1" t="str">
        <f aca="false">Backlog!A199</f>
        <v/>
      </c>
      <c r="B199" s="1" t="str">
        <f aca="false">IFERROR(IF(ISBLANK(INDEX(Backlog[Requirement Name],MATCH($A199,Backlog[Requirement ID],0))),"",INDEX(Backlog[Requirement Name],MATCH($A199,Backlog[Requirement ID],0))),"")</f>
        <v/>
      </c>
      <c r="C199" s="1" t="str">
        <f aca="false">IFERROR(IF(ISBLANK(INDEX(Backlog[Stream],MATCH($A199,Backlog[Requirement ID],0))),"",INDEX(Backlog[Stream],MATCH($A199,Backlog[Requirement ID],0))),"")</f>
        <v/>
      </c>
      <c r="D199" s="1" t="str">
        <f aca="false">IFERROR(IF(ISBLANK(INDEX(Backlog[Stream Owner],MATCH($A199,Backlog[Requirement ID],0))),"",INDEX(Backlog[Stream Owner],MATCH($A199,Backlog[Requirement ID],0))),"")</f>
        <v/>
      </c>
      <c r="E199" s="1" t="str">
        <f aca="false">IFERROR(IF(ISBLANK(INDEX(Backlog[Jira Link],MATCH($A199,Backlog[Requirement ID],0))),"",INDEX(Backlog[Jira Link],MATCH($A199,Backlog[Requirement ID],0))),"")</f>
        <v/>
      </c>
      <c r="H199" s="1" t="str">
        <f aca="false">IFERROR(IF(ISBLANK(INDEX(SprintPlanning[Sprint],MATCH($A199,SprintPlanning[Requirement ID],0))),"",INDEX(SprintPlanning[Sprint],MATCH($A199,SprintPlanning[Requirement ID],0))),"")</f>
        <v/>
      </c>
      <c r="I199" s="1" t="str">
        <f aca="false">IFERROR(IF(ISBLANK(INDEX(Backlog[Status],MATCH($A199,Backlog[Requirement ID],0))),"",INDEX(Backlog[Status],MATCH($A199,Backlog[Requirement ID],0))),"")</f>
        <v/>
      </c>
      <c r="J199" s="1" t="str">
        <f aca="false">IFERROR(IF(ISBLANK(INDEX(Backlog[Priority],MATCH($A199,Backlog[Requirement ID],0))),"",INDEX(Backlog[Priority],MATCH($A199,Backlog[Requirement ID],0))),"")</f>
        <v/>
      </c>
      <c r="L199" s="57"/>
      <c r="M199" s="57"/>
      <c r="O199" s="57"/>
    </row>
    <row r="200" customFormat="false" ht="15" hidden="false" customHeight="true" outlineLevel="0" collapsed="false">
      <c r="A200" s="1" t="str">
        <f aca="false">Backlog!A200</f>
        <v/>
      </c>
      <c r="B200" s="1" t="str">
        <f aca="false">IFERROR(IF(ISBLANK(INDEX(Backlog[Requirement Name],MATCH($A200,Backlog[Requirement ID],0))),"",INDEX(Backlog[Requirement Name],MATCH($A200,Backlog[Requirement ID],0))),"")</f>
        <v/>
      </c>
      <c r="C200" s="1" t="str">
        <f aca="false">IFERROR(IF(ISBLANK(INDEX(Backlog[Stream],MATCH($A200,Backlog[Requirement ID],0))),"",INDEX(Backlog[Stream],MATCH($A200,Backlog[Requirement ID],0))),"")</f>
        <v/>
      </c>
      <c r="D200" s="1" t="str">
        <f aca="false">IFERROR(IF(ISBLANK(INDEX(Backlog[Stream Owner],MATCH($A200,Backlog[Requirement ID],0))),"",INDEX(Backlog[Stream Owner],MATCH($A200,Backlog[Requirement ID],0))),"")</f>
        <v/>
      </c>
      <c r="E200" s="1" t="str">
        <f aca="false">IFERROR(IF(ISBLANK(INDEX(Backlog[Jira Link],MATCH($A200,Backlog[Requirement ID],0))),"",INDEX(Backlog[Jira Link],MATCH($A200,Backlog[Requirement ID],0))),"")</f>
        <v/>
      </c>
      <c r="H200" s="1" t="str">
        <f aca="false">IFERROR(IF(ISBLANK(INDEX(SprintPlanning[Sprint],MATCH($A200,SprintPlanning[Requirement ID],0))),"",INDEX(SprintPlanning[Sprint],MATCH($A200,SprintPlanning[Requirement ID],0))),"")</f>
        <v/>
      </c>
      <c r="I200" s="1" t="str">
        <f aca="false">IFERROR(IF(ISBLANK(INDEX(Backlog[Status],MATCH($A200,Backlog[Requirement ID],0))),"",INDEX(Backlog[Status],MATCH($A200,Backlog[Requirement ID],0))),"")</f>
        <v/>
      </c>
      <c r="J200" s="1" t="str">
        <f aca="false">IFERROR(IF(ISBLANK(INDEX(Backlog[Priority],MATCH($A200,Backlog[Requirement ID],0))),"",INDEX(Backlog[Priority],MATCH($A200,Backlog[Requirement ID],0))),"")</f>
        <v/>
      </c>
      <c r="L200" s="57"/>
      <c r="M200" s="57"/>
      <c r="O200" s="57"/>
    </row>
    <row r="201" customFormat="false" ht="15" hidden="false" customHeight="true" outlineLevel="0" collapsed="false">
      <c r="A201" s="1" t="str">
        <f aca="false">Backlog!A201</f>
        <v/>
      </c>
      <c r="B201" s="1" t="str">
        <f aca="false">IFERROR(IF(ISBLANK(INDEX(Backlog[Requirement Name],MATCH($A201,Backlog[Requirement ID],0))),"",INDEX(Backlog[Requirement Name],MATCH($A201,Backlog[Requirement ID],0))),"")</f>
        <v/>
      </c>
      <c r="C201" s="1" t="str">
        <f aca="false">IFERROR(IF(ISBLANK(INDEX(Backlog[Stream],MATCH($A201,Backlog[Requirement ID],0))),"",INDEX(Backlog[Stream],MATCH($A201,Backlog[Requirement ID],0))),"")</f>
        <v/>
      </c>
      <c r="D201" s="1" t="str">
        <f aca="false">IFERROR(IF(ISBLANK(INDEX(Backlog[Stream Owner],MATCH($A201,Backlog[Requirement ID],0))),"",INDEX(Backlog[Stream Owner],MATCH($A201,Backlog[Requirement ID],0))),"")</f>
        <v/>
      </c>
      <c r="E201" s="1" t="str">
        <f aca="false">IFERROR(IF(ISBLANK(INDEX(Backlog[Jira Link],MATCH($A201,Backlog[Requirement ID],0))),"",INDEX(Backlog[Jira Link],MATCH($A201,Backlog[Requirement ID],0))),"")</f>
        <v/>
      </c>
      <c r="H201" s="1" t="str">
        <f aca="false">IFERROR(IF(ISBLANK(INDEX(SprintPlanning[Sprint],MATCH($A201,SprintPlanning[Requirement ID],0))),"",INDEX(SprintPlanning[Sprint],MATCH($A201,SprintPlanning[Requirement ID],0))),"")</f>
        <v/>
      </c>
      <c r="I201" s="1" t="str">
        <f aca="false">IFERROR(IF(ISBLANK(INDEX(Backlog[Status],MATCH($A201,Backlog[Requirement ID],0))),"",INDEX(Backlog[Status],MATCH($A201,Backlog[Requirement ID],0))),"")</f>
        <v/>
      </c>
      <c r="J201" s="1" t="str">
        <f aca="false">IFERROR(IF(ISBLANK(INDEX(Backlog[Priority],MATCH($A201,Backlog[Requirement ID],0))),"",INDEX(Backlog[Priority],MATCH($A201,Backlog[Requirement ID],0))),"")</f>
        <v/>
      </c>
      <c r="L201" s="57"/>
      <c r="M201" s="57"/>
      <c r="O201" s="57"/>
    </row>
    <row r="202" customFormat="false" ht="15" hidden="false" customHeight="true" outlineLevel="0" collapsed="false">
      <c r="A202" s="1" t="str">
        <f aca="false">Backlog!A202</f>
        <v/>
      </c>
      <c r="B202" s="1" t="str">
        <f aca="false">IFERROR(IF(ISBLANK(INDEX(Backlog[Requirement Name],MATCH($A202,Backlog[Requirement ID],0))),"",INDEX(Backlog[Requirement Name],MATCH($A202,Backlog[Requirement ID],0))),"")</f>
        <v/>
      </c>
      <c r="C202" s="1" t="str">
        <f aca="false">IFERROR(IF(ISBLANK(INDEX(Backlog[Stream],MATCH($A202,Backlog[Requirement ID],0))),"",INDEX(Backlog[Stream],MATCH($A202,Backlog[Requirement ID],0))),"")</f>
        <v/>
      </c>
      <c r="D202" s="1" t="str">
        <f aca="false">IFERROR(IF(ISBLANK(INDEX(Backlog[Stream Owner],MATCH($A202,Backlog[Requirement ID],0))),"",INDEX(Backlog[Stream Owner],MATCH($A202,Backlog[Requirement ID],0))),"")</f>
        <v/>
      </c>
      <c r="E202" s="1" t="str">
        <f aca="false">IFERROR(IF(ISBLANK(INDEX(Backlog[Jira Link],MATCH($A202,Backlog[Requirement ID],0))),"",INDEX(Backlog[Jira Link],MATCH($A202,Backlog[Requirement ID],0))),"")</f>
        <v/>
      </c>
      <c r="H202" s="1" t="str">
        <f aca="false">IFERROR(IF(ISBLANK(INDEX(SprintPlanning[Sprint],MATCH($A202,SprintPlanning[Requirement ID],0))),"",INDEX(SprintPlanning[Sprint],MATCH($A202,SprintPlanning[Requirement ID],0))),"")</f>
        <v/>
      </c>
      <c r="I202" s="1" t="str">
        <f aca="false">IFERROR(IF(ISBLANK(INDEX(Backlog[Status],MATCH($A202,Backlog[Requirement ID],0))),"",INDEX(Backlog[Status],MATCH($A202,Backlog[Requirement ID],0))),"")</f>
        <v/>
      </c>
      <c r="J202" s="1" t="str">
        <f aca="false">IFERROR(IF(ISBLANK(INDEX(Backlog[Priority],MATCH($A202,Backlog[Requirement ID],0))),"",INDEX(Backlog[Priority],MATCH($A202,Backlog[Requirement ID],0))),"")</f>
        <v/>
      </c>
      <c r="L202" s="57"/>
      <c r="M202" s="57"/>
      <c r="O202" s="57"/>
    </row>
    <row r="203" customFormat="false" ht="15" hidden="false" customHeight="true" outlineLevel="0" collapsed="false">
      <c r="A203" s="1" t="str">
        <f aca="false">Backlog!A203</f>
        <v/>
      </c>
      <c r="B203" s="1" t="str">
        <f aca="false">IFERROR(IF(ISBLANK(INDEX(Backlog[Requirement Name],MATCH($A203,Backlog[Requirement ID],0))),"",INDEX(Backlog[Requirement Name],MATCH($A203,Backlog[Requirement ID],0))),"")</f>
        <v/>
      </c>
      <c r="C203" s="1" t="str">
        <f aca="false">IFERROR(IF(ISBLANK(INDEX(Backlog[Stream],MATCH($A203,Backlog[Requirement ID],0))),"",INDEX(Backlog[Stream],MATCH($A203,Backlog[Requirement ID],0))),"")</f>
        <v/>
      </c>
      <c r="D203" s="1" t="str">
        <f aca="false">IFERROR(IF(ISBLANK(INDEX(Backlog[Stream Owner],MATCH($A203,Backlog[Requirement ID],0))),"",INDEX(Backlog[Stream Owner],MATCH($A203,Backlog[Requirement ID],0))),"")</f>
        <v/>
      </c>
      <c r="E203" s="1" t="str">
        <f aca="false">IFERROR(IF(ISBLANK(INDEX(Backlog[Jira Link],MATCH($A203,Backlog[Requirement ID],0))),"",INDEX(Backlog[Jira Link],MATCH($A203,Backlog[Requirement ID],0))),"")</f>
        <v/>
      </c>
      <c r="H203" s="1" t="str">
        <f aca="false">IFERROR(IF(ISBLANK(INDEX(SprintPlanning[Sprint],MATCH($A203,SprintPlanning[Requirement ID],0))),"",INDEX(SprintPlanning[Sprint],MATCH($A203,SprintPlanning[Requirement ID],0))),"")</f>
        <v/>
      </c>
      <c r="I203" s="1" t="str">
        <f aca="false">IFERROR(IF(ISBLANK(INDEX(Backlog[Status],MATCH($A203,Backlog[Requirement ID],0))),"",INDEX(Backlog[Status],MATCH($A203,Backlog[Requirement ID],0))),"")</f>
        <v/>
      </c>
      <c r="J203" s="1" t="str">
        <f aca="false">IFERROR(IF(ISBLANK(INDEX(Backlog[Priority],MATCH($A203,Backlog[Requirement ID],0))),"",INDEX(Backlog[Priority],MATCH($A203,Backlog[Requirement ID],0))),"")</f>
        <v/>
      </c>
      <c r="L203" s="57"/>
      <c r="M203" s="57"/>
      <c r="O203" s="57"/>
    </row>
    <row r="204" customFormat="false" ht="15" hidden="false" customHeight="true" outlineLevel="0" collapsed="false">
      <c r="A204" s="1" t="str">
        <f aca="false">Backlog!A204</f>
        <v/>
      </c>
      <c r="B204" s="1" t="str">
        <f aca="false">IFERROR(IF(ISBLANK(INDEX(Backlog[Requirement Name],MATCH($A204,Backlog[Requirement ID],0))),"",INDEX(Backlog[Requirement Name],MATCH($A204,Backlog[Requirement ID],0))),"")</f>
        <v/>
      </c>
      <c r="C204" s="1" t="str">
        <f aca="false">IFERROR(IF(ISBLANK(INDEX(Backlog[Stream],MATCH($A204,Backlog[Requirement ID],0))),"",INDEX(Backlog[Stream],MATCH($A204,Backlog[Requirement ID],0))),"")</f>
        <v/>
      </c>
      <c r="D204" s="1" t="str">
        <f aca="false">IFERROR(IF(ISBLANK(INDEX(Backlog[Stream Owner],MATCH($A204,Backlog[Requirement ID],0))),"",INDEX(Backlog[Stream Owner],MATCH($A204,Backlog[Requirement ID],0))),"")</f>
        <v/>
      </c>
      <c r="E204" s="1" t="str">
        <f aca="false">IFERROR(IF(ISBLANK(INDEX(Backlog[Jira Link],MATCH($A204,Backlog[Requirement ID],0))),"",INDEX(Backlog[Jira Link],MATCH($A204,Backlog[Requirement ID],0))),"")</f>
        <v/>
      </c>
      <c r="H204" s="1" t="str">
        <f aca="false">IFERROR(IF(ISBLANK(INDEX(SprintPlanning[Sprint],MATCH($A204,SprintPlanning[Requirement ID],0))),"",INDEX(SprintPlanning[Sprint],MATCH($A204,SprintPlanning[Requirement ID],0))),"")</f>
        <v/>
      </c>
      <c r="I204" s="1" t="str">
        <f aca="false">IFERROR(IF(ISBLANK(INDEX(Backlog[Status],MATCH($A204,Backlog[Requirement ID],0))),"",INDEX(Backlog[Status],MATCH($A204,Backlog[Requirement ID],0))),"")</f>
        <v/>
      </c>
      <c r="J204" s="1" t="str">
        <f aca="false">IFERROR(IF(ISBLANK(INDEX(Backlog[Priority],MATCH($A204,Backlog[Requirement ID],0))),"",INDEX(Backlog[Priority],MATCH($A204,Backlog[Requirement ID],0))),"")</f>
        <v/>
      </c>
      <c r="L204" s="57"/>
      <c r="M204" s="57"/>
      <c r="O204" s="57"/>
    </row>
    <row r="205" customFormat="false" ht="15" hidden="false" customHeight="true" outlineLevel="0" collapsed="false">
      <c r="A205" s="1" t="str">
        <f aca="false">Backlog!A205</f>
        <v/>
      </c>
      <c r="B205" s="1" t="str">
        <f aca="false">IFERROR(IF(ISBLANK(INDEX(Backlog[Requirement Name],MATCH($A205,Backlog[Requirement ID],0))),"",INDEX(Backlog[Requirement Name],MATCH($A205,Backlog[Requirement ID],0))),"")</f>
        <v/>
      </c>
      <c r="C205" s="1" t="str">
        <f aca="false">IFERROR(IF(ISBLANK(INDEX(Backlog[Stream],MATCH($A205,Backlog[Requirement ID],0))),"",INDEX(Backlog[Stream],MATCH($A205,Backlog[Requirement ID],0))),"")</f>
        <v/>
      </c>
      <c r="D205" s="1" t="str">
        <f aca="false">IFERROR(IF(ISBLANK(INDEX(Backlog[Stream Owner],MATCH($A205,Backlog[Requirement ID],0))),"",INDEX(Backlog[Stream Owner],MATCH($A205,Backlog[Requirement ID],0))),"")</f>
        <v/>
      </c>
      <c r="E205" s="1" t="str">
        <f aca="false">IFERROR(IF(ISBLANK(INDEX(Backlog[Jira Link],MATCH($A205,Backlog[Requirement ID],0))),"",INDEX(Backlog[Jira Link],MATCH($A205,Backlog[Requirement ID],0))),"")</f>
        <v/>
      </c>
      <c r="H205" s="1" t="str">
        <f aca="false">IFERROR(IF(ISBLANK(INDEX(SprintPlanning[Sprint],MATCH($A205,SprintPlanning[Requirement ID],0))),"",INDEX(SprintPlanning[Sprint],MATCH($A205,SprintPlanning[Requirement ID],0))),"")</f>
        <v/>
      </c>
      <c r="I205" s="1" t="str">
        <f aca="false">IFERROR(IF(ISBLANK(INDEX(Backlog[Status],MATCH($A205,Backlog[Requirement ID],0))),"",INDEX(Backlog[Status],MATCH($A205,Backlog[Requirement ID],0))),"")</f>
        <v/>
      </c>
      <c r="J205" s="1" t="str">
        <f aca="false">IFERROR(IF(ISBLANK(INDEX(Backlog[Priority],MATCH($A205,Backlog[Requirement ID],0))),"",INDEX(Backlog[Priority],MATCH($A205,Backlog[Requirement ID],0))),"")</f>
        <v/>
      </c>
      <c r="L205" s="57"/>
      <c r="M205" s="57"/>
      <c r="O205" s="57"/>
    </row>
    <row r="206" customFormat="false" ht="23.25" hidden="false" customHeight="true" outlineLevel="0" collapsed="false">
      <c r="A206" s="1" t="str">
        <f aca="false">Backlog!A206</f>
        <v/>
      </c>
      <c r="B206" s="1" t="str">
        <f aca="false">IFERROR(IF(ISBLANK(INDEX(Backlog[Requirement Name],MATCH($A206,Backlog[Requirement ID],0))),"",INDEX(Backlog[Requirement Name],MATCH($A206,Backlog[Requirement ID],0))),"")</f>
        <v/>
      </c>
      <c r="C206" s="1" t="str">
        <f aca="false">IFERROR(IF(ISBLANK(INDEX(Backlog[Stream],MATCH($A206,Backlog[Requirement ID],0))),"",INDEX(Backlog[Stream],MATCH($A206,Backlog[Requirement ID],0))),"")</f>
        <v/>
      </c>
      <c r="D206" s="1" t="str">
        <f aca="false">IFERROR(IF(ISBLANK(INDEX(Backlog[Stream Owner],MATCH($A206,Backlog[Requirement ID],0))),"",INDEX(Backlog[Stream Owner],MATCH($A206,Backlog[Requirement ID],0))),"")</f>
        <v/>
      </c>
      <c r="E206" s="1" t="str">
        <f aca="false">IFERROR(IF(ISBLANK(INDEX(Backlog[Jira Link],MATCH($A206,Backlog[Requirement ID],0))),"",INDEX(Backlog[Jira Link],MATCH($A206,Backlog[Requirement ID],0))),"")</f>
        <v/>
      </c>
      <c r="H206" s="1" t="str">
        <f aca="false">IFERROR(IF(ISBLANK(INDEX(SprintPlanning[Sprint],MATCH($A206,SprintPlanning[Requirement ID],0))),"",INDEX(SprintPlanning[Sprint],MATCH($A206,SprintPlanning[Requirement ID],0))),"")</f>
        <v/>
      </c>
      <c r="I206" s="1" t="str">
        <f aca="false">IFERROR(IF(ISBLANK(INDEX(Backlog[Status],MATCH($A206,Backlog[Requirement ID],0))),"",INDEX(Backlog[Status],MATCH($A206,Backlog[Requirement ID],0))),"")</f>
        <v/>
      </c>
      <c r="J206" s="1" t="str">
        <f aca="false">IFERROR(IF(ISBLANK(INDEX(Backlog[Priority],MATCH($A206,Backlog[Requirement ID],0))),"",INDEX(Backlog[Priority],MATCH($A206,Backlog[Requirement ID],0))),"")</f>
        <v/>
      </c>
      <c r="L206" s="57"/>
      <c r="M206" s="57"/>
      <c r="O206" s="57"/>
    </row>
    <row r="207" customFormat="false" ht="15" hidden="false" customHeight="true" outlineLevel="0" collapsed="false">
      <c r="A207" s="1" t="str">
        <f aca="false">Backlog!A207</f>
        <v/>
      </c>
      <c r="B207" s="1" t="str">
        <f aca="false">IFERROR(IF(ISBLANK(INDEX(Backlog[Requirement Name],MATCH($A207,Backlog[Requirement ID],0))),"",INDEX(Backlog[Requirement Name],MATCH($A207,Backlog[Requirement ID],0))),"")</f>
        <v/>
      </c>
      <c r="C207" s="1" t="str">
        <f aca="false">IFERROR(IF(ISBLANK(INDEX(Backlog[Stream],MATCH($A207,Backlog[Requirement ID],0))),"",INDEX(Backlog[Stream],MATCH($A207,Backlog[Requirement ID],0))),"")</f>
        <v/>
      </c>
      <c r="D207" s="1" t="str">
        <f aca="false">IFERROR(IF(ISBLANK(INDEX(Backlog[Stream Owner],MATCH($A207,Backlog[Requirement ID],0))),"",INDEX(Backlog[Stream Owner],MATCH($A207,Backlog[Requirement ID],0))),"")</f>
        <v/>
      </c>
      <c r="E207" s="1" t="str">
        <f aca="false">IFERROR(IF(ISBLANK(INDEX(Backlog[Jira Link],MATCH($A207,Backlog[Requirement ID],0))),"",INDEX(Backlog[Jira Link],MATCH($A207,Backlog[Requirement ID],0))),"")</f>
        <v/>
      </c>
      <c r="H207" s="1" t="str">
        <f aca="false">IFERROR(IF(ISBLANK(INDEX(SprintPlanning[Sprint],MATCH($A207,SprintPlanning[Requirement ID],0))),"",INDEX(SprintPlanning[Sprint],MATCH($A207,SprintPlanning[Requirement ID],0))),"")</f>
        <v/>
      </c>
      <c r="I207" s="1" t="str">
        <f aca="false">IFERROR(IF(ISBLANK(INDEX(Backlog[Status],MATCH($A207,Backlog[Requirement ID],0))),"",INDEX(Backlog[Status],MATCH($A207,Backlog[Requirement ID],0))),"")</f>
        <v/>
      </c>
      <c r="J207" s="1" t="str">
        <f aca="false">IFERROR(IF(ISBLANK(INDEX(Backlog[Priority],MATCH($A207,Backlog[Requirement ID],0))),"",INDEX(Backlog[Priority],MATCH($A207,Backlog[Requirement ID],0))),"")</f>
        <v/>
      </c>
      <c r="L207" s="57"/>
      <c r="M207" s="57"/>
      <c r="O207" s="57"/>
    </row>
    <row r="208" customFormat="false" ht="15" hidden="false" customHeight="true" outlineLevel="0" collapsed="false">
      <c r="A208" s="1" t="str">
        <f aca="false">Backlog!A208</f>
        <v/>
      </c>
      <c r="B208" s="1" t="str">
        <f aca="false">IFERROR(IF(ISBLANK(INDEX(Backlog[Requirement Name],MATCH($A208,Backlog[Requirement ID],0))),"",INDEX(Backlog[Requirement Name],MATCH($A208,Backlog[Requirement ID],0))),"")</f>
        <v/>
      </c>
      <c r="C208" s="1" t="str">
        <f aca="false">IFERROR(IF(ISBLANK(INDEX(Backlog[Stream],MATCH($A208,Backlog[Requirement ID],0))),"",INDEX(Backlog[Stream],MATCH($A208,Backlog[Requirement ID],0))),"")</f>
        <v/>
      </c>
      <c r="D208" s="1" t="str">
        <f aca="false">IFERROR(IF(ISBLANK(INDEX(Backlog[Stream Owner],MATCH($A208,Backlog[Requirement ID],0))),"",INDEX(Backlog[Stream Owner],MATCH($A208,Backlog[Requirement ID],0))),"")</f>
        <v/>
      </c>
      <c r="E208" s="1" t="str">
        <f aca="false">IFERROR(IF(ISBLANK(INDEX(Backlog[Jira Link],MATCH($A208,Backlog[Requirement ID],0))),"",INDEX(Backlog[Jira Link],MATCH($A208,Backlog[Requirement ID],0))),"")</f>
        <v/>
      </c>
      <c r="H208" s="1" t="str">
        <f aca="false">IFERROR(IF(ISBLANK(INDEX(SprintPlanning[Sprint],MATCH($A208,SprintPlanning[Requirement ID],0))),"",INDEX(SprintPlanning[Sprint],MATCH($A208,SprintPlanning[Requirement ID],0))),"")</f>
        <v/>
      </c>
      <c r="I208" s="1" t="str">
        <f aca="false">IFERROR(IF(ISBLANK(INDEX(Backlog[Status],MATCH($A208,Backlog[Requirement ID],0))),"",INDEX(Backlog[Status],MATCH($A208,Backlog[Requirement ID],0))),"")</f>
        <v/>
      </c>
      <c r="J208" s="1" t="str">
        <f aca="false">IFERROR(IF(ISBLANK(INDEX(Backlog[Priority],MATCH($A208,Backlog[Requirement ID],0))),"",INDEX(Backlog[Priority],MATCH($A208,Backlog[Requirement ID],0))),"")</f>
        <v/>
      </c>
      <c r="L208" s="57"/>
      <c r="M208" s="57"/>
      <c r="O208" s="57"/>
    </row>
    <row r="209" customFormat="false" ht="15" hidden="false" customHeight="true" outlineLevel="0" collapsed="false">
      <c r="A209" s="1" t="str">
        <f aca="false">Backlog!A209</f>
        <v/>
      </c>
      <c r="B209" s="1" t="str">
        <f aca="false">IFERROR(IF(ISBLANK(INDEX(Backlog[Requirement Name],MATCH($A209,Backlog[Requirement ID],0))),"",INDEX(Backlog[Requirement Name],MATCH($A209,Backlog[Requirement ID],0))),"")</f>
        <v/>
      </c>
      <c r="C209" s="1" t="str">
        <f aca="false">IFERROR(IF(ISBLANK(INDEX(Backlog[Stream],MATCH($A209,Backlog[Requirement ID],0))),"",INDEX(Backlog[Stream],MATCH($A209,Backlog[Requirement ID],0))),"")</f>
        <v/>
      </c>
      <c r="D209" s="1" t="str">
        <f aca="false">IFERROR(IF(ISBLANK(INDEX(Backlog[Stream Owner],MATCH($A209,Backlog[Requirement ID],0))),"",INDEX(Backlog[Stream Owner],MATCH($A209,Backlog[Requirement ID],0))),"")</f>
        <v/>
      </c>
      <c r="E209" s="1" t="str">
        <f aca="false">IFERROR(IF(ISBLANK(INDEX(Backlog[Jira Link],MATCH($A209,Backlog[Requirement ID],0))),"",INDEX(Backlog[Jira Link],MATCH($A209,Backlog[Requirement ID],0))),"")</f>
        <v/>
      </c>
      <c r="H209" s="1" t="str">
        <f aca="false">IFERROR(IF(ISBLANK(INDEX(SprintPlanning[Sprint],MATCH($A209,SprintPlanning[Requirement ID],0))),"",INDEX(SprintPlanning[Sprint],MATCH($A209,SprintPlanning[Requirement ID],0))),"")</f>
        <v/>
      </c>
      <c r="I209" s="1" t="str">
        <f aca="false">IFERROR(IF(ISBLANK(INDEX(Backlog[Status],MATCH($A209,Backlog[Requirement ID],0))),"",INDEX(Backlog[Status],MATCH($A209,Backlog[Requirement ID],0))),"")</f>
        <v/>
      </c>
      <c r="J209" s="1" t="str">
        <f aca="false">IFERROR(IF(ISBLANK(INDEX(Backlog[Priority],MATCH($A209,Backlog[Requirement ID],0))),"",INDEX(Backlog[Priority],MATCH($A209,Backlog[Requirement ID],0))),"")</f>
        <v/>
      </c>
      <c r="L209" s="57"/>
      <c r="M209" s="57"/>
      <c r="O209" s="57"/>
    </row>
    <row r="210" customFormat="false" ht="15" hidden="false" customHeight="true" outlineLevel="0" collapsed="false">
      <c r="A210" s="1" t="str">
        <f aca="false">Backlog!A210</f>
        <v/>
      </c>
      <c r="B210" s="1" t="str">
        <f aca="false">IFERROR(IF(ISBLANK(INDEX(Backlog[Requirement Name],MATCH($A210,Backlog[Requirement ID],0))),"",INDEX(Backlog[Requirement Name],MATCH($A210,Backlog[Requirement ID],0))),"")</f>
        <v/>
      </c>
      <c r="C210" s="1" t="str">
        <f aca="false">IFERROR(IF(ISBLANK(INDEX(Backlog[Stream],MATCH($A210,Backlog[Requirement ID],0))),"",INDEX(Backlog[Stream],MATCH($A210,Backlog[Requirement ID],0))),"")</f>
        <v/>
      </c>
      <c r="D210" s="1" t="str">
        <f aca="false">IFERROR(IF(ISBLANK(INDEX(Backlog[Stream Owner],MATCH($A210,Backlog[Requirement ID],0))),"",INDEX(Backlog[Stream Owner],MATCH($A210,Backlog[Requirement ID],0))),"")</f>
        <v/>
      </c>
      <c r="E210" s="1" t="str">
        <f aca="false">IFERROR(IF(ISBLANK(INDEX(Backlog[Jira Link],MATCH($A210,Backlog[Requirement ID],0))),"",INDEX(Backlog[Jira Link],MATCH($A210,Backlog[Requirement ID],0))),"")</f>
        <v/>
      </c>
      <c r="H210" s="1" t="str">
        <f aca="false">IFERROR(IF(ISBLANK(INDEX(SprintPlanning[Sprint],MATCH($A210,SprintPlanning[Requirement ID],0))),"",INDEX(SprintPlanning[Sprint],MATCH($A210,SprintPlanning[Requirement ID],0))),"")</f>
        <v/>
      </c>
      <c r="I210" s="1" t="str">
        <f aca="false">IFERROR(IF(ISBLANK(INDEX(Backlog[Status],MATCH($A210,Backlog[Requirement ID],0))),"",INDEX(Backlog[Status],MATCH($A210,Backlog[Requirement ID],0))),"")</f>
        <v/>
      </c>
      <c r="J210" s="1" t="str">
        <f aca="false">IFERROR(IF(ISBLANK(INDEX(Backlog[Priority],MATCH($A210,Backlog[Requirement ID],0))),"",INDEX(Backlog[Priority],MATCH($A210,Backlog[Requirement ID],0))),"")</f>
        <v/>
      </c>
      <c r="L210" s="57"/>
      <c r="M210" s="57"/>
      <c r="O210" s="57"/>
    </row>
    <row r="211" customFormat="false" ht="15" hidden="false" customHeight="true" outlineLevel="0" collapsed="false">
      <c r="A211" s="1" t="str">
        <f aca="false">Backlog!A211</f>
        <v/>
      </c>
      <c r="B211" s="1" t="str">
        <f aca="false">IFERROR(IF(ISBLANK(INDEX(Backlog[Requirement Name],MATCH($A211,Backlog[Requirement ID],0))),"",INDEX(Backlog[Requirement Name],MATCH($A211,Backlog[Requirement ID],0))),"")</f>
        <v/>
      </c>
      <c r="C211" s="1" t="str">
        <f aca="false">IFERROR(IF(ISBLANK(INDEX(Backlog[Stream],MATCH($A211,Backlog[Requirement ID],0))),"",INDEX(Backlog[Stream],MATCH($A211,Backlog[Requirement ID],0))),"")</f>
        <v/>
      </c>
      <c r="D211" s="1" t="str">
        <f aca="false">IFERROR(IF(ISBLANK(INDEX(Backlog[Stream Owner],MATCH($A211,Backlog[Requirement ID],0))),"",INDEX(Backlog[Stream Owner],MATCH($A211,Backlog[Requirement ID],0))),"")</f>
        <v/>
      </c>
      <c r="E211" s="1" t="str">
        <f aca="false">IFERROR(IF(ISBLANK(INDEX(Backlog[Jira Link],MATCH($A211,Backlog[Requirement ID],0))),"",INDEX(Backlog[Jira Link],MATCH($A211,Backlog[Requirement ID],0))),"")</f>
        <v/>
      </c>
      <c r="H211" s="1" t="str">
        <f aca="false">IFERROR(IF(ISBLANK(INDEX(SprintPlanning[Sprint],MATCH($A211,SprintPlanning[Requirement ID],0))),"",INDEX(SprintPlanning[Sprint],MATCH($A211,SprintPlanning[Requirement ID],0))),"")</f>
        <v/>
      </c>
      <c r="I211" s="1" t="str">
        <f aca="false">IFERROR(IF(ISBLANK(INDEX(Backlog[Status],MATCH($A211,Backlog[Requirement ID],0))),"",INDEX(Backlog[Status],MATCH($A211,Backlog[Requirement ID],0))),"")</f>
        <v/>
      </c>
      <c r="J211" s="1" t="str">
        <f aca="false">IFERROR(IF(ISBLANK(INDEX(Backlog[Priority],MATCH($A211,Backlog[Requirement ID],0))),"",INDEX(Backlog[Priority],MATCH($A211,Backlog[Requirement ID],0))),"")</f>
        <v/>
      </c>
      <c r="L211" s="57"/>
      <c r="M211" s="57"/>
      <c r="O211" s="57"/>
    </row>
    <row r="212" customFormat="false" ht="15" hidden="false" customHeight="true" outlineLevel="0" collapsed="false">
      <c r="A212" s="1" t="str">
        <f aca="false">Backlog!A212</f>
        <v/>
      </c>
      <c r="B212" s="1" t="str">
        <f aca="false">IFERROR(IF(ISBLANK(INDEX(Backlog[Requirement Name],MATCH($A212,Backlog[Requirement ID],0))),"",INDEX(Backlog[Requirement Name],MATCH($A212,Backlog[Requirement ID],0))),"")</f>
        <v/>
      </c>
      <c r="C212" s="1" t="str">
        <f aca="false">IFERROR(IF(ISBLANK(INDEX(Backlog[Stream],MATCH($A212,Backlog[Requirement ID],0))),"",INDEX(Backlog[Stream],MATCH($A212,Backlog[Requirement ID],0))),"")</f>
        <v/>
      </c>
      <c r="D212" s="1" t="str">
        <f aca="false">IFERROR(IF(ISBLANK(INDEX(Backlog[Stream Owner],MATCH($A212,Backlog[Requirement ID],0))),"",INDEX(Backlog[Stream Owner],MATCH($A212,Backlog[Requirement ID],0))),"")</f>
        <v/>
      </c>
      <c r="E212" s="1" t="str">
        <f aca="false">IFERROR(IF(ISBLANK(INDEX(Backlog[Jira Link],MATCH($A212,Backlog[Requirement ID],0))),"",INDEX(Backlog[Jira Link],MATCH($A212,Backlog[Requirement ID],0))),"")</f>
        <v/>
      </c>
      <c r="H212" s="1" t="str">
        <f aca="false">IFERROR(IF(ISBLANK(INDEX(SprintPlanning[Sprint],MATCH($A212,SprintPlanning[Requirement ID],0))),"",INDEX(SprintPlanning[Sprint],MATCH($A212,SprintPlanning[Requirement ID],0))),"")</f>
        <v/>
      </c>
      <c r="I212" s="1" t="str">
        <f aca="false">IFERROR(IF(ISBLANK(INDEX(Backlog[Status],MATCH($A212,Backlog[Requirement ID],0))),"",INDEX(Backlog[Status],MATCH($A212,Backlog[Requirement ID],0))),"")</f>
        <v/>
      </c>
      <c r="J212" s="1" t="str">
        <f aca="false">IFERROR(IF(ISBLANK(INDEX(Backlog[Priority],MATCH($A212,Backlog[Requirement ID],0))),"",INDEX(Backlog[Priority],MATCH($A212,Backlog[Requirement ID],0))),"")</f>
        <v/>
      </c>
      <c r="L212" s="57"/>
      <c r="M212" s="57"/>
      <c r="O212" s="57"/>
    </row>
    <row r="213" customFormat="false" ht="15" hidden="false" customHeight="true" outlineLevel="0" collapsed="false">
      <c r="A213" s="1" t="str">
        <f aca="false">Backlog!A213</f>
        <v/>
      </c>
      <c r="B213" s="1" t="str">
        <f aca="false">IFERROR(IF(ISBLANK(INDEX(Backlog[Requirement Name],MATCH($A213,Backlog[Requirement ID],0))),"",INDEX(Backlog[Requirement Name],MATCH($A213,Backlog[Requirement ID],0))),"")</f>
        <v/>
      </c>
      <c r="C213" s="1" t="str">
        <f aca="false">IFERROR(IF(ISBLANK(INDEX(Backlog[Stream],MATCH($A213,Backlog[Requirement ID],0))),"",INDEX(Backlog[Stream],MATCH($A213,Backlog[Requirement ID],0))),"")</f>
        <v/>
      </c>
      <c r="D213" s="1" t="str">
        <f aca="false">IFERROR(IF(ISBLANK(INDEX(Backlog[Stream Owner],MATCH($A213,Backlog[Requirement ID],0))),"",INDEX(Backlog[Stream Owner],MATCH($A213,Backlog[Requirement ID],0))),"")</f>
        <v/>
      </c>
      <c r="E213" s="1" t="str">
        <f aca="false">IFERROR(IF(ISBLANK(INDEX(Backlog[Jira Link],MATCH($A213,Backlog[Requirement ID],0))),"",INDEX(Backlog[Jira Link],MATCH($A213,Backlog[Requirement ID],0))),"")</f>
        <v/>
      </c>
      <c r="H213" s="1" t="str">
        <f aca="false">IFERROR(IF(ISBLANK(INDEX(SprintPlanning[Sprint],MATCH($A213,SprintPlanning[Requirement ID],0))),"",INDEX(SprintPlanning[Sprint],MATCH($A213,SprintPlanning[Requirement ID],0))),"")</f>
        <v/>
      </c>
      <c r="I213" s="1" t="str">
        <f aca="false">IFERROR(IF(ISBLANK(INDEX(Backlog[Status],MATCH($A213,Backlog[Requirement ID],0))),"",INDEX(Backlog[Status],MATCH($A213,Backlog[Requirement ID],0))),"")</f>
        <v/>
      </c>
      <c r="J213" s="1" t="str">
        <f aca="false">IFERROR(IF(ISBLANK(INDEX(Backlog[Priority],MATCH($A213,Backlog[Requirement ID],0))),"",INDEX(Backlog[Priority],MATCH($A213,Backlog[Requirement ID],0))),"")</f>
        <v/>
      </c>
      <c r="L213" s="57"/>
      <c r="M213" s="57"/>
      <c r="O213" s="57"/>
    </row>
    <row r="214" customFormat="false" ht="15" hidden="false" customHeight="true" outlineLevel="0" collapsed="false">
      <c r="A214" s="1" t="str">
        <f aca="false">Backlog!A214</f>
        <v/>
      </c>
      <c r="B214" s="1" t="str">
        <f aca="false">IFERROR(IF(ISBLANK(INDEX(Backlog[Requirement Name],MATCH($A214,Backlog[Requirement ID],0))),"",INDEX(Backlog[Requirement Name],MATCH($A214,Backlog[Requirement ID],0))),"")</f>
        <v/>
      </c>
      <c r="C214" s="1" t="str">
        <f aca="false">IFERROR(IF(ISBLANK(INDEX(Backlog[Stream],MATCH($A214,Backlog[Requirement ID],0))),"",INDEX(Backlog[Stream],MATCH($A214,Backlog[Requirement ID],0))),"")</f>
        <v/>
      </c>
      <c r="D214" s="1" t="str">
        <f aca="false">IFERROR(IF(ISBLANK(INDEX(Backlog[Stream Owner],MATCH($A214,Backlog[Requirement ID],0))),"",INDEX(Backlog[Stream Owner],MATCH($A214,Backlog[Requirement ID],0))),"")</f>
        <v/>
      </c>
      <c r="E214" s="1" t="str">
        <f aca="false">IFERROR(IF(ISBLANK(INDEX(Backlog[Jira Link],MATCH($A214,Backlog[Requirement ID],0))),"",INDEX(Backlog[Jira Link],MATCH($A214,Backlog[Requirement ID],0))),"")</f>
        <v/>
      </c>
      <c r="H214" s="1" t="str">
        <f aca="false">IFERROR(IF(ISBLANK(INDEX(SprintPlanning[Sprint],MATCH($A214,SprintPlanning[Requirement ID],0))),"",INDEX(SprintPlanning[Sprint],MATCH($A214,SprintPlanning[Requirement ID],0))),"")</f>
        <v/>
      </c>
      <c r="I214" s="1" t="str">
        <f aca="false">IFERROR(IF(ISBLANK(INDEX(Backlog[Status],MATCH($A214,Backlog[Requirement ID],0))),"",INDEX(Backlog[Status],MATCH($A214,Backlog[Requirement ID],0))),"")</f>
        <v/>
      </c>
      <c r="J214" s="1" t="str">
        <f aca="false">IFERROR(IF(ISBLANK(INDEX(Backlog[Priority],MATCH($A214,Backlog[Requirement ID],0))),"",INDEX(Backlog[Priority],MATCH($A214,Backlog[Requirement ID],0))),"")</f>
        <v/>
      </c>
      <c r="L214" s="57"/>
      <c r="M214" s="57"/>
      <c r="O214" s="57"/>
    </row>
    <row r="215" customFormat="false" ht="15" hidden="false" customHeight="true" outlineLevel="0" collapsed="false">
      <c r="A215" s="1" t="str">
        <f aca="false">Backlog!A215</f>
        <v/>
      </c>
      <c r="B215" s="1" t="str">
        <f aca="false">IFERROR(IF(ISBLANK(INDEX(Backlog[Requirement Name],MATCH($A215,Backlog[Requirement ID],0))),"",INDEX(Backlog[Requirement Name],MATCH($A215,Backlog[Requirement ID],0))),"")</f>
        <v/>
      </c>
      <c r="C215" s="1" t="str">
        <f aca="false">IFERROR(IF(ISBLANK(INDEX(Backlog[Stream],MATCH($A215,Backlog[Requirement ID],0))),"",INDEX(Backlog[Stream],MATCH($A215,Backlog[Requirement ID],0))),"")</f>
        <v/>
      </c>
      <c r="D215" s="1" t="str">
        <f aca="false">IFERROR(IF(ISBLANK(INDEX(Backlog[Stream Owner],MATCH($A215,Backlog[Requirement ID],0))),"",INDEX(Backlog[Stream Owner],MATCH($A215,Backlog[Requirement ID],0))),"")</f>
        <v/>
      </c>
      <c r="E215" s="1" t="str">
        <f aca="false">IFERROR(IF(ISBLANK(INDEX(Backlog[Jira Link],MATCH($A215,Backlog[Requirement ID],0))),"",INDEX(Backlog[Jira Link],MATCH($A215,Backlog[Requirement ID],0))),"")</f>
        <v/>
      </c>
      <c r="H215" s="1" t="str">
        <f aca="false">IFERROR(IF(ISBLANK(INDEX(SprintPlanning[Sprint],MATCH($A215,SprintPlanning[Requirement ID],0))),"",INDEX(SprintPlanning[Sprint],MATCH($A215,SprintPlanning[Requirement ID],0))),"")</f>
        <v/>
      </c>
      <c r="I215" s="1" t="str">
        <f aca="false">IFERROR(IF(ISBLANK(INDEX(Backlog[Status],MATCH($A215,Backlog[Requirement ID],0))),"",INDEX(Backlog[Status],MATCH($A215,Backlog[Requirement ID],0))),"")</f>
        <v/>
      </c>
      <c r="J215" s="1" t="str">
        <f aca="false">IFERROR(IF(ISBLANK(INDEX(Backlog[Priority],MATCH($A215,Backlog[Requirement ID],0))),"",INDEX(Backlog[Priority],MATCH($A215,Backlog[Requirement ID],0))),"")</f>
        <v/>
      </c>
      <c r="L215" s="57"/>
      <c r="M215" s="57"/>
      <c r="O215" s="57"/>
    </row>
    <row r="216" customFormat="false" ht="15" hidden="false" customHeight="true" outlineLevel="0" collapsed="false">
      <c r="A216" s="1" t="str">
        <f aca="false">Backlog!A216</f>
        <v/>
      </c>
      <c r="B216" s="1" t="str">
        <f aca="false">IFERROR(IF(ISBLANK(INDEX(Backlog[Requirement Name],MATCH($A216,Backlog[Requirement ID],0))),"",INDEX(Backlog[Requirement Name],MATCH($A216,Backlog[Requirement ID],0))),"")</f>
        <v/>
      </c>
      <c r="C216" s="1" t="str">
        <f aca="false">IFERROR(IF(ISBLANK(INDEX(Backlog[Stream],MATCH($A216,Backlog[Requirement ID],0))),"",INDEX(Backlog[Stream],MATCH($A216,Backlog[Requirement ID],0))),"")</f>
        <v/>
      </c>
      <c r="D216" s="1" t="str">
        <f aca="false">IFERROR(IF(ISBLANK(INDEX(Backlog[Stream Owner],MATCH($A216,Backlog[Requirement ID],0))),"",INDEX(Backlog[Stream Owner],MATCH($A216,Backlog[Requirement ID],0))),"")</f>
        <v/>
      </c>
      <c r="E216" s="1" t="str">
        <f aca="false">IFERROR(IF(ISBLANK(INDEX(Backlog[Jira Link],MATCH($A216,Backlog[Requirement ID],0))),"",INDEX(Backlog[Jira Link],MATCH($A216,Backlog[Requirement ID],0))),"")</f>
        <v/>
      </c>
      <c r="H216" s="1" t="str">
        <f aca="false">IFERROR(IF(ISBLANK(INDEX(SprintPlanning[Sprint],MATCH($A216,SprintPlanning[Requirement ID],0))),"",INDEX(SprintPlanning[Sprint],MATCH($A216,SprintPlanning[Requirement ID],0))),"")</f>
        <v/>
      </c>
      <c r="I216" s="1" t="str">
        <f aca="false">IFERROR(IF(ISBLANK(INDEX(Backlog[Status],MATCH($A216,Backlog[Requirement ID],0))),"",INDEX(Backlog[Status],MATCH($A216,Backlog[Requirement ID],0))),"")</f>
        <v/>
      </c>
      <c r="J216" s="1" t="str">
        <f aca="false">IFERROR(IF(ISBLANK(INDEX(Backlog[Priority],MATCH($A216,Backlog[Requirement ID],0))),"",INDEX(Backlog[Priority],MATCH($A216,Backlog[Requirement ID],0))),"")</f>
        <v/>
      </c>
      <c r="L216" s="57"/>
      <c r="M216" s="57"/>
      <c r="O216" s="57"/>
    </row>
    <row r="217" customFormat="false" ht="15" hidden="false" customHeight="true" outlineLevel="0" collapsed="false">
      <c r="A217" s="1" t="str">
        <f aca="false">Backlog!A217</f>
        <v/>
      </c>
      <c r="B217" s="1" t="str">
        <f aca="false">IFERROR(IF(ISBLANK(INDEX(Backlog[Requirement Name],MATCH($A217,Backlog[Requirement ID],0))),"",INDEX(Backlog[Requirement Name],MATCH($A217,Backlog[Requirement ID],0))),"")</f>
        <v/>
      </c>
      <c r="C217" s="1" t="str">
        <f aca="false">IFERROR(IF(ISBLANK(INDEX(Backlog[Stream],MATCH($A217,Backlog[Requirement ID],0))),"",INDEX(Backlog[Stream],MATCH($A217,Backlog[Requirement ID],0))),"")</f>
        <v/>
      </c>
      <c r="D217" s="1" t="str">
        <f aca="false">IFERROR(IF(ISBLANK(INDEX(Backlog[Stream Owner],MATCH($A217,Backlog[Requirement ID],0))),"",INDEX(Backlog[Stream Owner],MATCH($A217,Backlog[Requirement ID],0))),"")</f>
        <v/>
      </c>
      <c r="E217" s="1" t="str">
        <f aca="false">IFERROR(IF(ISBLANK(INDEX(Backlog[Jira Link],MATCH($A217,Backlog[Requirement ID],0))),"",INDEX(Backlog[Jira Link],MATCH($A217,Backlog[Requirement ID],0))),"")</f>
        <v/>
      </c>
      <c r="H217" s="1" t="str">
        <f aca="false">IFERROR(IF(ISBLANK(INDEX(SprintPlanning[Sprint],MATCH($A217,SprintPlanning[Requirement ID],0))),"",INDEX(SprintPlanning[Sprint],MATCH($A217,SprintPlanning[Requirement ID],0))),"")</f>
        <v/>
      </c>
      <c r="I217" s="1" t="str">
        <f aca="false">IFERROR(IF(ISBLANK(INDEX(Backlog[Status],MATCH($A217,Backlog[Requirement ID],0))),"",INDEX(Backlog[Status],MATCH($A217,Backlog[Requirement ID],0))),"")</f>
        <v/>
      </c>
      <c r="J217" s="1" t="str">
        <f aca="false">IFERROR(IF(ISBLANK(INDEX(Backlog[Priority],MATCH($A217,Backlog[Requirement ID],0))),"",INDEX(Backlog[Priority],MATCH($A217,Backlog[Requirement ID],0))),"")</f>
        <v/>
      </c>
      <c r="L217" s="57"/>
      <c r="M217" s="57"/>
      <c r="O217" s="57"/>
    </row>
    <row r="218" customFormat="false" ht="15" hidden="false" customHeight="true" outlineLevel="0" collapsed="false">
      <c r="A218" s="1" t="str">
        <f aca="false">Backlog!A218</f>
        <v/>
      </c>
      <c r="B218" s="1" t="str">
        <f aca="false">IFERROR(IF(ISBLANK(INDEX(Backlog[Requirement Name],MATCH($A218,Backlog[Requirement ID],0))),"",INDEX(Backlog[Requirement Name],MATCH($A218,Backlog[Requirement ID],0))),"")</f>
        <v/>
      </c>
      <c r="C218" s="1" t="str">
        <f aca="false">IFERROR(IF(ISBLANK(INDEX(Backlog[Stream],MATCH($A218,Backlog[Requirement ID],0))),"",INDEX(Backlog[Stream],MATCH($A218,Backlog[Requirement ID],0))),"")</f>
        <v/>
      </c>
      <c r="D218" s="1" t="str">
        <f aca="false">IFERROR(IF(ISBLANK(INDEX(Backlog[Stream Owner],MATCH($A218,Backlog[Requirement ID],0))),"",INDEX(Backlog[Stream Owner],MATCH($A218,Backlog[Requirement ID],0))),"")</f>
        <v/>
      </c>
      <c r="E218" s="1" t="str">
        <f aca="false">IFERROR(IF(ISBLANK(INDEX(Backlog[Jira Link],MATCH($A218,Backlog[Requirement ID],0))),"",INDEX(Backlog[Jira Link],MATCH($A218,Backlog[Requirement ID],0))),"")</f>
        <v/>
      </c>
      <c r="H218" s="1" t="str">
        <f aca="false">IFERROR(IF(ISBLANK(INDEX(SprintPlanning[Sprint],MATCH($A218,SprintPlanning[Requirement ID],0))),"",INDEX(SprintPlanning[Sprint],MATCH($A218,SprintPlanning[Requirement ID],0))),"")</f>
        <v/>
      </c>
      <c r="I218" s="1" t="str">
        <f aca="false">IFERROR(IF(ISBLANK(INDEX(Backlog[Status],MATCH($A218,Backlog[Requirement ID],0))),"",INDEX(Backlog[Status],MATCH($A218,Backlog[Requirement ID],0))),"")</f>
        <v/>
      </c>
      <c r="J218" s="1" t="str">
        <f aca="false">IFERROR(IF(ISBLANK(INDEX(Backlog[Priority],MATCH($A218,Backlog[Requirement ID],0))),"",INDEX(Backlog[Priority],MATCH($A218,Backlog[Requirement ID],0))),"")</f>
        <v/>
      </c>
      <c r="L218" s="57"/>
      <c r="M218" s="57"/>
      <c r="O218" s="57"/>
    </row>
    <row r="219" customFormat="false" ht="15" hidden="false" customHeight="true" outlineLevel="0" collapsed="false">
      <c r="A219" s="1" t="str">
        <f aca="false">Backlog!A219</f>
        <v/>
      </c>
      <c r="B219" s="1" t="str">
        <f aca="false">IFERROR(IF(ISBLANK(INDEX(Backlog[Requirement Name],MATCH($A219,Backlog[Requirement ID],0))),"",INDEX(Backlog[Requirement Name],MATCH($A219,Backlog[Requirement ID],0))),"")</f>
        <v/>
      </c>
      <c r="C219" s="1" t="str">
        <f aca="false">IFERROR(IF(ISBLANK(INDEX(Backlog[Stream],MATCH($A219,Backlog[Requirement ID],0))),"",INDEX(Backlog[Stream],MATCH($A219,Backlog[Requirement ID],0))),"")</f>
        <v/>
      </c>
      <c r="D219" s="1" t="str">
        <f aca="false">IFERROR(IF(ISBLANK(INDEX(Backlog[Stream Owner],MATCH($A219,Backlog[Requirement ID],0))),"",INDEX(Backlog[Stream Owner],MATCH($A219,Backlog[Requirement ID],0))),"")</f>
        <v/>
      </c>
      <c r="E219" s="1" t="str">
        <f aca="false">IFERROR(IF(ISBLANK(INDEX(Backlog[Jira Link],MATCH($A219,Backlog[Requirement ID],0))),"",INDEX(Backlog[Jira Link],MATCH($A219,Backlog[Requirement ID],0))),"")</f>
        <v/>
      </c>
      <c r="H219" s="1" t="str">
        <f aca="false">IFERROR(IF(ISBLANK(INDEX(SprintPlanning[Sprint],MATCH($A219,SprintPlanning[Requirement ID],0))),"",INDEX(SprintPlanning[Sprint],MATCH($A219,SprintPlanning[Requirement ID],0))),"")</f>
        <v/>
      </c>
      <c r="I219" s="1" t="str">
        <f aca="false">IFERROR(IF(ISBLANK(INDEX(Backlog[Status],MATCH($A219,Backlog[Requirement ID],0))),"",INDEX(Backlog[Status],MATCH($A219,Backlog[Requirement ID],0))),"")</f>
        <v/>
      </c>
      <c r="J219" s="1" t="str">
        <f aca="false">IFERROR(IF(ISBLANK(INDEX(Backlog[Priority],MATCH($A219,Backlog[Requirement ID],0))),"",INDEX(Backlog[Priority],MATCH($A219,Backlog[Requirement ID],0))),"")</f>
        <v/>
      </c>
      <c r="L219" s="57"/>
      <c r="M219" s="57"/>
      <c r="O219" s="57"/>
    </row>
    <row r="220" customFormat="false" ht="15" hidden="false" customHeight="true" outlineLevel="0" collapsed="false">
      <c r="A220" s="1" t="str">
        <f aca="false">Backlog!A220</f>
        <v/>
      </c>
      <c r="B220" s="1" t="str">
        <f aca="false">IFERROR(IF(ISBLANK(INDEX(Backlog[Requirement Name],MATCH($A220,Backlog[Requirement ID],0))),"",INDEX(Backlog[Requirement Name],MATCH($A220,Backlog[Requirement ID],0))),"")</f>
        <v/>
      </c>
      <c r="C220" s="1" t="str">
        <f aca="false">IFERROR(IF(ISBLANK(INDEX(Backlog[Stream],MATCH($A220,Backlog[Requirement ID],0))),"",INDEX(Backlog[Stream],MATCH($A220,Backlog[Requirement ID],0))),"")</f>
        <v/>
      </c>
      <c r="D220" s="1" t="str">
        <f aca="false">IFERROR(IF(ISBLANK(INDEX(Backlog[Stream Owner],MATCH($A220,Backlog[Requirement ID],0))),"",INDEX(Backlog[Stream Owner],MATCH($A220,Backlog[Requirement ID],0))),"")</f>
        <v/>
      </c>
      <c r="E220" s="1" t="str">
        <f aca="false">IFERROR(IF(ISBLANK(INDEX(Backlog[Jira Link],MATCH($A220,Backlog[Requirement ID],0))),"",INDEX(Backlog[Jira Link],MATCH($A220,Backlog[Requirement ID],0))),"")</f>
        <v/>
      </c>
      <c r="H220" s="1" t="str">
        <f aca="false">IFERROR(IF(ISBLANK(INDEX(SprintPlanning[Sprint],MATCH($A220,SprintPlanning[Requirement ID],0))),"",INDEX(SprintPlanning[Sprint],MATCH($A220,SprintPlanning[Requirement ID],0))),"")</f>
        <v/>
      </c>
      <c r="I220" s="1" t="str">
        <f aca="false">IFERROR(IF(ISBLANK(INDEX(Backlog[Status],MATCH($A220,Backlog[Requirement ID],0))),"",INDEX(Backlog[Status],MATCH($A220,Backlog[Requirement ID],0))),"")</f>
        <v/>
      </c>
      <c r="J220" s="1" t="str">
        <f aca="false">IFERROR(IF(ISBLANK(INDEX(Backlog[Priority],MATCH($A220,Backlog[Requirement ID],0))),"",INDEX(Backlog[Priority],MATCH($A220,Backlog[Requirement ID],0))),"")</f>
        <v/>
      </c>
      <c r="L220" s="57"/>
      <c r="M220" s="57"/>
      <c r="O220" s="57"/>
    </row>
    <row r="221" customFormat="false" ht="15" hidden="false" customHeight="true" outlineLevel="0" collapsed="false">
      <c r="A221" s="1" t="str">
        <f aca="false">Backlog!A221</f>
        <v/>
      </c>
      <c r="B221" s="1" t="str">
        <f aca="false">IFERROR(IF(ISBLANK(INDEX(Backlog[Requirement Name],MATCH($A221,Backlog[Requirement ID],0))),"",INDEX(Backlog[Requirement Name],MATCH($A221,Backlog[Requirement ID],0))),"")</f>
        <v/>
      </c>
      <c r="C221" s="1" t="str">
        <f aca="false">IFERROR(IF(ISBLANK(INDEX(Backlog[Stream],MATCH($A221,Backlog[Requirement ID],0))),"",INDEX(Backlog[Stream],MATCH($A221,Backlog[Requirement ID],0))),"")</f>
        <v/>
      </c>
      <c r="D221" s="1" t="str">
        <f aca="false">IFERROR(IF(ISBLANK(INDEX(Backlog[Stream Owner],MATCH($A221,Backlog[Requirement ID],0))),"",INDEX(Backlog[Stream Owner],MATCH($A221,Backlog[Requirement ID],0))),"")</f>
        <v/>
      </c>
      <c r="E221" s="1" t="str">
        <f aca="false">IFERROR(IF(ISBLANK(INDEX(Backlog[Jira Link],MATCH($A221,Backlog[Requirement ID],0))),"",INDEX(Backlog[Jira Link],MATCH($A221,Backlog[Requirement ID],0))),"")</f>
        <v/>
      </c>
      <c r="H221" s="1" t="str">
        <f aca="false">IFERROR(IF(ISBLANK(INDEX(SprintPlanning[Sprint],MATCH($A221,SprintPlanning[Requirement ID],0))),"",INDEX(SprintPlanning[Sprint],MATCH($A221,SprintPlanning[Requirement ID],0))),"")</f>
        <v/>
      </c>
      <c r="I221" s="1" t="str">
        <f aca="false">IFERROR(IF(ISBLANK(INDEX(Backlog[Status],MATCH($A221,Backlog[Requirement ID],0))),"",INDEX(Backlog[Status],MATCH($A221,Backlog[Requirement ID],0))),"")</f>
        <v/>
      </c>
      <c r="J221" s="1" t="str">
        <f aca="false">IFERROR(IF(ISBLANK(INDEX(Backlog[Priority],MATCH($A221,Backlog[Requirement ID],0))),"",INDEX(Backlog[Priority],MATCH($A221,Backlog[Requirement ID],0))),"")</f>
        <v/>
      </c>
      <c r="L221" s="57"/>
      <c r="M221" s="57"/>
      <c r="O221" s="57"/>
    </row>
    <row r="222" customFormat="false" ht="15" hidden="false" customHeight="true" outlineLevel="0" collapsed="false">
      <c r="A222" s="1" t="str">
        <f aca="false">Backlog!A222</f>
        <v/>
      </c>
      <c r="B222" s="1" t="str">
        <f aca="false">IFERROR(IF(ISBLANK(INDEX(Backlog[Requirement Name],MATCH($A222,Backlog[Requirement ID],0))),"",INDEX(Backlog[Requirement Name],MATCH($A222,Backlog[Requirement ID],0))),"")</f>
        <v/>
      </c>
      <c r="C222" s="1" t="str">
        <f aca="false">IFERROR(IF(ISBLANK(INDEX(Backlog[Stream],MATCH($A222,Backlog[Requirement ID],0))),"",INDEX(Backlog[Stream],MATCH($A222,Backlog[Requirement ID],0))),"")</f>
        <v/>
      </c>
      <c r="D222" s="1" t="str">
        <f aca="false">IFERROR(IF(ISBLANK(INDEX(Backlog[Stream Owner],MATCH($A222,Backlog[Requirement ID],0))),"",INDEX(Backlog[Stream Owner],MATCH($A222,Backlog[Requirement ID],0))),"")</f>
        <v/>
      </c>
      <c r="E222" s="1" t="str">
        <f aca="false">IFERROR(IF(ISBLANK(INDEX(Backlog[Jira Link],MATCH($A222,Backlog[Requirement ID],0))),"",INDEX(Backlog[Jira Link],MATCH($A222,Backlog[Requirement ID],0))),"")</f>
        <v/>
      </c>
      <c r="H222" s="1" t="str">
        <f aca="false">IFERROR(IF(ISBLANK(INDEX(SprintPlanning[Sprint],MATCH($A222,SprintPlanning[Requirement ID],0))),"",INDEX(SprintPlanning[Sprint],MATCH($A222,SprintPlanning[Requirement ID],0))),"")</f>
        <v/>
      </c>
      <c r="I222" s="1" t="str">
        <f aca="false">IFERROR(IF(ISBLANK(INDEX(Backlog[Status],MATCH($A222,Backlog[Requirement ID],0))),"",INDEX(Backlog[Status],MATCH($A222,Backlog[Requirement ID],0))),"")</f>
        <v/>
      </c>
      <c r="J222" s="1" t="str">
        <f aca="false">IFERROR(IF(ISBLANK(INDEX(Backlog[Priority],MATCH($A222,Backlog[Requirement ID],0))),"",INDEX(Backlog[Priority],MATCH($A222,Backlog[Requirement ID],0))),"")</f>
        <v/>
      </c>
      <c r="L222" s="57"/>
      <c r="M222" s="57"/>
      <c r="O222" s="57"/>
    </row>
    <row r="223" customFormat="false" ht="15" hidden="false" customHeight="true" outlineLevel="0" collapsed="false">
      <c r="A223" s="1" t="str">
        <f aca="false">Backlog!A223</f>
        <v/>
      </c>
      <c r="B223" s="1" t="str">
        <f aca="false">IFERROR(IF(ISBLANK(INDEX(Backlog[Requirement Name],MATCH($A223,Backlog[Requirement ID],0))),"",INDEX(Backlog[Requirement Name],MATCH($A223,Backlog[Requirement ID],0))),"")</f>
        <v/>
      </c>
      <c r="C223" s="1" t="str">
        <f aca="false">IFERROR(IF(ISBLANK(INDEX(Backlog[Stream],MATCH($A223,Backlog[Requirement ID],0))),"",INDEX(Backlog[Stream],MATCH($A223,Backlog[Requirement ID],0))),"")</f>
        <v/>
      </c>
      <c r="D223" s="1" t="str">
        <f aca="false">IFERROR(IF(ISBLANK(INDEX(Backlog[Stream Owner],MATCH($A223,Backlog[Requirement ID],0))),"",INDEX(Backlog[Stream Owner],MATCH($A223,Backlog[Requirement ID],0))),"")</f>
        <v/>
      </c>
      <c r="E223" s="1" t="str">
        <f aca="false">IFERROR(IF(ISBLANK(INDEX(Backlog[Jira Link],MATCH($A223,Backlog[Requirement ID],0))),"",INDEX(Backlog[Jira Link],MATCH($A223,Backlog[Requirement ID],0))),"")</f>
        <v/>
      </c>
      <c r="H223" s="1" t="str">
        <f aca="false">IFERROR(IF(ISBLANK(INDEX(SprintPlanning[Sprint],MATCH($A223,SprintPlanning[Requirement ID],0))),"",INDEX(SprintPlanning[Sprint],MATCH($A223,SprintPlanning[Requirement ID],0))),"")</f>
        <v/>
      </c>
      <c r="I223" s="1" t="str">
        <f aca="false">IFERROR(IF(ISBLANK(INDEX(Backlog[Status],MATCH($A223,Backlog[Requirement ID],0))),"",INDEX(Backlog[Status],MATCH($A223,Backlog[Requirement ID],0))),"")</f>
        <v/>
      </c>
      <c r="J223" s="1" t="str">
        <f aca="false">IFERROR(IF(ISBLANK(INDEX(Backlog[Priority],MATCH($A223,Backlog[Requirement ID],0))),"",INDEX(Backlog[Priority],MATCH($A223,Backlog[Requirement ID],0))),"")</f>
        <v/>
      </c>
      <c r="L223" s="57"/>
      <c r="M223" s="57"/>
      <c r="O223" s="57"/>
    </row>
    <row r="224" customFormat="false" ht="15" hidden="false" customHeight="true" outlineLevel="0" collapsed="false">
      <c r="A224" s="1" t="str">
        <f aca="false">Backlog!A224</f>
        <v/>
      </c>
      <c r="B224" s="1" t="str">
        <f aca="false">IFERROR(IF(ISBLANK(INDEX(Backlog[Requirement Name],MATCH($A224,Backlog[Requirement ID],0))),"",INDEX(Backlog[Requirement Name],MATCH($A224,Backlog[Requirement ID],0))),"")</f>
        <v/>
      </c>
      <c r="C224" s="1" t="str">
        <f aca="false">IFERROR(IF(ISBLANK(INDEX(Backlog[Stream],MATCH($A224,Backlog[Requirement ID],0))),"",INDEX(Backlog[Stream],MATCH($A224,Backlog[Requirement ID],0))),"")</f>
        <v/>
      </c>
      <c r="D224" s="1" t="str">
        <f aca="false">IFERROR(IF(ISBLANK(INDEX(Backlog[Stream Owner],MATCH($A224,Backlog[Requirement ID],0))),"",INDEX(Backlog[Stream Owner],MATCH($A224,Backlog[Requirement ID],0))),"")</f>
        <v/>
      </c>
      <c r="E224" s="1" t="str">
        <f aca="false">IFERROR(IF(ISBLANK(INDEX(Backlog[Jira Link],MATCH($A224,Backlog[Requirement ID],0))),"",INDEX(Backlog[Jira Link],MATCH($A224,Backlog[Requirement ID],0))),"")</f>
        <v/>
      </c>
      <c r="H224" s="1" t="str">
        <f aca="false">IFERROR(IF(ISBLANK(INDEX(SprintPlanning[Sprint],MATCH($A224,SprintPlanning[Requirement ID],0))),"",INDEX(SprintPlanning[Sprint],MATCH($A224,SprintPlanning[Requirement ID],0))),"")</f>
        <v/>
      </c>
      <c r="I224" s="1" t="str">
        <f aca="false">IFERROR(IF(ISBLANK(INDEX(Backlog[Status],MATCH($A224,Backlog[Requirement ID],0))),"",INDEX(Backlog[Status],MATCH($A224,Backlog[Requirement ID],0))),"")</f>
        <v/>
      </c>
      <c r="J224" s="1" t="str">
        <f aca="false">IFERROR(IF(ISBLANK(INDEX(Backlog[Priority],MATCH($A224,Backlog[Requirement ID],0))),"",INDEX(Backlog[Priority],MATCH($A224,Backlog[Requirement ID],0))),"")</f>
        <v/>
      </c>
      <c r="L224" s="57"/>
      <c r="M224" s="57"/>
      <c r="O224" s="57"/>
    </row>
    <row r="225" customFormat="false" ht="15" hidden="false" customHeight="true" outlineLevel="0" collapsed="false">
      <c r="A225" s="1" t="str">
        <f aca="false">Backlog!A225</f>
        <v/>
      </c>
      <c r="B225" s="1" t="str">
        <f aca="false">IFERROR(IF(ISBLANK(INDEX(Backlog[Requirement Name],MATCH($A225,Backlog[Requirement ID],0))),"",INDEX(Backlog[Requirement Name],MATCH($A225,Backlog[Requirement ID],0))),"")</f>
        <v/>
      </c>
      <c r="C225" s="1" t="str">
        <f aca="false">IFERROR(IF(ISBLANK(INDEX(Backlog[Stream],MATCH($A225,Backlog[Requirement ID],0))),"",INDEX(Backlog[Stream],MATCH($A225,Backlog[Requirement ID],0))),"")</f>
        <v/>
      </c>
      <c r="D225" s="1" t="str">
        <f aca="false">IFERROR(IF(ISBLANK(INDEX(Backlog[Stream Owner],MATCH($A225,Backlog[Requirement ID],0))),"",INDEX(Backlog[Stream Owner],MATCH($A225,Backlog[Requirement ID],0))),"")</f>
        <v/>
      </c>
      <c r="E225" s="1" t="str">
        <f aca="false">IFERROR(IF(ISBLANK(INDEX(Backlog[Jira Link],MATCH($A225,Backlog[Requirement ID],0))),"",INDEX(Backlog[Jira Link],MATCH($A225,Backlog[Requirement ID],0))),"")</f>
        <v/>
      </c>
      <c r="H225" s="1" t="str">
        <f aca="false">IFERROR(IF(ISBLANK(INDEX(SprintPlanning[Sprint],MATCH($A225,SprintPlanning[Requirement ID],0))),"",INDEX(SprintPlanning[Sprint],MATCH($A225,SprintPlanning[Requirement ID],0))),"")</f>
        <v/>
      </c>
      <c r="I225" s="1" t="str">
        <f aca="false">IFERROR(IF(ISBLANK(INDEX(Backlog[Status],MATCH($A225,Backlog[Requirement ID],0))),"",INDEX(Backlog[Status],MATCH($A225,Backlog[Requirement ID],0))),"")</f>
        <v/>
      </c>
      <c r="J225" s="1" t="str">
        <f aca="false">IFERROR(IF(ISBLANK(INDEX(Backlog[Priority],MATCH($A225,Backlog[Requirement ID],0))),"",INDEX(Backlog[Priority],MATCH($A225,Backlog[Requirement ID],0))),"")</f>
        <v/>
      </c>
      <c r="L225" s="57"/>
      <c r="M225" s="57"/>
      <c r="O225" s="57"/>
    </row>
    <row r="226" customFormat="false" ht="23.25" hidden="false" customHeight="true" outlineLevel="0" collapsed="false">
      <c r="A226" s="1" t="str">
        <f aca="false">Backlog!A226</f>
        <v/>
      </c>
      <c r="B226" s="1" t="str">
        <f aca="false">IFERROR(IF(ISBLANK(INDEX(Backlog[Requirement Name],MATCH($A226,Backlog[Requirement ID],0))),"",INDEX(Backlog[Requirement Name],MATCH($A226,Backlog[Requirement ID],0))),"")</f>
        <v/>
      </c>
      <c r="C226" s="1" t="str">
        <f aca="false">IFERROR(IF(ISBLANK(INDEX(Backlog[Stream],MATCH($A226,Backlog[Requirement ID],0))),"",INDEX(Backlog[Stream],MATCH($A226,Backlog[Requirement ID],0))),"")</f>
        <v/>
      </c>
      <c r="D226" s="1" t="str">
        <f aca="false">IFERROR(IF(ISBLANK(INDEX(Backlog[Stream Owner],MATCH($A226,Backlog[Requirement ID],0))),"",INDEX(Backlog[Stream Owner],MATCH($A226,Backlog[Requirement ID],0))),"")</f>
        <v/>
      </c>
      <c r="E226" s="1" t="str">
        <f aca="false">IFERROR(IF(ISBLANK(INDEX(Backlog[Jira Link],MATCH($A226,Backlog[Requirement ID],0))),"",INDEX(Backlog[Jira Link],MATCH($A226,Backlog[Requirement ID],0))),"")</f>
        <v/>
      </c>
      <c r="H226" s="1" t="str">
        <f aca="false">IFERROR(IF(ISBLANK(INDEX(SprintPlanning[Sprint],MATCH($A226,SprintPlanning[Requirement ID],0))),"",INDEX(SprintPlanning[Sprint],MATCH($A226,SprintPlanning[Requirement ID],0))),"")</f>
        <v/>
      </c>
      <c r="I226" s="1" t="str">
        <f aca="false">IFERROR(IF(ISBLANK(INDEX(Backlog[Status],MATCH($A226,Backlog[Requirement ID],0))),"",INDEX(Backlog[Status],MATCH($A226,Backlog[Requirement ID],0))),"")</f>
        <v/>
      </c>
      <c r="J226" s="1" t="str">
        <f aca="false">IFERROR(IF(ISBLANK(INDEX(Backlog[Priority],MATCH($A226,Backlog[Requirement ID],0))),"",INDEX(Backlog[Priority],MATCH($A226,Backlog[Requirement ID],0))),"")</f>
        <v/>
      </c>
      <c r="L226" s="57"/>
      <c r="M226" s="57"/>
      <c r="O226" s="57"/>
    </row>
    <row r="227" customFormat="false" ht="15" hidden="false" customHeight="true" outlineLevel="0" collapsed="false">
      <c r="A227" s="1" t="str">
        <f aca="false">Backlog!A227</f>
        <v/>
      </c>
      <c r="B227" s="1" t="str">
        <f aca="false">IFERROR(IF(ISBLANK(INDEX(Backlog[Requirement Name],MATCH($A227,Backlog[Requirement ID],0))),"",INDEX(Backlog[Requirement Name],MATCH($A227,Backlog[Requirement ID],0))),"")</f>
        <v/>
      </c>
      <c r="C227" s="1" t="str">
        <f aca="false">IFERROR(IF(ISBLANK(INDEX(Backlog[Stream],MATCH($A227,Backlog[Requirement ID],0))),"",INDEX(Backlog[Stream],MATCH($A227,Backlog[Requirement ID],0))),"")</f>
        <v/>
      </c>
      <c r="D227" s="1" t="str">
        <f aca="false">IFERROR(IF(ISBLANK(INDEX(Backlog[Stream Owner],MATCH($A227,Backlog[Requirement ID],0))),"",INDEX(Backlog[Stream Owner],MATCH($A227,Backlog[Requirement ID],0))),"")</f>
        <v/>
      </c>
      <c r="E227" s="1" t="str">
        <f aca="false">IFERROR(IF(ISBLANK(INDEX(Backlog[Jira Link],MATCH($A227,Backlog[Requirement ID],0))),"",INDEX(Backlog[Jira Link],MATCH($A227,Backlog[Requirement ID],0))),"")</f>
        <v/>
      </c>
      <c r="H227" s="1" t="str">
        <f aca="false">IFERROR(IF(ISBLANK(INDEX(SprintPlanning[Sprint],MATCH($A227,SprintPlanning[Requirement ID],0))),"",INDEX(SprintPlanning[Sprint],MATCH($A227,SprintPlanning[Requirement ID],0))),"")</f>
        <v/>
      </c>
      <c r="I227" s="1" t="str">
        <f aca="false">IFERROR(IF(ISBLANK(INDEX(Backlog[Status],MATCH($A227,Backlog[Requirement ID],0))),"",INDEX(Backlog[Status],MATCH($A227,Backlog[Requirement ID],0))),"")</f>
        <v/>
      </c>
      <c r="J227" s="1" t="str">
        <f aca="false">IFERROR(IF(ISBLANK(INDEX(Backlog[Priority],MATCH($A227,Backlog[Requirement ID],0))),"",INDEX(Backlog[Priority],MATCH($A227,Backlog[Requirement ID],0))),"")</f>
        <v/>
      </c>
      <c r="L227" s="57"/>
      <c r="M227" s="57"/>
      <c r="O227" s="57"/>
    </row>
    <row r="228" customFormat="false" ht="15" hidden="false" customHeight="true" outlineLevel="0" collapsed="false">
      <c r="A228" s="1" t="str">
        <f aca="false">Backlog!A228</f>
        <v/>
      </c>
      <c r="B228" s="1" t="str">
        <f aca="false">IFERROR(IF(ISBLANK(INDEX(Backlog[Requirement Name],MATCH($A228,Backlog[Requirement ID],0))),"",INDEX(Backlog[Requirement Name],MATCH($A228,Backlog[Requirement ID],0))),"")</f>
        <v/>
      </c>
      <c r="C228" s="1" t="str">
        <f aca="false">IFERROR(IF(ISBLANK(INDEX(Backlog[Stream],MATCH($A228,Backlog[Requirement ID],0))),"",INDEX(Backlog[Stream],MATCH($A228,Backlog[Requirement ID],0))),"")</f>
        <v/>
      </c>
      <c r="D228" s="1" t="str">
        <f aca="false">IFERROR(IF(ISBLANK(INDEX(Backlog[Stream Owner],MATCH($A228,Backlog[Requirement ID],0))),"",INDEX(Backlog[Stream Owner],MATCH($A228,Backlog[Requirement ID],0))),"")</f>
        <v/>
      </c>
      <c r="E228" s="1" t="str">
        <f aca="false">IFERROR(IF(ISBLANK(INDEX(Backlog[Jira Link],MATCH($A228,Backlog[Requirement ID],0))),"",INDEX(Backlog[Jira Link],MATCH($A228,Backlog[Requirement ID],0))),"")</f>
        <v/>
      </c>
      <c r="H228" s="1" t="str">
        <f aca="false">IFERROR(IF(ISBLANK(INDEX(SprintPlanning[Sprint],MATCH($A228,SprintPlanning[Requirement ID],0))),"",INDEX(SprintPlanning[Sprint],MATCH($A228,SprintPlanning[Requirement ID],0))),"")</f>
        <v/>
      </c>
      <c r="I228" s="1" t="str">
        <f aca="false">IFERROR(IF(ISBLANK(INDEX(Backlog[Status],MATCH($A228,Backlog[Requirement ID],0))),"",INDEX(Backlog[Status],MATCH($A228,Backlog[Requirement ID],0))),"")</f>
        <v/>
      </c>
      <c r="J228" s="1" t="str">
        <f aca="false">IFERROR(IF(ISBLANK(INDEX(Backlog[Priority],MATCH($A228,Backlog[Requirement ID],0))),"",INDEX(Backlog[Priority],MATCH($A228,Backlog[Requirement ID],0))),"")</f>
        <v/>
      </c>
      <c r="L228" s="57"/>
      <c r="M228" s="57"/>
      <c r="O228" s="57"/>
    </row>
    <row r="229" customFormat="false" ht="15" hidden="false" customHeight="true" outlineLevel="0" collapsed="false">
      <c r="A229" s="1" t="str">
        <f aca="false">Backlog!A229</f>
        <v/>
      </c>
      <c r="B229" s="1" t="str">
        <f aca="false">IFERROR(IF(ISBLANK(INDEX(Backlog[Requirement Name],MATCH($A229,Backlog[Requirement ID],0))),"",INDEX(Backlog[Requirement Name],MATCH($A229,Backlog[Requirement ID],0))),"")</f>
        <v/>
      </c>
      <c r="C229" s="1" t="str">
        <f aca="false">IFERROR(IF(ISBLANK(INDEX(Backlog[Stream],MATCH($A229,Backlog[Requirement ID],0))),"",INDEX(Backlog[Stream],MATCH($A229,Backlog[Requirement ID],0))),"")</f>
        <v/>
      </c>
      <c r="D229" s="1" t="str">
        <f aca="false">IFERROR(IF(ISBLANK(INDEX(Backlog[Stream Owner],MATCH($A229,Backlog[Requirement ID],0))),"",INDEX(Backlog[Stream Owner],MATCH($A229,Backlog[Requirement ID],0))),"")</f>
        <v/>
      </c>
      <c r="E229" s="1" t="str">
        <f aca="false">IFERROR(IF(ISBLANK(INDEX(Backlog[Jira Link],MATCH($A229,Backlog[Requirement ID],0))),"",INDEX(Backlog[Jira Link],MATCH($A229,Backlog[Requirement ID],0))),"")</f>
        <v/>
      </c>
      <c r="H229" s="1" t="str">
        <f aca="false">IFERROR(IF(ISBLANK(INDEX(SprintPlanning[Sprint],MATCH($A229,SprintPlanning[Requirement ID],0))),"",INDEX(SprintPlanning[Sprint],MATCH($A229,SprintPlanning[Requirement ID],0))),"")</f>
        <v/>
      </c>
      <c r="I229" s="1" t="str">
        <f aca="false">IFERROR(IF(ISBLANK(INDEX(Backlog[Status],MATCH($A229,Backlog[Requirement ID],0))),"",INDEX(Backlog[Status],MATCH($A229,Backlog[Requirement ID],0))),"")</f>
        <v/>
      </c>
      <c r="J229" s="1" t="str">
        <f aca="false">IFERROR(IF(ISBLANK(INDEX(Backlog[Priority],MATCH($A229,Backlog[Requirement ID],0))),"",INDEX(Backlog[Priority],MATCH($A229,Backlog[Requirement ID],0))),"")</f>
        <v/>
      </c>
      <c r="L229" s="57"/>
      <c r="M229" s="57"/>
      <c r="O229" s="57"/>
    </row>
    <row r="230" customFormat="false" ht="15" hidden="false" customHeight="true" outlineLevel="0" collapsed="false">
      <c r="A230" s="1" t="str">
        <f aca="false">Backlog!A230</f>
        <v/>
      </c>
      <c r="B230" s="1" t="str">
        <f aca="false">IFERROR(IF(ISBLANK(INDEX(Backlog[Requirement Name],MATCH($A230,Backlog[Requirement ID],0))),"",INDEX(Backlog[Requirement Name],MATCH($A230,Backlog[Requirement ID],0))),"")</f>
        <v/>
      </c>
      <c r="C230" s="1" t="str">
        <f aca="false">IFERROR(IF(ISBLANK(INDEX(Backlog[Stream],MATCH($A230,Backlog[Requirement ID],0))),"",INDEX(Backlog[Stream],MATCH($A230,Backlog[Requirement ID],0))),"")</f>
        <v/>
      </c>
      <c r="D230" s="1" t="str">
        <f aca="false">IFERROR(IF(ISBLANK(INDEX(Backlog[Stream Owner],MATCH($A230,Backlog[Requirement ID],0))),"",INDEX(Backlog[Stream Owner],MATCH($A230,Backlog[Requirement ID],0))),"")</f>
        <v/>
      </c>
      <c r="E230" s="1" t="str">
        <f aca="false">IFERROR(IF(ISBLANK(INDEX(Backlog[Jira Link],MATCH($A230,Backlog[Requirement ID],0))),"",INDEX(Backlog[Jira Link],MATCH($A230,Backlog[Requirement ID],0))),"")</f>
        <v/>
      </c>
      <c r="H230" s="1" t="str">
        <f aca="false">IFERROR(IF(ISBLANK(INDEX(SprintPlanning[Sprint],MATCH($A230,SprintPlanning[Requirement ID],0))),"",INDEX(SprintPlanning[Sprint],MATCH($A230,SprintPlanning[Requirement ID],0))),"")</f>
        <v/>
      </c>
      <c r="I230" s="1" t="str">
        <f aca="false">IFERROR(IF(ISBLANK(INDEX(Backlog[Status],MATCH($A230,Backlog[Requirement ID],0))),"",INDEX(Backlog[Status],MATCH($A230,Backlog[Requirement ID],0))),"")</f>
        <v/>
      </c>
      <c r="J230" s="1" t="str">
        <f aca="false">IFERROR(IF(ISBLANK(INDEX(Backlog[Priority],MATCH($A230,Backlog[Requirement ID],0))),"",INDEX(Backlog[Priority],MATCH($A230,Backlog[Requirement ID],0))),"")</f>
        <v/>
      </c>
      <c r="L230" s="57"/>
      <c r="M230" s="57"/>
      <c r="O230" s="57"/>
    </row>
    <row r="231" customFormat="false" ht="15" hidden="false" customHeight="true" outlineLevel="0" collapsed="false">
      <c r="A231" s="1" t="str">
        <f aca="false">Backlog!A231</f>
        <v/>
      </c>
      <c r="B231" s="1" t="str">
        <f aca="false">IFERROR(IF(ISBLANK(INDEX(Backlog[Requirement Name],MATCH($A231,Backlog[Requirement ID],0))),"",INDEX(Backlog[Requirement Name],MATCH($A231,Backlog[Requirement ID],0))),"")</f>
        <v/>
      </c>
      <c r="C231" s="1" t="str">
        <f aca="false">IFERROR(IF(ISBLANK(INDEX(Backlog[Stream],MATCH($A231,Backlog[Requirement ID],0))),"",INDEX(Backlog[Stream],MATCH($A231,Backlog[Requirement ID],0))),"")</f>
        <v/>
      </c>
      <c r="D231" s="1" t="str">
        <f aca="false">IFERROR(IF(ISBLANK(INDEX(Backlog[Stream Owner],MATCH($A231,Backlog[Requirement ID],0))),"",INDEX(Backlog[Stream Owner],MATCH($A231,Backlog[Requirement ID],0))),"")</f>
        <v/>
      </c>
      <c r="E231" s="1" t="str">
        <f aca="false">IFERROR(IF(ISBLANK(INDEX(Backlog[Jira Link],MATCH($A231,Backlog[Requirement ID],0))),"",INDEX(Backlog[Jira Link],MATCH($A231,Backlog[Requirement ID],0))),"")</f>
        <v/>
      </c>
      <c r="H231" s="1" t="str">
        <f aca="false">IFERROR(IF(ISBLANK(INDEX(SprintPlanning[Sprint],MATCH($A231,SprintPlanning[Requirement ID],0))),"",INDEX(SprintPlanning[Sprint],MATCH($A231,SprintPlanning[Requirement ID],0))),"")</f>
        <v/>
      </c>
      <c r="I231" s="1" t="str">
        <f aca="false">IFERROR(IF(ISBLANK(INDEX(Backlog[Status],MATCH($A231,Backlog[Requirement ID],0))),"",INDEX(Backlog[Status],MATCH($A231,Backlog[Requirement ID],0))),"")</f>
        <v/>
      </c>
      <c r="J231" s="1" t="str">
        <f aca="false">IFERROR(IF(ISBLANK(INDEX(Backlog[Priority],MATCH($A231,Backlog[Requirement ID],0))),"",INDEX(Backlog[Priority],MATCH($A231,Backlog[Requirement ID],0))),"")</f>
        <v/>
      </c>
      <c r="L231" s="57"/>
      <c r="M231" s="57"/>
      <c r="O231" s="57"/>
    </row>
    <row r="232" customFormat="false" ht="15" hidden="false" customHeight="true" outlineLevel="0" collapsed="false">
      <c r="A232" s="1" t="str">
        <f aca="false">Backlog!A232</f>
        <v/>
      </c>
      <c r="B232" s="1" t="str">
        <f aca="false">IFERROR(IF(ISBLANK(INDEX(Backlog[Requirement Name],MATCH($A232,Backlog[Requirement ID],0))),"",INDEX(Backlog[Requirement Name],MATCH($A232,Backlog[Requirement ID],0))),"")</f>
        <v/>
      </c>
      <c r="C232" s="1" t="str">
        <f aca="false">IFERROR(IF(ISBLANK(INDEX(Backlog[Stream],MATCH($A232,Backlog[Requirement ID],0))),"",INDEX(Backlog[Stream],MATCH($A232,Backlog[Requirement ID],0))),"")</f>
        <v/>
      </c>
      <c r="D232" s="1" t="str">
        <f aca="false">IFERROR(IF(ISBLANK(INDEX(Backlog[Stream Owner],MATCH($A232,Backlog[Requirement ID],0))),"",INDEX(Backlog[Stream Owner],MATCH($A232,Backlog[Requirement ID],0))),"")</f>
        <v/>
      </c>
      <c r="E232" s="1" t="str">
        <f aca="false">IFERROR(IF(ISBLANK(INDEX(Backlog[Jira Link],MATCH($A232,Backlog[Requirement ID],0))),"",INDEX(Backlog[Jira Link],MATCH($A232,Backlog[Requirement ID],0))),"")</f>
        <v/>
      </c>
      <c r="H232" s="1" t="str">
        <f aca="false">IFERROR(IF(ISBLANK(INDEX(SprintPlanning[Sprint],MATCH($A232,SprintPlanning[Requirement ID],0))),"",INDEX(SprintPlanning[Sprint],MATCH($A232,SprintPlanning[Requirement ID],0))),"")</f>
        <v/>
      </c>
      <c r="I232" s="1" t="str">
        <f aca="false">IFERROR(IF(ISBLANK(INDEX(Backlog[Status],MATCH($A232,Backlog[Requirement ID],0))),"",INDEX(Backlog[Status],MATCH($A232,Backlog[Requirement ID],0))),"")</f>
        <v/>
      </c>
      <c r="J232" s="1" t="str">
        <f aca="false">IFERROR(IF(ISBLANK(INDEX(Backlog[Priority],MATCH($A232,Backlog[Requirement ID],0))),"",INDEX(Backlog[Priority],MATCH($A232,Backlog[Requirement ID],0))),"")</f>
        <v/>
      </c>
      <c r="L232" s="57"/>
      <c r="M232" s="57"/>
      <c r="O232" s="57"/>
    </row>
    <row r="233" customFormat="false" ht="15" hidden="false" customHeight="true" outlineLevel="0" collapsed="false">
      <c r="A233" s="1" t="str">
        <f aca="false">Backlog!A233</f>
        <v/>
      </c>
      <c r="B233" s="1" t="str">
        <f aca="false">IFERROR(IF(ISBLANK(INDEX(Backlog[Requirement Name],MATCH($A233,Backlog[Requirement ID],0))),"",INDEX(Backlog[Requirement Name],MATCH($A233,Backlog[Requirement ID],0))),"")</f>
        <v/>
      </c>
      <c r="C233" s="1" t="str">
        <f aca="false">IFERROR(IF(ISBLANK(INDEX(Backlog[Stream],MATCH($A233,Backlog[Requirement ID],0))),"",INDEX(Backlog[Stream],MATCH($A233,Backlog[Requirement ID],0))),"")</f>
        <v/>
      </c>
      <c r="D233" s="1" t="str">
        <f aca="false">IFERROR(IF(ISBLANK(INDEX(Backlog[Stream Owner],MATCH($A233,Backlog[Requirement ID],0))),"",INDEX(Backlog[Stream Owner],MATCH($A233,Backlog[Requirement ID],0))),"")</f>
        <v/>
      </c>
      <c r="E233" s="1" t="str">
        <f aca="false">IFERROR(IF(ISBLANK(INDEX(Backlog[Jira Link],MATCH($A233,Backlog[Requirement ID],0))),"",INDEX(Backlog[Jira Link],MATCH($A233,Backlog[Requirement ID],0))),"")</f>
        <v/>
      </c>
      <c r="H233" s="1" t="str">
        <f aca="false">IFERROR(IF(ISBLANK(INDEX(SprintPlanning[Sprint],MATCH($A233,SprintPlanning[Requirement ID],0))),"",INDEX(SprintPlanning[Sprint],MATCH($A233,SprintPlanning[Requirement ID],0))),"")</f>
        <v/>
      </c>
      <c r="I233" s="1" t="str">
        <f aca="false">IFERROR(IF(ISBLANK(INDEX(Backlog[Status],MATCH($A233,Backlog[Requirement ID],0))),"",INDEX(Backlog[Status],MATCH($A233,Backlog[Requirement ID],0))),"")</f>
        <v/>
      </c>
      <c r="J233" s="1" t="str">
        <f aca="false">IFERROR(IF(ISBLANK(INDEX(Backlog[Priority],MATCH($A233,Backlog[Requirement ID],0))),"",INDEX(Backlog[Priority],MATCH($A233,Backlog[Requirement ID],0))),"")</f>
        <v/>
      </c>
      <c r="L233" s="57"/>
      <c r="M233" s="57"/>
      <c r="O233" s="57"/>
    </row>
    <row r="234" customFormat="false" ht="15" hidden="false" customHeight="true" outlineLevel="0" collapsed="false">
      <c r="A234" s="1" t="str">
        <f aca="false">Backlog!A234</f>
        <v/>
      </c>
      <c r="B234" s="1" t="str">
        <f aca="false">IFERROR(IF(ISBLANK(INDEX(Backlog[Requirement Name],MATCH($A234,Backlog[Requirement ID],0))),"",INDEX(Backlog[Requirement Name],MATCH($A234,Backlog[Requirement ID],0))),"")</f>
        <v/>
      </c>
      <c r="C234" s="1" t="str">
        <f aca="false">IFERROR(IF(ISBLANK(INDEX(Backlog[Stream],MATCH($A234,Backlog[Requirement ID],0))),"",INDEX(Backlog[Stream],MATCH($A234,Backlog[Requirement ID],0))),"")</f>
        <v/>
      </c>
      <c r="D234" s="1" t="str">
        <f aca="false">IFERROR(IF(ISBLANK(INDEX(Backlog[Stream Owner],MATCH($A234,Backlog[Requirement ID],0))),"",INDEX(Backlog[Stream Owner],MATCH($A234,Backlog[Requirement ID],0))),"")</f>
        <v/>
      </c>
      <c r="E234" s="1" t="str">
        <f aca="false">IFERROR(IF(ISBLANK(INDEX(Backlog[Jira Link],MATCH($A234,Backlog[Requirement ID],0))),"",INDEX(Backlog[Jira Link],MATCH($A234,Backlog[Requirement ID],0))),"")</f>
        <v/>
      </c>
      <c r="H234" s="1" t="str">
        <f aca="false">IFERROR(IF(ISBLANK(INDEX(SprintPlanning[Sprint],MATCH($A234,SprintPlanning[Requirement ID],0))),"",INDEX(SprintPlanning[Sprint],MATCH($A234,SprintPlanning[Requirement ID],0))),"")</f>
        <v/>
      </c>
      <c r="I234" s="1" t="str">
        <f aca="false">IFERROR(IF(ISBLANK(INDEX(Backlog[Status],MATCH($A234,Backlog[Requirement ID],0))),"",INDEX(Backlog[Status],MATCH($A234,Backlog[Requirement ID],0))),"")</f>
        <v/>
      </c>
      <c r="J234" s="1" t="str">
        <f aca="false">IFERROR(IF(ISBLANK(INDEX(Backlog[Priority],MATCH($A234,Backlog[Requirement ID],0))),"",INDEX(Backlog[Priority],MATCH($A234,Backlog[Requirement ID],0))),"")</f>
        <v/>
      </c>
      <c r="L234" s="57"/>
      <c r="M234" s="57"/>
      <c r="O234" s="57"/>
    </row>
    <row r="235" customFormat="false" ht="15" hidden="false" customHeight="true" outlineLevel="0" collapsed="false">
      <c r="A235" s="1" t="str">
        <f aca="false">Backlog!A235</f>
        <v/>
      </c>
      <c r="B235" s="1" t="str">
        <f aca="false">IFERROR(IF(ISBLANK(INDEX(Backlog[Requirement Name],MATCH($A235,Backlog[Requirement ID],0))),"",INDEX(Backlog[Requirement Name],MATCH($A235,Backlog[Requirement ID],0))),"")</f>
        <v/>
      </c>
      <c r="C235" s="1" t="str">
        <f aca="false">IFERROR(IF(ISBLANK(INDEX(Backlog[Stream],MATCH($A235,Backlog[Requirement ID],0))),"",INDEX(Backlog[Stream],MATCH($A235,Backlog[Requirement ID],0))),"")</f>
        <v/>
      </c>
      <c r="D235" s="1" t="str">
        <f aca="false">IFERROR(IF(ISBLANK(INDEX(Backlog[Stream Owner],MATCH($A235,Backlog[Requirement ID],0))),"",INDEX(Backlog[Stream Owner],MATCH($A235,Backlog[Requirement ID],0))),"")</f>
        <v/>
      </c>
      <c r="E235" s="1" t="str">
        <f aca="false">IFERROR(IF(ISBLANK(INDEX(Backlog[Jira Link],MATCH($A235,Backlog[Requirement ID],0))),"",INDEX(Backlog[Jira Link],MATCH($A235,Backlog[Requirement ID],0))),"")</f>
        <v/>
      </c>
      <c r="H235" s="1" t="str">
        <f aca="false">IFERROR(IF(ISBLANK(INDEX(SprintPlanning[Sprint],MATCH($A235,SprintPlanning[Requirement ID],0))),"",INDEX(SprintPlanning[Sprint],MATCH($A235,SprintPlanning[Requirement ID],0))),"")</f>
        <v/>
      </c>
      <c r="I235" s="1" t="str">
        <f aca="false">IFERROR(IF(ISBLANK(INDEX(Backlog[Status],MATCH($A235,Backlog[Requirement ID],0))),"",INDEX(Backlog[Status],MATCH($A235,Backlog[Requirement ID],0))),"")</f>
        <v/>
      </c>
      <c r="J235" s="1" t="str">
        <f aca="false">IFERROR(IF(ISBLANK(INDEX(Backlog[Priority],MATCH($A235,Backlog[Requirement ID],0))),"",INDEX(Backlog[Priority],MATCH($A235,Backlog[Requirement ID],0))),"")</f>
        <v/>
      </c>
      <c r="L235" s="57"/>
      <c r="M235" s="57"/>
      <c r="O235" s="57"/>
    </row>
    <row r="236" customFormat="false" ht="15" hidden="false" customHeight="true" outlineLevel="0" collapsed="false">
      <c r="A236" s="1" t="str">
        <f aca="false">Backlog!A236</f>
        <v/>
      </c>
      <c r="B236" s="1" t="str">
        <f aca="false">IFERROR(IF(ISBLANK(INDEX(Backlog[Requirement Name],MATCH($A236,Backlog[Requirement ID],0))),"",INDEX(Backlog[Requirement Name],MATCH($A236,Backlog[Requirement ID],0))),"")</f>
        <v/>
      </c>
      <c r="C236" s="1" t="str">
        <f aca="false">IFERROR(IF(ISBLANK(INDEX(Backlog[Stream],MATCH($A236,Backlog[Requirement ID],0))),"",INDEX(Backlog[Stream],MATCH($A236,Backlog[Requirement ID],0))),"")</f>
        <v/>
      </c>
      <c r="D236" s="1" t="str">
        <f aca="false">IFERROR(IF(ISBLANK(INDEX(Backlog[Stream Owner],MATCH($A236,Backlog[Requirement ID],0))),"",INDEX(Backlog[Stream Owner],MATCH($A236,Backlog[Requirement ID],0))),"")</f>
        <v/>
      </c>
      <c r="E236" s="1" t="str">
        <f aca="false">IFERROR(IF(ISBLANK(INDEX(Backlog[Jira Link],MATCH($A236,Backlog[Requirement ID],0))),"",INDEX(Backlog[Jira Link],MATCH($A236,Backlog[Requirement ID],0))),"")</f>
        <v/>
      </c>
      <c r="H236" s="1" t="str">
        <f aca="false">IFERROR(IF(ISBLANK(INDEX(SprintPlanning[Sprint],MATCH($A236,SprintPlanning[Requirement ID],0))),"",INDEX(SprintPlanning[Sprint],MATCH($A236,SprintPlanning[Requirement ID],0))),"")</f>
        <v/>
      </c>
      <c r="I236" s="1" t="str">
        <f aca="false">IFERROR(IF(ISBLANK(INDEX(Backlog[Status],MATCH($A236,Backlog[Requirement ID],0))),"",INDEX(Backlog[Status],MATCH($A236,Backlog[Requirement ID],0))),"")</f>
        <v/>
      </c>
      <c r="J236" s="1" t="str">
        <f aca="false">IFERROR(IF(ISBLANK(INDEX(Backlog[Priority],MATCH($A236,Backlog[Requirement ID],0))),"",INDEX(Backlog[Priority],MATCH($A236,Backlog[Requirement ID],0))),"")</f>
        <v/>
      </c>
      <c r="L236" s="57"/>
      <c r="M236" s="57"/>
      <c r="O236" s="57"/>
    </row>
    <row r="237" customFormat="false" ht="15" hidden="false" customHeight="true" outlineLevel="0" collapsed="false">
      <c r="A237" s="1" t="str">
        <f aca="false">Backlog!A237</f>
        <v/>
      </c>
      <c r="B237" s="1" t="str">
        <f aca="false">IFERROR(IF(ISBLANK(INDEX(Backlog[Requirement Name],MATCH($A237,Backlog[Requirement ID],0))),"",INDEX(Backlog[Requirement Name],MATCH($A237,Backlog[Requirement ID],0))),"")</f>
        <v/>
      </c>
      <c r="C237" s="1" t="str">
        <f aca="false">IFERROR(IF(ISBLANK(INDEX(Backlog[Stream],MATCH($A237,Backlog[Requirement ID],0))),"",INDEX(Backlog[Stream],MATCH($A237,Backlog[Requirement ID],0))),"")</f>
        <v/>
      </c>
      <c r="D237" s="1" t="str">
        <f aca="false">IFERROR(IF(ISBLANK(INDEX(Backlog[Stream Owner],MATCH($A237,Backlog[Requirement ID],0))),"",INDEX(Backlog[Stream Owner],MATCH($A237,Backlog[Requirement ID],0))),"")</f>
        <v/>
      </c>
      <c r="E237" s="1" t="str">
        <f aca="false">IFERROR(IF(ISBLANK(INDEX(Backlog[Jira Link],MATCH($A237,Backlog[Requirement ID],0))),"",INDEX(Backlog[Jira Link],MATCH($A237,Backlog[Requirement ID],0))),"")</f>
        <v/>
      </c>
      <c r="H237" s="1" t="str">
        <f aca="false">IFERROR(IF(ISBLANK(INDEX(SprintPlanning[Sprint],MATCH($A237,SprintPlanning[Requirement ID],0))),"",INDEX(SprintPlanning[Sprint],MATCH($A237,SprintPlanning[Requirement ID],0))),"")</f>
        <v/>
      </c>
      <c r="I237" s="1" t="str">
        <f aca="false">IFERROR(IF(ISBLANK(INDEX(Backlog[Status],MATCH($A237,Backlog[Requirement ID],0))),"",INDEX(Backlog[Status],MATCH($A237,Backlog[Requirement ID],0))),"")</f>
        <v/>
      </c>
      <c r="J237" s="1" t="str">
        <f aca="false">IFERROR(IF(ISBLANK(INDEX(Backlog[Priority],MATCH($A237,Backlog[Requirement ID],0))),"",INDEX(Backlog[Priority],MATCH($A237,Backlog[Requirement ID],0))),"")</f>
        <v/>
      </c>
      <c r="L237" s="57"/>
      <c r="M237" s="57"/>
      <c r="O237" s="57"/>
    </row>
    <row r="238" customFormat="false" ht="15" hidden="false" customHeight="true" outlineLevel="0" collapsed="false">
      <c r="A238" s="1" t="str">
        <f aca="false">Backlog!A238</f>
        <v/>
      </c>
      <c r="B238" s="1" t="str">
        <f aca="false">IFERROR(IF(ISBLANK(INDEX(Backlog[Requirement Name],MATCH($A238,Backlog[Requirement ID],0))),"",INDEX(Backlog[Requirement Name],MATCH($A238,Backlog[Requirement ID],0))),"")</f>
        <v/>
      </c>
      <c r="C238" s="1" t="str">
        <f aca="false">IFERROR(IF(ISBLANK(INDEX(Backlog[Stream],MATCH($A238,Backlog[Requirement ID],0))),"",INDEX(Backlog[Stream],MATCH($A238,Backlog[Requirement ID],0))),"")</f>
        <v/>
      </c>
      <c r="D238" s="1" t="str">
        <f aca="false">IFERROR(IF(ISBLANK(INDEX(Backlog[Stream Owner],MATCH($A238,Backlog[Requirement ID],0))),"",INDEX(Backlog[Stream Owner],MATCH($A238,Backlog[Requirement ID],0))),"")</f>
        <v/>
      </c>
      <c r="E238" s="1" t="str">
        <f aca="false">IFERROR(IF(ISBLANK(INDEX(Backlog[Jira Link],MATCH($A238,Backlog[Requirement ID],0))),"",INDEX(Backlog[Jira Link],MATCH($A238,Backlog[Requirement ID],0))),"")</f>
        <v/>
      </c>
      <c r="H238" s="1" t="str">
        <f aca="false">IFERROR(IF(ISBLANK(INDEX(SprintPlanning[Sprint],MATCH($A238,SprintPlanning[Requirement ID],0))),"",INDEX(SprintPlanning[Sprint],MATCH($A238,SprintPlanning[Requirement ID],0))),"")</f>
        <v/>
      </c>
      <c r="I238" s="1" t="str">
        <f aca="false">IFERROR(IF(ISBLANK(INDEX(Backlog[Status],MATCH($A238,Backlog[Requirement ID],0))),"",INDEX(Backlog[Status],MATCH($A238,Backlog[Requirement ID],0))),"")</f>
        <v/>
      </c>
      <c r="J238" s="1" t="str">
        <f aca="false">IFERROR(IF(ISBLANK(INDEX(Backlog[Priority],MATCH($A238,Backlog[Requirement ID],0))),"",INDEX(Backlog[Priority],MATCH($A238,Backlog[Requirement ID],0))),"")</f>
        <v/>
      </c>
      <c r="L238" s="57"/>
      <c r="M238" s="57"/>
      <c r="O238" s="57"/>
    </row>
    <row r="239" customFormat="false" ht="15" hidden="false" customHeight="true" outlineLevel="0" collapsed="false">
      <c r="A239" s="1" t="str">
        <f aca="false">Backlog!A239</f>
        <v/>
      </c>
      <c r="B239" s="1" t="str">
        <f aca="false">IFERROR(IF(ISBLANK(INDEX(Backlog[Requirement Name],MATCH($A239,Backlog[Requirement ID],0))),"",INDEX(Backlog[Requirement Name],MATCH($A239,Backlog[Requirement ID],0))),"")</f>
        <v/>
      </c>
      <c r="C239" s="1" t="str">
        <f aca="false">IFERROR(IF(ISBLANK(INDEX(Backlog[Stream],MATCH($A239,Backlog[Requirement ID],0))),"",INDEX(Backlog[Stream],MATCH($A239,Backlog[Requirement ID],0))),"")</f>
        <v/>
      </c>
      <c r="D239" s="1" t="str">
        <f aca="false">IFERROR(IF(ISBLANK(INDEX(Backlog[Stream Owner],MATCH($A239,Backlog[Requirement ID],0))),"",INDEX(Backlog[Stream Owner],MATCH($A239,Backlog[Requirement ID],0))),"")</f>
        <v/>
      </c>
      <c r="E239" s="1" t="str">
        <f aca="false">IFERROR(IF(ISBLANK(INDEX(Backlog[Jira Link],MATCH($A239,Backlog[Requirement ID],0))),"",INDEX(Backlog[Jira Link],MATCH($A239,Backlog[Requirement ID],0))),"")</f>
        <v/>
      </c>
      <c r="H239" s="1" t="str">
        <f aca="false">IFERROR(IF(ISBLANK(INDEX(SprintPlanning[Sprint],MATCH($A239,SprintPlanning[Requirement ID],0))),"",INDEX(SprintPlanning[Sprint],MATCH($A239,SprintPlanning[Requirement ID],0))),"")</f>
        <v/>
      </c>
      <c r="I239" s="1" t="str">
        <f aca="false">IFERROR(IF(ISBLANK(INDEX(Backlog[Status],MATCH($A239,Backlog[Requirement ID],0))),"",INDEX(Backlog[Status],MATCH($A239,Backlog[Requirement ID],0))),"")</f>
        <v/>
      </c>
      <c r="J239" s="1" t="str">
        <f aca="false">IFERROR(IF(ISBLANK(INDEX(Backlog[Priority],MATCH($A239,Backlog[Requirement ID],0))),"",INDEX(Backlog[Priority],MATCH($A239,Backlog[Requirement ID],0))),"")</f>
        <v/>
      </c>
      <c r="L239" s="57"/>
      <c r="M239" s="57"/>
      <c r="O239" s="57"/>
    </row>
    <row r="240" customFormat="false" ht="15" hidden="false" customHeight="true" outlineLevel="0" collapsed="false">
      <c r="A240" s="1" t="str">
        <f aca="false">Backlog!A240</f>
        <v/>
      </c>
      <c r="B240" s="1" t="str">
        <f aca="false">IFERROR(IF(ISBLANK(INDEX(Backlog[Requirement Name],MATCH($A240,Backlog[Requirement ID],0))),"",INDEX(Backlog[Requirement Name],MATCH($A240,Backlog[Requirement ID],0))),"")</f>
        <v/>
      </c>
      <c r="C240" s="1" t="str">
        <f aca="false">IFERROR(IF(ISBLANK(INDEX(Backlog[Stream],MATCH($A240,Backlog[Requirement ID],0))),"",INDEX(Backlog[Stream],MATCH($A240,Backlog[Requirement ID],0))),"")</f>
        <v/>
      </c>
      <c r="D240" s="1" t="str">
        <f aca="false">IFERROR(IF(ISBLANK(INDEX(Backlog[Stream Owner],MATCH($A240,Backlog[Requirement ID],0))),"",INDEX(Backlog[Stream Owner],MATCH($A240,Backlog[Requirement ID],0))),"")</f>
        <v/>
      </c>
      <c r="E240" s="1" t="str">
        <f aca="false">IFERROR(IF(ISBLANK(INDEX(Backlog[Jira Link],MATCH($A240,Backlog[Requirement ID],0))),"",INDEX(Backlog[Jira Link],MATCH($A240,Backlog[Requirement ID],0))),"")</f>
        <v/>
      </c>
      <c r="H240" s="1" t="str">
        <f aca="false">IFERROR(IF(ISBLANK(INDEX(SprintPlanning[Sprint],MATCH($A240,SprintPlanning[Requirement ID],0))),"",INDEX(SprintPlanning[Sprint],MATCH($A240,SprintPlanning[Requirement ID],0))),"")</f>
        <v/>
      </c>
      <c r="I240" s="1" t="str">
        <f aca="false">IFERROR(IF(ISBLANK(INDEX(Backlog[Status],MATCH($A240,Backlog[Requirement ID],0))),"",INDEX(Backlog[Status],MATCH($A240,Backlog[Requirement ID],0))),"")</f>
        <v/>
      </c>
      <c r="J240" s="1" t="str">
        <f aca="false">IFERROR(IF(ISBLANK(INDEX(Backlog[Priority],MATCH($A240,Backlog[Requirement ID],0))),"",INDEX(Backlog[Priority],MATCH($A240,Backlog[Requirement ID],0))),"")</f>
        <v/>
      </c>
      <c r="L240" s="57"/>
      <c r="M240" s="57"/>
      <c r="O240" s="57"/>
    </row>
    <row r="241" customFormat="false" ht="15" hidden="false" customHeight="true" outlineLevel="0" collapsed="false">
      <c r="A241" s="1" t="str">
        <f aca="false">Backlog!A241</f>
        <v/>
      </c>
      <c r="B241" s="1" t="str">
        <f aca="false">IFERROR(IF(ISBLANK(INDEX(Backlog[Requirement Name],MATCH($A241,Backlog[Requirement ID],0))),"",INDEX(Backlog[Requirement Name],MATCH($A241,Backlog[Requirement ID],0))),"")</f>
        <v/>
      </c>
      <c r="C241" s="1" t="str">
        <f aca="false">IFERROR(IF(ISBLANK(INDEX(Backlog[Stream],MATCH($A241,Backlog[Requirement ID],0))),"",INDEX(Backlog[Stream],MATCH($A241,Backlog[Requirement ID],0))),"")</f>
        <v/>
      </c>
      <c r="D241" s="1" t="str">
        <f aca="false">IFERROR(IF(ISBLANK(INDEX(Backlog[Stream Owner],MATCH($A241,Backlog[Requirement ID],0))),"",INDEX(Backlog[Stream Owner],MATCH($A241,Backlog[Requirement ID],0))),"")</f>
        <v/>
      </c>
      <c r="E241" s="1" t="str">
        <f aca="false">IFERROR(IF(ISBLANK(INDEX(Backlog[Jira Link],MATCH($A241,Backlog[Requirement ID],0))),"",INDEX(Backlog[Jira Link],MATCH($A241,Backlog[Requirement ID],0))),"")</f>
        <v/>
      </c>
      <c r="H241" s="1" t="str">
        <f aca="false">IFERROR(IF(ISBLANK(INDEX(SprintPlanning[Sprint],MATCH($A241,SprintPlanning[Requirement ID],0))),"",INDEX(SprintPlanning[Sprint],MATCH($A241,SprintPlanning[Requirement ID],0))),"")</f>
        <v/>
      </c>
      <c r="I241" s="1" t="str">
        <f aca="false">IFERROR(IF(ISBLANK(INDEX(Backlog[Status],MATCH($A241,Backlog[Requirement ID],0))),"",INDEX(Backlog[Status],MATCH($A241,Backlog[Requirement ID],0))),"")</f>
        <v/>
      </c>
      <c r="J241" s="1" t="str">
        <f aca="false">IFERROR(IF(ISBLANK(INDEX(Backlog[Priority],MATCH($A241,Backlog[Requirement ID],0))),"",INDEX(Backlog[Priority],MATCH($A241,Backlog[Requirement ID],0))),"")</f>
        <v/>
      </c>
      <c r="L241" s="57"/>
      <c r="M241" s="57"/>
      <c r="O241" s="57"/>
    </row>
    <row r="242" customFormat="false" ht="15" hidden="false" customHeight="true" outlineLevel="0" collapsed="false">
      <c r="A242" s="1" t="str">
        <f aca="false">Backlog!A242</f>
        <v/>
      </c>
      <c r="B242" s="1" t="str">
        <f aca="false">IFERROR(IF(ISBLANK(INDEX(Backlog[Requirement Name],MATCH($A242,Backlog[Requirement ID],0))),"",INDEX(Backlog[Requirement Name],MATCH($A242,Backlog[Requirement ID],0))),"")</f>
        <v/>
      </c>
      <c r="C242" s="1" t="str">
        <f aca="false">IFERROR(IF(ISBLANK(INDEX(Backlog[Stream],MATCH($A242,Backlog[Requirement ID],0))),"",INDEX(Backlog[Stream],MATCH($A242,Backlog[Requirement ID],0))),"")</f>
        <v/>
      </c>
      <c r="D242" s="1" t="str">
        <f aca="false">IFERROR(IF(ISBLANK(INDEX(Backlog[Stream Owner],MATCH($A242,Backlog[Requirement ID],0))),"",INDEX(Backlog[Stream Owner],MATCH($A242,Backlog[Requirement ID],0))),"")</f>
        <v/>
      </c>
      <c r="E242" s="1" t="str">
        <f aca="false">IFERROR(IF(ISBLANK(INDEX(Backlog[Jira Link],MATCH($A242,Backlog[Requirement ID],0))),"",INDEX(Backlog[Jira Link],MATCH($A242,Backlog[Requirement ID],0))),"")</f>
        <v/>
      </c>
      <c r="H242" s="1" t="str">
        <f aca="false">IFERROR(IF(ISBLANK(INDEX(SprintPlanning[Sprint],MATCH($A242,SprintPlanning[Requirement ID],0))),"",INDEX(SprintPlanning[Sprint],MATCH($A242,SprintPlanning[Requirement ID],0))),"")</f>
        <v/>
      </c>
      <c r="I242" s="1" t="str">
        <f aca="false">IFERROR(IF(ISBLANK(INDEX(Backlog[Status],MATCH($A242,Backlog[Requirement ID],0))),"",INDEX(Backlog[Status],MATCH($A242,Backlog[Requirement ID],0))),"")</f>
        <v/>
      </c>
      <c r="J242" s="1" t="str">
        <f aca="false">IFERROR(IF(ISBLANK(INDEX(Backlog[Priority],MATCH($A242,Backlog[Requirement ID],0))),"",INDEX(Backlog[Priority],MATCH($A242,Backlog[Requirement ID],0))),"")</f>
        <v/>
      </c>
      <c r="L242" s="57"/>
      <c r="M242" s="57"/>
      <c r="O242" s="57"/>
    </row>
    <row r="243" customFormat="false" ht="15" hidden="false" customHeight="true" outlineLevel="0" collapsed="false">
      <c r="A243" s="1" t="str">
        <f aca="false">Backlog!A243</f>
        <v/>
      </c>
      <c r="B243" s="1" t="str">
        <f aca="false">IFERROR(IF(ISBLANK(INDEX(Backlog[Requirement Name],MATCH($A243,Backlog[Requirement ID],0))),"",INDEX(Backlog[Requirement Name],MATCH($A243,Backlog[Requirement ID],0))),"")</f>
        <v/>
      </c>
      <c r="C243" s="1" t="str">
        <f aca="false">IFERROR(IF(ISBLANK(INDEX(Backlog[Stream],MATCH($A243,Backlog[Requirement ID],0))),"",INDEX(Backlog[Stream],MATCH($A243,Backlog[Requirement ID],0))),"")</f>
        <v/>
      </c>
      <c r="D243" s="1" t="str">
        <f aca="false">IFERROR(IF(ISBLANK(INDEX(Backlog[Stream Owner],MATCH($A243,Backlog[Requirement ID],0))),"",INDEX(Backlog[Stream Owner],MATCH($A243,Backlog[Requirement ID],0))),"")</f>
        <v/>
      </c>
      <c r="E243" s="1" t="str">
        <f aca="false">IFERROR(IF(ISBLANK(INDEX(Backlog[Jira Link],MATCH($A243,Backlog[Requirement ID],0))),"",INDEX(Backlog[Jira Link],MATCH($A243,Backlog[Requirement ID],0))),"")</f>
        <v/>
      </c>
      <c r="H243" s="1" t="str">
        <f aca="false">IFERROR(IF(ISBLANK(INDEX(SprintPlanning[Sprint],MATCH($A243,SprintPlanning[Requirement ID],0))),"",INDEX(SprintPlanning[Sprint],MATCH($A243,SprintPlanning[Requirement ID],0))),"")</f>
        <v/>
      </c>
      <c r="I243" s="1" t="str">
        <f aca="false">IFERROR(IF(ISBLANK(INDEX(Backlog[Status],MATCH($A243,Backlog[Requirement ID],0))),"",INDEX(Backlog[Status],MATCH($A243,Backlog[Requirement ID],0))),"")</f>
        <v/>
      </c>
      <c r="J243" s="1" t="str">
        <f aca="false">IFERROR(IF(ISBLANK(INDEX(Backlog[Priority],MATCH($A243,Backlog[Requirement ID],0))),"",INDEX(Backlog[Priority],MATCH($A243,Backlog[Requirement ID],0))),"")</f>
        <v/>
      </c>
      <c r="L243" s="57"/>
      <c r="M243" s="57"/>
      <c r="O243" s="57"/>
    </row>
    <row r="244" customFormat="false" ht="15" hidden="false" customHeight="true" outlineLevel="0" collapsed="false">
      <c r="A244" s="1" t="str">
        <f aca="false">Backlog!A244</f>
        <v/>
      </c>
      <c r="B244" s="1" t="str">
        <f aca="false">IFERROR(IF(ISBLANK(INDEX(Backlog[Requirement Name],MATCH($A244,Backlog[Requirement ID],0))),"",INDEX(Backlog[Requirement Name],MATCH($A244,Backlog[Requirement ID],0))),"")</f>
        <v/>
      </c>
      <c r="C244" s="1" t="str">
        <f aca="false">IFERROR(IF(ISBLANK(INDEX(Backlog[Stream],MATCH($A244,Backlog[Requirement ID],0))),"",INDEX(Backlog[Stream],MATCH($A244,Backlog[Requirement ID],0))),"")</f>
        <v/>
      </c>
      <c r="D244" s="1" t="str">
        <f aca="false">IFERROR(IF(ISBLANK(INDEX(Backlog[Stream Owner],MATCH($A244,Backlog[Requirement ID],0))),"",INDEX(Backlog[Stream Owner],MATCH($A244,Backlog[Requirement ID],0))),"")</f>
        <v/>
      </c>
      <c r="E244" s="1" t="str">
        <f aca="false">IFERROR(IF(ISBLANK(INDEX(Backlog[Jira Link],MATCH($A244,Backlog[Requirement ID],0))),"",INDEX(Backlog[Jira Link],MATCH($A244,Backlog[Requirement ID],0))),"")</f>
        <v/>
      </c>
      <c r="H244" s="1" t="str">
        <f aca="false">IFERROR(IF(ISBLANK(INDEX(SprintPlanning[Sprint],MATCH($A244,SprintPlanning[Requirement ID],0))),"",INDEX(SprintPlanning[Sprint],MATCH($A244,SprintPlanning[Requirement ID],0))),"")</f>
        <v/>
      </c>
      <c r="I244" s="1" t="str">
        <f aca="false">IFERROR(IF(ISBLANK(INDEX(Backlog[Status],MATCH($A244,Backlog[Requirement ID],0))),"",INDEX(Backlog[Status],MATCH($A244,Backlog[Requirement ID],0))),"")</f>
        <v/>
      </c>
      <c r="J244" s="1" t="str">
        <f aca="false">IFERROR(IF(ISBLANK(INDEX(Backlog[Priority],MATCH($A244,Backlog[Requirement ID],0))),"",INDEX(Backlog[Priority],MATCH($A244,Backlog[Requirement ID],0))),"")</f>
        <v/>
      </c>
      <c r="L244" s="57"/>
      <c r="M244" s="57"/>
      <c r="O244" s="57"/>
    </row>
    <row r="245" customFormat="false" ht="15" hidden="false" customHeight="true" outlineLevel="0" collapsed="false">
      <c r="A245" s="1" t="str">
        <f aca="false">Backlog!A245</f>
        <v/>
      </c>
      <c r="B245" s="1" t="str">
        <f aca="false">IFERROR(IF(ISBLANK(INDEX(Backlog[Requirement Name],MATCH($A245,Backlog[Requirement ID],0))),"",INDEX(Backlog[Requirement Name],MATCH($A245,Backlog[Requirement ID],0))),"")</f>
        <v/>
      </c>
      <c r="C245" s="1" t="str">
        <f aca="false">IFERROR(IF(ISBLANK(INDEX(Backlog[Stream],MATCH($A245,Backlog[Requirement ID],0))),"",INDEX(Backlog[Stream],MATCH($A245,Backlog[Requirement ID],0))),"")</f>
        <v/>
      </c>
      <c r="D245" s="1" t="str">
        <f aca="false">IFERROR(IF(ISBLANK(INDEX(Backlog[Stream Owner],MATCH($A245,Backlog[Requirement ID],0))),"",INDEX(Backlog[Stream Owner],MATCH($A245,Backlog[Requirement ID],0))),"")</f>
        <v/>
      </c>
      <c r="E245" s="1" t="str">
        <f aca="false">IFERROR(IF(ISBLANK(INDEX(Backlog[Jira Link],MATCH($A245,Backlog[Requirement ID],0))),"",INDEX(Backlog[Jira Link],MATCH($A245,Backlog[Requirement ID],0))),"")</f>
        <v/>
      </c>
      <c r="H245" s="1" t="str">
        <f aca="false">IFERROR(IF(ISBLANK(INDEX(SprintPlanning[Sprint],MATCH($A245,SprintPlanning[Requirement ID],0))),"",INDEX(SprintPlanning[Sprint],MATCH($A245,SprintPlanning[Requirement ID],0))),"")</f>
        <v/>
      </c>
      <c r="I245" s="1" t="str">
        <f aca="false">IFERROR(IF(ISBLANK(INDEX(Backlog[Status],MATCH($A245,Backlog[Requirement ID],0))),"",INDEX(Backlog[Status],MATCH($A245,Backlog[Requirement ID],0))),"")</f>
        <v/>
      </c>
      <c r="J245" s="1" t="str">
        <f aca="false">IFERROR(IF(ISBLANK(INDEX(Backlog[Priority],MATCH($A245,Backlog[Requirement ID],0))),"",INDEX(Backlog[Priority],MATCH($A245,Backlog[Requirement ID],0))),"")</f>
        <v/>
      </c>
      <c r="L245" s="57"/>
      <c r="M245" s="57"/>
      <c r="O245" s="57"/>
    </row>
    <row r="246" customFormat="false" ht="15" hidden="false" customHeight="true" outlineLevel="0" collapsed="false">
      <c r="A246" s="1" t="str">
        <f aca="false">Backlog!A246</f>
        <v/>
      </c>
      <c r="B246" s="1" t="str">
        <f aca="false">IFERROR(IF(ISBLANK(INDEX(Backlog[Requirement Name],MATCH($A246,Backlog[Requirement ID],0))),"",INDEX(Backlog[Requirement Name],MATCH($A246,Backlog[Requirement ID],0))),"")</f>
        <v/>
      </c>
      <c r="C246" s="1" t="str">
        <f aca="false">IFERROR(IF(ISBLANK(INDEX(Backlog[Stream],MATCH($A246,Backlog[Requirement ID],0))),"",INDEX(Backlog[Stream],MATCH($A246,Backlog[Requirement ID],0))),"")</f>
        <v/>
      </c>
      <c r="D246" s="1" t="str">
        <f aca="false">IFERROR(IF(ISBLANK(INDEX(Backlog[Stream Owner],MATCH($A246,Backlog[Requirement ID],0))),"",INDEX(Backlog[Stream Owner],MATCH($A246,Backlog[Requirement ID],0))),"")</f>
        <v/>
      </c>
      <c r="E246" s="1" t="str">
        <f aca="false">IFERROR(IF(ISBLANK(INDEX(Backlog[Jira Link],MATCH($A246,Backlog[Requirement ID],0))),"",INDEX(Backlog[Jira Link],MATCH($A246,Backlog[Requirement ID],0))),"")</f>
        <v/>
      </c>
      <c r="H246" s="1" t="str">
        <f aca="false">IFERROR(IF(ISBLANK(INDEX(SprintPlanning[Sprint],MATCH($A246,SprintPlanning[Requirement ID],0))),"",INDEX(SprintPlanning[Sprint],MATCH($A246,SprintPlanning[Requirement ID],0))),"")</f>
        <v/>
      </c>
      <c r="I246" s="1" t="str">
        <f aca="false">IFERROR(IF(ISBLANK(INDEX(Backlog[Status],MATCH($A246,Backlog[Requirement ID],0))),"",INDEX(Backlog[Status],MATCH($A246,Backlog[Requirement ID],0))),"")</f>
        <v/>
      </c>
      <c r="J246" s="1" t="str">
        <f aca="false">IFERROR(IF(ISBLANK(INDEX(Backlog[Priority],MATCH($A246,Backlog[Requirement ID],0))),"",INDEX(Backlog[Priority],MATCH($A246,Backlog[Requirement ID],0))),"")</f>
        <v/>
      </c>
      <c r="L246" s="57"/>
      <c r="M246" s="57"/>
      <c r="O246" s="57"/>
    </row>
    <row r="247" customFormat="false" ht="15" hidden="false" customHeight="true" outlineLevel="0" collapsed="false">
      <c r="A247" s="1" t="str">
        <f aca="false">Backlog!A247</f>
        <v/>
      </c>
      <c r="B247" s="1" t="str">
        <f aca="false">IFERROR(IF(ISBLANK(INDEX(Backlog[Requirement Name],MATCH($A247,Backlog[Requirement ID],0))),"",INDEX(Backlog[Requirement Name],MATCH($A247,Backlog[Requirement ID],0))),"")</f>
        <v/>
      </c>
      <c r="C247" s="1" t="str">
        <f aca="false">IFERROR(IF(ISBLANK(INDEX(Backlog[Stream],MATCH($A247,Backlog[Requirement ID],0))),"",INDEX(Backlog[Stream],MATCH($A247,Backlog[Requirement ID],0))),"")</f>
        <v/>
      </c>
      <c r="D247" s="1" t="str">
        <f aca="false">IFERROR(IF(ISBLANK(INDEX(Backlog[Stream Owner],MATCH($A247,Backlog[Requirement ID],0))),"",INDEX(Backlog[Stream Owner],MATCH($A247,Backlog[Requirement ID],0))),"")</f>
        <v/>
      </c>
      <c r="E247" s="1" t="str">
        <f aca="false">IFERROR(IF(ISBLANK(INDEX(Backlog[Jira Link],MATCH($A247,Backlog[Requirement ID],0))),"",INDEX(Backlog[Jira Link],MATCH($A247,Backlog[Requirement ID],0))),"")</f>
        <v/>
      </c>
      <c r="H247" s="1" t="str">
        <f aca="false">IFERROR(IF(ISBLANK(INDEX(SprintPlanning[Sprint],MATCH($A247,SprintPlanning[Requirement ID],0))),"",INDEX(SprintPlanning[Sprint],MATCH($A247,SprintPlanning[Requirement ID],0))),"")</f>
        <v/>
      </c>
      <c r="I247" s="1" t="str">
        <f aca="false">IFERROR(IF(ISBLANK(INDEX(Backlog[Status],MATCH($A247,Backlog[Requirement ID],0))),"",INDEX(Backlog[Status],MATCH($A247,Backlog[Requirement ID],0))),"")</f>
        <v/>
      </c>
      <c r="J247" s="1" t="str">
        <f aca="false">IFERROR(IF(ISBLANK(INDEX(Backlog[Priority],MATCH($A247,Backlog[Requirement ID],0))),"",INDEX(Backlog[Priority],MATCH($A247,Backlog[Requirement ID],0))),"")</f>
        <v/>
      </c>
      <c r="L247" s="57"/>
      <c r="M247" s="57"/>
      <c r="O247" s="57"/>
    </row>
    <row r="248" customFormat="false" ht="15" hidden="false" customHeight="true" outlineLevel="0" collapsed="false">
      <c r="A248" s="1" t="str">
        <f aca="false">Backlog!A248</f>
        <v/>
      </c>
      <c r="B248" s="1" t="str">
        <f aca="false">IFERROR(IF(ISBLANK(INDEX(Backlog[Requirement Name],MATCH($A248,Backlog[Requirement ID],0))),"",INDEX(Backlog[Requirement Name],MATCH($A248,Backlog[Requirement ID],0))),"")</f>
        <v/>
      </c>
      <c r="C248" s="1" t="str">
        <f aca="false">IFERROR(IF(ISBLANK(INDEX(Backlog[Stream],MATCH($A248,Backlog[Requirement ID],0))),"",INDEX(Backlog[Stream],MATCH($A248,Backlog[Requirement ID],0))),"")</f>
        <v/>
      </c>
      <c r="D248" s="1" t="str">
        <f aca="false">IFERROR(IF(ISBLANK(INDEX(Backlog[Stream Owner],MATCH($A248,Backlog[Requirement ID],0))),"",INDEX(Backlog[Stream Owner],MATCH($A248,Backlog[Requirement ID],0))),"")</f>
        <v/>
      </c>
      <c r="E248" s="1" t="str">
        <f aca="false">IFERROR(IF(ISBLANK(INDEX(Backlog[Jira Link],MATCH($A248,Backlog[Requirement ID],0))),"",INDEX(Backlog[Jira Link],MATCH($A248,Backlog[Requirement ID],0))),"")</f>
        <v/>
      </c>
      <c r="H248" s="1" t="str">
        <f aca="false">IFERROR(IF(ISBLANK(INDEX(SprintPlanning[Sprint],MATCH($A248,SprintPlanning[Requirement ID],0))),"",INDEX(SprintPlanning[Sprint],MATCH($A248,SprintPlanning[Requirement ID],0))),"")</f>
        <v/>
      </c>
      <c r="I248" s="1" t="str">
        <f aca="false">IFERROR(IF(ISBLANK(INDEX(Backlog[Status],MATCH($A248,Backlog[Requirement ID],0))),"",INDEX(Backlog[Status],MATCH($A248,Backlog[Requirement ID],0))),"")</f>
        <v/>
      </c>
      <c r="J248" s="1" t="str">
        <f aca="false">IFERROR(IF(ISBLANK(INDEX(Backlog[Priority],MATCH($A248,Backlog[Requirement ID],0))),"",INDEX(Backlog[Priority],MATCH($A248,Backlog[Requirement ID],0))),"")</f>
        <v/>
      </c>
      <c r="L248" s="57"/>
      <c r="M248" s="57"/>
      <c r="O248" s="57"/>
    </row>
    <row r="249" customFormat="false" ht="15" hidden="false" customHeight="true" outlineLevel="0" collapsed="false">
      <c r="A249" s="1" t="str">
        <f aca="false">Backlog!A249</f>
        <v/>
      </c>
      <c r="B249" s="1" t="str">
        <f aca="false">IFERROR(IF(ISBLANK(INDEX(Backlog[Requirement Name],MATCH($A249,Backlog[Requirement ID],0))),"",INDEX(Backlog[Requirement Name],MATCH($A249,Backlog[Requirement ID],0))),"")</f>
        <v/>
      </c>
      <c r="C249" s="1" t="str">
        <f aca="false">IFERROR(IF(ISBLANK(INDEX(Backlog[Stream],MATCH($A249,Backlog[Requirement ID],0))),"",INDEX(Backlog[Stream],MATCH($A249,Backlog[Requirement ID],0))),"")</f>
        <v/>
      </c>
      <c r="D249" s="1" t="str">
        <f aca="false">IFERROR(IF(ISBLANK(INDEX(Backlog[Stream Owner],MATCH($A249,Backlog[Requirement ID],0))),"",INDEX(Backlog[Stream Owner],MATCH($A249,Backlog[Requirement ID],0))),"")</f>
        <v/>
      </c>
      <c r="E249" s="1" t="str">
        <f aca="false">IFERROR(IF(ISBLANK(INDEX(Backlog[Jira Link],MATCH($A249,Backlog[Requirement ID],0))),"",INDEX(Backlog[Jira Link],MATCH($A249,Backlog[Requirement ID],0))),"")</f>
        <v/>
      </c>
      <c r="H249" s="1" t="str">
        <f aca="false">IFERROR(IF(ISBLANK(INDEX(SprintPlanning[Sprint],MATCH($A249,SprintPlanning[Requirement ID],0))),"",INDEX(SprintPlanning[Sprint],MATCH($A249,SprintPlanning[Requirement ID],0))),"")</f>
        <v/>
      </c>
      <c r="I249" s="1" t="str">
        <f aca="false">IFERROR(IF(ISBLANK(INDEX(Backlog[Status],MATCH($A249,Backlog[Requirement ID],0))),"",INDEX(Backlog[Status],MATCH($A249,Backlog[Requirement ID],0))),"")</f>
        <v/>
      </c>
      <c r="J249" s="1" t="str">
        <f aca="false">IFERROR(IF(ISBLANK(INDEX(Backlog[Priority],MATCH($A249,Backlog[Requirement ID],0))),"",INDEX(Backlog[Priority],MATCH($A249,Backlog[Requirement ID],0))),"")</f>
        <v/>
      </c>
      <c r="L249" s="57"/>
      <c r="M249" s="57"/>
      <c r="O249" s="57"/>
    </row>
    <row r="250" customFormat="false" ht="15" hidden="false" customHeight="true" outlineLevel="0" collapsed="false">
      <c r="A250" s="1" t="str">
        <f aca="false">Backlog!A250</f>
        <v/>
      </c>
      <c r="B250" s="1" t="str">
        <f aca="false">IFERROR(IF(ISBLANK(INDEX(Backlog[Requirement Name],MATCH($A250,Backlog[Requirement ID],0))),"",INDEX(Backlog[Requirement Name],MATCH($A250,Backlog[Requirement ID],0))),"")</f>
        <v/>
      </c>
      <c r="C250" s="1" t="str">
        <f aca="false">IFERROR(IF(ISBLANK(INDEX(Backlog[Stream],MATCH($A250,Backlog[Requirement ID],0))),"",INDEX(Backlog[Stream],MATCH($A250,Backlog[Requirement ID],0))),"")</f>
        <v/>
      </c>
      <c r="D250" s="1" t="str">
        <f aca="false">IFERROR(IF(ISBLANK(INDEX(Backlog[Stream Owner],MATCH($A250,Backlog[Requirement ID],0))),"",INDEX(Backlog[Stream Owner],MATCH($A250,Backlog[Requirement ID],0))),"")</f>
        <v/>
      </c>
      <c r="E250" s="1" t="str">
        <f aca="false">IFERROR(IF(ISBLANK(INDEX(Backlog[Jira Link],MATCH($A250,Backlog[Requirement ID],0))),"",INDEX(Backlog[Jira Link],MATCH($A250,Backlog[Requirement ID],0))),"")</f>
        <v/>
      </c>
      <c r="H250" s="1" t="str">
        <f aca="false">IFERROR(IF(ISBLANK(INDEX(SprintPlanning[Sprint],MATCH($A250,SprintPlanning[Requirement ID],0))),"",INDEX(SprintPlanning[Sprint],MATCH($A250,SprintPlanning[Requirement ID],0))),"")</f>
        <v/>
      </c>
      <c r="I250" s="1" t="str">
        <f aca="false">IFERROR(IF(ISBLANK(INDEX(Backlog[Status],MATCH($A250,Backlog[Requirement ID],0))),"",INDEX(Backlog[Status],MATCH($A250,Backlog[Requirement ID],0))),"")</f>
        <v/>
      </c>
      <c r="J250" s="1" t="str">
        <f aca="false">IFERROR(IF(ISBLANK(INDEX(Backlog[Priority],MATCH($A250,Backlog[Requirement ID],0))),"",INDEX(Backlog[Priority],MATCH($A250,Backlog[Requirement ID],0))),"")</f>
        <v/>
      </c>
      <c r="L250" s="57"/>
      <c r="M250" s="57"/>
      <c r="O250" s="57"/>
    </row>
    <row r="251" customFormat="false" ht="15" hidden="false" customHeight="true" outlineLevel="0" collapsed="false">
      <c r="A251" s="1" t="str">
        <f aca="false">Backlog!A251</f>
        <v/>
      </c>
      <c r="B251" s="1" t="str">
        <f aca="false">IFERROR(IF(ISBLANK(INDEX(Backlog[Requirement Name],MATCH($A251,Backlog[Requirement ID],0))),"",INDEX(Backlog[Requirement Name],MATCH($A251,Backlog[Requirement ID],0))),"")</f>
        <v/>
      </c>
      <c r="C251" s="1" t="str">
        <f aca="false">IFERROR(IF(ISBLANK(INDEX(Backlog[Stream],MATCH($A251,Backlog[Requirement ID],0))),"",INDEX(Backlog[Stream],MATCH($A251,Backlog[Requirement ID],0))),"")</f>
        <v/>
      </c>
      <c r="D251" s="1" t="str">
        <f aca="false">IFERROR(IF(ISBLANK(INDEX(Backlog[Stream Owner],MATCH($A251,Backlog[Requirement ID],0))),"",INDEX(Backlog[Stream Owner],MATCH($A251,Backlog[Requirement ID],0))),"")</f>
        <v/>
      </c>
      <c r="E251" s="1" t="str">
        <f aca="false">IFERROR(IF(ISBLANK(INDEX(Backlog[Jira Link],MATCH($A251,Backlog[Requirement ID],0))),"",INDEX(Backlog[Jira Link],MATCH($A251,Backlog[Requirement ID],0))),"")</f>
        <v/>
      </c>
      <c r="H251" s="1" t="str">
        <f aca="false">IFERROR(IF(ISBLANK(INDEX(SprintPlanning[Sprint],MATCH($A251,SprintPlanning[Requirement ID],0))),"",INDEX(SprintPlanning[Sprint],MATCH($A251,SprintPlanning[Requirement ID],0))),"")</f>
        <v/>
      </c>
      <c r="I251" s="1" t="str">
        <f aca="false">IFERROR(IF(ISBLANK(INDEX(Backlog[Status],MATCH($A251,Backlog[Requirement ID],0))),"",INDEX(Backlog[Status],MATCH($A251,Backlog[Requirement ID],0))),"")</f>
        <v/>
      </c>
      <c r="J251" s="1" t="str">
        <f aca="false">IFERROR(IF(ISBLANK(INDEX(Backlog[Priority],MATCH($A251,Backlog[Requirement ID],0))),"",INDEX(Backlog[Priority],MATCH($A251,Backlog[Requirement ID],0))),"")</f>
        <v/>
      </c>
      <c r="L251" s="57"/>
      <c r="M251" s="57"/>
      <c r="O251" s="57"/>
    </row>
    <row r="252" customFormat="false" ht="15" hidden="false" customHeight="true" outlineLevel="0" collapsed="false">
      <c r="A252" s="1" t="str">
        <f aca="false">Backlog!A252</f>
        <v/>
      </c>
      <c r="B252" s="1" t="str">
        <f aca="false">IFERROR(IF(ISBLANK(INDEX(Backlog[Requirement Name],MATCH($A252,Backlog[Requirement ID],0))),"",INDEX(Backlog[Requirement Name],MATCH($A252,Backlog[Requirement ID],0))),"")</f>
        <v/>
      </c>
      <c r="C252" s="1" t="str">
        <f aca="false">IFERROR(IF(ISBLANK(INDEX(Backlog[Stream],MATCH($A252,Backlog[Requirement ID],0))),"",INDEX(Backlog[Stream],MATCH($A252,Backlog[Requirement ID],0))),"")</f>
        <v/>
      </c>
      <c r="D252" s="1" t="str">
        <f aca="false">IFERROR(IF(ISBLANK(INDEX(Backlog[Stream Owner],MATCH($A252,Backlog[Requirement ID],0))),"",INDEX(Backlog[Stream Owner],MATCH($A252,Backlog[Requirement ID],0))),"")</f>
        <v/>
      </c>
      <c r="E252" s="1" t="str">
        <f aca="false">IFERROR(IF(ISBLANK(INDEX(Backlog[Jira Link],MATCH($A252,Backlog[Requirement ID],0))),"",INDEX(Backlog[Jira Link],MATCH($A252,Backlog[Requirement ID],0))),"")</f>
        <v/>
      </c>
      <c r="H252" s="1" t="str">
        <f aca="false">IFERROR(IF(ISBLANK(INDEX(SprintPlanning[Sprint],MATCH($A252,SprintPlanning[Requirement ID],0))),"",INDEX(SprintPlanning[Sprint],MATCH($A252,SprintPlanning[Requirement ID],0))),"")</f>
        <v/>
      </c>
      <c r="I252" s="1" t="str">
        <f aca="false">IFERROR(IF(ISBLANK(INDEX(Backlog[Status],MATCH($A252,Backlog[Requirement ID],0))),"",INDEX(Backlog[Status],MATCH($A252,Backlog[Requirement ID],0))),"")</f>
        <v/>
      </c>
      <c r="J252" s="1" t="str">
        <f aca="false">IFERROR(IF(ISBLANK(INDEX(Backlog[Priority],MATCH($A252,Backlog[Requirement ID],0))),"",INDEX(Backlog[Priority],MATCH($A252,Backlog[Requirement ID],0))),"")</f>
        <v/>
      </c>
      <c r="L252" s="57"/>
      <c r="M252" s="57"/>
      <c r="O252" s="57"/>
    </row>
    <row r="253" customFormat="false" ht="15" hidden="false" customHeight="true" outlineLevel="0" collapsed="false">
      <c r="A253" s="1" t="str">
        <f aca="false">Backlog!A253</f>
        <v/>
      </c>
      <c r="B253" s="1" t="str">
        <f aca="false">IFERROR(IF(ISBLANK(INDEX(Backlog[Requirement Name],MATCH($A253,Backlog[Requirement ID],0))),"",INDEX(Backlog[Requirement Name],MATCH($A253,Backlog[Requirement ID],0))),"")</f>
        <v/>
      </c>
      <c r="C253" s="1" t="str">
        <f aca="false">IFERROR(IF(ISBLANK(INDEX(Backlog[Stream],MATCH($A253,Backlog[Requirement ID],0))),"",INDEX(Backlog[Stream],MATCH($A253,Backlog[Requirement ID],0))),"")</f>
        <v/>
      </c>
      <c r="D253" s="1" t="str">
        <f aca="false">IFERROR(IF(ISBLANK(INDEX(Backlog[Stream Owner],MATCH($A253,Backlog[Requirement ID],0))),"",INDEX(Backlog[Stream Owner],MATCH($A253,Backlog[Requirement ID],0))),"")</f>
        <v/>
      </c>
      <c r="E253" s="1" t="str">
        <f aca="false">IFERROR(IF(ISBLANK(INDEX(Backlog[Jira Link],MATCH($A253,Backlog[Requirement ID],0))),"",INDEX(Backlog[Jira Link],MATCH($A253,Backlog[Requirement ID],0))),"")</f>
        <v/>
      </c>
      <c r="H253" s="1" t="str">
        <f aca="false">IFERROR(IF(ISBLANK(INDEX(SprintPlanning[Sprint],MATCH($A253,SprintPlanning[Requirement ID],0))),"",INDEX(SprintPlanning[Sprint],MATCH($A253,SprintPlanning[Requirement ID],0))),"")</f>
        <v/>
      </c>
      <c r="I253" s="1" t="str">
        <f aca="false">IFERROR(IF(ISBLANK(INDEX(Backlog[Status],MATCH($A253,Backlog[Requirement ID],0))),"",INDEX(Backlog[Status],MATCH($A253,Backlog[Requirement ID],0))),"")</f>
        <v/>
      </c>
      <c r="J253" s="1" t="str">
        <f aca="false">IFERROR(IF(ISBLANK(INDEX(Backlog[Priority],MATCH($A253,Backlog[Requirement ID],0))),"",INDEX(Backlog[Priority],MATCH($A253,Backlog[Requirement ID],0))),"")</f>
        <v/>
      </c>
      <c r="L253" s="57"/>
      <c r="M253" s="57"/>
      <c r="O253" s="57"/>
    </row>
    <row r="254" customFormat="false" ht="15" hidden="false" customHeight="true" outlineLevel="0" collapsed="false">
      <c r="A254" s="1" t="str">
        <f aca="false">Backlog!A254</f>
        <v/>
      </c>
      <c r="B254" s="1" t="str">
        <f aca="false">IFERROR(IF(ISBLANK(INDEX(Backlog[Requirement Name],MATCH($A254,Backlog[Requirement ID],0))),"",INDEX(Backlog[Requirement Name],MATCH($A254,Backlog[Requirement ID],0))),"")</f>
        <v/>
      </c>
      <c r="C254" s="1" t="str">
        <f aca="false">IFERROR(IF(ISBLANK(INDEX(Backlog[Stream],MATCH($A254,Backlog[Requirement ID],0))),"",INDEX(Backlog[Stream],MATCH($A254,Backlog[Requirement ID],0))),"")</f>
        <v/>
      </c>
      <c r="D254" s="1" t="str">
        <f aca="false">IFERROR(IF(ISBLANK(INDEX(Backlog[Stream Owner],MATCH($A254,Backlog[Requirement ID],0))),"",INDEX(Backlog[Stream Owner],MATCH($A254,Backlog[Requirement ID],0))),"")</f>
        <v/>
      </c>
      <c r="E254" s="1" t="str">
        <f aca="false">IFERROR(IF(ISBLANK(INDEX(Backlog[Jira Link],MATCH($A254,Backlog[Requirement ID],0))),"",INDEX(Backlog[Jira Link],MATCH($A254,Backlog[Requirement ID],0))),"")</f>
        <v/>
      </c>
      <c r="H254" s="1" t="str">
        <f aca="false">IFERROR(IF(ISBLANK(INDEX(SprintPlanning[Sprint],MATCH($A254,SprintPlanning[Requirement ID],0))),"",INDEX(SprintPlanning[Sprint],MATCH($A254,SprintPlanning[Requirement ID],0))),"")</f>
        <v/>
      </c>
      <c r="I254" s="1" t="str">
        <f aca="false">IFERROR(IF(ISBLANK(INDEX(Backlog[Status],MATCH($A254,Backlog[Requirement ID],0))),"",INDEX(Backlog[Status],MATCH($A254,Backlog[Requirement ID],0))),"")</f>
        <v/>
      </c>
      <c r="J254" s="1" t="str">
        <f aca="false">IFERROR(IF(ISBLANK(INDEX(Backlog[Priority],MATCH($A254,Backlog[Requirement ID],0))),"",INDEX(Backlog[Priority],MATCH($A254,Backlog[Requirement ID],0))),"")</f>
        <v/>
      </c>
      <c r="L254" s="57"/>
      <c r="M254" s="57"/>
      <c r="O254" s="57"/>
    </row>
    <row r="255" customFormat="false" ht="15" hidden="false" customHeight="true" outlineLevel="0" collapsed="false">
      <c r="A255" s="1" t="str">
        <f aca="false">Backlog!A255</f>
        <v/>
      </c>
      <c r="B255" s="1" t="str">
        <f aca="false">IFERROR(IF(ISBLANK(INDEX(Backlog[Requirement Name],MATCH($A255,Backlog[Requirement ID],0))),"",INDEX(Backlog[Requirement Name],MATCH($A255,Backlog[Requirement ID],0))),"")</f>
        <v/>
      </c>
      <c r="C255" s="1" t="str">
        <f aca="false">IFERROR(IF(ISBLANK(INDEX(Backlog[Stream],MATCH($A255,Backlog[Requirement ID],0))),"",INDEX(Backlog[Stream],MATCH($A255,Backlog[Requirement ID],0))),"")</f>
        <v/>
      </c>
      <c r="D255" s="1" t="str">
        <f aca="false">IFERROR(IF(ISBLANK(INDEX(Backlog[Stream Owner],MATCH($A255,Backlog[Requirement ID],0))),"",INDEX(Backlog[Stream Owner],MATCH($A255,Backlog[Requirement ID],0))),"")</f>
        <v/>
      </c>
      <c r="E255" s="1" t="str">
        <f aca="false">IFERROR(IF(ISBLANK(INDEX(Backlog[Jira Link],MATCH($A255,Backlog[Requirement ID],0))),"",INDEX(Backlog[Jira Link],MATCH($A255,Backlog[Requirement ID],0))),"")</f>
        <v/>
      </c>
      <c r="H255" s="1" t="str">
        <f aca="false">IFERROR(IF(ISBLANK(INDEX(SprintPlanning[Sprint],MATCH($A255,SprintPlanning[Requirement ID],0))),"",INDEX(SprintPlanning[Sprint],MATCH($A255,SprintPlanning[Requirement ID],0))),"")</f>
        <v/>
      </c>
      <c r="I255" s="1" t="str">
        <f aca="false">IFERROR(IF(ISBLANK(INDEX(Backlog[Status],MATCH($A255,Backlog[Requirement ID],0))),"",INDEX(Backlog[Status],MATCH($A255,Backlog[Requirement ID],0))),"")</f>
        <v/>
      </c>
      <c r="J255" s="1" t="str">
        <f aca="false">IFERROR(IF(ISBLANK(INDEX(Backlog[Priority],MATCH($A255,Backlog[Requirement ID],0))),"",INDEX(Backlog[Priority],MATCH($A255,Backlog[Requirement ID],0))),"")</f>
        <v/>
      </c>
      <c r="L255" s="57"/>
      <c r="M255" s="57"/>
      <c r="O255" s="57"/>
    </row>
    <row r="256" customFormat="false" ht="15" hidden="false" customHeight="true" outlineLevel="0" collapsed="false">
      <c r="A256" s="1" t="str">
        <f aca="false">Backlog!A256</f>
        <v/>
      </c>
      <c r="B256" s="1" t="str">
        <f aca="false">IFERROR(IF(ISBLANK(INDEX(Backlog[Requirement Name],MATCH($A256,Backlog[Requirement ID],0))),"",INDEX(Backlog[Requirement Name],MATCH($A256,Backlog[Requirement ID],0))),"")</f>
        <v/>
      </c>
      <c r="C256" s="1" t="str">
        <f aca="false">IFERROR(IF(ISBLANK(INDEX(Backlog[Stream],MATCH($A256,Backlog[Requirement ID],0))),"",INDEX(Backlog[Stream],MATCH($A256,Backlog[Requirement ID],0))),"")</f>
        <v/>
      </c>
      <c r="D256" s="1" t="str">
        <f aca="false">IFERROR(IF(ISBLANK(INDEX(Backlog[Stream Owner],MATCH($A256,Backlog[Requirement ID],0))),"",INDEX(Backlog[Stream Owner],MATCH($A256,Backlog[Requirement ID],0))),"")</f>
        <v/>
      </c>
      <c r="E256" s="1" t="str">
        <f aca="false">IFERROR(IF(ISBLANK(INDEX(Backlog[Jira Link],MATCH($A256,Backlog[Requirement ID],0))),"",INDEX(Backlog[Jira Link],MATCH($A256,Backlog[Requirement ID],0))),"")</f>
        <v/>
      </c>
      <c r="H256" s="1" t="str">
        <f aca="false">IFERROR(IF(ISBLANK(INDEX(SprintPlanning[Sprint],MATCH($A256,SprintPlanning[Requirement ID],0))),"",INDEX(SprintPlanning[Sprint],MATCH($A256,SprintPlanning[Requirement ID],0))),"")</f>
        <v/>
      </c>
      <c r="I256" s="1" t="str">
        <f aca="false">IFERROR(IF(ISBLANK(INDEX(Backlog[Status],MATCH($A256,Backlog[Requirement ID],0))),"",INDEX(Backlog[Status],MATCH($A256,Backlog[Requirement ID],0))),"")</f>
        <v/>
      </c>
      <c r="J256" s="1" t="str">
        <f aca="false">IFERROR(IF(ISBLANK(INDEX(Backlog[Priority],MATCH($A256,Backlog[Requirement ID],0))),"",INDEX(Backlog[Priority],MATCH($A256,Backlog[Requirement ID],0))),"")</f>
        <v/>
      </c>
      <c r="L256" s="57"/>
      <c r="M256" s="57"/>
      <c r="O256" s="57"/>
    </row>
    <row r="257" customFormat="false" ht="15" hidden="false" customHeight="true" outlineLevel="0" collapsed="false">
      <c r="A257" s="1" t="str">
        <f aca="false">Backlog!A257</f>
        <v/>
      </c>
      <c r="B257" s="1" t="str">
        <f aca="false">IFERROR(IF(ISBLANK(INDEX(Backlog[Requirement Name],MATCH($A257,Backlog[Requirement ID],0))),"",INDEX(Backlog[Requirement Name],MATCH($A257,Backlog[Requirement ID],0))),"")</f>
        <v/>
      </c>
      <c r="C257" s="1" t="str">
        <f aca="false">IFERROR(IF(ISBLANK(INDEX(Backlog[Stream],MATCH($A257,Backlog[Requirement ID],0))),"",INDEX(Backlog[Stream],MATCH($A257,Backlog[Requirement ID],0))),"")</f>
        <v/>
      </c>
      <c r="D257" s="1" t="str">
        <f aca="false">IFERROR(IF(ISBLANK(INDEX(Backlog[Stream Owner],MATCH($A257,Backlog[Requirement ID],0))),"",INDEX(Backlog[Stream Owner],MATCH($A257,Backlog[Requirement ID],0))),"")</f>
        <v/>
      </c>
      <c r="E257" s="1" t="str">
        <f aca="false">IFERROR(IF(ISBLANK(INDEX(Backlog[Jira Link],MATCH($A257,Backlog[Requirement ID],0))),"",INDEX(Backlog[Jira Link],MATCH($A257,Backlog[Requirement ID],0))),"")</f>
        <v/>
      </c>
      <c r="H257" s="1" t="str">
        <f aca="false">IFERROR(IF(ISBLANK(INDEX(SprintPlanning[Sprint],MATCH($A257,SprintPlanning[Requirement ID],0))),"",INDEX(SprintPlanning[Sprint],MATCH($A257,SprintPlanning[Requirement ID],0))),"")</f>
        <v/>
      </c>
      <c r="I257" s="1" t="str">
        <f aca="false">IFERROR(IF(ISBLANK(INDEX(Backlog[Status],MATCH($A257,Backlog[Requirement ID],0))),"",INDEX(Backlog[Status],MATCH($A257,Backlog[Requirement ID],0))),"")</f>
        <v/>
      </c>
      <c r="J257" s="1" t="str">
        <f aca="false">IFERROR(IF(ISBLANK(INDEX(Backlog[Priority],MATCH($A257,Backlog[Requirement ID],0))),"",INDEX(Backlog[Priority],MATCH($A257,Backlog[Requirement ID],0))),"")</f>
        <v/>
      </c>
      <c r="L257" s="57"/>
      <c r="M257" s="57"/>
      <c r="O257" s="57"/>
    </row>
    <row r="258" customFormat="false" ht="15" hidden="false" customHeight="true" outlineLevel="0" collapsed="false">
      <c r="A258" s="1" t="str">
        <f aca="false">Backlog!A258</f>
        <v/>
      </c>
      <c r="B258" s="1" t="str">
        <f aca="false">IFERROR(IF(ISBLANK(INDEX(Backlog[Requirement Name],MATCH($A258,Backlog[Requirement ID],0))),"",INDEX(Backlog[Requirement Name],MATCH($A258,Backlog[Requirement ID],0))),"")</f>
        <v/>
      </c>
      <c r="C258" s="1" t="str">
        <f aca="false">IFERROR(IF(ISBLANK(INDEX(Backlog[Stream],MATCH($A258,Backlog[Requirement ID],0))),"",INDEX(Backlog[Stream],MATCH($A258,Backlog[Requirement ID],0))),"")</f>
        <v/>
      </c>
      <c r="D258" s="1" t="str">
        <f aca="false">IFERROR(IF(ISBLANK(INDEX(Backlog[Stream Owner],MATCH($A258,Backlog[Requirement ID],0))),"",INDEX(Backlog[Stream Owner],MATCH($A258,Backlog[Requirement ID],0))),"")</f>
        <v/>
      </c>
      <c r="E258" s="1" t="str">
        <f aca="false">IFERROR(IF(ISBLANK(INDEX(Backlog[Jira Link],MATCH($A258,Backlog[Requirement ID],0))),"",INDEX(Backlog[Jira Link],MATCH($A258,Backlog[Requirement ID],0))),"")</f>
        <v/>
      </c>
      <c r="H258" s="1" t="str">
        <f aca="false">IFERROR(IF(ISBLANK(INDEX(SprintPlanning[Sprint],MATCH($A258,SprintPlanning[Requirement ID],0))),"",INDEX(SprintPlanning[Sprint],MATCH($A258,SprintPlanning[Requirement ID],0))),"")</f>
        <v/>
      </c>
      <c r="I258" s="1" t="str">
        <f aca="false">IFERROR(IF(ISBLANK(INDEX(Backlog[Status],MATCH($A258,Backlog[Requirement ID],0))),"",INDEX(Backlog[Status],MATCH($A258,Backlog[Requirement ID],0))),"")</f>
        <v/>
      </c>
      <c r="J258" s="1" t="str">
        <f aca="false">IFERROR(IF(ISBLANK(INDEX(Backlog[Priority],MATCH($A258,Backlog[Requirement ID],0))),"",INDEX(Backlog[Priority],MATCH($A258,Backlog[Requirement ID],0))),"")</f>
        <v/>
      </c>
      <c r="L258" s="57"/>
      <c r="M258" s="57"/>
      <c r="O258" s="57"/>
    </row>
    <row r="259" customFormat="false" ht="15" hidden="false" customHeight="true" outlineLevel="0" collapsed="false">
      <c r="A259" s="1" t="str">
        <f aca="false">Backlog!A259</f>
        <v/>
      </c>
      <c r="B259" s="1" t="str">
        <f aca="false">IFERROR(IF(ISBLANK(INDEX(Backlog[Requirement Name],MATCH($A259,Backlog[Requirement ID],0))),"",INDEX(Backlog[Requirement Name],MATCH($A259,Backlog[Requirement ID],0))),"")</f>
        <v/>
      </c>
      <c r="C259" s="1" t="str">
        <f aca="false">IFERROR(IF(ISBLANK(INDEX(Backlog[Stream],MATCH($A259,Backlog[Requirement ID],0))),"",INDEX(Backlog[Stream],MATCH($A259,Backlog[Requirement ID],0))),"")</f>
        <v/>
      </c>
      <c r="D259" s="1" t="str">
        <f aca="false">IFERROR(IF(ISBLANK(INDEX(Backlog[Stream Owner],MATCH($A259,Backlog[Requirement ID],0))),"",INDEX(Backlog[Stream Owner],MATCH($A259,Backlog[Requirement ID],0))),"")</f>
        <v/>
      </c>
      <c r="E259" s="1" t="str">
        <f aca="false">IFERROR(IF(ISBLANK(INDEX(Backlog[Jira Link],MATCH($A259,Backlog[Requirement ID],0))),"",INDEX(Backlog[Jira Link],MATCH($A259,Backlog[Requirement ID],0))),"")</f>
        <v/>
      </c>
      <c r="H259" s="1" t="str">
        <f aca="false">IFERROR(IF(ISBLANK(INDEX(SprintPlanning[Sprint],MATCH($A259,SprintPlanning[Requirement ID],0))),"",INDEX(SprintPlanning[Sprint],MATCH($A259,SprintPlanning[Requirement ID],0))),"")</f>
        <v/>
      </c>
      <c r="I259" s="1" t="str">
        <f aca="false">IFERROR(IF(ISBLANK(INDEX(Backlog[Status],MATCH($A259,Backlog[Requirement ID],0))),"",INDEX(Backlog[Status],MATCH($A259,Backlog[Requirement ID],0))),"")</f>
        <v/>
      </c>
      <c r="J259" s="1" t="str">
        <f aca="false">IFERROR(IF(ISBLANK(INDEX(Backlog[Priority],MATCH($A259,Backlog[Requirement ID],0))),"",INDEX(Backlog[Priority],MATCH($A259,Backlog[Requirement ID],0))),"")</f>
        <v/>
      </c>
      <c r="L259" s="57"/>
      <c r="M259" s="57"/>
      <c r="O259" s="57"/>
    </row>
    <row r="260" customFormat="false" ht="15" hidden="false" customHeight="true" outlineLevel="0" collapsed="false">
      <c r="A260" s="1" t="str">
        <f aca="false">Backlog!A260</f>
        <v/>
      </c>
      <c r="B260" s="1" t="str">
        <f aca="false">IFERROR(IF(ISBLANK(INDEX(Backlog[Requirement Name],MATCH($A260,Backlog[Requirement ID],0))),"",INDEX(Backlog[Requirement Name],MATCH($A260,Backlog[Requirement ID],0))),"")</f>
        <v/>
      </c>
      <c r="C260" s="1" t="str">
        <f aca="false">IFERROR(IF(ISBLANK(INDEX(Backlog[Stream],MATCH($A260,Backlog[Requirement ID],0))),"",INDEX(Backlog[Stream],MATCH($A260,Backlog[Requirement ID],0))),"")</f>
        <v/>
      </c>
      <c r="D260" s="1" t="str">
        <f aca="false">IFERROR(IF(ISBLANK(INDEX(Backlog[Stream Owner],MATCH($A260,Backlog[Requirement ID],0))),"",INDEX(Backlog[Stream Owner],MATCH($A260,Backlog[Requirement ID],0))),"")</f>
        <v/>
      </c>
      <c r="E260" s="1" t="str">
        <f aca="false">IFERROR(IF(ISBLANK(INDEX(Backlog[Jira Link],MATCH($A260,Backlog[Requirement ID],0))),"",INDEX(Backlog[Jira Link],MATCH($A260,Backlog[Requirement ID],0))),"")</f>
        <v/>
      </c>
      <c r="H260" s="1" t="str">
        <f aca="false">IFERROR(IF(ISBLANK(INDEX(SprintPlanning[Sprint],MATCH($A260,SprintPlanning[Requirement ID],0))),"",INDEX(SprintPlanning[Sprint],MATCH($A260,SprintPlanning[Requirement ID],0))),"")</f>
        <v/>
      </c>
      <c r="I260" s="1" t="str">
        <f aca="false">IFERROR(IF(ISBLANK(INDEX(Backlog[Status],MATCH($A260,Backlog[Requirement ID],0))),"",INDEX(Backlog[Status],MATCH($A260,Backlog[Requirement ID],0))),"")</f>
        <v/>
      </c>
      <c r="J260" s="1" t="str">
        <f aca="false">IFERROR(IF(ISBLANK(INDEX(Backlog[Priority],MATCH($A260,Backlog[Requirement ID],0))),"",INDEX(Backlog[Priority],MATCH($A260,Backlog[Requirement ID],0))),"")</f>
        <v/>
      </c>
      <c r="L260" s="57"/>
      <c r="M260" s="57"/>
      <c r="O260" s="57"/>
    </row>
    <row r="261" customFormat="false" ht="15" hidden="false" customHeight="true" outlineLevel="0" collapsed="false">
      <c r="A261" s="1" t="str">
        <f aca="false">Backlog!A261</f>
        <v/>
      </c>
      <c r="B261" s="1" t="str">
        <f aca="false">IFERROR(IF(ISBLANK(INDEX(Backlog[Requirement Name],MATCH($A261,Backlog[Requirement ID],0))),"",INDEX(Backlog[Requirement Name],MATCH($A261,Backlog[Requirement ID],0))),"")</f>
        <v/>
      </c>
      <c r="C261" s="1" t="str">
        <f aca="false">IFERROR(IF(ISBLANK(INDEX(Backlog[Stream],MATCH($A261,Backlog[Requirement ID],0))),"",INDEX(Backlog[Stream],MATCH($A261,Backlog[Requirement ID],0))),"")</f>
        <v/>
      </c>
      <c r="D261" s="1" t="str">
        <f aca="false">IFERROR(IF(ISBLANK(INDEX(Backlog[Stream Owner],MATCH($A261,Backlog[Requirement ID],0))),"",INDEX(Backlog[Stream Owner],MATCH($A261,Backlog[Requirement ID],0))),"")</f>
        <v/>
      </c>
      <c r="E261" s="1" t="str">
        <f aca="false">IFERROR(IF(ISBLANK(INDEX(Backlog[Jira Link],MATCH($A261,Backlog[Requirement ID],0))),"",INDEX(Backlog[Jira Link],MATCH($A261,Backlog[Requirement ID],0))),"")</f>
        <v/>
      </c>
      <c r="H261" s="1" t="str">
        <f aca="false">IFERROR(IF(ISBLANK(INDEX(SprintPlanning[Sprint],MATCH($A261,SprintPlanning[Requirement ID],0))),"",INDEX(SprintPlanning[Sprint],MATCH($A261,SprintPlanning[Requirement ID],0))),"")</f>
        <v/>
      </c>
      <c r="I261" s="1" t="str">
        <f aca="false">IFERROR(IF(ISBLANK(INDEX(Backlog[Status],MATCH($A261,Backlog[Requirement ID],0))),"",INDEX(Backlog[Status],MATCH($A261,Backlog[Requirement ID],0))),"")</f>
        <v/>
      </c>
      <c r="J261" s="1" t="str">
        <f aca="false">IFERROR(IF(ISBLANK(INDEX(Backlog[Priority],MATCH($A261,Backlog[Requirement ID],0))),"",INDEX(Backlog[Priority],MATCH($A261,Backlog[Requirement ID],0))),"")</f>
        <v/>
      </c>
      <c r="L261" s="57"/>
      <c r="M261" s="57"/>
      <c r="O261" s="57"/>
    </row>
    <row r="262" customFormat="false" ht="15" hidden="false" customHeight="true" outlineLevel="0" collapsed="false">
      <c r="A262" s="1" t="str">
        <f aca="false">Backlog!A262</f>
        <v/>
      </c>
      <c r="B262" s="1" t="str">
        <f aca="false">IFERROR(IF(ISBLANK(INDEX(Backlog[Requirement Name],MATCH($A262,Backlog[Requirement ID],0))),"",INDEX(Backlog[Requirement Name],MATCH($A262,Backlog[Requirement ID],0))),"")</f>
        <v/>
      </c>
      <c r="C262" s="1" t="str">
        <f aca="false">IFERROR(IF(ISBLANK(INDEX(Backlog[Stream],MATCH($A262,Backlog[Requirement ID],0))),"",INDEX(Backlog[Stream],MATCH($A262,Backlog[Requirement ID],0))),"")</f>
        <v/>
      </c>
      <c r="D262" s="1" t="str">
        <f aca="false">IFERROR(IF(ISBLANK(INDEX(Backlog[Stream Owner],MATCH($A262,Backlog[Requirement ID],0))),"",INDEX(Backlog[Stream Owner],MATCH($A262,Backlog[Requirement ID],0))),"")</f>
        <v/>
      </c>
      <c r="E262" s="1" t="str">
        <f aca="false">IFERROR(IF(ISBLANK(INDEX(Backlog[Jira Link],MATCH($A262,Backlog[Requirement ID],0))),"",INDEX(Backlog[Jira Link],MATCH($A262,Backlog[Requirement ID],0))),"")</f>
        <v/>
      </c>
      <c r="H262" s="1" t="str">
        <f aca="false">IFERROR(IF(ISBLANK(INDEX(SprintPlanning[Sprint],MATCH($A262,SprintPlanning[Requirement ID],0))),"",INDEX(SprintPlanning[Sprint],MATCH($A262,SprintPlanning[Requirement ID],0))),"")</f>
        <v/>
      </c>
      <c r="I262" s="1" t="str">
        <f aca="false">IFERROR(IF(ISBLANK(INDEX(Backlog[Status],MATCH($A262,Backlog[Requirement ID],0))),"",INDEX(Backlog[Status],MATCH($A262,Backlog[Requirement ID],0))),"")</f>
        <v/>
      </c>
      <c r="J262" s="1" t="str">
        <f aca="false">IFERROR(IF(ISBLANK(INDEX(Backlog[Priority],MATCH($A262,Backlog[Requirement ID],0))),"",INDEX(Backlog[Priority],MATCH($A262,Backlog[Requirement ID],0))),"")</f>
        <v/>
      </c>
      <c r="L262" s="57"/>
      <c r="M262" s="57"/>
      <c r="O262" s="57"/>
    </row>
    <row r="263" customFormat="false" ht="15" hidden="false" customHeight="true" outlineLevel="0" collapsed="false">
      <c r="A263" s="1" t="str">
        <f aca="false">Backlog!A263</f>
        <v/>
      </c>
      <c r="B263" s="1" t="str">
        <f aca="false">IFERROR(IF(ISBLANK(INDEX(Backlog[Requirement Name],MATCH($A263,Backlog[Requirement ID],0))),"",INDEX(Backlog[Requirement Name],MATCH($A263,Backlog[Requirement ID],0))),"")</f>
        <v/>
      </c>
      <c r="C263" s="1" t="str">
        <f aca="false">IFERROR(IF(ISBLANK(INDEX(Backlog[Stream],MATCH($A263,Backlog[Requirement ID],0))),"",INDEX(Backlog[Stream],MATCH($A263,Backlog[Requirement ID],0))),"")</f>
        <v/>
      </c>
      <c r="D263" s="1" t="str">
        <f aca="false">IFERROR(IF(ISBLANK(INDEX(Backlog[Stream Owner],MATCH($A263,Backlog[Requirement ID],0))),"",INDEX(Backlog[Stream Owner],MATCH($A263,Backlog[Requirement ID],0))),"")</f>
        <v/>
      </c>
      <c r="E263" s="1" t="str">
        <f aca="false">IFERROR(IF(ISBLANK(INDEX(Backlog[Jira Link],MATCH($A263,Backlog[Requirement ID],0))),"",INDEX(Backlog[Jira Link],MATCH($A263,Backlog[Requirement ID],0))),"")</f>
        <v/>
      </c>
      <c r="H263" s="1" t="str">
        <f aca="false">IFERROR(IF(ISBLANK(INDEX(SprintPlanning[Sprint],MATCH($A263,SprintPlanning[Requirement ID],0))),"",INDEX(SprintPlanning[Sprint],MATCH($A263,SprintPlanning[Requirement ID],0))),"")</f>
        <v/>
      </c>
      <c r="I263" s="1" t="str">
        <f aca="false">IFERROR(IF(ISBLANK(INDEX(Backlog[Status],MATCH($A263,Backlog[Requirement ID],0))),"",INDEX(Backlog[Status],MATCH($A263,Backlog[Requirement ID],0))),"")</f>
        <v/>
      </c>
      <c r="J263" s="1" t="str">
        <f aca="false">IFERROR(IF(ISBLANK(INDEX(Backlog[Priority],MATCH($A263,Backlog[Requirement ID],0))),"",INDEX(Backlog[Priority],MATCH($A263,Backlog[Requirement ID],0))),"")</f>
        <v/>
      </c>
      <c r="L263" s="57"/>
      <c r="M263" s="57"/>
      <c r="O263" s="57"/>
    </row>
    <row r="264" customFormat="false" ht="15" hidden="false" customHeight="true" outlineLevel="0" collapsed="false">
      <c r="A264" s="1" t="str">
        <f aca="false">Backlog!A264</f>
        <v/>
      </c>
      <c r="B264" s="1" t="str">
        <f aca="false">IFERROR(IF(ISBLANK(INDEX(Backlog[Requirement Name],MATCH($A264,Backlog[Requirement ID],0))),"",INDEX(Backlog[Requirement Name],MATCH($A264,Backlog[Requirement ID],0))),"")</f>
        <v/>
      </c>
      <c r="C264" s="1" t="str">
        <f aca="false">IFERROR(IF(ISBLANK(INDEX(Backlog[Stream],MATCH($A264,Backlog[Requirement ID],0))),"",INDEX(Backlog[Stream],MATCH($A264,Backlog[Requirement ID],0))),"")</f>
        <v/>
      </c>
      <c r="D264" s="1" t="str">
        <f aca="false">IFERROR(IF(ISBLANK(INDEX(Backlog[Stream Owner],MATCH($A264,Backlog[Requirement ID],0))),"",INDEX(Backlog[Stream Owner],MATCH($A264,Backlog[Requirement ID],0))),"")</f>
        <v/>
      </c>
      <c r="E264" s="1" t="str">
        <f aca="false">IFERROR(IF(ISBLANK(INDEX(Backlog[Jira Link],MATCH($A264,Backlog[Requirement ID],0))),"",INDEX(Backlog[Jira Link],MATCH($A264,Backlog[Requirement ID],0))),"")</f>
        <v/>
      </c>
      <c r="H264" s="1" t="str">
        <f aca="false">IFERROR(IF(ISBLANK(INDEX(SprintPlanning[Sprint],MATCH($A264,SprintPlanning[Requirement ID],0))),"",INDEX(SprintPlanning[Sprint],MATCH($A264,SprintPlanning[Requirement ID],0))),"")</f>
        <v/>
      </c>
      <c r="I264" s="1" t="str">
        <f aca="false">IFERROR(IF(ISBLANK(INDEX(Backlog[Status],MATCH($A264,Backlog[Requirement ID],0))),"",INDEX(Backlog[Status],MATCH($A264,Backlog[Requirement ID],0))),"")</f>
        <v/>
      </c>
      <c r="J264" s="1" t="str">
        <f aca="false">IFERROR(IF(ISBLANK(INDEX(Backlog[Priority],MATCH($A264,Backlog[Requirement ID],0))),"",INDEX(Backlog[Priority],MATCH($A264,Backlog[Requirement ID],0))),"")</f>
        <v/>
      </c>
      <c r="L264" s="57"/>
      <c r="M264" s="57"/>
      <c r="O264" s="57"/>
    </row>
    <row r="265" customFormat="false" ht="15" hidden="false" customHeight="true" outlineLevel="0" collapsed="false">
      <c r="A265" s="1" t="str">
        <f aca="false">Backlog!A265</f>
        <v/>
      </c>
      <c r="B265" s="1" t="str">
        <f aca="false">IFERROR(IF(ISBLANK(INDEX(Backlog[Requirement Name],MATCH($A265,Backlog[Requirement ID],0))),"",INDEX(Backlog[Requirement Name],MATCH($A265,Backlog[Requirement ID],0))),"")</f>
        <v/>
      </c>
      <c r="C265" s="1" t="str">
        <f aca="false">IFERROR(IF(ISBLANK(INDEX(Backlog[Stream],MATCH($A265,Backlog[Requirement ID],0))),"",INDEX(Backlog[Stream],MATCH($A265,Backlog[Requirement ID],0))),"")</f>
        <v/>
      </c>
      <c r="D265" s="1" t="str">
        <f aca="false">IFERROR(IF(ISBLANK(INDEX(Backlog[Stream Owner],MATCH($A265,Backlog[Requirement ID],0))),"",INDEX(Backlog[Stream Owner],MATCH($A265,Backlog[Requirement ID],0))),"")</f>
        <v/>
      </c>
      <c r="E265" s="1" t="str">
        <f aca="false">IFERROR(IF(ISBLANK(INDEX(Backlog[Jira Link],MATCH($A265,Backlog[Requirement ID],0))),"",INDEX(Backlog[Jira Link],MATCH($A265,Backlog[Requirement ID],0))),"")</f>
        <v/>
      </c>
      <c r="H265" s="1" t="str">
        <f aca="false">IFERROR(IF(ISBLANK(INDEX(SprintPlanning[Sprint],MATCH($A265,SprintPlanning[Requirement ID],0))),"",INDEX(SprintPlanning[Sprint],MATCH($A265,SprintPlanning[Requirement ID],0))),"")</f>
        <v/>
      </c>
      <c r="I265" s="1" t="str">
        <f aca="false">IFERROR(IF(ISBLANK(INDEX(Backlog[Status],MATCH($A265,Backlog[Requirement ID],0))),"",INDEX(Backlog[Status],MATCH($A265,Backlog[Requirement ID],0))),"")</f>
        <v/>
      </c>
      <c r="J265" s="1" t="str">
        <f aca="false">IFERROR(IF(ISBLANK(INDEX(Backlog[Priority],MATCH($A265,Backlog[Requirement ID],0))),"",INDEX(Backlog[Priority],MATCH($A265,Backlog[Requirement ID],0))),"")</f>
        <v/>
      </c>
      <c r="L265" s="57"/>
      <c r="M265" s="57"/>
      <c r="O265" s="57"/>
    </row>
    <row r="266" customFormat="false" ht="15" hidden="false" customHeight="true" outlineLevel="0" collapsed="false">
      <c r="A266" s="1" t="str">
        <f aca="false">Backlog!A266</f>
        <v/>
      </c>
      <c r="B266" s="1" t="str">
        <f aca="false">IFERROR(IF(ISBLANK(INDEX(Backlog[Requirement Name],MATCH($A266,Backlog[Requirement ID],0))),"",INDEX(Backlog[Requirement Name],MATCH($A266,Backlog[Requirement ID],0))),"")</f>
        <v/>
      </c>
      <c r="C266" s="1" t="str">
        <f aca="false">IFERROR(IF(ISBLANK(INDEX(Backlog[Stream],MATCH($A266,Backlog[Requirement ID],0))),"",INDEX(Backlog[Stream],MATCH($A266,Backlog[Requirement ID],0))),"")</f>
        <v/>
      </c>
      <c r="D266" s="1" t="str">
        <f aca="false">IFERROR(IF(ISBLANK(INDEX(Backlog[Stream Owner],MATCH($A266,Backlog[Requirement ID],0))),"",INDEX(Backlog[Stream Owner],MATCH($A266,Backlog[Requirement ID],0))),"")</f>
        <v/>
      </c>
      <c r="E266" s="1" t="str">
        <f aca="false">IFERROR(IF(ISBLANK(INDEX(Backlog[Jira Link],MATCH($A266,Backlog[Requirement ID],0))),"",INDEX(Backlog[Jira Link],MATCH($A266,Backlog[Requirement ID],0))),"")</f>
        <v/>
      </c>
      <c r="H266" s="1" t="str">
        <f aca="false">IFERROR(IF(ISBLANK(INDEX(SprintPlanning[Sprint],MATCH($A266,SprintPlanning[Requirement ID],0))),"",INDEX(SprintPlanning[Sprint],MATCH($A266,SprintPlanning[Requirement ID],0))),"")</f>
        <v/>
      </c>
      <c r="I266" s="1" t="str">
        <f aca="false">IFERROR(IF(ISBLANK(INDEX(Backlog[Status],MATCH($A266,Backlog[Requirement ID],0))),"",INDEX(Backlog[Status],MATCH($A266,Backlog[Requirement ID],0))),"")</f>
        <v/>
      </c>
      <c r="J266" s="1" t="str">
        <f aca="false">IFERROR(IF(ISBLANK(INDEX(Backlog[Priority],MATCH($A266,Backlog[Requirement ID],0))),"",INDEX(Backlog[Priority],MATCH($A266,Backlog[Requirement ID],0))),"")</f>
        <v/>
      </c>
      <c r="L266" s="57"/>
      <c r="M266" s="57"/>
      <c r="O266" s="57"/>
    </row>
    <row r="267" customFormat="false" ht="15" hidden="false" customHeight="true" outlineLevel="0" collapsed="false">
      <c r="A267" s="1" t="str">
        <f aca="false">Backlog!A267</f>
        <v/>
      </c>
      <c r="B267" s="1" t="str">
        <f aca="false">IFERROR(IF(ISBLANK(INDEX(Backlog[Requirement Name],MATCH($A267,Backlog[Requirement ID],0))),"",INDEX(Backlog[Requirement Name],MATCH($A267,Backlog[Requirement ID],0))),"")</f>
        <v/>
      </c>
      <c r="C267" s="1" t="str">
        <f aca="false">IFERROR(IF(ISBLANK(INDEX(Backlog[Stream],MATCH($A267,Backlog[Requirement ID],0))),"",INDEX(Backlog[Stream],MATCH($A267,Backlog[Requirement ID],0))),"")</f>
        <v/>
      </c>
      <c r="D267" s="1" t="str">
        <f aca="false">IFERROR(IF(ISBLANK(INDEX(Backlog[Stream Owner],MATCH($A267,Backlog[Requirement ID],0))),"",INDEX(Backlog[Stream Owner],MATCH($A267,Backlog[Requirement ID],0))),"")</f>
        <v/>
      </c>
      <c r="E267" s="1" t="str">
        <f aca="false">IFERROR(IF(ISBLANK(INDEX(Backlog[Jira Link],MATCH($A267,Backlog[Requirement ID],0))),"",INDEX(Backlog[Jira Link],MATCH($A267,Backlog[Requirement ID],0))),"")</f>
        <v/>
      </c>
      <c r="H267" s="1" t="str">
        <f aca="false">IFERROR(IF(ISBLANK(INDEX(SprintPlanning[Sprint],MATCH($A267,SprintPlanning[Requirement ID],0))),"",INDEX(SprintPlanning[Sprint],MATCH($A267,SprintPlanning[Requirement ID],0))),"")</f>
        <v/>
      </c>
      <c r="I267" s="1" t="str">
        <f aca="false">IFERROR(IF(ISBLANK(INDEX(Backlog[Status],MATCH($A267,Backlog[Requirement ID],0))),"",INDEX(Backlog[Status],MATCH($A267,Backlog[Requirement ID],0))),"")</f>
        <v/>
      </c>
      <c r="J267" s="1" t="str">
        <f aca="false">IFERROR(IF(ISBLANK(INDEX(Backlog[Priority],MATCH($A267,Backlog[Requirement ID],0))),"",INDEX(Backlog[Priority],MATCH($A267,Backlog[Requirement ID],0))),"")</f>
        <v/>
      </c>
      <c r="L267" s="57"/>
      <c r="M267" s="57"/>
      <c r="O267" s="57"/>
    </row>
    <row r="268" customFormat="false" ht="15" hidden="false" customHeight="true" outlineLevel="0" collapsed="false">
      <c r="A268" s="1" t="str">
        <f aca="false">Backlog!A268</f>
        <v/>
      </c>
      <c r="B268" s="1" t="str">
        <f aca="false">IFERROR(IF(ISBLANK(INDEX(Backlog[Requirement Name],MATCH($A268,Backlog[Requirement ID],0))),"",INDEX(Backlog[Requirement Name],MATCH($A268,Backlog[Requirement ID],0))),"")</f>
        <v/>
      </c>
      <c r="C268" s="1" t="str">
        <f aca="false">IFERROR(IF(ISBLANK(INDEX(Backlog[Stream],MATCH($A268,Backlog[Requirement ID],0))),"",INDEX(Backlog[Stream],MATCH($A268,Backlog[Requirement ID],0))),"")</f>
        <v/>
      </c>
      <c r="D268" s="1" t="str">
        <f aca="false">IFERROR(IF(ISBLANK(INDEX(Backlog[Stream Owner],MATCH($A268,Backlog[Requirement ID],0))),"",INDEX(Backlog[Stream Owner],MATCH($A268,Backlog[Requirement ID],0))),"")</f>
        <v/>
      </c>
      <c r="E268" s="1" t="str">
        <f aca="false">IFERROR(IF(ISBLANK(INDEX(Backlog[Jira Link],MATCH($A268,Backlog[Requirement ID],0))),"",INDEX(Backlog[Jira Link],MATCH($A268,Backlog[Requirement ID],0))),"")</f>
        <v/>
      </c>
      <c r="H268" s="1" t="str">
        <f aca="false">IFERROR(IF(ISBLANK(INDEX(SprintPlanning[Sprint],MATCH($A268,SprintPlanning[Requirement ID],0))),"",INDEX(SprintPlanning[Sprint],MATCH($A268,SprintPlanning[Requirement ID],0))),"")</f>
        <v/>
      </c>
      <c r="I268" s="1" t="str">
        <f aca="false">IFERROR(IF(ISBLANK(INDEX(Backlog[Status],MATCH($A268,Backlog[Requirement ID],0))),"",INDEX(Backlog[Status],MATCH($A268,Backlog[Requirement ID],0))),"")</f>
        <v/>
      </c>
      <c r="J268" s="1" t="str">
        <f aca="false">IFERROR(IF(ISBLANK(INDEX(Backlog[Priority],MATCH($A268,Backlog[Requirement ID],0))),"",INDEX(Backlog[Priority],MATCH($A268,Backlog[Requirement ID],0))),"")</f>
        <v/>
      </c>
      <c r="L268" s="57"/>
      <c r="M268" s="57"/>
      <c r="O268" s="57"/>
    </row>
    <row r="269" customFormat="false" ht="15" hidden="false" customHeight="true" outlineLevel="0" collapsed="false">
      <c r="A269" s="1" t="str">
        <f aca="false">Backlog!A269</f>
        <v/>
      </c>
      <c r="B269" s="1" t="str">
        <f aca="false">IFERROR(IF(ISBLANK(INDEX(Backlog[Requirement Name],MATCH($A269,Backlog[Requirement ID],0))),"",INDEX(Backlog[Requirement Name],MATCH($A269,Backlog[Requirement ID],0))),"")</f>
        <v/>
      </c>
      <c r="C269" s="1" t="str">
        <f aca="false">IFERROR(IF(ISBLANK(INDEX(Backlog[Stream],MATCH($A269,Backlog[Requirement ID],0))),"",INDEX(Backlog[Stream],MATCH($A269,Backlog[Requirement ID],0))),"")</f>
        <v/>
      </c>
      <c r="D269" s="1" t="str">
        <f aca="false">IFERROR(IF(ISBLANK(INDEX(Backlog[Stream Owner],MATCH($A269,Backlog[Requirement ID],0))),"",INDEX(Backlog[Stream Owner],MATCH($A269,Backlog[Requirement ID],0))),"")</f>
        <v/>
      </c>
      <c r="E269" s="1" t="str">
        <f aca="false">IFERROR(IF(ISBLANK(INDEX(Backlog[Jira Link],MATCH($A269,Backlog[Requirement ID],0))),"",INDEX(Backlog[Jira Link],MATCH($A269,Backlog[Requirement ID],0))),"")</f>
        <v/>
      </c>
      <c r="H269" s="1" t="str">
        <f aca="false">IFERROR(IF(ISBLANK(INDEX(SprintPlanning[Sprint],MATCH($A269,SprintPlanning[Requirement ID],0))),"",INDEX(SprintPlanning[Sprint],MATCH($A269,SprintPlanning[Requirement ID],0))),"")</f>
        <v/>
      </c>
      <c r="I269" s="1" t="str">
        <f aca="false">IFERROR(IF(ISBLANK(INDEX(Backlog[Status],MATCH($A269,Backlog[Requirement ID],0))),"",INDEX(Backlog[Status],MATCH($A269,Backlog[Requirement ID],0))),"")</f>
        <v/>
      </c>
      <c r="J269" s="1" t="str">
        <f aca="false">IFERROR(IF(ISBLANK(INDEX(Backlog[Priority],MATCH($A269,Backlog[Requirement ID],0))),"",INDEX(Backlog[Priority],MATCH($A269,Backlog[Requirement ID],0))),"")</f>
        <v/>
      </c>
      <c r="L269" s="57"/>
      <c r="M269" s="57"/>
      <c r="O269" s="57"/>
    </row>
    <row r="270" customFormat="false" ht="15" hidden="false" customHeight="true" outlineLevel="0" collapsed="false">
      <c r="A270" s="1" t="str">
        <f aca="false">Backlog!A270</f>
        <v/>
      </c>
      <c r="B270" s="1" t="str">
        <f aca="false">IFERROR(IF(ISBLANK(INDEX(Backlog[Requirement Name],MATCH($A270,Backlog[Requirement ID],0))),"",INDEX(Backlog[Requirement Name],MATCH($A270,Backlog[Requirement ID],0))),"")</f>
        <v/>
      </c>
      <c r="C270" s="1" t="str">
        <f aca="false">IFERROR(IF(ISBLANK(INDEX(Backlog[Stream],MATCH($A270,Backlog[Requirement ID],0))),"",INDEX(Backlog[Stream],MATCH($A270,Backlog[Requirement ID],0))),"")</f>
        <v/>
      </c>
      <c r="D270" s="1" t="str">
        <f aca="false">IFERROR(IF(ISBLANK(INDEX(Backlog[Stream Owner],MATCH($A270,Backlog[Requirement ID],0))),"",INDEX(Backlog[Stream Owner],MATCH($A270,Backlog[Requirement ID],0))),"")</f>
        <v/>
      </c>
      <c r="E270" s="1" t="str">
        <f aca="false">IFERROR(IF(ISBLANK(INDEX(Backlog[Jira Link],MATCH($A270,Backlog[Requirement ID],0))),"",INDEX(Backlog[Jira Link],MATCH($A270,Backlog[Requirement ID],0))),"")</f>
        <v/>
      </c>
      <c r="H270" s="1" t="str">
        <f aca="false">IFERROR(IF(ISBLANK(INDEX(SprintPlanning[Sprint],MATCH($A270,SprintPlanning[Requirement ID],0))),"",INDEX(SprintPlanning[Sprint],MATCH($A270,SprintPlanning[Requirement ID],0))),"")</f>
        <v/>
      </c>
      <c r="I270" s="1" t="str">
        <f aca="false">IFERROR(IF(ISBLANK(INDEX(Backlog[Status],MATCH($A270,Backlog[Requirement ID],0))),"",INDEX(Backlog[Status],MATCH($A270,Backlog[Requirement ID],0))),"")</f>
        <v/>
      </c>
      <c r="J270" s="1" t="str">
        <f aca="false">IFERROR(IF(ISBLANK(INDEX(Backlog[Priority],MATCH($A270,Backlog[Requirement ID],0))),"",INDEX(Backlog[Priority],MATCH($A270,Backlog[Requirement ID],0))),"")</f>
        <v/>
      </c>
      <c r="L270" s="57"/>
      <c r="M270" s="57"/>
      <c r="O270" s="57"/>
    </row>
    <row r="271" customFormat="false" ht="15" hidden="false" customHeight="true" outlineLevel="0" collapsed="false">
      <c r="A271" s="1" t="str">
        <f aca="false">Backlog!A271</f>
        <v/>
      </c>
      <c r="B271" s="1" t="str">
        <f aca="false">IFERROR(IF(ISBLANK(INDEX(Backlog[Requirement Name],MATCH($A271,Backlog[Requirement ID],0))),"",INDEX(Backlog[Requirement Name],MATCH($A271,Backlog[Requirement ID],0))),"")</f>
        <v/>
      </c>
      <c r="C271" s="1" t="str">
        <f aca="false">IFERROR(IF(ISBLANK(INDEX(Backlog[Stream],MATCH($A271,Backlog[Requirement ID],0))),"",INDEX(Backlog[Stream],MATCH($A271,Backlog[Requirement ID],0))),"")</f>
        <v/>
      </c>
      <c r="D271" s="1" t="str">
        <f aca="false">IFERROR(IF(ISBLANK(INDEX(Backlog[Stream Owner],MATCH($A271,Backlog[Requirement ID],0))),"",INDEX(Backlog[Stream Owner],MATCH($A271,Backlog[Requirement ID],0))),"")</f>
        <v/>
      </c>
      <c r="E271" s="1" t="str">
        <f aca="false">IFERROR(IF(ISBLANK(INDEX(Backlog[Jira Link],MATCH($A271,Backlog[Requirement ID],0))),"",INDEX(Backlog[Jira Link],MATCH($A271,Backlog[Requirement ID],0))),"")</f>
        <v/>
      </c>
      <c r="H271" s="1" t="str">
        <f aca="false">IFERROR(IF(ISBLANK(INDEX(SprintPlanning[Sprint],MATCH($A271,SprintPlanning[Requirement ID],0))),"",INDEX(SprintPlanning[Sprint],MATCH($A271,SprintPlanning[Requirement ID],0))),"")</f>
        <v/>
      </c>
      <c r="I271" s="1" t="str">
        <f aca="false">IFERROR(IF(ISBLANK(INDEX(Backlog[Status],MATCH($A271,Backlog[Requirement ID],0))),"",INDEX(Backlog[Status],MATCH($A271,Backlog[Requirement ID],0))),"")</f>
        <v/>
      </c>
      <c r="J271" s="1" t="str">
        <f aca="false">IFERROR(IF(ISBLANK(INDEX(Backlog[Priority],MATCH($A271,Backlog[Requirement ID],0))),"",INDEX(Backlog[Priority],MATCH($A271,Backlog[Requirement ID],0))),"")</f>
        <v/>
      </c>
      <c r="L271" s="57"/>
      <c r="M271" s="57"/>
      <c r="O271" s="57"/>
    </row>
    <row r="272" customFormat="false" ht="15" hidden="false" customHeight="true" outlineLevel="0" collapsed="false">
      <c r="A272" s="1" t="str">
        <f aca="false">Backlog!A272</f>
        <v/>
      </c>
      <c r="B272" s="1" t="str">
        <f aca="false">IFERROR(IF(ISBLANK(INDEX(Backlog[Requirement Name],MATCH($A272,Backlog[Requirement ID],0))),"",INDEX(Backlog[Requirement Name],MATCH($A272,Backlog[Requirement ID],0))),"")</f>
        <v/>
      </c>
      <c r="C272" s="1" t="str">
        <f aca="false">IFERROR(IF(ISBLANK(INDEX(Backlog[Stream],MATCH($A272,Backlog[Requirement ID],0))),"",INDEX(Backlog[Stream],MATCH($A272,Backlog[Requirement ID],0))),"")</f>
        <v/>
      </c>
      <c r="D272" s="1" t="str">
        <f aca="false">IFERROR(IF(ISBLANK(INDEX(Backlog[Stream Owner],MATCH($A272,Backlog[Requirement ID],0))),"",INDEX(Backlog[Stream Owner],MATCH($A272,Backlog[Requirement ID],0))),"")</f>
        <v/>
      </c>
      <c r="E272" s="1" t="str">
        <f aca="false">IFERROR(IF(ISBLANK(INDEX(Backlog[Jira Link],MATCH($A272,Backlog[Requirement ID],0))),"",INDEX(Backlog[Jira Link],MATCH($A272,Backlog[Requirement ID],0))),"")</f>
        <v/>
      </c>
      <c r="H272" s="1" t="str">
        <f aca="false">IFERROR(IF(ISBLANK(INDEX(SprintPlanning[Sprint],MATCH($A272,SprintPlanning[Requirement ID],0))),"",INDEX(SprintPlanning[Sprint],MATCH($A272,SprintPlanning[Requirement ID],0))),"")</f>
        <v/>
      </c>
      <c r="I272" s="1" t="str">
        <f aca="false">IFERROR(IF(ISBLANK(INDEX(Backlog[Status],MATCH($A272,Backlog[Requirement ID],0))),"",INDEX(Backlog[Status],MATCH($A272,Backlog[Requirement ID],0))),"")</f>
        <v/>
      </c>
      <c r="J272" s="1" t="str">
        <f aca="false">IFERROR(IF(ISBLANK(INDEX(Backlog[Priority],MATCH($A272,Backlog[Requirement ID],0))),"",INDEX(Backlog[Priority],MATCH($A272,Backlog[Requirement ID],0))),"")</f>
        <v/>
      </c>
      <c r="L272" s="57"/>
      <c r="M272" s="57"/>
      <c r="O272" s="57"/>
    </row>
    <row r="273" customFormat="false" ht="15" hidden="false" customHeight="true" outlineLevel="0" collapsed="false">
      <c r="A273" s="1" t="str">
        <f aca="false">Backlog!A273</f>
        <v/>
      </c>
      <c r="B273" s="1" t="str">
        <f aca="false">IFERROR(IF(ISBLANK(INDEX(Backlog[Requirement Name],MATCH($A273,Backlog[Requirement ID],0))),"",INDEX(Backlog[Requirement Name],MATCH($A273,Backlog[Requirement ID],0))),"")</f>
        <v/>
      </c>
      <c r="C273" s="1" t="str">
        <f aca="false">IFERROR(IF(ISBLANK(INDEX(Backlog[Stream],MATCH($A273,Backlog[Requirement ID],0))),"",INDEX(Backlog[Stream],MATCH($A273,Backlog[Requirement ID],0))),"")</f>
        <v/>
      </c>
      <c r="D273" s="1" t="str">
        <f aca="false">IFERROR(IF(ISBLANK(INDEX(Backlog[Stream Owner],MATCH($A273,Backlog[Requirement ID],0))),"",INDEX(Backlog[Stream Owner],MATCH($A273,Backlog[Requirement ID],0))),"")</f>
        <v/>
      </c>
      <c r="E273" s="1" t="str">
        <f aca="false">IFERROR(IF(ISBLANK(INDEX(Backlog[Jira Link],MATCH($A273,Backlog[Requirement ID],0))),"",INDEX(Backlog[Jira Link],MATCH($A273,Backlog[Requirement ID],0))),"")</f>
        <v/>
      </c>
      <c r="H273" s="1" t="str">
        <f aca="false">IFERROR(IF(ISBLANK(INDEX(SprintPlanning[Sprint],MATCH($A273,SprintPlanning[Requirement ID],0))),"",INDEX(SprintPlanning[Sprint],MATCH($A273,SprintPlanning[Requirement ID],0))),"")</f>
        <v/>
      </c>
      <c r="I273" s="1" t="str">
        <f aca="false">IFERROR(IF(ISBLANK(INDEX(Backlog[Status],MATCH($A273,Backlog[Requirement ID],0))),"",INDEX(Backlog[Status],MATCH($A273,Backlog[Requirement ID],0))),"")</f>
        <v/>
      </c>
      <c r="J273" s="1" t="str">
        <f aca="false">IFERROR(IF(ISBLANK(INDEX(Backlog[Priority],MATCH($A273,Backlog[Requirement ID],0))),"",INDEX(Backlog[Priority],MATCH($A273,Backlog[Requirement ID],0))),"")</f>
        <v/>
      </c>
      <c r="L273" s="57"/>
      <c r="M273" s="57"/>
      <c r="O273" s="57"/>
    </row>
    <row r="274" customFormat="false" ht="15" hidden="false" customHeight="true" outlineLevel="0" collapsed="false">
      <c r="A274" s="1" t="str">
        <f aca="false">Backlog!A274</f>
        <v/>
      </c>
      <c r="B274" s="1" t="str">
        <f aca="false">IFERROR(IF(ISBLANK(INDEX(Backlog[Requirement Name],MATCH($A274,Backlog[Requirement ID],0))),"",INDEX(Backlog[Requirement Name],MATCH($A274,Backlog[Requirement ID],0))),"")</f>
        <v/>
      </c>
      <c r="C274" s="1" t="str">
        <f aca="false">IFERROR(IF(ISBLANK(INDEX(Backlog[Stream],MATCH($A274,Backlog[Requirement ID],0))),"",INDEX(Backlog[Stream],MATCH($A274,Backlog[Requirement ID],0))),"")</f>
        <v/>
      </c>
      <c r="D274" s="1" t="str">
        <f aca="false">IFERROR(IF(ISBLANK(INDEX(Backlog[Stream Owner],MATCH($A274,Backlog[Requirement ID],0))),"",INDEX(Backlog[Stream Owner],MATCH($A274,Backlog[Requirement ID],0))),"")</f>
        <v/>
      </c>
      <c r="E274" s="1" t="str">
        <f aca="false">IFERROR(IF(ISBLANK(INDEX(Backlog[Jira Link],MATCH($A274,Backlog[Requirement ID],0))),"",INDEX(Backlog[Jira Link],MATCH($A274,Backlog[Requirement ID],0))),"")</f>
        <v/>
      </c>
      <c r="H274" s="1" t="str">
        <f aca="false">IFERROR(IF(ISBLANK(INDEX(SprintPlanning[Sprint],MATCH($A274,SprintPlanning[Requirement ID],0))),"",INDEX(SprintPlanning[Sprint],MATCH($A274,SprintPlanning[Requirement ID],0))),"")</f>
        <v/>
      </c>
      <c r="I274" s="1" t="str">
        <f aca="false">IFERROR(IF(ISBLANK(INDEX(Backlog[Status],MATCH($A274,Backlog[Requirement ID],0))),"",INDEX(Backlog[Status],MATCH($A274,Backlog[Requirement ID],0))),"")</f>
        <v/>
      </c>
      <c r="J274" s="1" t="str">
        <f aca="false">IFERROR(IF(ISBLANK(INDEX(Backlog[Priority],MATCH($A274,Backlog[Requirement ID],0))),"",INDEX(Backlog[Priority],MATCH($A274,Backlog[Requirement ID],0))),"")</f>
        <v/>
      </c>
      <c r="L274" s="57"/>
      <c r="M274" s="57"/>
      <c r="O274" s="57"/>
    </row>
    <row r="275" customFormat="false" ht="15" hidden="false" customHeight="true" outlineLevel="0" collapsed="false">
      <c r="A275" s="1" t="str">
        <f aca="false">Backlog!A275</f>
        <v/>
      </c>
      <c r="B275" s="1" t="str">
        <f aca="false">IFERROR(IF(ISBLANK(INDEX(Backlog[Requirement Name],MATCH($A275,Backlog[Requirement ID],0))),"",INDEX(Backlog[Requirement Name],MATCH($A275,Backlog[Requirement ID],0))),"")</f>
        <v/>
      </c>
      <c r="C275" s="1" t="str">
        <f aca="false">IFERROR(IF(ISBLANK(INDEX(Backlog[Stream],MATCH($A275,Backlog[Requirement ID],0))),"",INDEX(Backlog[Stream],MATCH($A275,Backlog[Requirement ID],0))),"")</f>
        <v/>
      </c>
      <c r="D275" s="1" t="str">
        <f aca="false">IFERROR(IF(ISBLANK(INDEX(Backlog[Stream Owner],MATCH($A275,Backlog[Requirement ID],0))),"",INDEX(Backlog[Stream Owner],MATCH($A275,Backlog[Requirement ID],0))),"")</f>
        <v/>
      </c>
      <c r="E275" s="1" t="str">
        <f aca="false">IFERROR(IF(ISBLANK(INDEX(Backlog[Jira Link],MATCH($A275,Backlog[Requirement ID],0))),"",INDEX(Backlog[Jira Link],MATCH($A275,Backlog[Requirement ID],0))),"")</f>
        <v/>
      </c>
      <c r="H275" s="1" t="str">
        <f aca="false">IFERROR(IF(ISBLANK(INDEX(SprintPlanning[Sprint],MATCH($A275,SprintPlanning[Requirement ID],0))),"",INDEX(SprintPlanning[Sprint],MATCH($A275,SprintPlanning[Requirement ID],0))),"")</f>
        <v/>
      </c>
      <c r="I275" s="1" t="str">
        <f aca="false">IFERROR(IF(ISBLANK(INDEX(Backlog[Status],MATCH($A275,Backlog[Requirement ID],0))),"",INDEX(Backlog[Status],MATCH($A275,Backlog[Requirement ID],0))),"")</f>
        <v/>
      </c>
      <c r="J275" s="1" t="str">
        <f aca="false">IFERROR(IF(ISBLANK(INDEX(Backlog[Priority],MATCH($A275,Backlog[Requirement ID],0))),"",INDEX(Backlog[Priority],MATCH($A275,Backlog[Requirement ID],0))),"")</f>
        <v/>
      </c>
      <c r="L275" s="57"/>
      <c r="M275" s="57"/>
      <c r="O275" s="57"/>
    </row>
    <row r="276" customFormat="false" ht="15" hidden="false" customHeight="true" outlineLevel="0" collapsed="false">
      <c r="A276" s="1" t="str">
        <f aca="false">Backlog!A276</f>
        <v/>
      </c>
      <c r="B276" s="1" t="str">
        <f aca="false">IFERROR(IF(ISBLANK(INDEX(Backlog[Requirement Name],MATCH($A276,Backlog[Requirement ID],0))),"",INDEX(Backlog[Requirement Name],MATCH($A276,Backlog[Requirement ID],0))),"")</f>
        <v/>
      </c>
      <c r="C276" s="1" t="str">
        <f aca="false">IFERROR(IF(ISBLANK(INDEX(Backlog[Stream],MATCH($A276,Backlog[Requirement ID],0))),"",INDEX(Backlog[Stream],MATCH($A276,Backlog[Requirement ID],0))),"")</f>
        <v/>
      </c>
      <c r="D276" s="1" t="str">
        <f aca="false">IFERROR(IF(ISBLANK(INDEX(Backlog[Stream Owner],MATCH($A276,Backlog[Requirement ID],0))),"",INDEX(Backlog[Stream Owner],MATCH($A276,Backlog[Requirement ID],0))),"")</f>
        <v/>
      </c>
      <c r="E276" s="1" t="str">
        <f aca="false">IFERROR(IF(ISBLANK(INDEX(Backlog[Jira Link],MATCH($A276,Backlog[Requirement ID],0))),"",INDEX(Backlog[Jira Link],MATCH($A276,Backlog[Requirement ID],0))),"")</f>
        <v/>
      </c>
      <c r="H276" s="1" t="str">
        <f aca="false">IFERROR(IF(ISBLANK(INDEX(SprintPlanning[Sprint],MATCH($A276,SprintPlanning[Requirement ID],0))),"",INDEX(SprintPlanning[Sprint],MATCH($A276,SprintPlanning[Requirement ID],0))),"")</f>
        <v/>
      </c>
      <c r="I276" s="1" t="str">
        <f aca="false">IFERROR(IF(ISBLANK(INDEX(Backlog[Status],MATCH($A276,Backlog[Requirement ID],0))),"",INDEX(Backlog[Status],MATCH($A276,Backlog[Requirement ID],0))),"")</f>
        <v/>
      </c>
      <c r="J276" s="1" t="str">
        <f aca="false">IFERROR(IF(ISBLANK(INDEX(Backlog[Priority],MATCH($A276,Backlog[Requirement ID],0))),"",INDEX(Backlog[Priority],MATCH($A276,Backlog[Requirement ID],0))),"")</f>
        <v/>
      </c>
      <c r="L276" s="57"/>
      <c r="M276" s="57"/>
      <c r="O276" s="57"/>
    </row>
    <row r="277" customFormat="false" ht="15" hidden="false" customHeight="true" outlineLevel="0" collapsed="false">
      <c r="A277" s="1" t="str">
        <f aca="false">Backlog!A277</f>
        <v/>
      </c>
      <c r="B277" s="1" t="str">
        <f aca="false">IFERROR(IF(ISBLANK(INDEX(Backlog[Requirement Name],MATCH($A277,Backlog[Requirement ID],0))),"",INDEX(Backlog[Requirement Name],MATCH($A277,Backlog[Requirement ID],0))),"")</f>
        <v/>
      </c>
      <c r="C277" s="1" t="str">
        <f aca="false">IFERROR(IF(ISBLANK(INDEX(Backlog[Stream],MATCH($A277,Backlog[Requirement ID],0))),"",INDEX(Backlog[Stream],MATCH($A277,Backlog[Requirement ID],0))),"")</f>
        <v/>
      </c>
      <c r="D277" s="1" t="str">
        <f aca="false">IFERROR(IF(ISBLANK(INDEX(Backlog[Stream Owner],MATCH($A277,Backlog[Requirement ID],0))),"",INDEX(Backlog[Stream Owner],MATCH($A277,Backlog[Requirement ID],0))),"")</f>
        <v/>
      </c>
      <c r="E277" s="1" t="str">
        <f aca="false">IFERROR(IF(ISBLANK(INDEX(Backlog[Jira Link],MATCH($A277,Backlog[Requirement ID],0))),"",INDEX(Backlog[Jira Link],MATCH($A277,Backlog[Requirement ID],0))),"")</f>
        <v/>
      </c>
      <c r="H277" s="1" t="str">
        <f aca="false">IFERROR(IF(ISBLANK(INDEX(SprintPlanning[Sprint],MATCH($A277,SprintPlanning[Requirement ID],0))),"",INDEX(SprintPlanning[Sprint],MATCH($A277,SprintPlanning[Requirement ID],0))),"")</f>
        <v/>
      </c>
      <c r="I277" s="1" t="str">
        <f aca="false">IFERROR(IF(ISBLANK(INDEX(Backlog[Status],MATCH($A277,Backlog[Requirement ID],0))),"",INDEX(Backlog[Status],MATCH($A277,Backlog[Requirement ID],0))),"")</f>
        <v/>
      </c>
      <c r="J277" s="1" t="str">
        <f aca="false">IFERROR(IF(ISBLANK(INDEX(Backlog[Priority],MATCH($A277,Backlog[Requirement ID],0))),"",INDEX(Backlog[Priority],MATCH($A277,Backlog[Requirement ID],0))),"")</f>
        <v/>
      </c>
      <c r="L277" s="57"/>
      <c r="M277" s="57"/>
      <c r="O277" s="57"/>
    </row>
    <row r="278" customFormat="false" ht="15" hidden="false" customHeight="true" outlineLevel="0" collapsed="false">
      <c r="A278" s="1" t="str">
        <f aca="false">Backlog!A278</f>
        <v/>
      </c>
      <c r="B278" s="1" t="str">
        <f aca="false">IFERROR(IF(ISBLANK(INDEX(Backlog[Requirement Name],MATCH($A278,Backlog[Requirement ID],0))),"",INDEX(Backlog[Requirement Name],MATCH($A278,Backlog[Requirement ID],0))),"")</f>
        <v/>
      </c>
      <c r="C278" s="1" t="str">
        <f aca="false">IFERROR(IF(ISBLANK(INDEX(Backlog[Stream],MATCH($A278,Backlog[Requirement ID],0))),"",INDEX(Backlog[Stream],MATCH($A278,Backlog[Requirement ID],0))),"")</f>
        <v/>
      </c>
      <c r="D278" s="1" t="str">
        <f aca="false">IFERROR(IF(ISBLANK(INDEX(Backlog[Stream Owner],MATCH($A278,Backlog[Requirement ID],0))),"",INDEX(Backlog[Stream Owner],MATCH($A278,Backlog[Requirement ID],0))),"")</f>
        <v/>
      </c>
      <c r="E278" s="1" t="str">
        <f aca="false">IFERROR(IF(ISBLANK(INDEX(Backlog[Jira Link],MATCH($A278,Backlog[Requirement ID],0))),"",INDEX(Backlog[Jira Link],MATCH($A278,Backlog[Requirement ID],0))),"")</f>
        <v/>
      </c>
      <c r="H278" s="1" t="str">
        <f aca="false">IFERROR(IF(ISBLANK(INDEX(SprintPlanning[Sprint],MATCH($A278,SprintPlanning[Requirement ID],0))),"",INDEX(SprintPlanning[Sprint],MATCH($A278,SprintPlanning[Requirement ID],0))),"")</f>
        <v/>
      </c>
      <c r="I278" s="1" t="str">
        <f aca="false">IFERROR(IF(ISBLANK(INDEX(Backlog[Status],MATCH($A278,Backlog[Requirement ID],0))),"",INDEX(Backlog[Status],MATCH($A278,Backlog[Requirement ID],0))),"")</f>
        <v/>
      </c>
      <c r="J278" s="1" t="str">
        <f aca="false">IFERROR(IF(ISBLANK(INDEX(Backlog[Priority],MATCH($A278,Backlog[Requirement ID],0))),"",INDEX(Backlog[Priority],MATCH($A278,Backlog[Requirement ID],0))),"")</f>
        <v/>
      </c>
      <c r="L278" s="57"/>
      <c r="M278" s="57"/>
      <c r="O278" s="57"/>
    </row>
    <row r="279" customFormat="false" ht="15" hidden="false" customHeight="true" outlineLevel="0" collapsed="false">
      <c r="A279" s="1" t="str">
        <f aca="false">Backlog!A279</f>
        <v/>
      </c>
      <c r="B279" s="1" t="str">
        <f aca="false">IFERROR(IF(ISBLANK(INDEX(Backlog[Requirement Name],MATCH($A279,Backlog[Requirement ID],0))),"",INDEX(Backlog[Requirement Name],MATCH($A279,Backlog[Requirement ID],0))),"")</f>
        <v/>
      </c>
      <c r="C279" s="1" t="str">
        <f aca="false">IFERROR(IF(ISBLANK(INDEX(Backlog[Stream],MATCH($A279,Backlog[Requirement ID],0))),"",INDEX(Backlog[Stream],MATCH($A279,Backlog[Requirement ID],0))),"")</f>
        <v/>
      </c>
      <c r="D279" s="1" t="str">
        <f aca="false">IFERROR(IF(ISBLANK(INDEX(Backlog[Stream Owner],MATCH($A279,Backlog[Requirement ID],0))),"",INDEX(Backlog[Stream Owner],MATCH($A279,Backlog[Requirement ID],0))),"")</f>
        <v/>
      </c>
      <c r="E279" s="1" t="str">
        <f aca="false">IFERROR(IF(ISBLANK(INDEX(Backlog[Jira Link],MATCH($A279,Backlog[Requirement ID],0))),"",INDEX(Backlog[Jira Link],MATCH($A279,Backlog[Requirement ID],0))),"")</f>
        <v/>
      </c>
      <c r="H279" s="1" t="str">
        <f aca="false">IFERROR(IF(ISBLANK(INDEX(SprintPlanning[Sprint],MATCH($A279,SprintPlanning[Requirement ID],0))),"",INDEX(SprintPlanning[Sprint],MATCH($A279,SprintPlanning[Requirement ID],0))),"")</f>
        <v/>
      </c>
      <c r="I279" s="1" t="str">
        <f aca="false">IFERROR(IF(ISBLANK(INDEX(Backlog[Status],MATCH($A279,Backlog[Requirement ID],0))),"",INDEX(Backlog[Status],MATCH($A279,Backlog[Requirement ID],0))),"")</f>
        <v/>
      </c>
      <c r="J279" s="1" t="str">
        <f aca="false">IFERROR(IF(ISBLANK(INDEX(Backlog[Priority],MATCH($A279,Backlog[Requirement ID],0))),"",INDEX(Backlog[Priority],MATCH($A279,Backlog[Requirement ID],0))),"")</f>
        <v/>
      </c>
      <c r="L279" s="57"/>
      <c r="M279" s="57"/>
      <c r="O279" s="57"/>
    </row>
    <row r="280" customFormat="false" ht="15" hidden="false" customHeight="true" outlineLevel="0" collapsed="false">
      <c r="A280" s="1" t="str">
        <f aca="false">Backlog!A280</f>
        <v/>
      </c>
      <c r="B280" s="1" t="str">
        <f aca="false">IFERROR(IF(ISBLANK(INDEX(Backlog[Requirement Name],MATCH($A280,Backlog[Requirement ID],0))),"",INDEX(Backlog[Requirement Name],MATCH($A280,Backlog[Requirement ID],0))),"")</f>
        <v/>
      </c>
      <c r="C280" s="1" t="str">
        <f aca="false">IFERROR(IF(ISBLANK(INDEX(Backlog[Stream],MATCH($A280,Backlog[Requirement ID],0))),"",INDEX(Backlog[Stream],MATCH($A280,Backlog[Requirement ID],0))),"")</f>
        <v/>
      </c>
      <c r="D280" s="1" t="str">
        <f aca="false">IFERROR(IF(ISBLANK(INDEX(Backlog[Stream Owner],MATCH($A280,Backlog[Requirement ID],0))),"",INDEX(Backlog[Stream Owner],MATCH($A280,Backlog[Requirement ID],0))),"")</f>
        <v/>
      </c>
      <c r="E280" s="1" t="str">
        <f aca="false">IFERROR(IF(ISBLANK(INDEX(Backlog[Jira Link],MATCH($A280,Backlog[Requirement ID],0))),"",INDEX(Backlog[Jira Link],MATCH($A280,Backlog[Requirement ID],0))),"")</f>
        <v/>
      </c>
      <c r="H280" s="1" t="str">
        <f aca="false">IFERROR(IF(ISBLANK(INDEX(SprintPlanning[Sprint],MATCH($A280,SprintPlanning[Requirement ID],0))),"",INDEX(SprintPlanning[Sprint],MATCH($A280,SprintPlanning[Requirement ID],0))),"")</f>
        <v/>
      </c>
      <c r="I280" s="1" t="str">
        <f aca="false">IFERROR(IF(ISBLANK(INDEX(Backlog[Status],MATCH($A280,Backlog[Requirement ID],0))),"",INDEX(Backlog[Status],MATCH($A280,Backlog[Requirement ID],0))),"")</f>
        <v/>
      </c>
      <c r="J280" s="1" t="str">
        <f aca="false">IFERROR(IF(ISBLANK(INDEX(Backlog[Priority],MATCH($A280,Backlog[Requirement ID],0))),"",INDEX(Backlog[Priority],MATCH($A280,Backlog[Requirement ID],0))),"")</f>
        <v/>
      </c>
      <c r="L280" s="57"/>
      <c r="M280" s="57"/>
      <c r="O280" s="57"/>
    </row>
    <row r="281" customFormat="false" ht="15" hidden="false" customHeight="true" outlineLevel="0" collapsed="false">
      <c r="A281" s="1" t="str">
        <f aca="false">Backlog!A281</f>
        <v/>
      </c>
      <c r="B281" s="1" t="str">
        <f aca="false">IFERROR(IF(ISBLANK(INDEX(Backlog[Requirement Name],MATCH($A281,Backlog[Requirement ID],0))),"",INDEX(Backlog[Requirement Name],MATCH($A281,Backlog[Requirement ID],0))),"")</f>
        <v/>
      </c>
      <c r="C281" s="1" t="str">
        <f aca="false">IFERROR(IF(ISBLANK(INDEX(Backlog[Stream],MATCH($A281,Backlog[Requirement ID],0))),"",INDEX(Backlog[Stream],MATCH($A281,Backlog[Requirement ID],0))),"")</f>
        <v/>
      </c>
      <c r="D281" s="1" t="str">
        <f aca="false">IFERROR(IF(ISBLANK(INDEX(Backlog[Stream Owner],MATCH($A281,Backlog[Requirement ID],0))),"",INDEX(Backlog[Stream Owner],MATCH($A281,Backlog[Requirement ID],0))),"")</f>
        <v/>
      </c>
      <c r="E281" s="1" t="str">
        <f aca="false">IFERROR(IF(ISBLANK(INDEX(Backlog[Jira Link],MATCH($A281,Backlog[Requirement ID],0))),"",INDEX(Backlog[Jira Link],MATCH($A281,Backlog[Requirement ID],0))),"")</f>
        <v/>
      </c>
      <c r="H281" s="1" t="str">
        <f aca="false">IFERROR(IF(ISBLANK(INDEX(SprintPlanning[Sprint],MATCH($A281,SprintPlanning[Requirement ID],0))),"",INDEX(SprintPlanning[Sprint],MATCH($A281,SprintPlanning[Requirement ID],0))),"")</f>
        <v/>
      </c>
      <c r="I281" s="1" t="str">
        <f aca="false">IFERROR(IF(ISBLANK(INDEX(Backlog[Status],MATCH($A281,Backlog[Requirement ID],0))),"",INDEX(Backlog[Status],MATCH($A281,Backlog[Requirement ID],0))),"")</f>
        <v/>
      </c>
      <c r="J281" s="1" t="str">
        <f aca="false">IFERROR(IF(ISBLANK(INDEX(Backlog[Priority],MATCH($A281,Backlog[Requirement ID],0))),"",INDEX(Backlog[Priority],MATCH($A281,Backlog[Requirement ID],0))),"")</f>
        <v/>
      </c>
      <c r="L281" s="57"/>
      <c r="M281" s="57"/>
      <c r="O281" s="57"/>
    </row>
    <row r="282" customFormat="false" ht="15" hidden="false" customHeight="true" outlineLevel="0" collapsed="false">
      <c r="A282" s="1" t="str">
        <f aca="false">Backlog!A282</f>
        <v/>
      </c>
      <c r="B282" s="1" t="str">
        <f aca="false">IFERROR(IF(ISBLANK(INDEX(Backlog[Requirement Name],MATCH($A282,Backlog[Requirement ID],0))),"",INDEX(Backlog[Requirement Name],MATCH($A282,Backlog[Requirement ID],0))),"")</f>
        <v/>
      </c>
      <c r="C282" s="1" t="str">
        <f aca="false">IFERROR(IF(ISBLANK(INDEX(Backlog[Stream],MATCH($A282,Backlog[Requirement ID],0))),"",INDEX(Backlog[Stream],MATCH($A282,Backlog[Requirement ID],0))),"")</f>
        <v/>
      </c>
      <c r="D282" s="1" t="str">
        <f aca="false">IFERROR(IF(ISBLANK(INDEX(Backlog[Stream Owner],MATCH($A282,Backlog[Requirement ID],0))),"",INDEX(Backlog[Stream Owner],MATCH($A282,Backlog[Requirement ID],0))),"")</f>
        <v/>
      </c>
      <c r="E282" s="1" t="str">
        <f aca="false">IFERROR(IF(ISBLANK(INDEX(Backlog[Jira Link],MATCH($A282,Backlog[Requirement ID],0))),"",INDEX(Backlog[Jira Link],MATCH($A282,Backlog[Requirement ID],0))),"")</f>
        <v/>
      </c>
      <c r="H282" s="1" t="str">
        <f aca="false">IFERROR(IF(ISBLANK(INDEX(SprintPlanning[Sprint],MATCH($A282,SprintPlanning[Requirement ID],0))),"",INDEX(SprintPlanning[Sprint],MATCH($A282,SprintPlanning[Requirement ID],0))),"")</f>
        <v/>
      </c>
      <c r="I282" s="1" t="str">
        <f aca="false">IFERROR(IF(ISBLANK(INDEX(Backlog[Status],MATCH($A282,Backlog[Requirement ID],0))),"",INDEX(Backlog[Status],MATCH($A282,Backlog[Requirement ID],0))),"")</f>
        <v/>
      </c>
      <c r="J282" s="1" t="str">
        <f aca="false">IFERROR(IF(ISBLANK(INDEX(Backlog[Priority],MATCH($A282,Backlog[Requirement ID],0))),"",INDEX(Backlog[Priority],MATCH($A282,Backlog[Requirement ID],0))),"")</f>
        <v/>
      </c>
      <c r="L282" s="57"/>
      <c r="M282" s="57"/>
      <c r="O282" s="57"/>
    </row>
    <row r="283" customFormat="false" ht="15" hidden="false" customHeight="true" outlineLevel="0" collapsed="false">
      <c r="A283" s="1" t="str">
        <f aca="false">Backlog!A283</f>
        <v/>
      </c>
      <c r="B283" s="1" t="str">
        <f aca="false">IFERROR(IF(ISBLANK(INDEX(Backlog[Requirement Name],MATCH($A283,Backlog[Requirement ID],0))),"",INDEX(Backlog[Requirement Name],MATCH($A283,Backlog[Requirement ID],0))),"")</f>
        <v/>
      </c>
      <c r="C283" s="1" t="str">
        <f aca="false">IFERROR(IF(ISBLANK(INDEX(Backlog[Stream],MATCH($A283,Backlog[Requirement ID],0))),"",INDEX(Backlog[Stream],MATCH($A283,Backlog[Requirement ID],0))),"")</f>
        <v/>
      </c>
      <c r="D283" s="1" t="str">
        <f aca="false">IFERROR(IF(ISBLANK(INDEX(Backlog[Stream Owner],MATCH($A283,Backlog[Requirement ID],0))),"",INDEX(Backlog[Stream Owner],MATCH($A283,Backlog[Requirement ID],0))),"")</f>
        <v/>
      </c>
      <c r="E283" s="1" t="str">
        <f aca="false">IFERROR(IF(ISBLANK(INDEX(Backlog[Jira Link],MATCH($A283,Backlog[Requirement ID],0))),"",INDEX(Backlog[Jira Link],MATCH($A283,Backlog[Requirement ID],0))),"")</f>
        <v/>
      </c>
      <c r="H283" s="1" t="str">
        <f aca="false">IFERROR(IF(ISBLANK(INDEX(SprintPlanning[Sprint],MATCH($A283,SprintPlanning[Requirement ID],0))),"",INDEX(SprintPlanning[Sprint],MATCH($A283,SprintPlanning[Requirement ID],0))),"")</f>
        <v/>
      </c>
      <c r="I283" s="1" t="str">
        <f aca="false">IFERROR(IF(ISBLANK(INDEX(Backlog[Status],MATCH($A283,Backlog[Requirement ID],0))),"",INDEX(Backlog[Status],MATCH($A283,Backlog[Requirement ID],0))),"")</f>
        <v/>
      </c>
      <c r="J283" s="1" t="str">
        <f aca="false">IFERROR(IF(ISBLANK(INDEX(Backlog[Priority],MATCH($A283,Backlog[Requirement ID],0))),"",INDEX(Backlog[Priority],MATCH($A283,Backlog[Requirement ID],0))),"")</f>
        <v/>
      </c>
      <c r="L283" s="57"/>
      <c r="M283" s="57"/>
      <c r="O283" s="57"/>
    </row>
    <row r="284" customFormat="false" ht="15" hidden="false" customHeight="true" outlineLevel="0" collapsed="false">
      <c r="A284" s="1" t="str">
        <f aca="false">Backlog!A284</f>
        <v/>
      </c>
      <c r="B284" s="1" t="str">
        <f aca="false">IFERROR(IF(ISBLANK(INDEX(Backlog[Requirement Name],MATCH($A284,Backlog[Requirement ID],0))),"",INDEX(Backlog[Requirement Name],MATCH($A284,Backlog[Requirement ID],0))),"")</f>
        <v/>
      </c>
      <c r="C284" s="1" t="str">
        <f aca="false">IFERROR(IF(ISBLANK(INDEX(Backlog[Stream],MATCH($A284,Backlog[Requirement ID],0))),"",INDEX(Backlog[Stream],MATCH($A284,Backlog[Requirement ID],0))),"")</f>
        <v/>
      </c>
      <c r="D284" s="1" t="str">
        <f aca="false">IFERROR(IF(ISBLANK(INDEX(Backlog[Stream Owner],MATCH($A284,Backlog[Requirement ID],0))),"",INDEX(Backlog[Stream Owner],MATCH($A284,Backlog[Requirement ID],0))),"")</f>
        <v/>
      </c>
      <c r="E284" s="1" t="str">
        <f aca="false">IFERROR(IF(ISBLANK(INDEX(Backlog[Jira Link],MATCH($A284,Backlog[Requirement ID],0))),"",INDEX(Backlog[Jira Link],MATCH($A284,Backlog[Requirement ID],0))),"")</f>
        <v/>
      </c>
      <c r="H284" s="1" t="str">
        <f aca="false">IFERROR(IF(ISBLANK(INDEX(SprintPlanning[Sprint],MATCH($A284,SprintPlanning[Requirement ID],0))),"",INDEX(SprintPlanning[Sprint],MATCH($A284,SprintPlanning[Requirement ID],0))),"")</f>
        <v/>
      </c>
      <c r="I284" s="1" t="str">
        <f aca="false">IFERROR(IF(ISBLANK(INDEX(Backlog[Status],MATCH($A284,Backlog[Requirement ID],0))),"",INDEX(Backlog[Status],MATCH($A284,Backlog[Requirement ID],0))),"")</f>
        <v/>
      </c>
      <c r="J284" s="1" t="str">
        <f aca="false">IFERROR(IF(ISBLANK(INDEX(Backlog[Priority],MATCH($A284,Backlog[Requirement ID],0))),"",INDEX(Backlog[Priority],MATCH($A284,Backlog[Requirement ID],0))),"")</f>
        <v/>
      </c>
      <c r="L284" s="57"/>
      <c r="M284" s="57"/>
      <c r="O284" s="57"/>
    </row>
    <row r="285" customFormat="false" ht="15" hidden="false" customHeight="true" outlineLevel="0" collapsed="false">
      <c r="A285" s="1" t="str">
        <f aca="false">Backlog!A285</f>
        <v/>
      </c>
      <c r="B285" s="1" t="str">
        <f aca="false">IFERROR(IF(ISBLANK(INDEX(Backlog[Requirement Name],MATCH($A285,Backlog[Requirement ID],0))),"",INDEX(Backlog[Requirement Name],MATCH($A285,Backlog[Requirement ID],0))),"")</f>
        <v/>
      </c>
      <c r="C285" s="1" t="str">
        <f aca="false">IFERROR(IF(ISBLANK(INDEX(Backlog[Stream],MATCH($A285,Backlog[Requirement ID],0))),"",INDEX(Backlog[Stream],MATCH($A285,Backlog[Requirement ID],0))),"")</f>
        <v/>
      </c>
      <c r="D285" s="1" t="str">
        <f aca="false">IFERROR(IF(ISBLANK(INDEX(Backlog[Stream Owner],MATCH($A285,Backlog[Requirement ID],0))),"",INDEX(Backlog[Stream Owner],MATCH($A285,Backlog[Requirement ID],0))),"")</f>
        <v/>
      </c>
      <c r="E285" s="1" t="str">
        <f aca="false">IFERROR(IF(ISBLANK(INDEX(Backlog[Jira Link],MATCH($A285,Backlog[Requirement ID],0))),"",INDEX(Backlog[Jira Link],MATCH($A285,Backlog[Requirement ID],0))),"")</f>
        <v/>
      </c>
      <c r="H285" s="1" t="str">
        <f aca="false">IFERROR(IF(ISBLANK(INDEX(SprintPlanning[Sprint],MATCH($A285,SprintPlanning[Requirement ID],0))),"",INDEX(SprintPlanning[Sprint],MATCH($A285,SprintPlanning[Requirement ID],0))),"")</f>
        <v/>
      </c>
      <c r="I285" s="1" t="str">
        <f aca="false">IFERROR(IF(ISBLANK(INDEX(Backlog[Status],MATCH($A285,Backlog[Requirement ID],0))),"",INDEX(Backlog[Status],MATCH($A285,Backlog[Requirement ID],0))),"")</f>
        <v/>
      </c>
      <c r="J285" s="1" t="str">
        <f aca="false">IFERROR(IF(ISBLANK(INDEX(Backlog[Priority],MATCH($A285,Backlog[Requirement ID],0))),"",INDEX(Backlog[Priority],MATCH($A285,Backlog[Requirement ID],0))),"")</f>
        <v/>
      </c>
      <c r="L285" s="57"/>
      <c r="M285" s="57"/>
      <c r="O285" s="57"/>
    </row>
    <row r="286" customFormat="false" ht="15" hidden="false" customHeight="true" outlineLevel="0" collapsed="false">
      <c r="A286" s="1" t="str">
        <f aca="false">Backlog!A286</f>
        <v/>
      </c>
      <c r="B286" s="1" t="str">
        <f aca="false">IFERROR(IF(ISBLANK(INDEX(Backlog[Requirement Name],MATCH($A286,Backlog[Requirement ID],0))),"",INDEX(Backlog[Requirement Name],MATCH($A286,Backlog[Requirement ID],0))),"")</f>
        <v/>
      </c>
      <c r="C286" s="1" t="str">
        <f aca="false">IFERROR(IF(ISBLANK(INDEX(Backlog[Stream],MATCH($A286,Backlog[Requirement ID],0))),"",INDEX(Backlog[Stream],MATCH($A286,Backlog[Requirement ID],0))),"")</f>
        <v/>
      </c>
      <c r="D286" s="1" t="str">
        <f aca="false">IFERROR(IF(ISBLANK(INDEX(Backlog[Stream Owner],MATCH($A286,Backlog[Requirement ID],0))),"",INDEX(Backlog[Stream Owner],MATCH($A286,Backlog[Requirement ID],0))),"")</f>
        <v/>
      </c>
      <c r="E286" s="1" t="str">
        <f aca="false">IFERROR(IF(ISBLANK(INDEX(Backlog[Jira Link],MATCH($A286,Backlog[Requirement ID],0))),"",INDEX(Backlog[Jira Link],MATCH($A286,Backlog[Requirement ID],0))),"")</f>
        <v/>
      </c>
      <c r="H286" s="1" t="str">
        <f aca="false">IFERROR(IF(ISBLANK(INDEX(SprintPlanning[Sprint],MATCH($A286,SprintPlanning[Requirement ID],0))),"",INDEX(SprintPlanning[Sprint],MATCH($A286,SprintPlanning[Requirement ID],0))),"")</f>
        <v/>
      </c>
      <c r="I286" s="1" t="str">
        <f aca="false">IFERROR(IF(ISBLANK(INDEX(Backlog[Status],MATCH($A286,Backlog[Requirement ID],0))),"",INDEX(Backlog[Status],MATCH($A286,Backlog[Requirement ID],0))),"")</f>
        <v/>
      </c>
      <c r="J286" s="1" t="str">
        <f aca="false">IFERROR(IF(ISBLANK(INDEX(Backlog[Priority],MATCH($A286,Backlog[Requirement ID],0))),"",INDEX(Backlog[Priority],MATCH($A286,Backlog[Requirement ID],0))),"")</f>
        <v/>
      </c>
      <c r="L286" s="57"/>
      <c r="M286" s="57"/>
      <c r="O286" s="57"/>
    </row>
    <row r="287" customFormat="false" ht="15" hidden="false" customHeight="true" outlineLevel="0" collapsed="false">
      <c r="A287" s="1" t="str">
        <f aca="false">Backlog!A287</f>
        <v/>
      </c>
      <c r="B287" s="1" t="str">
        <f aca="false">IFERROR(IF(ISBLANK(INDEX(Backlog[Requirement Name],MATCH($A287,Backlog[Requirement ID],0))),"",INDEX(Backlog[Requirement Name],MATCH($A287,Backlog[Requirement ID],0))),"")</f>
        <v/>
      </c>
      <c r="C287" s="1" t="str">
        <f aca="false">IFERROR(IF(ISBLANK(INDEX(Backlog[Stream],MATCH($A287,Backlog[Requirement ID],0))),"",INDEX(Backlog[Stream],MATCH($A287,Backlog[Requirement ID],0))),"")</f>
        <v/>
      </c>
      <c r="D287" s="1" t="str">
        <f aca="false">IFERROR(IF(ISBLANK(INDEX(Backlog[Stream Owner],MATCH($A287,Backlog[Requirement ID],0))),"",INDEX(Backlog[Stream Owner],MATCH($A287,Backlog[Requirement ID],0))),"")</f>
        <v/>
      </c>
      <c r="E287" s="1" t="str">
        <f aca="false">IFERROR(IF(ISBLANK(INDEX(Backlog[Jira Link],MATCH($A287,Backlog[Requirement ID],0))),"",INDEX(Backlog[Jira Link],MATCH($A287,Backlog[Requirement ID],0))),"")</f>
        <v/>
      </c>
      <c r="H287" s="1" t="str">
        <f aca="false">IFERROR(IF(ISBLANK(INDEX(SprintPlanning[Sprint],MATCH($A287,SprintPlanning[Requirement ID],0))),"",INDEX(SprintPlanning[Sprint],MATCH($A287,SprintPlanning[Requirement ID],0))),"")</f>
        <v/>
      </c>
      <c r="I287" s="1" t="str">
        <f aca="false">IFERROR(IF(ISBLANK(INDEX(Backlog[Status],MATCH($A287,Backlog[Requirement ID],0))),"",INDEX(Backlog[Status],MATCH($A287,Backlog[Requirement ID],0))),"")</f>
        <v/>
      </c>
      <c r="J287" s="1" t="str">
        <f aca="false">IFERROR(IF(ISBLANK(INDEX(Backlog[Priority],MATCH($A287,Backlog[Requirement ID],0))),"",INDEX(Backlog[Priority],MATCH($A287,Backlog[Requirement ID],0))),"")</f>
        <v/>
      </c>
      <c r="L287" s="57"/>
      <c r="M287" s="57"/>
      <c r="O287" s="57"/>
    </row>
    <row r="288" customFormat="false" ht="15" hidden="false" customHeight="true" outlineLevel="0" collapsed="false">
      <c r="A288" s="1" t="str">
        <f aca="false">Backlog!A288</f>
        <v/>
      </c>
      <c r="B288" s="1" t="str">
        <f aca="false">IFERROR(IF(ISBLANK(INDEX(Backlog[Requirement Name],MATCH($A288,Backlog[Requirement ID],0))),"",INDEX(Backlog[Requirement Name],MATCH($A288,Backlog[Requirement ID],0))),"")</f>
        <v/>
      </c>
      <c r="C288" s="1" t="str">
        <f aca="false">IFERROR(IF(ISBLANK(INDEX(Backlog[Stream],MATCH($A288,Backlog[Requirement ID],0))),"",INDEX(Backlog[Stream],MATCH($A288,Backlog[Requirement ID],0))),"")</f>
        <v/>
      </c>
      <c r="D288" s="1" t="str">
        <f aca="false">IFERROR(IF(ISBLANK(INDEX(Backlog[Stream Owner],MATCH($A288,Backlog[Requirement ID],0))),"",INDEX(Backlog[Stream Owner],MATCH($A288,Backlog[Requirement ID],0))),"")</f>
        <v/>
      </c>
      <c r="E288" s="1" t="str">
        <f aca="false">IFERROR(IF(ISBLANK(INDEX(Backlog[Jira Link],MATCH($A288,Backlog[Requirement ID],0))),"",INDEX(Backlog[Jira Link],MATCH($A288,Backlog[Requirement ID],0))),"")</f>
        <v/>
      </c>
      <c r="H288" s="1" t="str">
        <f aca="false">IFERROR(IF(ISBLANK(INDEX(SprintPlanning[Sprint],MATCH($A288,SprintPlanning[Requirement ID],0))),"",INDEX(SprintPlanning[Sprint],MATCH($A288,SprintPlanning[Requirement ID],0))),"")</f>
        <v/>
      </c>
      <c r="I288" s="1" t="str">
        <f aca="false">IFERROR(IF(ISBLANK(INDEX(Backlog[Status],MATCH($A288,Backlog[Requirement ID],0))),"",INDEX(Backlog[Status],MATCH($A288,Backlog[Requirement ID],0))),"")</f>
        <v/>
      </c>
      <c r="J288" s="1" t="str">
        <f aca="false">IFERROR(IF(ISBLANK(INDEX(Backlog[Priority],MATCH($A288,Backlog[Requirement ID],0))),"",INDEX(Backlog[Priority],MATCH($A288,Backlog[Requirement ID],0))),"")</f>
        <v/>
      </c>
      <c r="L288" s="57"/>
      <c r="M288" s="57"/>
      <c r="O288" s="57"/>
    </row>
    <row r="289" customFormat="false" ht="15" hidden="false" customHeight="true" outlineLevel="0" collapsed="false">
      <c r="A289" s="1" t="str">
        <f aca="false">Backlog!A289</f>
        <v/>
      </c>
      <c r="B289" s="1" t="str">
        <f aca="false">IFERROR(IF(ISBLANK(INDEX(Backlog[Requirement Name],MATCH($A289,Backlog[Requirement ID],0))),"",INDEX(Backlog[Requirement Name],MATCH($A289,Backlog[Requirement ID],0))),"")</f>
        <v/>
      </c>
      <c r="C289" s="1" t="str">
        <f aca="false">IFERROR(IF(ISBLANK(INDEX(Backlog[Stream],MATCH($A289,Backlog[Requirement ID],0))),"",INDEX(Backlog[Stream],MATCH($A289,Backlog[Requirement ID],0))),"")</f>
        <v/>
      </c>
      <c r="D289" s="1" t="str">
        <f aca="false">IFERROR(IF(ISBLANK(INDEX(Backlog[Stream Owner],MATCH($A289,Backlog[Requirement ID],0))),"",INDEX(Backlog[Stream Owner],MATCH($A289,Backlog[Requirement ID],0))),"")</f>
        <v/>
      </c>
      <c r="E289" s="1" t="str">
        <f aca="false">IFERROR(IF(ISBLANK(INDEX(Backlog[Jira Link],MATCH($A289,Backlog[Requirement ID],0))),"",INDEX(Backlog[Jira Link],MATCH($A289,Backlog[Requirement ID],0))),"")</f>
        <v/>
      </c>
      <c r="H289" s="1" t="str">
        <f aca="false">IFERROR(IF(ISBLANK(INDEX(SprintPlanning[Sprint],MATCH($A289,SprintPlanning[Requirement ID],0))),"",INDEX(SprintPlanning[Sprint],MATCH($A289,SprintPlanning[Requirement ID],0))),"")</f>
        <v/>
      </c>
      <c r="I289" s="1" t="str">
        <f aca="false">IFERROR(IF(ISBLANK(INDEX(Backlog[Status],MATCH($A289,Backlog[Requirement ID],0))),"",INDEX(Backlog[Status],MATCH($A289,Backlog[Requirement ID],0))),"")</f>
        <v/>
      </c>
      <c r="J289" s="1" t="str">
        <f aca="false">IFERROR(IF(ISBLANK(INDEX(Backlog[Priority],MATCH($A289,Backlog[Requirement ID],0))),"",INDEX(Backlog[Priority],MATCH($A289,Backlog[Requirement ID],0))),"")</f>
        <v/>
      </c>
      <c r="L289" s="57"/>
      <c r="M289" s="57"/>
      <c r="O289" s="57"/>
    </row>
    <row r="290" customFormat="false" ht="15" hidden="false" customHeight="true" outlineLevel="0" collapsed="false">
      <c r="A290" s="1" t="str">
        <f aca="false">Backlog!A290</f>
        <v/>
      </c>
      <c r="B290" s="1" t="str">
        <f aca="false">IFERROR(IF(ISBLANK(INDEX(Backlog[Requirement Name],MATCH($A290,Backlog[Requirement ID],0))),"",INDEX(Backlog[Requirement Name],MATCH($A290,Backlog[Requirement ID],0))),"")</f>
        <v/>
      </c>
      <c r="C290" s="1" t="str">
        <f aca="false">IFERROR(IF(ISBLANK(INDEX(Backlog[Stream],MATCH($A290,Backlog[Requirement ID],0))),"",INDEX(Backlog[Stream],MATCH($A290,Backlog[Requirement ID],0))),"")</f>
        <v/>
      </c>
      <c r="D290" s="1" t="str">
        <f aca="false">IFERROR(IF(ISBLANK(INDEX(Backlog[Stream Owner],MATCH($A290,Backlog[Requirement ID],0))),"",INDEX(Backlog[Stream Owner],MATCH($A290,Backlog[Requirement ID],0))),"")</f>
        <v/>
      </c>
      <c r="E290" s="1" t="str">
        <f aca="false">IFERROR(IF(ISBLANK(INDEX(Backlog[Jira Link],MATCH($A290,Backlog[Requirement ID],0))),"",INDEX(Backlog[Jira Link],MATCH($A290,Backlog[Requirement ID],0))),"")</f>
        <v/>
      </c>
      <c r="H290" s="1" t="str">
        <f aca="false">IFERROR(IF(ISBLANK(INDEX(SprintPlanning[Sprint],MATCH($A290,SprintPlanning[Requirement ID],0))),"",INDEX(SprintPlanning[Sprint],MATCH($A290,SprintPlanning[Requirement ID],0))),"")</f>
        <v/>
      </c>
      <c r="I290" s="1" t="str">
        <f aca="false">IFERROR(IF(ISBLANK(INDEX(Backlog[Status],MATCH($A290,Backlog[Requirement ID],0))),"",INDEX(Backlog[Status],MATCH($A290,Backlog[Requirement ID],0))),"")</f>
        <v/>
      </c>
      <c r="J290" s="1" t="str">
        <f aca="false">IFERROR(IF(ISBLANK(INDEX(Backlog[Priority],MATCH($A290,Backlog[Requirement ID],0))),"",INDEX(Backlog[Priority],MATCH($A290,Backlog[Requirement ID],0))),"")</f>
        <v/>
      </c>
      <c r="L290" s="57"/>
      <c r="M290" s="57"/>
      <c r="O290" s="57"/>
    </row>
    <row r="291" customFormat="false" ht="15" hidden="false" customHeight="true" outlineLevel="0" collapsed="false">
      <c r="A291" s="1" t="str">
        <f aca="false">Backlog!A291</f>
        <v/>
      </c>
      <c r="B291" s="1" t="str">
        <f aca="false">IFERROR(IF(ISBLANK(INDEX(Backlog[Requirement Name],MATCH($A291,Backlog[Requirement ID],0))),"",INDEX(Backlog[Requirement Name],MATCH($A291,Backlog[Requirement ID],0))),"")</f>
        <v/>
      </c>
      <c r="C291" s="1" t="str">
        <f aca="false">IFERROR(IF(ISBLANK(INDEX(Backlog[Stream],MATCH($A291,Backlog[Requirement ID],0))),"",INDEX(Backlog[Stream],MATCH($A291,Backlog[Requirement ID],0))),"")</f>
        <v/>
      </c>
      <c r="D291" s="1" t="str">
        <f aca="false">IFERROR(IF(ISBLANK(INDEX(Backlog[Stream Owner],MATCH($A291,Backlog[Requirement ID],0))),"",INDEX(Backlog[Stream Owner],MATCH($A291,Backlog[Requirement ID],0))),"")</f>
        <v/>
      </c>
      <c r="E291" s="1" t="str">
        <f aca="false">IFERROR(IF(ISBLANK(INDEX(Backlog[Jira Link],MATCH($A291,Backlog[Requirement ID],0))),"",INDEX(Backlog[Jira Link],MATCH($A291,Backlog[Requirement ID],0))),"")</f>
        <v/>
      </c>
      <c r="H291" s="1" t="str">
        <f aca="false">IFERROR(IF(ISBLANK(INDEX(SprintPlanning[Sprint],MATCH($A291,SprintPlanning[Requirement ID],0))),"",INDEX(SprintPlanning[Sprint],MATCH($A291,SprintPlanning[Requirement ID],0))),"")</f>
        <v/>
      </c>
      <c r="I291" s="1" t="str">
        <f aca="false">IFERROR(IF(ISBLANK(INDEX(Backlog[Status],MATCH($A291,Backlog[Requirement ID],0))),"",INDEX(Backlog[Status],MATCH($A291,Backlog[Requirement ID],0))),"")</f>
        <v/>
      </c>
      <c r="J291" s="1" t="str">
        <f aca="false">IFERROR(IF(ISBLANK(INDEX(Backlog[Priority],MATCH($A291,Backlog[Requirement ID],0))),"",INDEX(Backlog[Priority],MATCH($A291,Backlog[Requirement ID],0))),"")</f>
        <v/>
      </c>
      <c r="L291" s="57"/>
      <c r="M291" s="57"/>
      <c r="O291" s="57"/>
    </row>
    <row r="292" customFormat="false" ht="15" hidden="false" customHeight="true" outlineLevel="0" collapsed="false">
      <c r="A292" s="1" t="str">
        <f aca="false">Backlog!A292</f>
        <v/>
      </c>
      <c r="B292" s="1" t="str">
        <f aca="false">IFERROR(IF(ISBLANK(INDEX(Backlog[Requirement Name],MATCH($A292,Backlog[Requirement ID],0))),"",INDEX(Backlog[Requirement Name],MATCH($A292,Backlog[Requirement ID],0))),"")</f>
        <v/>
      </c>
      <c r="C292" s="1" t="str">
        <f aca="false">IFERROR(IF(ISBLANK(INDEX(Backlog[Stream],MATCH($A292,Backlog[Requirement ID],0))),"",INDEX(Backlog[Stream],MATCH($A292,Backlog[Requirement ID],0))),"")</f>
        <v/>
      </c>
      <c r="D292" s="1" t="str">
        <f aca="false">IFERROR(IF(ISBLANK(INDEX(Backlog[Stream Owner],MATCH($A292,Backlog[Requirement ID],0))),"",INDEX(Backlog[Stream Owner],MATCH($A292,Backlog[Requirement ID],0))),"")</f>
        <v/>
      </c>
      <c r="E292" s="1" t="str">
        <f aca="false">IFERROR(IF(ISBLANK(INDEX(Backlog[Jira Link],MATCH($A292,Backlog[Requirement ID],0))),"",INDEX(Backlog[Jira Link],MATCH($A292,Backlog[Requirement ID],0))),"")</f>
        <v/>
      </c>
      <c r="H292" s="1" t="str">
        <f aca="false">IFERROR(IF(ISBLANK(INDEX(SprintPlanning[Sprint],MATCH($A292,SprintPlanning[Requirement ID],0))),"",INDEX(SprintPlanning[Sprint],MATCH($A292,SprintPlanning[Requirement ID],0))),"")</f>
        <v/>
      </c>
      <c r="I292" s="1" t="str">
        <f aca="false">IFERROR(IF(ISBLANK(INDEX(Backlog[Status],MATCH($A292,Backlog[Requirement ID],0))),"",INDEX(Backlog[Status],MATCH($A292,Backlog[Requirement ID],0))),"")</f>
        <v/>
      </c>
      <c r="J292" s="1" t="str">
        <f aca="false">IFERROR(IF(ISBLANK(INDEX(Backlog[Priority],MATCH($A292,Backlog[Requirement ID],0))),"",INDEX(Backlog[Priority],MATCH($A292,Backlog[Requirement ID],0))),"")</f>
        <v/>
      </c>
      <c r="L292" s="57"/>
      <c r="M292" s="57"/>
      <c r="O292" s="57"/>
    </row>
    <row r="293" customFormat="false" ht="15" hidden="false" customHeight="true" outlineLevel="0" collapsed="false">
      <c r="A293" s="1" t="str">
        <f aca="false">Backlog!A293</f>
        <v/>
      </c>
      <c r="B293" s="1" t="str">
        <f aca="false">IFERROR(IF(ISBLANK(INDEX(Backlog[Requirement Name],MATCH($A293,Backlog[Requirement ID],0))),"",INDEX(Backlog[Requirement Name],MATCH($A293,Backlog[Requirement ID],0))),"")</f>
        <v/>
      </c>
      <c r="C293" s="1" t="str">
        <f aca="false">IFERROR(IF(ISBLANK(INDEX(Backlog[Stream],MATCH($A293,Backlog[Requirement ID],0))),"",INDEX(Backlog[Stream],MATCH($A293,Backlog[Requirement ID],0))),"")</f>
        <v/>
      </c>
      <c r="D293" s="1" t="str">
        <f aca="false">IFERROR(IF(ISBLANK(INDEX(Backlog[Stream Owner],MATCH($A293,Backlog[Requirement ID],0))),"",INDEX(Backlog[Stream Owner],MATCH($A293,Backlog[Requirement ID],0))),"")</f>
        <v/>
      </c>
      <c r="E293" s="1" t="str">
        <f aca="false">IFERROR(IF(ISBLANK(INDEX(Backlog[Jira Link],MATCH($A293,Backlog[Requirement ID],0))),"",INDEX(Backlog[Jira Link],MATCH($A293,Backlog[Requirement ID],0))),"")</f>
        <v/>
      </c>
      <c r="H293" s="1" t="str">
        <f aca="false">IFERROR(IF(ISBLANK(INDEX(SprintPlanning[Sprint],MATCH($A293,SprintPlanning[Requirement ID],0))),"",INDEX(SprintPlanning[Sprint],MATCH($A293,SprintPlanning[Requirement ID],0))),"")</f>
        <v/>
      </c>
      <c r="I293" s="1" t="str">
        <f aca="false">IFERROR(IF(ISBLANK(INDEX(Backlog[Status],MATCH($A293,Backlog[Requirement ID],0))),"",INDEX(Backlog[Status],MATCH($A293,Backlog[Requirement ID],0))),"")</f>
        <v/>
      </c>
      <c r="J293" s="1" t="str">
        <f aca="false">IFERROR(IF(ISBLANK(INDEX(Backlog[Priority],MATCH($A293,Backlog[Requirement ID],0))),"",INDEX(Backlog[Priority],MATCH($A293,Backlog[Requirement ID],0))),"")</f>
        <v/>
      </c>
      <c r="L293" s="57"/>
      <c r="M293" s="57"/>
      <c r="O293" s="57"/>
    </row>
    <row r="294" customFormat="false" ht="15" hidden="false" customHeight="true" outlineLevel="0" collapsed="false">
      <c r="A294" s="1" t="str">
        <f aca="false">Backlog!A294</f>
        <v/>
      </c>
      <c r="B294" s="1" t="str">
        <f aca="false">IFERROR(IF(ISBLANK(INDEX(Backlog[Requirement Name],MATCH($A294,Backlog[Requirement ID],0))),"",INDEX(Backlog[Requirement Name],MATCH($A294,Backlog[Requirement ID],0))),"")</f>
        <v/>
      </c>
      <c r="C294" s="1" t="str">
        <f aca="false">IFERROR(IF(ISBLANK(INDEX(Backlog[Stream],MATCH($A294,Backlog[Requirement ID],0))),"",INDEX(Backlog[Stream],MATCH($A294,Backlog[Requirement ID],0))),"")</f>
        <v/>
      </c>
      <c r="D294" s="1" t="str">
        <f aca="false">IFERROR(IF(ISBLANK(INDEX(Backlog[Stream Owner],MATCH($A294,Backlog[Requirement ID],0))),"",INDEX(Backlog[Stream Owner],MATCH($A294,Backlog[Requirement ID],0))),"")</f>
        <v/>
      </c>
      <c r="E294" s="1" t="str">
        <f aca="false">IFERROR(IF(ISBLANK(INDEX(Backlog[Jira Link],MATCH($A294,Backlog[Requirement ID],0))),"",INDEX(Backlog[Jira Link],MATCH($A294,Backlog[Requirement ID],0))),"")</f>
        <v/>
      </c>
      <c r="H294" s="1" t="str">
        <f aca="false">IFERROR(IF(ISBLANK(INDEX(SprintPlanning[Sprint],MATCH($A294,SprintPlanning[Requirement ID],0))),"",INDEX(SprintPlanning[Sprint],MATCH($A294,SprintPlanning[Requirement ID],0))),"")</f>
        <v/>
      </c>
      <c r="I294" s="1" t="str">
        <f aca="false">IFERROR(IF(ISBLANK(INDEX(Backlog[Status],MATCH($A294,Backlog[Requirement ID],0))),"",INDEX(Backlog[Status],MATCH($A294,Backlog[Requirement ID],0))),"")</f>
        <v/>
      </c>
      <c r="J294" s="1" t="str">
        <f aca="false">IFERROR(IF(ISBLANK(INDEX(Backlog[Priority],MATCH($A294,Backlog[Requirement ID],0))),"",INDEX(Backlog[Priority],MATCH($A294,Backlog[Requirement ID],0))),"")</f>
        <v/>
      </c>
      <c r="L294" s="57"/>
      <c r="M294" s="57"/>
      <c r="O294" s="57"/>
    </row>
    <row r="295" customFormat="false" ht="15" hidden="false" customHeight="true" outlineLevel="0" collapsed="false">
      <c r="A295" s="1" t="str">
        <f aca="false">Backlog!A295</f>
        <v/>
      </c>
      <c r="B295" s="1" t="str">
        <f aca="false">IFERROR(IF(ISBLANK(INDEX(Backlog[Requirement Name],MATCH($A295,Backlog[Requirement ID],0))),"",INDEX(Backlog[Requirement Name],MATCH($A295,Backlog[Requirement ID],0))),"")</f>
        <v/>
      </c>
      <c r="C295" s="1" t="str">
        <f aca="false">IFERROR(IF(ISBLANK(INDEX(Backlog[Stream],MATCH($A295,Backlog[Requirement ID],0))),"",INDEX(Backlog[Stream],MATCH($A295,Backlog[Requirement ID],0))),"")</f>
        <v/>
      </c>
      <c r="D295" s="1" t="str">
        <f aca="false">IFERROR(IF(ISBLANK(INDEX(Backlog[Stream Owner],MATCH($A295,Backlog[Requirement ID],0))),"",INDEX(Backlog[Stream Owner],MATCH($A295,Backlog[Requirement ID],0))),"")</f>
        <v/>
      </c>
      <c r="E295" s="1" t="str">
        <f aca="false">IFERROR(IF(ISBLANK(INDEX(Backlog[Jira Link],MATCH($A295,Backlog[Requirement ID],0))),"",INDEX(Backlog[Jira Link],MATCH($A295,Backlog[Requirement ID],0))),"")</f>
        <v/>
      </c>
      <c r="H295" s="1" t="str">
        <f aca="false">IFERROR(IF(ISBLANK(INDEX(SprintPlanning[Sprint],MATCH($A295,SprintPlanning[Requirement ID],0))),"",INDEX(SprintPlanning[Sprint],MATCH($A295,SprintPlanning[Requirement ID],0))),"")</f>
        <v/>
      </c>
      <c r="I295" s="1" t="str">
        <f aca="false">IFERROR(IF(ISBLANK(INDEX(Backlog[Status],MATCH($A295,Backlog[Requirement ID],0))),"",INDEX(Backlog[Status],MATCH($A295,Backlog[Requirement ID],0))),"")</f>
        <v/>
      </c>
      <c r="J295" s="1" t="str">
        <f aca="false">IFERROR(IF(ISBLANK(INDEX(Backlog[Priority],MATCH($A295,Backlog[Requirement ID],0))),"",INDEX(Backlog[Priority],MATCH($A295,Backlog[Requirement ID],0))),"")</f>
        <v/>
      </c>
      <c r="L295" s="57"/>
      <c r="M295" s="57"/>
      <c r="O295" s="57"/>
    </row>
    <row r="296" customFormat="false" ht="15" hidden="false" customHeight="true" outlineLevel="0" collapsed="false">
      <c r="A296" s="1" t="str">
        <f aca="false">Backlog!A296</f>
        <v/>
      </c>
      <c r="B296" s="1" t="str">
        <f aca="false">IFERROR(IF(ISBLANK(INDEX(Backlog[Requirement Name],MATCH($A296,Backlog[Requirement ID],0))),"",INDEX(Backlog[Requirement Name],MATCH($A296,Backlog[Requirement ID],0))),"")</f>
        <v/>
      </c>
      <c r="C296" s="1" t="str">
        <f aca="false">IFERROR(IF(ISBLANK(INDEX(Backlog[Stream],MATCH($A296,Backlog[Requirement ID],0))),"",INDEX(Backlog[Stream],MATCH($A296,Backlog[Requirement ID],0))),"")</f>
        <v/>
      </c>
      <c r="D296" s="1" t="str">
        <f aca="false">IFERROR(IF(ISBLANK(INDEX(Backlog[Stream Owner],MATCH($A296,Backlog[Requirement ID],0))),"",INDEX(Backlog[Stream Owner],MATCH($A296,Backlog[Requirement ID],0))),"")</f>
        <v/>
      </c>
      <c r="E296" s="1" t="str">
        <f aca="false">IFERROR(IF(ISBLANK(INDEX(Backlog[Jira Link],MATCH($A296,Backlog[Requirement ID],0))),"",INDEX(Backlog[Jira Link],MATCH($A296,Backlog[Requirement ID],0))),"")</f>
        <v/>
      </c>
      <c r="H296" s="1" t="str">
        <f aca="false">IFERROR(IF(ISBLANK(INDEX(SprintPlanning[Sprint],MATCH($A296,SprintPlanning[Requirement ID],0))),"",INDEX(SprintPlanning[Sprint],MATCH($A296,SprintPlanning[Requirement ID],0))),"")</f>
        <v/>
      </c>
      <c r="I296" s="1" t="str">
        <f aca="false">IFERROR(IF(ISBLANK(INDEX(Backlog[Status],MATCH($A296,Backlog[Requirement ID],0))),"",INDEX(Backlog[Status],MATCH($A296,Backlog[Requirement ID],0))),"")</f>
        <v/>
      </c>
      <c r="J296" s="1" t="str">
        <f aca="false">IFERROR(IF(ISBLANK(INDEX(Backlog[Priority],MATCH($A296,Backlog[Requirement ID],0))),"",INDEX(Backlog[Priority],MATCH($A296,Backlog[Requirement ID],0))),"")</f>
        <v/>
      </c>
      <c r="L296" s="57"/>
      <c r="M296" s="57"/>
      <c r="O296" s="57"/>
    </row>
    <row r="297" customFormat="false" ht="15" hidden="false" customHeight="true" outlineLevel="0" collapsed="false">
      <c r="A297" s="1" t="str">
        <f aca="false">Backlog!A297</f>
        <v/>
      </c>
      <c r="B297" s="1" t="str">
        <f aca="false">IFERROR(IF(ISBLANK(INDEX(Backlog[Requirement Name],MATCH($A297,Backlog[Requirement ID],0))),"",INDEX(Backlog[Requirement Name],MATCH($A297,Backlog[Requirement ID],0))),"")</f>
        <v/>
      </c>
      <c r="C297" s="1" t="str">
        <f aca="false">IFERROR(IF(ISBLANK(INDEX(Backlog[Stream],MATCH($A297,Backlog[Requirement ID],0))),"",INDEX(Backlog[Stream],MATCH($A297,Backlog[Requirement ID],0))),"")</f>
        <v/>
      </c>
      <c r="D297" s="1" t="str">
        <f aca="false">IFERROR(IF(ISBLANK(INDEX(Backlog[Stream Owner],MATCH($A297,Backlog[Requirement ID],0))),"",INDEX(Backlog[Stream Owner],MATCH($A297,Backlog[Requirement ID],0))),"")</f>
        <v/>
      </c>
      <c r="E297" s="1" t="str">
        <f aca="false">IFERROR(IF(ISBLANK(INDEX(Backlog[Jira Link],MATCH($A297,Backlog[Requirement ID],0))),"",INDEX(Backlog[Jira Link],MATCH($A297,Backlog[Requirement ID],0))),"")</f>
        <v/>
      </c>
      <c r="H297" s="1" t="str">
        <f aca="false">IFERROR(IF(ISBLANK(INDEX(SprintPlanning[Sprint],MATCH($A297,SprintPlanning[Requirement ID],0))),"",INDEX(SprintPlanning[Sprint],MATCH($A297,SprintPlanning[Requirement ID],0))),"")</f>
        <v/>
      </c>
      <c r="I297" s="1" t="str">
        <f aca="false">IFERROR(IF(ISBLANK(INDEX(Backlog[Status],MATCH($A297,Backlog[Requirement ID],0))),"",INDEX(Backlog[Status],MATCH($A297,Backlog[Requirement ID],0))),"")</f>
        <v/>
      </c>
      <c r="J297" s="1" t="str">
        <f aca="false">IFERROR(IF(ISBLANK(INDEX(Backlog[Priority],MATCH($A297,Backlog[Requirement ID],0))),"",INDEX(Backlog[Priority],MATCH($A297,Backlog[Requirement ID],0))),"")</f>
        <v/>
      </c>
      <c r="L297" s="57"/>
      <c r="M297" s="57"/>
      <c r="O297" s="57"/>
    </row>
    <row r="298" customFormat="false" ht="15" hidden="false" customHeight="true" outlineLevel="0" collapsed="false">
      <c r="A298" s="1" t="str">
        <f aca="false">Backlog!A298</f>
        <v/>
      </c>
      <c r="B298" s="1" t="str">
        <f aca="false">IFERROR(IF(ISBLANK(INDEX(Backlog[Requirement Name],MATCH($A298,Backlog[Requirement ID],0))),"",INDEX(Backlog[Requirement Name],MATCH($A298,Backlog[Requirement ID],0))),"")</f>
        <v/>
      </c>
      <c r="C298" s="1" t="str">
        <f aca="false">IFERROR(IF(ISBLANK(INDEX(Backlog[Stream],MATCH($A298,Backlog[Requirement ID],0))),"",INDEX(Backlog[Stream],MATCH($A298,Backlog[Requirement ID],0))),"")</f>
        <v/>
      </c>
      <c r="D298" s="1" t="str">
        <f aca="false">IFERROR(IF(ISBLANK(INDEX(Backlog[Stream Owner],MATCH($A298,Backlog[Requirement ID],0))),"",INDEX(Backlog[Stream Owner],MATCH($A298,Backlog[Requirement ID],0))),"")</f>
        <v/>
      </c>
      <c r="E298" s="1" t="str">
        <f aca="false">IFERROR(IF(ISBLANK(INDEX(Backlog[Jira Link],MATCH($A298,Backlog[Requirement ID],0))),"",INDEX(Backlog[Jira Link],MATCH($A298,Backlog[Requirement ID],0))),"")</f>
        <v/>
      </c>
      <c r="H298" s="1" t="str">
        <f aca="false">IFERROR(IF(ISBLANK(INDEX(SprintPlanning[Sprint],MATCH($A298,SprintPlanning[Requirement ID],0))),"",INDEX(SprintPlanning[Sprint],MATCH($A298,SprintPlanning[Requirement ID],0))),"")</f>
        <v/>
      </c>
      <c r="I298" s="1" t="str">
        <f aca="false">IFERROR(IF(ISBLANK(INDEX(Backlog[Status],MATCH($A298,Backlog[Requirement ID],0))),"",INDEX(Backlog[Status],MATCH($A298,Backlog[Requirement ID],0))),"")</f>
        <v/>
      </c>
      <c r="J298" s="1" t="str">
        <f aca="false">IFERROR(IF(ISBLANK(INDEX(Backlog[Priority],MATCH($A298,Backlog[Requirement ID],0))),"",INDEX(Backlog[Priority],MATCH($A298,Backlog[Requirement ID],0))),"")</f>
        <v/>
      </c>
      <c r="L298" s="57"/>
      <c r="M298" s="57"/>
      <c r="O298" s="57"/>
    </row>
    <row r="299" customFormat="false" ht="15" hidden="false" customHeight="true" outlineLevel="0" collapsed="false">
      <c r="A299" s="1" t="str">
        <f aca="false">Backlog!A299</f>
        <v/>
      </c>
      <c r="B299" s="1" t="str">
        <f aca="false">IFERROR(IF(ISBLANK(INDEX(Backlog[Requirement Name],MATCH($A299,Backlog[Requirement ID],0))),"",INDEX(Backlog[Requirement Name],MATCH($A299,Backlog[Requirement ID],0))),"")</f>
        <v/>
      </c>
      <c r="C299" s="1" t="str">
        <f aca="false">IFERROR(IF(ISBLANK(INDEX(Backlog[Stream],MATCH($A299,Backlog[Requirement ID],0))),"",INDEX(Backlog[Stream],MATCH($A299,Backlog[Requirement ID],0))),"")</f>
        <v/>
      </c>
      <c r="D299" s="1" t="str">
        <f aca="false">IFERROR(IF(ISBLANK(INDEX(Backlog[Stream Owner],MATCH($A299,Backlog[Requirement ID],0))),"",INDEX(Backlog[Stream Owner],MATCH($A299,Backlog[Requirement ID],0))),"")</f>
        <v/>
      </c>
      <c r="E299" s="1" t="str">
        <f aca="false">IFERROR(IF(ISBLANK(INDEX(Backlog[Jira Link],MATCH($A299,Backlog[Requirement ID],0))),"",INDEX(Backlog[Jira Link],MATCH($A299,Backlog[Requirement ID],0))),"")</f>
        <v/>
      </c>
      <c r="H299" s="1" t="str">
        <f aca="false">IFERROR(IF(ISBLANK(INDEX(SprintPlanning[Sprint],MATCH($A299,SprintPlanning[Requirement ID],0))),"",INDEX(SprintPlanning[Sprint],MATCH($A299,SprintPlanning[Requirement ID],0))),"")</f>
        <v/>
      </c>
      <c r="I299" s="1" t="str">
        <f aca="false">IFERROR(IF(ISBLANK(INDEX(Backlog[Status],MATCH($A299,Backlog[Requirement ID],0))),"",INDEX(Backlog[Status],MATCH($A299,Backlog[Requirement ID],0))),"")</f>
        <v/>
      </c>
      <c r="J299" s="1" t="str">
        <f aca="false">IFERROR(IF(ISBLANK(INDEX(Backlog[Priority],MATCH($A299,Backlog[Requirement ID],0))),"",INDEX(Backlog[Priority],MATCH($A299,Backlog[Requirement ID],0))),"")</f>
        <v/>
      </c>
      <c r="L299" s="57"/>
      <c r="M299" s="57"/>
      <c r="O299" s="57"/>
    </row>
    <row r="300" customFormat="false" ht="15" hidden="false" customHeight="true" outlineLevel="0" collapsed="false">
      <c r="A300" s="1" t="str">
        <f aca="false">Backlog!A300</f>
        <v/>
      </c>
      <c r="B300" s="1" t="str">
        <f aca="false">IFERROR(IF(ISBLANK(INDEX(Backlog[Requirement Name],MATCH($A300,Backlog[Requirement ID],0))),"",INDEX(Backlog[Requirement Name],MATCH($A300,Backlog[Requirement ID],0))),"")</f>
        <v/>
      </c>
      <c r="C300" s="1" t="str">
        <f aca="false">IFERROR(IF(ISBLANK(INDEX(Backlog[Stream],MATCH($A300,Backlog[Requirement ID],0))),"",INDEX(Backlog[Stream],MATCH($A300,Backlog[Requirement ID],0))),"")</f>
        <v/>
      </c>
      <c r="D300" s="1" t="str">
        <f aca="false">IFERROR(IF(ISBLANK(INDEX(Backlog[Stream Owner],MATCH($A300,Backlog[Requirement ID],0))),"",INDEX(Backlog[Stream Owner],MATCH($A300,Backlog[Requirement ID],0))),"")</f>
        <v/>
      </c>
      <c r="E300" s="1" t="str">
        <f aca="false">IFERROR(IF(ISBLANK(INDEX(Backlog[Jira Link],MATCH($A300,Backlog[Requirement ID],0))),"",INDEX(Backlog[Jira Link],MATCH($A300,Backlog[Requirement ID],0))),"")</f>
        <v/>
      </c>
      <c r="H300" s="1" t="str">
        <f aca="false">IFERROR(IF(ISBLANK(INDEX(SprintPlanning[Sprint],MATCH($A300,SprintPlanning[Requirement ID],0))),"",INDEX(SprintPlanning[Sprint],MATCH($A300,SprintPlanning[Requirement ID],0))),"")</f>
        <v/>
      </c>
      <c r="I300" s="1" t="str">
        <f aca="false">IFERROR(IF(ISBLANK(INDEX(Backlog[Status],MATCH($A300,Backlog[Requirement ID],0))),"",INDEX(Backlog[Status],MATCH($A300,Backlog[Requirement ID],0))),"")</f>
        <v/>
      </c>
      <c r="J300" s="1" t="str">
        <f aca="false">IFERROR(IF(ISBLANK(INDEX(Backlog[Priority],MATCH($A300,Backlog[Requirement ID],0))),"",INDEX(Backlog[Priority],MATCH($A300,Backlog[Requirement ID],0))),"")</f>
        <v/>
      </c>
      <c r="L300" s="57"/>
      <c r="M300" s="57"/>
      <c r="O300" s="57"/>
    </row>
    <row r="301" customFormat="false" ht="15" hidden="false" customHeight="true" outlineLevel="0" collapsed="false">
      <c r="A301" s="1" t="str">
        <f aca="false">Backlog!A301</f>
        <v/>
      </c>
      <c r="B301" s="1" t="str">
        <f aca="false">IFERROR(IF(ISBLANK(INDEX(Backlog[Requirement Name],MATCH($A301,Backlog[Requirement ID],0))),"",INDEX(Backlog[Requirement Name],MATCH($A301,Backlog[Requirement ID],0))),"")</f>
        <v/>
      </c>
      <c r="C301" s="1" t="str">
        <f aca="false">IFERROR(IF(ISBLANK(INDEX(Backlog[Stream],MATCH($A301,Backlog[Requirement ID],0))),"",INDEX(Backlog[Stream],MATCH($A301,Backlog[Requirement ID],0))),"")</f>
        <v/>
      </c>
      <c r="D301" s="1" t="str">
        <f aca="false">IFERROR(IF(ISBLANK(INDEX(Backlog[Stream Owner],MATCH($A301,Backlog[Requirement ID],0))),"",INDEX(Backlog[Stream Owner],MATCH($A301,Backlog[Requirement ID],0))),"")</f>
        <v/>
      </c>
      <c r="E301" s="1" t="str">
        <f aca="false">IFERROR(IF(ISBLANK(INDEX(Backlog[Jira Link],MATCH($A301,Backlog[Requirement ID],0))),"",INDEX(Backlog[Jira Link],MATCH($A301,Backlog[Requirement ID],0))),"")</f>
        <v/>
      </c>
      <c r="H301" s="1" t="str">
        <f aca="false">IFERROR(IF(ISBLANK(INDEX(SprintPlanning[Sprint],MATCH($A301,SprintPlanning[Requirement ID],0))),"",INDEX(SprintPlanning[Sprint],MATCH($A301,SprintPlanning[Requirement ID],0))),"")</f>
        <v/>
      </c>
      <c r="I301" s="1" t="str">
        <f aca="false">IFERROR(IF(ISBLANK(INDEX(Backlog[Status],MATCH($A301,Backlog[Requirement ID],0))),"",INDEX(Backlog[Status],MATCH($A301,Backlog[Requirement ID],0))),"")</f>
        <v/>
      </c>
      <c r="J301" s="1" t="str">
        <f aca="false">IFERROR(IF(ISBLANK(INDEX(Backlog[Priority],MATCH($A301,Backlog[Requirement ID],0))),"",INDEX(Backlog[Priority],MATCH($A301,Backlog[Requirement ID],0))),"")</f>
        <v/>
      </c>
      <c r="L301" s="57"/>
      <c r="M301" s="57"/>
      <c r="O301" s="57"/>
    </row>
    <row r="302" customFormat="false" ht="15" hidden="false" customHeight="true" outlineLevel="0" collapsed="false">
      <c r="A302" s="1" t="str">
        <f aca="false">Backlog!A302</f>
        <v/>
      </c>
      <c r="B302" s="1" t="str">
        <f aca="false">IFERROR(IF(ISBLANK(INDEX(Backlog[Requirement Name],MATCH($A302,Backlog[Requirement ID],0))),"",INDEX(Backlog[Requirement Name],MATCH($A302,Backlog[Requirement ID],0))),"")</f>
        <v/>
      </c>
      <c r="C302" s="1" t="str">
        <f aca="false">IFERROR(IF(ISBLANK(INDEX(Backlog[Stream],MATCH($A302,Backlog[Requirement ID],0))),"",INDEX(Backlog[Stream],MATCH($A302,Backlog[Requirement ID],0))),"")</f>
        <v/>
      </c>
      <c r="D302" s="1" t="str">
        <f aca="false">IFERROR(IF(ISBLANK(INDEX(Backlog[Stream Owner],MATCH($A302,Backlog[Requirement ID],0))),"",INDEX(Backlog[Stream Owner],MATCH($A302,Backlog[Requirement ID],0))),"")</f>
        <v/>
      </c>
      <c r="E302" s="1" t="str">
        <f aca="false">IFERROR(IF(ISBLANK(INDEX(Backlog[Jira Link],MATCH($A302,Backlog[Requirement ID],0))),"",INDEX(Backlog[Jira Link],MATCH($A302,Backlog[Requirement ID],0))),"")</f>
        <v/>
      </c>
      <c r="H302" s="1" t="str">
        <f aca="false">IFERROR(IF(ISBLANK(INDEX(SprintPlanning[Sprint],MATCH($A302,SprintPlanning[Requirement ID],0))),"",INDEX(SprintPlanning[Sprint],MATCH($A302,SprintPlanning[Requirement ID],0))),"")</f>
        <v/>
      </c>
      <c r="I302" s="1" t="str">
        <f aca="false">IFERROR(IF(ISBLANK(INDEX(Backlog[Status],MATCH($A302,Backlog[Requirement ID],0))),"",INDEX(Backlog[Status],MATCH($A302,Backlog[Requirement ID],0))),"")</f>
        <v/>
      </c>
      <c r="J302" s="1" t="str">
        <f aca="false">IFERROR(IF(ISBLANK(INDEX(Backlog[Priority],MATCH($A302,Backlog[Requirement ID],0))),"",INDEX(Backlog[Priority],MATCH($A302,Backlog[Requirement ID],0))),"")</f>
        <v/>
      </c>
      <c r="L302" s="57"/>
      <c r="M302" s="57"/>
      <c r="O302" s="57"/>
    </row>
    <row r="303" customFormat="false" ht="15" hidden="false" customHeight="true" outlineLevel="0" collapsed="false">
      <c r="A303" s="1" t="str">
        <f aca="false">Backlog!A303</f>
        <v/>
      </c>
      <c r="B303" s="1" t="str">
        <f aca="false">IFERROR(IF(ISBLANK(INDEX(Backlog[Requirement Name],MATCH($A303,Backlog[Requirement ID],0))),"",INDEX(Backlog[Requirement Name],MATCH($A303,Backlog[Requirement ID],0))),"")</f>
        <v/>
      </c>
      <c r="C303" s="1" t="str">
        <f aca="false">IFERROR(IF(ISBLANK(INDEX(Backlog[Stream],MATCH($A303,Backlog[Requirement ID],0))),"",INDEX(Backlog[Stream],MATCH($A303,Backlog[Requirement ID],0))),"")</f>
        <v/>
      </c>
      <c r="D303" s="1" t="str">
        <f aca="false">IFERROR(IF(ISBLANK(INDEX(Backlog[Stream Owner],MATCH($A303,Backlog[Requirement ID],0))),"",INDEX(Backlog[Stream Owner],MATCH($A303,Backlog[Requirement ID],0))),"")</f>
        <v/>
      </c>
      <c r="E303" s="1" t="str">
        <f aca="false">IFERROR(IF(ISBLANK(INDEX(Backlog[Jira Link],MATCH($A303,Backlog[Requirement ID],0))),"",INDEX(Backlog[Jira Link],MATCH($A303,Backlog[Requirement ID],0))),"")</f>
        <v/>
      </c>
      <c r="H303" s="1" t="str">
        <f aca="false">IFERROR(IF(ISBLANK(INDEX(SprintPlanning[Sprint],MATCH($A303,SprintPlanning[Requirement ID],0))),"",INDEX(SprintPlanning[Sprint],MATCH($A303,SprintPlanning[Requirement ID],0))),"")</f>
        <v/>
      </c>
      <c r="I303" s="1" t="str">
        <f aca="false">IFERROR(IF(ISBLANK(INDEX(Backlog[Status],MATCH($A303,Backlog[Requirement ID],0))),"",INDEX(Backlog[Status],MATCH($A303,Backlog[Requirement ID],0))),"")</f>
        <v/>
      </c>
      <c r="J303" s="1" t="str">
        <f aca="false">IFERROR(IF(ISBLANK(INDEX(Backlog[Priority],MATCH($A303,Backlog[Requirement ID],0))),"",INDEX(Backlog[Priority],MATCH($A303,Backlog[Requirement ID],0))),"")</f>
        <v/>
      </c>
      <c r="L303" s="57"/>
      <c r="M303" s="57"/>
      <c r="O303" s="57"/>
    </row>
    <row r="304" customFormat="false" ht="15" hidden="false" customHeight="true" outlineLevel="0" collapsed="false">
      <c r="A304" s="1" t="str">
        <f aca="false">Backlog!A304</f>
        <v/>
      </c>
      <c r="B304" s="1" t="str">
        <f aca="false">IFERROR(IF(ISBLANK(INDEX(Backlog[Requirement Name],MATCH($A304,Backlog[Requirement ID],0))),"",INDEX(Backlog[Requirement Name],MATCH($A304,Backlog[Requirement ID],0))),"")</f>
        <v/>
      </c>
      <c r="C304" s="1" t="str">
        <f aca="false">IFERROR(IF(ISBLANK(INDEX(Backlog[Stream],MATCH($A304,Backlog[Requirement ID],0))),"",INDEX(Backlog[Stream],MATCH($A304,Backlog[Requirement ID],0))),"")</f>
        <v/>
      </c>
      <c r="D304" s="1" t="str">
        <f aca="false">IFERROR(IF(ISBLANK(INDEX(Backlog[Stream Owner],MATCH($A304,Backlog[Requirement ID],0))),"",INDEX(Backlog[Stream Owner],MATCH($A304,Backlog[Requirement ID],0))),"")</f>
        <v/>
      </c>
      <c r="E304" s="1" t="str">
        <f aca="false">IFERROR(IF(ISBLANK(INDEX(Backlog[Jira Link],MATCH($A304,Backlog[Requirement ID],0))),"",INDEX(Backlog[Jira Link],MATCH($A304,Backlog[Requirement ID],0))),"")</f>
        <v/>
      </c>
      <c r="H304" s="1" t="str">
        <f aca="false">IFERROR(IF(ISBLANK(INDEX(SprintPlanning[Sprint],MATCH($A304,SprintPlanning[Requirement ID],0))),"",INDEX(SprintPlanning[Sprint],MATCH($A304,SprintPlanning[Requirement ID],0))),"")</f>
        <v/>
      </c>
      <c r="I304" s="1" t="str">
        <f aca="false">IFERROR(IF(ISBLANK(INDEX(Backlog[Status],MATCH($A304,Backlog[Requirement ID],0))),"",INDEX(Backlog[Status],MATCH($A304,Backlog[Requirement ID],0))),"")</f>
        <v/>
      </c>
      <c r="J304" s="1" t="str">
        <f aca="false">IFERROR(IF(ISBLANK(INDEX(Backlog[Priority],MATCH($A304,Backlog[Requirement ID],0))),"",INDEX(Backlog[Priority],MATCH($A304,Backlog[Requirement ID],0))),"")</f>
        <v/>
      </c>
      <c r="L304" s="57"/>
      <c r="M304" s="57"/>
      <c r="O304" s="57"/>
    </row>
    <row r="305" customFormat="false" ht="15" hidden="false" customHeight="true" outlineLevel="0" collapsed="false">
      <c r="A305" s="1" t="str">
        <f aca="false">Backlog!A305</f>
        <v/>
      </c>
      <c r="B305" s="1" t="str">
        <f aca="false">IFERROR(IF(ISBLANK(INDEX(Backlog[Requirement Name],MATCH($A305,Backlog[Requirement ID],0))),"",INDEX(Backlog[Requirement Name],MATCH($A305,Backlog[Requirement ID],0))),"")</f>
        <v/>
      </c>
      <c r="C305" s="1" t="str">
        <f aca="false">IFERROR(IF(ISBLANK(INDEX(Backlog[Stream],MATCH($A305,Backlog[Requirement ID],0))),"",INDEX(Backlog[Stream],MATCH($A305,Backlog[Requirement ID],0))),"")</f>
        <v/>
      </c>
      <c r="D305" s="1" t="str">
        <f aca="false">IFERROR(IF(ISBLANK(INDEX(Backlog[Stream Owner],MATCH($A305,Backlog[Requirement ID],0))),"",INDEX(Backlog[Stream Owner],MATCH($A305,Backlog[Requirement ID],0))),"")</f>
        <v/>
      </c>
      <c r="E305" s="1" t="str">
        <f aca="false">IFERROR(IF(ISBLANK(INDEX(Backlog[Jira Link],MATCH($A305,Backlog[Requirement ID],0))),"",INDEX(Backlog[Jira Link],MATCH($A305,Backlog[Requirement ID],0))),"")</f>
        <v/>
      </c>
      <c r="H305" s="1" t="str">
        <f aca="false">IFERROR(IF(ISBLANK(INDEX(SprintPlanning[Sprint],MATCH($A305,SprintPlanning[Requirement ID],0))),"",INDEX(SprintPlanning[Sprint],MATCH($A305,SprintPlanning[Requirement ID],0))),"")</f>
        <v/>
      </c>
      <c r="I305" s="1" t="str">
        <f aca="false">IFERROR(IF(ISBLANK(INDEX(Backlog[Status],MATCH($A305,Backlog[Requirement ID],0))),"",INDEX(Backlog[Status],MATCH($A305,Backlog[Requirement ID],0))),"")</f>
        <v/>
      </c>
      <c r="J305" s="1" t="str">
        <f aca="false">IFERROR(IF(ISBLANK(INDEX(Backlog[Priority],MATCH($A305,Backlog[Requirement ID],0))),"",INDEX(Backlog[Priority],MATCH($A305,Backlog[Requirement ID],0))),"")</f>
        <v/>
      </c>
      <c r="L305" s="57"/>
      <c r="M305" s="57"/>
      <c r="O305" s="57"/>
    </row>
    <row r="306" customFormat="false" ht="15" hidden="false" customHeight="true" outlineLevel="0" collapsed="false">
      <c r="A306" s="1" t="str">
        <f aca="false">Backlog!A306</f>
        <v/>
      </c>
      <c r="B306" s="1" t="str">
        <f aca="false">IFERROR(IF(ISBLANK(INDEX(Backlog[Requirement Name],MATCH($A306,Backlog[Requirement ID],0))),"",INDEX(Backlog[Requirement Name],MATCH($A306,Backlog[Requirement ID],0))),"")</f>
        <v/>
      </c>
      <c r="C306" s="1" t="str">
        <f aca="false">IFERROR(IF(ISBLANK(INDEX(Backlog[Stream],MATCH($A306,Backlog[Requirement ID],0))),"",INDEX(Backlog[Stream],MATCH($A306,Backlog[Requirement ID],0))),"")</f>
        <v/>
      </c>
      <c r="D306" s="1" t="str">
        <f aca="false">IFERROR(IF(ISBLANK(INDEX(Backlog[Stream Owner],MATCH($A306,Backlog[Requirement ID],0))),"",INDEX(Backlog[Stream Owner],MATCH($A306,Backlog[Requirement ID],0))),"")</f>
        <v/>
      </c>
      <c r="E306" s="1" t="str">
        <f aca="false">IFERROR(IF(ISBLANK(INDEX(Backlog[Jira Link],MATCH($A306,Backlog[Requirement ID],0))),"",INDEX(Backlog[Jira Link],MATCH($A306,Backlog[Requirement ID],0))),"")</f>
        <v/>
      </c>
      <c r="H306" s="1" t="str">
        <f aca="false">IFERROR(IF(ISBLANK(INDEX(SprintPlanning[Sprint],MATCH($A306,SprintPlanning[Requirement ID],0))),"",INDEX(SprintPlanning[Sprint],MATCH($A306,SprintPlanning[Requirement ID],0))),"")</f>
        <v/>
      </c>
      <c r="I306" s="1" t="str">
        <f aca="false">IFERROR(IF(ISBLANK(INDEX(Backlog[Status],MATCH($A306,Backlog[Requirement ID],0))),"",INDEX(Backlog[Status],MATCH($A306,Backlog[Requirement ID],0))),"")</f>
        <v/>
      </c>
      <c r="J306" s="1" t="str">
        <f aca="false">IFERROR(IF(ISBLANK(INDEX(Backlog[Priority],MATCH($A306,Backlog[Requirement ID],0))),"",INDEX(Backlog[Priority],MATCH($A306,Backlog[Requirement ID],0))),"")</f>
        <v/>
      </c>
      <c r="L306" s="57"/>
      <c r="M306" s="57"/>
      <c r="O306" s="57"/>
    </row>
    <row r="307" customFormat="false" ht="15" hidden="false" customHeight="true" outlineLevel="0" collapsed="false">
      <c r="A307" s="1" t="str">
        <f aca="false">Backlog!A307</f>
        <v/>
      </c>
      <c r="B307" s="1" t="str">
        <f aca="false">IFERROR(IF(ISBLANK(INDEX(Backlog[Requirement Name],MATCH($A307,Backlog[Requirement ID],0))),"",INDEX(Backlog[Requirement Name],MATCH($A307,Backlog[Requirement ID],0))),"")</f>
        <v/>
      </c>
      <c r="C307" s="1" t="str">
        <f aca="false">IFERROR(IF(ISBLANK(INDEX(Backlog[Stream],MATCH($A307,Backlog[Requirement ID],0))),"",INDEX(Backlog[Stream],MATCH($A307,Backlog[Requirement ID],0))),"")</f>
        <v/>
      </c>
      <c r="D307" s="1" t="str">
        <f aca="false">IFERROR(IF(ISBLANK(INDEX(Backlog[Stream Owner],MATCH($A307,Backlog[Requirement ID],0))),"",INDEX(Backlog[Stream Owner],MATCH($A307,Backlog[Requirement ID],0))),"")</f>
        <v/>
      </c>
      <c r="E307" s="1" t="str">
        <f aca="false">IFERROR(IF(ISBLANK(INDEX(Backlog[Jira Link],MATCH($A307,Backlog[Requirement ID],0))),"",INDEX(Backlog[Jira Link],MATCH($A307,Backlog[Requirement ID],0))),"")</f>
        <v/>
      </c>
      <c r="H307" s="1" t="str">
        <f aca="false">IFERROR(IF(ISBLANK(INDEX(SprintPlanning[Sprint],MATCH($A307,SprintPlanning[Requirement ID],0))),"",INDEX(SprintPlanning[Sprint],MATCH($A307,SprintPlanning[Requirement ID],0))),"")</f>
        <v/>
      </c>
      <c r="I307" s="1" t="str">
        <f aca="false">IFERROR(IF(ISBLANK(INDEX(Backlog[Status],MATCH($A307,Backlog[Requirement ID],0))),"",INDEX(Backlog[Status],MATCH($A307,Backlog[Requirement ID],0))),"")</f>
        <v/>
      </c>
      <c r="J307" s="1" t="str">
        <f aca="false">IFERROR(IF(ISBLANK(INDEX(Backlog[Priority],MATCH($A307,Backlog[Requirement ID],0))),"",INDEX(Backlog[Priority],MATCH($A307,Backlog[Requirement ID],0))),"")</f>
        <v/>
      </c>
      <c r="L307" s="57"/>
      <c r="M307" s="57"/>
      <c r="O307" s="57"/>
    </row>
    <row r="308" customFormat="false" ht="15" hidden="false" customHeight="true" outlineLevel="0" collapsed="false">
      <c r="A308" s="1" t="str">
        <f aca="false">Backlog!A308</f>
        <v/>
      </c>
      <c r="B308" s="1" t="str">
        <f aca="false">IFERROR(IF(ISBLANK(INDEX(Backlog[Requirement Name],MATCH($A308,Backlog[Requirement ID],0))),"",INDEX(Backlog[Requirement Name],MATCH($A308,Backlog[Requirement ID],0))),"")</f>
        <v/>
      </c>
      <c r="C308" s="1" t="str">
        <f aca="false">IFERROR(IF(ISBLANK(INDEX(Backlog[Stream],MATCH($A308,Backlog[Requirement ID],0))),"",INDEX(Backlog[Stream],MATCH($A308,Backlog[Requirement ID],0))),"")</f>
        <v/>
      </c>
      <c r="D308" s="1" t="str">
        <f aca="false">IFERROR(IF(ISBLANK(INDEX(Backlog[Stream Owner],MATCH($A308,Backlog[Requirement ID],0))),"",INDEX(Backlog[Stream Owner],MATCH($A308,Backlog[Requirement ID],0))),"")</f>
        <v/>
      </c>
      <c r="E308" s="1" t="str">
        <f aca="false">IFERROR(IF(ISBLANK(INDEX(Backlog[Jira Link],MATCH($A308,Backlog[Requirement ID],0))),"",INDEX(Backlog[Jira Link],MATCH($A308,Backlog[Requirement ID],0))),"")</f>
        <v/>
      </c>
      <c r="H308" s="1" t="str">
        <f aca="false">IFERROR(IF(ISBLANK(INDEX(SprintPlanning[Sprint],MATCH($A308,SprintPlanning[Requirement ID],0))),"",INDEX(SprintPlanning[Sprint],MATCH($A308,SprintPlanning[Requirement ID],0))),"")</f>
        <v/>
      </c>
      <c r="I308" s="1" t="str">
        <f aca="false">IFERROR(IF(ISBLANK(INDEX(Backlog[Status],MATCH($A308,Backlog[Requirement ID],0))),"",INDEX(Backlog[Status],MATCH($A308,Backlog[Requirement ID],0))),"")</f>
        <v/>
      </c>
      <c r="J308" s="1" t="str">
        <f aca="false">IFERROR(IF(ISBLANK(INDEX(Backlog[Priority],MATCH($A308,Backlog[Requirement ID],0))),"",INDEX(Backlog[Priority],MATCH($A308,Backlog[Requirement ID],0))),"")</f>
        <v/>
      </c>
      <c r="L308" s="57"/>
      <c r="M308" s="57"/>
      <c r="O308" s="57"/>
    </row>
    <row r="309" customFormat="false" ht="15" hidden="false" customHeight="true" outlineLevel="0" collapsed="false">
      <c r="A309" s="1" t="str">
        <f aca="false">Backlog!A309</f>
        <v/>
      </c>
      <c r="B309" s="1" t="str">
        <f aca="false">IFERROR(IF(ISBLANK(INDEX(Backlog[Requirement Name],MATCH($A309,Backlog[Requirement ID],0))),"",INDEX(Backlog[Requirement Name],MATCH($A309,Backlog[Requirement ID],0))),"")</f>
        <v/>
      </c>
      <c r="C309" s="1" t="str">
        <f aca="false">IFERROR(IF(ISBLANK(INDEX(Backlog[Stream],MATCH($A309,Backlog[Requirement ID],0))),"",INDEX(Backlog[Stream],MATCH($A309,Backlog[Requirement ID],0))),"")</f>
        <v/>
      </c>
      <c r="D309" s="1" t="str">
        <f aca="false">IFERROR(IF(ISBLANK(INDEX(Backlog[Stream Owner],MATCH($A309,Backlog[Requirement ID],0))),"",INDEX(Backlog[Stream Owner],MATCH($A309,Backlog[Requirement ID],0))),"")</f>
        <v/>
      </c>
      <c r="E309" s="1" t="str">
        <f aca="false">IFERROR(IF(ISBLANK(INDEX(Backlog[Jira Link],MATCH($A309,Backlog[Requirement ID],0))),"",INDEX(Backlog[Jira Link],MATCH($A309,Backlog[Requirement ID],0))),"")</f>
        <v/>
      </c>
      <c r="H309" s="1" t="str">
        <f aca="false">IFERROR(IF(ISBLANK(INDEX(SprintPlanning[Sprint],MATCH($A309,SprintPlanning[Requirement ID],0))),"",INDEX(SprintPlanning[Sprint],MATCH($A309,SprintPlanning[Requirement ID],0))),"")</f>
        <v/>
      </c>
      <c r="I309" s="1" t="str">
        <f aca="false">IFERROR(IF(ISBLANK(INDEX(Backlog[Status],MATCH($A309,Backlog[Requirement ID],0))),"",INDEX(Backlog[Status],MATCH($A309,Backlog[Requirement ID],0))),"")</f>
        <v/>
      </c>
      <c r="J309" s="1" t="str">
        <f aca="false">IFERROR(IF(ISBLANK(INDEX(Backlog[Priority],MATCH($A309,Backlog[Requirement ID],0))),"",INDEX(Backlog[Priority],MATCH($A309,Backlog[Requirement ID],0))),"")</f>
        <v/>
      </c>
      <c r="L309" s="57"/>
      <c r="M309" s="57"/>
      <c r="O309" s="57"/>
    </row>
    <row r="310" customFormat="false" ht="15" hidden="false" customHeight="true" outlineLevel="0" collapsed="false">
      <c r="A310" s="1" t="str">
        <f aca="false">Backlog!A310</f>
        <v/>
      </c>
      <c r="B310" s="1" t="str">
        <f aca="false">IFERROR(IF(ISBLANK(INDEX(Backlog[Requirement Name],MATCH($A310,Backlog[Requirement ID],0))),"",INDEX(Backlog[Requirement Name],MATCH($A310,Backlog[Requirement ID],0))),"")</f>
        <v/>
      </c>
      <c r="C310" s="1" t="str">
        <f aca="false">IFERROR(IF(ISBLANK(INDEX(Backlog[Stream],MATCH($A310,Backlog[Requirement ID],0))),"",INDEX(Backlog[Stream],MATCH($A310,Backlog[Requirement ID],0))),"")</f>
        <v/>
      </c>
      <c r="D310" s="1" t="str">
        <f aca="false">IFERROR(IF(ISBLANK(INDEX(Backlog[Stream Owner],MATCH($A310,Backlog[Requirement ID],0))),"",INDEX(Backlog[Stream Owner],MATCH($A310,Backlog[Requirement ID],0))),"")</f>
        <v/>
      </c>
      <c r="E310" s="1" t="str">
        <f aca="false">IFERROR(IF(ISBLANK(INDEX(Backlog[Jira Link],MATCH($A310,Backlog[Requirement ID],0))),"",INDEX(Backlog[Jira Link],MATCH($A310,Backlog[Requirement ID],0))),"")</f>
        <v/>
      </c>
      <c r="H310" s="1" t="str">
        <f aca="false">IFERROR(IF(ISBLANK(INDEX(SprintPlanning[Sprint],MATCH($A310,SprintPlanning[Requirement ID],0))),"",INDEX(SprintPlanning[Sprint],MATCH($A310,SprintPlanning[Requirement ID],0))),"")</f>
        <v/>
      </c>
      <c r="I310" s="1" t="str">
        <f aca="false">IFERROR(IF(ISBLANK(INDEX(Backlog[Status],MATCH($A310,Backlog[Requirement ID],0))),"",INDEX(Backlog[Status],MATCH($A310,Backlog[Requirement ID],0))),"")</f>
        <v/>
      </c>
      <c r="J310" s="1" t="str">
        <f aca="false">IFERROR(IF(ISBLANK(INDEX(Backlog[Priority],MATCH($A310,Backlog[Requirement ID],0))),"",INDEX(Backlog[Priority],MATCH($A310,Backlog[Requirement ID],0))),"")</f>
        <v/>
      </c>
      <c r="L310" s="57"/>
      <c r="M310" s="57"/>
      <c r="O310" s="57"/>
    </row>
    <row r="311" customFormat="false" ht="15" hidden="false" customHeight="true" outlineLevel="0" collapsed="false">
      <c r="A311" s="1" t="str">
        <f aca="false">Backlog!A311</f>
        <v/>
      </c>
      <c r="B311" s="1" t="str">
        <f aca="false">IFERROR(IF(ISBLANK(INDEX(Backlog[Requirement Name],MATCH($A311,Backlog[Requirement ID],0))),"",INDEX(Backlog[Requirement Name],MATCH($A311,Backlog[Requirement ID],0))),"")</f>
        <v/>
      </c>
      <c r="C311" s="1" t="str">
        <f aca="false">IFERROR(IF(ISBLANK(INDEX(Backlog[Stream],MATCH($A311,Backlog[Requirement ID],0))),"",INDEX(Backlog[Stream],MATCH($A311,Backlog[Requirement ID],0))),"")</f>
        <v/>
      </c>
      <c r="D311" s="1" t="str">
        <f aca="false">IFERROR(IF(ISBLANK(INDEX(Backlog[Stream Owner],MATCH($A311,Backlog[Requirement ID],0))),"",INDEX(Backlog[Stream Owner],MATCH($A311,Backlog[Requirement ID],0))),"")</f>
        <v/>
      </c>
      <c r="E311" s="1" t="str">
        <f aca="false">IFERROR(IF(ISBLANK(INDEX(Backlog[Jira Link],MATCH($A311,Backlog[Requirement ID],0))),"",INDEX(Backlog[Jira Link],MATCH($A311,Backlog[Requirement ID],0))),"")</f>
        <v/>
      </c>
      <c r="H311" s="1" t="str">
        <f aca="false">IFERROR(IF(ISBLANK(INDEX(SprintPlanning[Sprint],MATCH($A311,SprintPlanning[Requirement ID],0))),"",INDEX(SprintPlanning[Sprint],MATCH($A311,SprintPlanning[Requirement ID],0))),"")</f>
        <v/>
      </c>
      <c r="I311" s="1" t="str">
        <f aca="false">IFERROR(IF(ISBLANK(INDEX(Backlog[Status],MATCH($A311,Backlog[Requirement ID],0))),"",INDEX(Backlog[Status],MATCH($A311,Backlog[Requirement ID],0))),"")</f>
        <v/>
      </c>
      <c r="J311" s="1" t="str">
        <f aca="false">IFERROR(IF(ISBLANK(INDEX(Backlog[Priority],MATCH($A311,Backlog[Requirement ID],0))),"",INDEX(Backlog[Priority],MATCH($A311,Backlog[Requirement ID],0))),"")</f>
        <v/>
      </c>
      <c r="L311" s="57"/>
      <c r="M311" s="57"/>
      <c r="O311" s="57"/>
    </row>
    <row r="312" customFormat="false" ht="15" hidden="false" customHeight="true" outlineLevel="0" collapsed="false">
      <c r="A312" s="1" t="str">
        <f aca="false">Backlog!A312</f>
        <v/>
      </c>
      <c r="B312" s="1" t="str">
        <f aca="false">IFERROR(IF(ISBLANK(INDEX(Backlog[Requirement Name],MATCH($A312,Backlog[Requirement ID],0))),"",INDEX(Backlog[Requirement Name],MATCH($A312,Backlog[Requirement ID],0))),"")</f>
        <v/>
      </c>
      <c r="C312" s="1" t="str">
        <f aca="false">IFERROR(IF(ISBLANK(INDEX(Backlog[Stream],MATCH($A312,Backlog[Requirement ID],0))),"",INDEX(Backlog[Stream],MATCH($A312,Backlog[Requirement ID],0))),"")</f>
        <v/>
      </c>
      <c r="D312" s="1" t="str">
        <f aca="false">IFERROR(IF(ISBLANK(INDEX(Backlog[Stream Owner],MATCH($A312,Backlog[Requirement ID],0))),"",INDEX(Backlog[Stream Owner],MATCH($A312,Backlog[Requirement ID],0))),"")</f>
        <v/>
      </c>
      <c r="E312" s="1" t="str">
        <f aca="false">IFERROR(IF(ISBLANK(INDEX(Backlog[Jira Link],MATCH($A312,Backlog[Requirement ID],0))),"",INDEX(Backlog[Jira Link],MATCH($A312,Backlog[Requirement ID],0))),"")</f>
        <v/>
      </c>
      <c r="H312" s="1" t="str">
        <f aca="false">IFERROR(IF(ISBLANK(INDEX(SprintPlanning[Sprint],MATCH($A312,SprintPlanning[Requirement ID],0))),"",INDEX(SprintPlanning[Sprint],MATCH($A312,SprintPlanning[Requirement ID],0))),"")</f>
        <v/>
      </c>
      <c r="I312" s="1" t="str">
        <f aca="false">IFERROR(IF(ISBLANK(INDEX(Backlog[Status],MATCH($A312,Backlog[Requirement ID],0))),"",INDEX(Backlog[Status],MATCH($A312,Backlog[Requirement ID],0))),"")</f>
        <v/>
      </c>
      <c r="J312" s="1" t="str">
        <f aca="false">IFERROR(IF(ISBLANK(INDEX(Backlog[Priority],MATCH($A312,Backlog[Requirement ID],0))),"",INDEX(Backlog[Priority],MATCH($A312,Backlog[Requirement ID],0))),"")</f>
        <v/>
      </c>
      <c r="L312" s="57"/>
      <c r="M312" s="57"/>
      <c r="O312" s="57"/>
    </row>
    <row r="313" customFormat="false" ht="15" hidden="false" customHeight="true" outlineLevel="0" collapsed="false">
      <c r="A313" s="1" t="str">
        <f aca="false">Backlog!A313</f>
        <v/>
      </c>
      <c r="B313" s="1" t="str">
        <f aca="false">IFERROR(IF(ISBLANK(INDEX(Backlog[Requirement Name],MATCH($A313,Backlog[Requirement ID],0))),"",INDEX(Backlog[Requirement Name],MATCH($A313,Backlog[Requirement ID],0))),"")</f>
        <v/>
      </c>
      <c r="C313" s="1" t="str">
        <f aca="false">IFERROR(IF(ISBLANK(INDEX(Backlog[Stream],MATCH($A313,Backlog[Requirement ID],0))),"",INDEX(Backlog[Stream],MATCH($A313,Backlog[Requirement ID],0))),"")</f>
        <v/>
      </c>
      <c r="D313" s="1" t="str">
        <f aca="false">IFERROR(IF(ISBLANK(INDEX(Backlog[Stream Owner],MATCH($A313,Backlog[Requirement ID],0))),"",INDEX(Backlog[Stream Owner],MATCH($A313,Backlog[Requirement ID],0))),"")</f>
        <v/>
      </c>
      <c r="E313" s="1" t="str">
        <f aca="false">IFERROR(IF(ISBLANK(INDEX(Backlog[Jira Link],MATCH($A313,Backlog[Requirement ID],0))),"",INDEX(Backlog[Jira Link],MATCH($A313,Backlog[Requirement ID],0))),"")</f>
        <v/>
      </c>
      <c r="H313" s="1" t="str">
        <f aca="false">IFERROR(IF(ISBLANK(INDEX(SprintPlanning[Sprint],MATCH($A313,SprintPlanning[Requirement ID],0))),"",INDEX(SprintPlanning[Sprint],MATCH($A313,SprintPlanning[Requirement ID],0))),"")</f>
        <v/>
      </c>
      <c r="I313" s="1" t="str">
        <f aca="false">IFERROR(IF(ISBLANK(INDEX(Backlog[Status],MATCH($A313,Backlog[Requirement ID],0))),"",INDEX(Backlog[Status],MATCH($A313,Backlog[Requirement ID],0))),"")</f>
        <v/>
      </c>
      <c r="J313" s="1" t="str">
        <f aca="false">IFERROR(IF(ISBLANK(INDEX(Backlog[Priority],MATCH($A313,Backlog[Requirement ID],0))),"",INDEX(Backlog[Priority],MATCH($A313,Backlog[Requirement ID],0))),"")</f>
        <v/>
      </c>
      <c r="L313" s="57"/>
      <c r="M313" s="57"/>
      <c r="O313" s="57"/>
    </row>
    <row r="314" customFormat="false" ht="15" hidden="false" customHeight="true" outlineLevel="0" collapsed="false">
      <c r="A314" s="1" t="str">
        <f aca="false">Backlog!A314</f>
        <v/>
      </c>
      <c r="B314" s="1" t="str">
        <f aca="false">IFERROR(IF(ISBLANK(INDEX(Backlog[Requirement Name],MATCH($A314,Backlog[Requirement ID],0))),"",INDEX(Backlog[Requirement Name],MATCH($A314,Backlog[Requirement ID],0))),"")</f>
        <v/>
      </c>
      <c r="C314" s="1" t="str">
        <f aca="false">IFERROR(IF(ISBLANK(INDEX(Backlog[Stream],MATCH($A314,Backlog[Requirement ID],0))),"",INDEX(Backlog[Stream],MATCH($A314,Backlog[Requirement ID],0))),"")</f>
        <v/>
      </c>
      <c r="D314" s="1" t="str">
        <f aca="false">IFERROR(IF(ISBLANK(INDEX(Backlog[Stream Owner],MATCH($A314,Backlog[Requirement ID],0))),"",INDEX(Backlog[Stream Owner],MATCH($A314,Backlog[Requirement ID],0))),"")</f>
        <v/>
      </c>
      <c r="E314" s="1" t="str">
        <f aca="false">IFERROR(IF(ISBLANK(INDEX(Backlog[Jira Link],MATCH($A314,Backlog[Requirement ID],0))),"",INDEX(Backlog[Jira Link],MATCH($A314,Backlog[Requirement ID],0))),"")</f>
        <v/>
      </c>
      <c r="H314" s="1" t="str">
        <f aca="false">IFERROR(IF(ISBLANK(INDEX(SprintPlanning[Sprint],MATCH($A314,SprintPlanning[Requirement ID],0))),"",INDEX(SprintPlanning[Sprint],MATCH($A314,SprintPlanning[Requirement ID],0))),"")</f>
        <v/>
      </c>
      <c r="I314" s="1" t="str">
        <f aca="false">IFERROR(IF(ISBLANK(INDEX(Backlog[Status],MATCH($A314,Backlog[Requirement ID],0))),"",INDEX(Backlog[Status],MATCH($A314,Backlog[Requirement ID],0))),"")</f>
        <v/>
      </c>
      <c r="J314" s="1" t="str">
        <f aca="false">IFERROR(IF(ISBLANK(INDEX(Backlog[Priority],MATCH($A314,Backlog[Requirement ID],0))),"",INDEX(Backlog[Priority],MATCH($A314,Backlog[Requirement ID],0))),"")</f>
        <v/>
      </c>
      <c r="L314" s="57"/>
      <c r="M314" s="57"/>
      <c r="O314" s="57"/>
    </row>
    <row r="315" customFormat="false" ht="15" hidden="false" customHeight="true" outlineLevel="0" collapsed="false">
      <c r="A315" s="1" t="str">
        <f aca="false">Backlog!A315</f>
        <v/>
      </c>
      <c r="B315" s="1" t="str">
        <f aca="false">IFERROR(IF(ISBLANK(INDEX(Backlog[Requirement Name],MATCH($A315,Backlog[Requirement ID],0))),"",INDEX(Backlog[Requirement Name],MATCH($A315,Backlog[Requirement ID],0))),"")</f>
        <v/>
      </c>
      <c r="C315" s="1" t="str">
        <f aca="false">IFERROR(IF(ISBLANK(INDEX(Backlog[Stream],MATCH($A315,Backlog[Requirement ID],0))),"",INDEX(Backlog[Stream],MATCH($A315,Backlog[Requirement ID],0))),"")</f>
        <v/>
      </c>
      <c r="D315" s="1" t="str">
        <f aca="false">IFERROR(IF(ISBLANK(INDEX(Backlog[Stream Owner],MATCH($A315,Backlog[Requirement ID],0))),"",INDEX(Backlog[Stream Owner],MATCH($A315,Backlog[Requirement ID],0))),"")</f>
        <v/>
      </c>
      <c r="E315" s="1" t="str">
        <f aca="false">IFERROR(IF(ISBLANK(INDEX(Backlog[Jira Link],MATCH($A315,Backlog[Requirement ID],0))),"",INDEX(Backlog[Jira Link],MATCH($A315,Backlog[Requirement ID],0))),"")</f>
        <v/>
      </c>
      <c r="H315" s="1" t="str">
        <f aca="false">IFERROR(IF(ISBLANK(INDEX(SprintPlanning[Sprint],MATCH($A315,SprintPlanning[Requirement ID],0))),"",INDEX(SprintPlanning[Sprint],MATCH($A315,SprintPlanning[Requirement ID],0))),"")</f>
        <v/>
      </c>
      <c r="I315" s="1" t="str">
        <f aca="false">IFERROR(IF(ISBLANK(INDEX(Backlog[Status],MATCH($A315,Backlog[Requirement ID],0))),"",INDEX(Backlog[Status],MATCH($A315,Backlog[Requirement ID],0))),"")</f>
        <v/>
      </c>
      <c r="J315" s="1" t="str">
        <f aca="false">IFERROR(IF(ISBLANK(INDEX(Backlog[Priority],MATCH($A315,Backlog[Requirement ID],0))),"",INDEX(Backlog[Priority],MATCH($A315,Backlog[Requirement ID],0))),"")</f>
        <v/>
      </c>
      <c r="L315" s="57"/>
      <c r="M315" s="57"/>
      <c r="O315" s="57"/>
    </row>
    <row r="316" customFormat="false" ht="15" hidden="false" customHeight="true" outlineLevel="0" collapsed="false">
      <c r="A316" s="1" t="str">
        <f aca="false">Backlog!A316</f>
        <v/>
      </c>
      <c r="B316" s="1" t="str">
        <f aca="false">IFERROR(IF(ISBLANK(INDEX(Backlog[Requirement Name],MATCH($A316,Backlog[Requirement ID],0))),"",INDEX(Backlog[Requirement Name],MATCH($A316,Backlog[Requirement ID],0))),"")</f>
        <v/>
      </c>
      <c r="C316" s="1" t="str">
        <f aca="false">IFERROR(IF(ISBLANK(INDEX(Backlog[Stream],MATCH($A316,Backlog[Requirement ID],0))),"",INDEX(Backlog[Stream],MATCH($A316,Backlog[Requirement ID],0))),"")</f>
        <v/>
      </c>
      <c r="D316" s="1" t="str">
        <f aca="false">IFERROR(IF(ISBLANK(INDEX(Backlog[Stream Owner],MATCH($A316,Backlog[Requirement ID],0))),"",INDEX(Backlog[Stream Owner],MATCH($A316,Backlog[Requirement ID],0))),"")</f>
        <v/>
      </c>
      <c r="E316" s="1" t="str">
        <f aca="false">IFERROR(IF(ISBLANK(INDEX(Backlog[Jira Link],MATCH($A316,Backlog[Requirement ID],0))),"",INDEX(Backlog[Jira Link],MATCH($A316,Backlog[Requirement ID],0))),"")</f>
        <v/>
      </c>
      <c r="H316" s="1" t="str">
        <f aca="false">IFERROR(IF(ISBLANK(INDEX(SprintPlanning[Sprint],MATCH($A316,SprintPlanning[Requirement ID],0))),"",INDEX(SprintPlanning[Sprint],MATCH($A316,SprintPlanning[Requirement ID],0))),"")</f>
        <v/>
      </c>
      <c r="I316" s="1" t="str">
        <f aca="false">IFERROR(IF(ISBLANK(INDEX(Backlog[Status],MATCH($A316,Backlog[Requirement ID],0))),"",INDEX(Backlog[Status],MATCH($A316,Backlog[Requirement ID],0))),"")</f>
        <v/>
      </c>
      <c r="J316" s="1" t="str">
        <f aca="false">IFERROR(IF(ISBLANK(INDEX(Backlog[Priority],MATCH($A316,Backlog[Requirement ID],0))),"",INDEX(Backlog[Priority],MATCH($A316,Backlog[Requirement ID],0))),"")</f>
        <v/>
      </c>
      <c r="L316" s="57"/>
      <c r="M316" s="57"/>
      <c r="O316" s="57"/>
    </row>
    <row r="317" customFormat="false" ht="15" hidden="false" customHeight="true" outlineLevel="0" collapsed="false">
      <c r="A317" s="1" t="str">
        <f aca="false">Backlog!A317</f>
        <v/>
      </c>
      <c r="B317" s="1" t="str">
        <f aca="false">IFERROR(IF(ISBLANK(INDEX(Backlog[Requirement Name],MATCH($A317,Backlog[Requirement ID],0))),"",INDEX(Backlog[Requirement Name],MATCH($A317,Backlog[Requirement ID],0))),"")</f>
        <v/>
      </c>
      <c r="C317" s="1" t="str">
        <f aca="false">IFERROR(IF(ISBLANK(INDEX(Backlog[Stream],MATCH($A317,Backlog[Requirement ID],0))),"",INDEX(Backlog[Stream],MATCH($A317,Backlog[Requirement ID],0))),"")</f>
        <v/>
      </c>
      <c r="D317" s="1" t="str">
        <f aca="false">IFERROR(IF(ISBLANK(INDEX(Backlog[Stream Owner],MATCH($A317,Backlog[Requirement ID],0))),"",INDEX(Backlog[Stream Owner],MATCH($A317,Backlog[Requirement ID],0))),"")</f>
        <v/>
      </c>
      <c r="E317" s="1" t="str">
        <f aca="false">IFERROR(IF(ISBLANK(INDEX(Backlog[Jira Link],MATCH($A317,Backlog[Requirement ID],0))),"",INDEX(Backlog[Jira Link],MATCH($A317,Backlog[Requirement ID],0))),"")</f>
        <v/>
      </c>
      <c r="H317" s="1" t="str">
        <f aca="false">IFERROR(IF(ISBLANK(INDEX(SprintPlanning[Sprint],MATCH($A317,SprintPlanning[Requirement ID],0))),"",INDEX(SprintPlanning[Sprint],MATCH($A317,SprintPlanning[Requirement ID],0))),"")</f>
        <v/>
      </c>
      <c r="I317" s="1" t="str">
        <f aca="false">IFERROR(IF(ISBLANK(INDEX(Backlog[Status],MATCH($A317,Backlog[Requirement ID],0))),"",INDEX(Backlog[Status],MATCH($A317,Backlog[Requirement ID],0))),"")</f>
        <v/>
      </c>
      <c r="J317" s="1" t="str">
        <f aca="false">IFERROR(IF(ISBLANK(INDEX(Backlog[Priority],MATCH($A317,Backlog[Requirement ID],0))),"",INDEX(Backlog[Priority],MATCH($A317,Backlog[Requirement ID],0))),"")</f>
        <v/>
      </c>
      <c r="L317" s="57"/>
      <c r="M317" s="57"/>
      <c r="O317" s="57"/>
    </row>
    <row r="318" customFormat="false" ht="15" hidden="false" customHeight="true" outlineLevel="0" collapsed="false">
      <c r="A318" s="1" t="str">
        <f aca="false">Backlog!A318</f>
        <v/>
      </c>
      <c r="B318" s="1" t="str">
        <f aca="false">IFERROR(IF(ISBLANK(INDEX(Backlog[Requirement Name],MATCH($A318,Backlog[Requirement ID],0))),"",INDEX(Backlog[Requirement Name],MATCH($A318,Backlog[Requirement ID],0))),"")</f>
        <v/>
      </c>
      <c r="C318" s="1" t="str">
        <f aca="false">IFERROR(IF(ISBLANK(INDEX(Backlog[Stream],MATCH($A318,Backlog[Requirement ID],0))),"",INDEX(Backlog[Stream],MATCH($A318,Backlog[Requirement ID],0))),"")</f>
        <v/>
      </c>
      <c r="D318" s="1" t="str">
        <f aca="false">IFERROR(IF(ISBLANK(INDEX(Backlog[Stream Owner],MATCH($A318,Backlog[Requirement ID],0))),"",INDEX(Backlog[Stream Owner],MATCH($A318,Backlog[Requirement ID],0))),"")</f>
        <v/>
      </c>
      <c r="E318" s="1" t="str">
        <f aca="false">IFERROR(IF(ISBLANK(INDEX(Backlog[Jira Link],MATCH($A318,Backlog[Requirement ID],0))),"",INDEX(Backlog[Jira Link],MATCH($A318,Backlog[Requirement ID],0))),"")</f>
        <v/>
      </c>
      <c r="H318" s="1" t="str">
        <f aca="false">IFERROR(IF(ISBLANK(INDEX(SprintPlanning[Sprint],MATCH($A318,SprintPlanning[Requirement ID],0))),"",INDEX(SprintPlanning[Sprint],MATCH($A318,SprintPlanning[Requirement ID],0))),"")</f>
        <v/>
      </c>
      <c r="I318" s="1" t="str">
        <f aca="false">IFERROR(IF(ISBLANK(INDEX(Backlog[Status],MATCH($A318,Backlog[Requirement ID],0))),"",INDEX(Backlog[Status],MATCH($A318,Backlog[Requirement ID],0))),"")</f>
        <v/>
      </c>
      <c r="J318" s="1" t="str">
        <f aca="false">IFERROR(IF(ISBLANK(INDEX(Backlog[Priority],MATCH($A318,Backlog[Requirement ID],0))),"",INDEX(Backlog[Priority],MATCH($A318,Backlog[Requirement ID],0))),"")</f>
        <v/>
      </c>
      <c r="L318" s="57"/>
      <c r="M318" s="57"/>
      <c r="O318" s="57"/>
    </row>
    <row r="319" customFormat="false" ht="15" hidden="false" customHeight="true" outlineLevel="0" collapsed="false">
      <c r="A319" s="1" t="str">
        <f aca="false">Backlog!A319</f>
        <v/>
      </c>
      <c r="B319" s="1" t="str">
        <f aca="false">IFERROR(IF(ISBLANK(INDEX(Backlog[Requirement Name],MATCH($A319,Backlog[Requirement ID],0))),"",INDEX(Backlog[Requirement Name],MATCH($A319,Backlog[Requirement ID],0))),"")</f>
        <v/>
      </c>
      <c r="C319" s="1" t="str">
        <f aca="false">IFERROR(IF(ISBLANK(INDEX(Backlog[Stream],MATCH($A319,Backlog[Requirement ID],0))),"",INDEX(Backlog[Stream],MATCH($A319,Backlog[Requirement ID],0))),"")</f>
        <v/>
      </c>
      <c r="D319" s="1" t="str">
        <f aca="false">IFERROR(IF(ISBLANK(INDEX(Backlog[Stream Owner],MATCH($A319,Backlog[Requirement ID],0))),"",INDEX(Backlog[Stream Owner],MATCH($A319,Backlog[Requirement ID],0))),"")</f>
        <v/>
      </c>
      <c r="E319" s="1" t="str">
        <f aca="false">IFERROR(IF(ISBLANK(INDEX(Backlog[Jira Link],MATCH($A319,Backlog[Requirement ID],0))),"",INDEX(Backlog[Jira Link],MATCH($A319,Backlog[Requirement ID],0))),"")</f>
        <v/>
      </c>
      <c r="H319" s="1" t="str">
        <f aca="false">IFERROR(IF(ISBLANK(INDEX(SprintPlanning[Sprint],MATCH($A319,SprintPlanning[Requirement ID],0))),"",INDEX(SprintPlanning[Sprint],MATCH($A319,SprintPlanning[Requirement ID],0))),"")</f>
        <v/>
      </c>
      <c r="I319" s="1" t="str">
        <f aca="false">IFERROR(IF(ISBLANK(INDEX(Backlog[Status],MATCH($A319,Backlog[Requirement ID],0))),"",INDEX(Backlog[Status],MATCH($A319,Backlog[Requirement ID],0))),"")</f>
        <v/>
      </c>
      <c r="J319" s="1" t="str">
        <f aca="false">IFERROR(IF(ISBLANK(INDEX(Backlog[Priority],MATCH($A319,Backlog[Requirement ID],0))),"",INDEX(Backlog[Priority],MATCH($A319,Backlog[Requirement ID],0))),"")</f>
        <v/>
      </c>
      <c r="L319" s="57"/>
      <c r="M319" s="57"/>
      <c r="O319" s="57"/>
    </row>
    <row r="320" customFormat="false" ht="15" hidden="false" customHeight="true" outlineLevel="0" collapsed="false">
      <c r="A320" s="1" t="str">
        <f aca="false">Backlog!A320</f>
        <v/>
      </c>
      <c r="B320" s="1" t="str">
        <f aca="false">IFERROR(IF(ISBLANK(INDEX(Backlog[Requirement Name],MATCH($A320,Backlog[Requirement ID],0))),"",INDEX(Backlog[Requirement Name],MATCH($A320,Backlog[Requirement ID],0))),"")</f>
        <v/>
      </c>
      <c r="C320" s="1" t="str">
        <f aca="false">IFERROR(IF(ISBLANK(INDEX(Backlog[Stream],MATCH($A320,Backlog[Requirement ID],0))),"",INDEX(Backlog[Stream],MATCH($A320,Backlog[Requirement ID],0))),"")</f>
        <v/>
      </c>
      <c r="D320" s="1" t="str">
        <f aca="false">IFERROR(IF(ISBLANK(INDEX(Backlog[Stream Owner],MATCH($A320,Backlog[Requirement ID],0))),"",INDEX(Backlog[Stream Owner],MATCH($A320,Backlog[Requirement ID],0))),"")</f>
        <v/>
      </c>
      <c r="E320" s="1" t="str">
        <f aca="false">IFERROR(IF(ISBLANK(INDEX(Backlog[Jira Link],MATCH($A320,Backlog[Requirement ID],0))),"",INDEX(Backlog[Jira Link],MATCH($A320,Backlog[Requirement ID],0))),"")</f>
        <v/>
      </c>
      <c r="H320" s="1" t="str">
        <f aca="false">IFERROR(IF(ISBLANK(INDEX(SprintPlanning[Sprint],MATCH($A320,SprintPlanning[Requirement ID],0))),"",INDEX(SprintPlanning[Sprint],MATCH($A320,SprintPlanning[Requirement ID],0))),"")</f>
        <v/>
      </c>
      <c r="I320" s="1" t="str">
        <f aca="false">IFERROR(IF(ISBLANK(INDEX(Backlog[Status],MATCH($A320,Backlog[Requirement ID],0))),"",INDEX(Backlog[Status],MATCH($A320,Backlog[Requirement ID],0))),"")</f>
        <v/>
      </c>
      <c r="J320" s="1" t="str">
        <f aca="false">IFERROR(IF(ISBLANK(INDEX(Backlog[Priority],MATCH($A320,Backlog[Requirement ID],0))),"",INDEX(Backlog[Priority],MATCH($A320,Backlog[Requirement ID],0))),"")</f>
        <v/>
      </c>
      <c r="L320" s="57"/>
      <c r="M320" s="57"/>
      <c r="O320" s="57"/>
    </row>
    <row r="321" customFormat="false" ht="15" hidden="false" customHeight="true" outlineLevel="0" collapsed="false">
      <c r="A321" s="1" t="str">
        <f aca="false">Backlog!A321</f>
        <v/>
      </c>
      <c r="B321" s="1" t="str">
        <f aca="false">IFERROR(IF(ISBLANK(INDEX(Backlog[Requirement Name],MATCH($A321,Backlog[Requirement ID],0))),"",INDEX(Backlog[Requirement Name],MATCH($A321,Backlog[Requirement ID],0))),"")</f>
        <v/>
      </c>
      <c r="C321" s="1" t="str">
        <f aca="false">IFERROR(IF(ISBLANK(INDEX(Backlog[Stream],MATCH($A321,Backlog[Requirement ID],0))),"",INDEX(Backlog[Stream],MATCH($A321,Backlog[Requirement ID],0))),"")</f>
        <v/>
      </c>
      <c r="D321" s="1" t="str">
        <f aca="false">IFERROR(IF(ISBLANK(INDEX(Backlog[Stream Owner],MATCH($A321,Backlog[Requirement ID],0))),"",INDEX(Backlog[Stream Owner],MATCH($A321,Backlog[Requirement ID],0))),"")</f>
        <v/>
      </c>
      <c r="E321" s="1" t="str">
        <f aca="false">IFERROR(IF(ISBLANK(INDEX(Backlog[Jira Link],MATCH($A321,Backlog[Requirement ID],0))),"",INDEX(Backlog[Jira Link],MATCH($A321,Backlog[Requirement ID],0))),"")</f>
        <v/>
      </c>
      <c r="H321" s="1" t="str">
        <f aca="false">IFERROR(IF(ISBLANK(INDEX(SprintPlanning[Sprint],MATCH($A321,SprintPlanning[Requirement ID],0))),"",INDEX(SprintPlanning[Sprint],MATCH($A321,SprintPlanning[Requirement ID],0))),"")</f>
        <v/>
      </c>
      <c r="I321" s="1" t="str">
        <f aca="false">IFERROR(IF(ISBLANK(INDEX(Backlog[Status],MATCH($A321,Backlog[Requirement ID],0))),"",INDEX(Backlog[Status],MATCH($A321,Backlog[Requirement ID],0))),"")</f>
        <v/>
      </c>
      <c r="J321" s="1" t="str">
        <f aca="false">IFERROR(IF(ISBLANK(INDEX(Backlog[Priority],MATCH($A321,Backlog[Requirement ID],0))),"",INDEX(Backlog[Priority],MATCH($A321,Backlog[Requirement ID],0))),"")</f>
        <v/>
      </c>
      <c r="L321" s="57"/>
      <c r="M321" s="57"/>
      <c r="O321" s="57"/>
    </row>
    <row r="322" customFormat="false" ht="15" hidden="false" customHeight="true" outlineLevel="0" collapsed="false">
      <c r="A322" s="1" t="str">
        <f aca="false">Backlog!A322</f>
        <v/>
      </c>
      <c r="B322" s="1" t="str">
        <f aca="false">IFERROR(IF(ISBLANK(INDEX(Backlog[Requirement Name],MATCH($A322,Backlog[Requirement ID],0))),"",INDEX(Backlog[Requirement Name],MATCH($A322,Backlog[Requirement ID],0))),"")</f>
        <v/>
      </c>
      <c r="C322" s="1" t="str">
        <f aca="false">IFERROR(IF(ISBLANK(INDEX(Backlog[Stream],MATCH($A322,Backlog[Requirement ID],0))),"",INDEX(Backlog[Stream],MATCH($A322,Backlog[Requirement ID],0))),"")</f>
        <v/>
      </c>
      <c r="D322" s="1" t="str">
        <f aca="false">IFERROR(IF(ISBLANK(INDEX(Backlog[Stream Owner],MATCH($A322,Backlog[Requirement ID],0))),"",INDEX(Backlog[Stream Owner],MATCH($A322,Backlog[Requirement ID],0))),"")</f>
        <v/>
      </c>
      <c r="E322" s="1" t="str">
        <f aca="false">IFERROR(IF(ISBLANK(INDEX(Backlog[Jira Link],MATCH($A322,Backlog[Requirement ID],0))),"",INDEX(Backlog[Jira Link],MATCH($A322,Backlog[Requirement ID],0))),"")</f>
        <v/>
      </c>
      <c r="H322" s="1" t="str">
        <f aca="false">IFERROR(IF(ISBLANK(INDEX(SprintPlanning[Sprint],MATCH($A322,SprintPlanning[Requirement ID],0))),"",INDEX(SprintPlanning[Sprint],MATCH($A322,SprintPlanning[Requirement ID],0))),"")</f>
        <v/>
      </c>
      <c r="I322" s="1" t="str">
        <f aca="false">IFERROR(IF(ISBLANK(INDEX(Backlog[Status],MATCH($A322,Backlog[Requirement ID],0))),"",INDEX(Backlog[Status],MATCH($A322,Backlog[Requirement ID],0))),"")</f>
        <v/>
      </c>
      <c r="J322" s="1" t="str">
        <f aca="false">IFERROR(IF(ISBLANK(INDEX(Backlog[Priority],MATCH($A322,Backlog[Requirement ID],0))),"",INDEX(Backlog[Priority],MATCH($A322,Backlog[Requirement ID],0))),"")</f>
        <v/>
      </c>
      <c r="L322" s="57"/>
      <c r="M322" s="57"/>
      <c r="O322" s="57"/>
    </row>
    <row r="323" customFormat="false" ht="15" hidden="false" customHeight="true" outlineLevel="0" collapsed="false">
      <c r="A323" s="1" t="str">
        <f aca="false">Backlog!A323</f>
        <v/>
      </c>
      <c r="B323" s="1" t="str">
        <f aca="false">IFERROR(IF(ISBLANK(INDEX(Backlog[Requirement Name],MATCH($A323,Backlog[Requirement ID],0))),"",INDEX(Backlog[Requirement Name],MATCH($A323,Backlog[Requirement ID],0))),"")</f>
        <v/>
      </c>
      <c r="C323" s="1" t="str">
        <f aca="false">IFERROR(IF(ISBLANK(INDEX(Backlog[Stream],MATCH($A323,Backlog[Requirement ID],0))),"",INDEX(Backlog[Stream],MATCH($A323,Backlog[Requirement ID],0))),"")</f>
        <v/>
      </c>
      <c r="D323" s="1" t="str">
        <f aca="false">IFERROR(IF(ISBLANK(INDEX(Backlog[Stream Owner],MATCH($A323,Backlog[Requirement ID],0))),"",INDEX(Backlog[Stream Owner],MATCH($A323,Backlog[Requirement ID],0))),"")</f>
        <v/>
      </c>
      <c r="E323" s="1" t="str">
        <f aca="false">IFERROR(IF(ISBLANK(INDEX(Backlog[Jira Link],MATCH($A323,Backlog[Requirement ID],0))),"",INDEX(Backlog[Jira Link],MATCH($A323,Backlog[Requirement ID],0))),"")</f>
        <v/>
      </c>
      <c r="H323" s="1" t="str">
        <f aca="false">IFERROR(IF(ISBLANK(INDEX(SprintPlanning[Sprint],MATCH($A323,SprintPlanning[Requirement ID],0))),"",INDEX(SprintPlanning[Sprint],MATCH($A323,SprintPlanning[Requirement ID],0))),"")</f>
        <v/>
      </c>
      <c r="I323" s="1" t="str">
        <f aca="false">IFERROR(IF(ISBLANK(INDEX(Backlog[Status],MATCH($A323,Backlog[Requirement ID],0))),"",INDEX(Backlog[Status],MATCH($A323,Backlog[Requirement ID],0))),"")</f>
        <v/>
      </c>
      <c r="J323" s="1" t="str">
        <f aca="false">IFERROR(IF(ISBLANK(INDEX(Backlog[Priority],MATCH($A323,Backlog[Requirement ID],0))),"",INDEX(Backlog[Priority],MATCH($A323,Backlog[Requirement ID],0))),"")</f>
        <v/>
      </c>
      <c r="L323" s="57"/>
      <c r="M323" s="57"/>
      <c r="O323" s="57"/>
    </row>
    <row r="324" customFormat="false" ht="15" hidden="false" customHeight="true" outlineLevel="0" collapsed="false">
      <c r="A324" s="1" t="str">
        <f aca="false">Backlog!A324</f>
        <v/>
      </c>
      <c r="B324" s="1" t="str">
        <f aca="false">IFERROR(IF(ISBLANK(INDEX(Backlog[Requirement Name],MATCH($A324,Backlog[Requirement ID],0))),"",INDEX(Backlog[Requirement Name],MATCH($A324,Backlog[Requirement ID],0))),"")</f>
        <v/>
      </c>
      <c r="C324" s="1" t="str">
        <f aca="false">IFERROR(IF(ISBLANK(INDEX(Backlog[Stream],MATCH($A324,Backlog[Requirement ID],0))),"",INDEX(Backlog[Stream],MATCH($A324,Backlog[Requirement ID],0))),"")</f>
        <v/>
      </c>
      <c r="D324" s="1" t="str">
        <f aca="false">IFERROR(IF(ISBLANK(INDEX(Backlog[Stream Owner],MATCH($A324,Backlog[Requirement ID],0))),"",INDEX(Backlog[Stream Owner],MATCH($A324,Backlog[Requirement ID],0))),"")</f>
        <v/>
      </c>
      <c r="E324" s="1" t="str">
        <f aca="false">IFERROR(IF(ISBLANK(INDEX(Backlog[Jira Link],MATCH($A324,Backlog[Requirement ID],0))),"",INDEX(Backlog[Jira Link],MATCH($A324,Backlog[Requirement ID],0))),"")</f>
        <v/>
      </c>
      <c r="H324" s="1" t="str">
        <f aca="false">IFERROR(IF(ISBLANK(INDEX(SprintPlanning[Sprint],MATCH($A324,SprintPlanning[Requirement ID],0))),"",INDEX(SprintPlanning[Sprint],MATCH($A324,SprintPlanning[Requirement ID],0))),"")</f>
        <v/>
      </c>
      <c r="I324" s="1" t="str">
        <f aca="false">IFERROR(IF(ISBLANK(INDEX(Backlog[Status],MATCH($A324,Backlog[Requirement ID],0))),"",INDEX(Backlog[Status],MATCH($A324,Backlog[Requirement ID],0))),"")</f>
        <v/>
      </c>
      <c r="J324" s="1" t="str">
        <f aca="false">IFERROR(IF(ISBLANK(INDEX(Backlog[Priority],MATCH($A324,Backlog[Requirement ID],0))),"",INDEX(Backlog[Priority],MATCH($A324,Backlog[Requirement ID],0))),"")</f>
        <v/>
      </c>
      <c r="L324" s="57"/>
      <c r="M324" s="57"/>
      <c r="O324" s="57"/>
    </row>
    <row r="325" customFormat="false" ht="15" hidden="false" customHeight="true" outlineLevel="0" collapsed="false">
      <c r="L325" s="57"/>
      <c r="M325" s="57"/>
      <c r="O325" s="57"/>
    </row>
    <row r="326" customFormat="false" ht="15" hidden="false" customHeight="true" outlineLevel="0" collapsed="false">
      <c r="L326" s="57"/>
      <c r="M326" s="57"/>
      <c r="O326" s="57"/>
    </row>
    <row r="327" customFormat="false" ht="15" hidden="false" customHeight="true" outlineLevel="0" collapsed="false">
      <c r="L327" s="57"/>
      <c r="M327" s="57"/>
      <c r="O327" s="57"/>
    </row>
    <row r="328" customFormat="false" ht="15" hidden="false" customHeight="true" outlineLevel="0" collapsed="false">
      <c r="L328" s="57"/>
      <c r="M328" s="57"/>
      <c r="O328" s="57"/>
    </row>
    <row r="329" customFormat="false" ht="15" hidden="false" customHeight="true" outlineLevel="0" collapsed="false">
      <c r="L329" s="57"/>
      <c r="M329" s="57"/>
      <c r="O329" s="57"/>
    </row>
    <row r="330" customFormat="false" ht="15" hidden="false" customHeight="true" outlineLevel="0" collapsed="false">
      <c r="L330" s="57"/>
      <c r="M330" s="57"/>
      <c r="O330" s="57"/>
    </row>
    <row r="331" customFormat="false" ht="15" hidden="false" customHeight="true" outlineLevel="0" collapsed="false">
      <c r="L331" s="57"/>
      <c r="M331" s="57"/>
      <c r="O331" s="57"/>
    </row>
    <row r="332" customFormat="false" ht="15" hidden="false" customHeight="true" outlineLevel="0" collapsed="false">
      <c r="L332" s="57"/>
      <c r="M332" s="57"/>
      <c r="O332" s="57"/>
    </row>
    <row r="333" customFormat="false" ht="15" hidden="false" customHeight="true" outlineLevel="0" collapsed="false">
      <c r="L333" s="57"/>
      <c r="M333" s="57"/>
      <c r="O333" s="57"/>
    </row>
    <row r="334" customFormat="false" ht="15" hidden="false" customHeight="true" outlineLevel="0" collapsed="false">
      <c r="L334" s="57"/>
      <c r="M334" s="57"/>
      <c r="O334" s="57"/>
    </row>
    <row r="335" customFormat="false" ht="15" hidden="false" customHeight="true" outlineLevel="0" collapsed="false">
      <c r="L335" s="57"/>
      <c r="M335" s="57"/>
      <c r="O335" s="57"/>
    </row>
    <row r="336" customFormat="false" ht="15" hidden="false" customHeight="true" outlineLevel="0" collapsed="false">
      <c r="L336" s="57"/>
      <c r="M336" s="57"/>
      <c r="O336" s="57"/>
    </row>
    <row r="337" customFormat="false" ht="15" hidden="false" customHeight="true" outlineLevel="0" collapsed="false">
      <c r="L337" s="57"/>
      <c r="M337" s="57"/>
      <c r="O337" s="57"/>
    </row>
    <row r="338" customFormat="false" ht="15" hidden="false" customHeight="true" outlineLevel="0" collapsed="false">
      <c r="L338" s="57"/>
      <c r="M338" s="57"/>
      <c r="O338" s="57"/>
    </row>
    <row r="339" customFormat="false" ht="15" hidden="false" customHeight="true" outlineLevel="0" collapsed="false">
      <c r="L339" s="57"/>
      <c r="M339" s="57"/>
      <c r="O339" s="57"/>
    </row>
    <row r="340" customFormat="false" ht="15" hidden="false" customHeight="true" outlineLevel="0" collapsed="false">
      <c r="L340" s="57"/>
      <c r="M340" s="57"/>
      <c r="O340" s="57"/>
    </row>
    <row r="341" customFormat="false" ht="15" hidden="false" customHeight="true" outlineLevel="0" collapsed="false">
      <c r="L341" s="57"/>
      <c r="M341" s="57"/>
      <c r="O341" s="57"/>
    </row>
    <row r="342" customFormat="false" ht="15" hidden="false" customHeight="true" outlineLevel="0" collapsed="false">
      <c r="L342" s="57"/>
      <c r="M342" s="57"/>
      <c r="O342" s="57"/>
    </row>
    <row r="343" customFormat="false" ht="15" hidden="false" customHeight="true" outlineLevel="0" collapsed="false">
      <c r="L343" s="57"/>
      <c r="M343" s="57"/>
      <c r="O343" s="57"/>
    </row>
    <row r="344" customFormat="false" ht="15" hidden="false" customHeight="true" outlineLevel="0" collapsed="false">
      <c r="L344" s="57"/>
      <c r="M344" s="57"/>
      <c r="O344" s="57"/>
    </row>
    <row r="345" customFormat="false" ht="15" hidden="false" customHeight="true" outlineLevel="0" collapsed="false">
      <c r="L345" s="57"/>
      <c r="M345" s="57"/>
      <c r="O345" s="57"/>
    </row>
    <row r="346" customFormat="false" ht="15" hidden="false" customHeight="true" outlineLevel="0" collapsed="false">
      <c r="L346" s="57"/>
      <c r="M346" s="57"/>
      <c r="O346" s="57"/>
    </row>
    <row r="347" customFormat="false" ht="15" hidden="false" customHeight="true" outlineLevel="0" collapsed="false">
      <c r="L347" s="57"/>
      <c r="M347" s="57"/>
      <c r="O347" s="57"/>
    </row>
    <row r="348" customFormat="false" ht="15" hidden="false" customHeight="true" outlineLevel="0" collapsed="false">
      <c r="L348" s="57"/>
      <c r="M348" s="57"/>
      <c r="O348" s="57"/>
    </row>
    <row r="349" customFormat="false" ht="15" hidden="false" customHeight="true" outlineLevel="0" collapsed="false">
      <c r="L349" s="57"/>
      <c r="M349" s="57"/>
      <c r="O349" s="57"/>
    </row>
    <row r="350" customFormat="false" ht="15" hidden="false" customHeight="true" outlineLevel="0" collapsed="false">
      <c r="L350" s="57"/>
      <c r="M350" s="57"/>
      <c r="O350" s="57"/>
    </row>
    <row r="351" customFormat="false" ht="15" hidden="false" customHeight="true" outlineLevel="0" collapsed="false">
      <c r="L351" s="57"/>
      <c r="M351" s="57"/>
      <c r="O351" s="57"/>
    </row>
    <row r="352" customFormat="false" ht="15" hidden="false" customHeight="true" outlineLevel="0" collapsed="false">
      <c r="L352" s="57"/>
      <c r="M352" s="57"/>
      <c r="O352" s="57"/>
    </row>
    <row r="353" customFormat="false" ht="15" hidden="false" customHeight="true" outlineLevel="0" collapsed="false">
      <c r="L353" s="57"/>
      <c r="M353" s="57"/>
      <c r="O353" s="57"/>
    </row>
    <row r="354" customFormat="false" ht="15" hidden="false" customHeight="true" outlineLevel="0" collapsed="false">
      <c r="L354" s="57"/>
      <c r="M354" s="57"/>
      <c r="O354" s="57"/>
    </row>
    <row r="355" customFormat="false" ht="15" hidden="false" customHeight="true" outlineLevel="0" collapsed="false">
      <c r="L355" s="57"/>
      <c r="M355" s="57"/>
      <c r="O355" s="57"/>
    </row>
    <row r="356" customFormat="false" ht="15" hidden="false" customHeight="true" outlineLevel="0" collapsed="false">
      <c r="L356" s="57"/>
      <c r="M356" s="57"/>
      <c r="O356" s="57"/>
    </row>
    <row r="357" customFormat="false" ht="15" hidden="false" customHeight="true" outlineLevel="0" collapsed="false">
      <c r="L357" s="57"/>
      <c r="M357" s="57"/>
      <c r="O357" s="57"/>
    </row>
    <row r="358" customFormat="false" ht="15" hidden="false" customHeight="true" outlineLevel="0" collapsed="false">
      <c r="L358" s="57"/>
      <c r="M358" s="57"/>
      <c r="O358" s="57"/>
    </row>
    <row r="359" customFormat="false" ht="15" hidden="false" customHeight="true" outlineLevel="0" collapsed="false">
      <c r="L359" s="57"/>
      <c r="M359" s="57"/>
      <c r="O359" s="57"/>
    </row>
    <row r="360" customFormat="false" ht="15" hidden="false" customHeight="true" outlineLevel="0" collapsed="false">
      <c r="L360" s="57"/>
      <c r="M360" s="57"/>
      <c r="O360" s="57"/>
    </row>
    <row r="361" customFormat="false" ht="15" hidden="false" customHeight="true" outlineLevel="0" collapsed="false">
      <c r="L361" s="57"/>
      <c r="M361" s="57"/>
      <c r="O361" s="57"/>
    </row>
    <row r="362" customFormat="false" ht="15" hidden="false" customHeight="true" outlineLevel="0" collapsed="false">
      <c r="L362" s="57"/>
      <c r="M362" s="57"/>
      <c r="O362" s="57"/>
    </row>
    <row r="363" customFormat="false" ht="15" hidden="false" customHeight="true" outlineLevel="0" collapsed="false">
      <c r="L363" s="57"/>
      <c r="M363" s="57"/>
      <c r="O363" s="57"/>
    </row>
    <row r="364" customFormat="false" ht="15" hidden="false" customHeight="true" outlineLevel="0" collapsed="false">
      <c r="L364" s="57"/>
      <c r="M364" s="57"/>
      <c r="O364" s="57"/>
    </row>
    <row r="365" customFormat="false" ht="15" hidden="false" customHeight="true" outlineLevel="0" collapsed="false">
      <c r="L365" s="57"/>
      <c r="M365" s="57"/>
      <c r="O365" s="57"/>
    </row>
    <row r="366" customFormat="false" ht="15" hidden="false" customHeight="true" outlineLevel="0" collapsed="false">
      <c r="L366" s="57"/>
      <c r="M366" s="57"/>
      <c r="O366" s="57"/>
    </row>
    <row r="367" customFormat="false" ht="15" hidden="false" customHeight="true" outlineLevel="0" collapsed="false">
      <c r="L367" s="57"/>
      <c r="M367" s="57"/>
      <c r="O367" s="57"/>
    </row>
    <row r="368" customFormat="false" ht="15" hidden="false" customHeight="true" outlineLevel="0" collapsed="false">
      <c r="L368" s="57"/>
      <c r="M368" s="57"/>
      <c r="O368" s="57"/>
    </row>
    <row r="369" customFormat="false" ht="15" hidden="false" customHeight="true" outlineLevel="0" collapsed="false">
      <c r="L369" s="57"/>
      <c r="M369" s="57"/>
      <c r="O369" s="57"/>
    </row>
    <row r="370" customFormat="false" ht="15" hidden="false" customHeight="true" outlineLevel="0" collapsed="false">
      <c r="L370" s="57"/>
      <c r="M370" s="57"/>
      <c r="O370" s="57"/>
    </row>
    <row r="371" customFormat="false" ht="15" hidden="false" customHeight="true" outlineLevel="0" collapsed="false">
      <c r="L371" s="57"/>
      <c r="M371" s="57"/>
      <c r="O371" s="57"/>
    </row>
    <row r="372" customFormat="false" ht="15" hidden="false" customHeight="true" outlineLevel="0" collapsed="false">
      <c r="L372" s="57"/>
      <c r="M372" s="57"/>
      <c r="O372" s="57"/>
    </row>
    <row r="373" customFormat="false" ht="15" hidden="false" customHeight="true" outlineLevel="0" collapsed="false">
      <c r="L373" s="57"/>
      <c r="M373" s="57"/>
      <c r="O373" s="57"/>
    </row>
    <row r="374" customFormat="false" ht="15" hidden="false" customHeight="true" outlineLevel="0" collapsed="false">
      <c r="L374" s="57"/>
      <c r="M374" s="57"/>
      <c r="O374" s="57"/>
    </row>
    <row r="375" customFormat="false" ht="15" hidden="false" customHeight="true" outlineLevel="0" collapsed="false">
      <c r="L375" s="57"/>
      <c r="M375" s="57"/>
      <c r="O375" s="57"/>
    </row>
    <row r="376" customFormat="false" ht="15" hidden="false" customHeight="true" outlineLevel="0" collapsed="false">
      <c r="L376" s="57"/>
      <c r="M376" s="57"/>
      <c r="O376" s="57"/>
    </row>
    <row r="377" customFormat="false" ht="15" hidden="false" customHeight="true" outlineLevel="0" collapsed="false">
      <c r="L377" s="57"/>
      <c r="M377" s="57"/>
      <c r="O377" s="57"/>
    </row>
    <row r="378" customFormat="false" ht="15" hidden="false" customHeight="true" outlineLevel="0" collapsed="false">
      <c r="L378" s="57"/>
      <c r="M378" s="57"/>
      <c r="O378" s="57"/>
    </row>
    <row r="379" customFormat="false" ht="15" hidden="false" customHeight="true" outlineLevel="0" collapsed="false">
      <c r="L379" s="57"/>
      <c r="M379" s="57"/>
      <c r="O379" s="57"/>
    </row>
    <row r="380" customFormat="false" ht="15" hidden="false" customHeight="true" outlineLevel="0" collapsed="false">
      <c r="L380" s="57"/>
      <c r="M380" s="57"/>
      <c r="O380" s="57"/>
    </row>
    <row r="381" customFormat="false" ht="15" hidden="false" customHeight="true" outlineLevel="0" collapsed="false">
      <c r="L381" s="57"/>
      <c r="M381" s="57"/>
      <c r="O381" s="57"/>
    </row>
    <row r="382" customFormat="false" ht="15" hidden="false" customHeight="true" outlineLevel="0" collapsed="false">
      <c r="L382" s="57"/>
      <c r="M382" s="57"/>
      <c r="O382" s="57"/>
    </row>
    <row r="383" customFormat="false" ht="15" hidden="false" customHeight="true" outlineLevel="0" collapsed="false">
      <c r="L383" s="57"/>
      <c r="M383" s="57"/>
      <c r="O383" s="57"/>
    </row>
    <row r="384" customFormat="false" ht="15" hidden="false" customHeight="true" outlineLevel="0" collapsed="false">
      <c r="L384" s="57"/>
      <c r="M384" s="57"/>
      <c r="O384" s="57"/>
    </row>
    <row r="385" customFormat="false" ht="15" hidden="false" customHeight="true" outlineLevel="0" collapsed="false">
      <c r="L385" s="57"/>
      <c r="M385" s="57"/>
      <c r="O385" s="57"/>
    </row>
    <row r="386" customFormat="false" ht="15" hidden="false" customHeight="true" outlineLevel="0" collapsed="false">
      <c r="L386" s="57"/>
      <c r="M386" s="57"/>
      <c r="O386" s="57"/>
    </row>
    <row r="387" customFormat="false" ht="15" hidden="false" customHeight="true" outlineLevel="0" collapsed="false">
      <c r="L387" s="57"/>
      <c r="M387" s="57"/>
      <c r="O387" s="57"/>
    </row>
    <row r="388" customFormat="false" ht="15" hidden="false" customHeight="true" outlineLevel="0" collapsed="false">
      <c r="L388" s="57"/>
      <c r="M388" s="57"/>
      <c r="O388" s="57"/>
    </row>
    <row r="389" customFormat="false" ht="15" hidden="false" customHeight="true" outlineLevel="0" collapsed="false">
      <c r="L389" s="57"/>
      <c r="M389" s="57"/>
      <c r="O389" s="57"/>
    </row>
    <row r="390" customFormat="false" ht="15" hidden="false" customHeight="true" outlineLevel="0" collapsed="false">
      <c r="L390" s="57"/>
      <c r="M390" s="57"/>
      <c r="O390" s="57"/>
    </row>
    <row r="391" customFormat="false" ht="15" hidden="false" customHeight="true" outlineLevel="0" collapsed="false">
      <c r="L391" s="57"/>
      <c r="M391" s="57"/>
      <c r="O391" s="57"/>
    </row>
    <row r="392" customFormat="false" ht="15" hidden="false" customHeight="true" outlineLevel="0" collapsed="false">
      <c r="L392" s="57"/>
      <c r="M392" s="57"/>
      <c r="O392" s="57"/>
    </row>
    <row r="393" customFormat="false" ht="15" hidden="false" customHeight="true" outlineLevel="0" collapsed="false">
      <c r="L393" s="57"/>
      <c r="M393" s="57"/>
      <c r="O393" s="57"/>
    </row>
    <row r="394" customFormat="false" ht="15" hidden="false" customHeight="true" outlineLevel="0" collapsed="false">
      <c r="L394" s="57"/>
      <c r="M394" s="57"/>
      <c r="O394" s="57"/>
    </row>
    <row r="395" customFormat="false" ht="15" hidden="false" customHeight="true" outlineLevel="0" collapsed="false">
      <c r="L395" s="57"/>
      <c r="M395" s="57"/>
      <c r="O395" s="57"/>
    </row>
    <row r="396" customFormat="false" ht="15" hidden="false" customHeight="true" outlineLevel="0" collapsed="false">
      <c r="L396" s="57"/>
      <c r="M396" s="57"/>
      <c r="O396" s="57"/>
    </row>
    <row r="397" customFormat="false" ht="15" hidden="false" customHeight="true" outlineLevel="0" collapsed="false">
      <c r="L397" s="57"/>
      <c r="M397" s="57"/>
      <c r="O397" s="57"/>
    </row>
    <row r="398" customFormat="false" ht="15" hidden="false" customHeight="true" outlineLevel="0" collapsed="false">
      <c r="L398" s="57"/>
      <c r="M398" s="57"/>
      <c r="O398" s="57"/>
    </row>
    <row r="399" customFormat="false" ht="15" hidden="false" customHeight="true" outlineLevel="0" collapsed="false">
      <c r="L399" s="57"/>
      <c r="M399" s="57"/>
      <c r="O399" s="57"/>
    </row>
    <row r="400" customFormat="false" ht="15" hidden="false" customHeight="true" outlineLevel="0" collapsed="false">
      <c r="L400" s="57"/>
      <c r="M400" s="57"/>
      <c r="O400" s="57"/>
    </row>
    <row r="401" customFormat="false" ht="15" hidden="false" customHeight="true" outlineLevel="0" collapsed="false">
      <c r="L401" s="57"/>
      <c r="M401" s="57"/>
      <c r="O401" s="57"/>
    </row>
    <row r="402" customFormat="false" ht="15" hidden="false" customHeight="true" outlineLevel="0" collapsed="false">
      <c r="L402" s="57"/>
      <c r="M402" s="57"/>
      <c r="O402" s="57"/>
    </row>
    <row r="403" customFormat="false" ht="15" hidden="false" customHeight="true" outlineLevel="0" collapsed="false">
      <c r="L403" s="57"/>
      <c r="M403" s="57"/>
      <c r="O403" s="57"/>
    </row>
    <row r="404" customFormat="false" ht="15" hidden="false" customHeight="true" outlineLevel="0" collapsed="false">
      <c r="L404" s="57"/>
      <c r="M404" s="57"/>
      <c r="O404" s="57"/>
    </row>
    <row r="405" customFormat="false" ht="15" hidden="false" customHeight="true" outlineLevel="0" collapsed="false">
      <c r="L405" s="57"/>
      <c r="M405" s="57"/>
      <c r="O405" s="57"/>
    </row>
    <row r="406" customFormat="false" ht="15" hidden="false" customHeight="true" outlineLevel="0" collapsed="false">
      <c r="L406" s="57"/>
      <c r="M406" s="57"/>
      <c r="O406" s="57"/>
    </row>
    <row r="407" customFormat="false" ht="15" hidden="false" customHeight="true" outlineLevel="0" collapsed="false">
      <c r="L407" s="57"/>
      <c r="M407" s="57"/>
      <c r="O407" s="57"/>
    </row>
    <row r="408" customFormat="false" ht="15" hidden="false" customHeight="true" outlineLevel="0" collapsed="false">
      <c r="L408" s="57"/>
      <c r="M408" s="57"/>
      <c r="O408" s="57"/>
    </row>
    <row r="409" customFormat="false" ht="15" hidden="false" customHeight="true" outlineLevel="0" collapsed="false">
      <c r="L409" s="57"/>
      <c r="M409" s="57"/>
      <c r="O409" s="57"/>
    </row>
    <row r="410" customFormat="false" ht="15" hidden="false" customHeight="true" outlineLevel="0" collapsed="false">
      <c r="L410" s="57"/>
      <c r="M410" s="57"/>
      <c r="O410" s="57"/>
    </row>
    <row r="411" customFormat="false" ht="15" hidden="false" customHeight="true" outlineLevel="0" collapsed="false">
      <c r="L411" s="57"/>
      <c r="M411" s="57"/>
      <c r="O411" s="57"/>
    </row>
    <row r="412" customFormat="false" ht="15" hidden="false" customHeight="true" outlineLevel="0" collapsed="false">
      <c r="L412" s="57"/>
      <c r="M412" s="57"/>
      <c r="O412" s="57"/>
    </row>
    <row r="413" customFormat="false" ht="15" hidden="false" customHeight="true" outlineLevel="0" collapsed="false">
      <c r="L413" s="57"/>
      <c r="M413" s="57"/>
      <c r="O413" s="57"/>
    </row>
    <row r="414" customFormat="false" ht="15" hidden="false" customHeight="true" outlineLevel="0" collapsed="false">
      <c r="L414" s="57"/>
      <c r="M414" s="57"/>
      <c r="O414" s="57"/>
    </row>
    <row r="415" customFormat="false" ht="15" hidden="false" customHeight="true" outlineLevel="0" collapsed="false">
      <c r="L415" s="57"/>
      <c r="M415" s="57"/>
      <c r="O415" s="57"/>
    </row>
    <row r="416" customFormat="false" ht="15" hidden="false" customHeight="true" outlineLevel="0" collapsed="false">
      <c r="L416" s="57"/>
      <c r="M416" s="57"/>
      <c r="O416" s="57"/>
    </row>
    <row r="417" customFormat="false" ht="15" hidden="false" customHeight="true" outlineLevel="0" collapsed="false">
      <c r="L417" s="57"/>
      <c r="M417" s="57"/>
      <c r="O417" s="57"/>
    </row>
    <row r="418" customFormat="false" ht="15" hidden="false" customHeight="true" outlineLevel="0" collapsed="false">
      <c r="L418" s="57"/>
      <c r="M418" s="57"/>
      <c r="O418" s="57"/>
    </row>
    <row r="419" customFormat="false" ht="15" hidden="false" customHeight="true" outlineLevel="0" collapsed="false">
      <c r="L419" s="57"/>
      <c r="M419" s="57"/>
      <c r="O419" s="57"/>
    </row>
    <row r="420" customFormat="false" ht="15" hidden="false" customHeight="true" outlineLevel="0" collapsed="false">
      <c r="L420" s="57"/>
      <c r="M420" s="57"/>
      <c r="O420" s="57"/>
    </row>
    <row r="421" customFormat="false" ht="15" hidden="false" customHeight="true" outlineLevel="0" collapsed="false">
      <c r="L421" s="57"/>
      <c r="M421" s="57"/>
      <c r="O421" s="57"/>
    </row>
    <row r="422" customFormat="false" ht="15" hidden="false" customHeight="true" outlineLevel="0" collapsed="false">
      <c r="L422" s="57"/>
      <c r="M422" s="57"/>
      <c r="O422" s="57"/>
    </row>
    <row r="423" customFormat="false" ht="15" hidden="false" customHeight="true" outlineLevel="0" collapsed="false">
      <c r="L423" s="57"/>
      <c r="M423" s="57"/>
      <c r="O423" s="57"/>
    </row>
    <row r="424" customFormat="false" ht="15" hidden="false" customHeight="true" outlineLevel="0" collapsed="false">
      <c r="L424" s="57"/>
      <c r="M424" s="57"/>
      <c r="O424" s="57"/>
    </row>
    <row r="425" customFormat="false" ht="15" hidden="false" customHeight="true" outlineLevel="0" collapsed="false">
      <c r="L425" s="57"/>
      <c r="M425" s="57"/>
      <c r="O425" s="57"/>
    </row>
    <row r="426" customFormat="false" ht="15" hidden="false" customHeight="true" outlineLevel="0" collapsed="false">
      <c r="L426" s="57"/>
      <c r="M426" s="57"/>
      <c r="O426" s="57"/>
    </row>
    <row r="427" customFormat="false" ht="15" hidden="false" customHeight="true" outlineLevel="0" collapsed="false">
      <c r="L427" s="57"/>
      <c r="M427" s="57"/>
      <c r="O427" s="57"/>
    </row>
    <row r="428" customFormat="false" ht="15" hidden="false" customHeight="true" outlineLevel="0" collapsed="false">
      <c r="L428" s="57"/>
      <c r="M428" s="57"/>
      <c r="O428" s="57"/>
    </row>
    <row r="429" customFormat="false" ht="15" hidden="false" customHeight="true" outlineLevel="0" collapsed="false">
      <c r="L429" s="57"/>
      <c r="M429" s="57"/>
      <c r="O429" s="57"/>
    </row>
    <row r="430" customFormat="false" ht="15" hidden="false" customHeight="true" outlineLevel="0" collapsed="false">
      <c r="L430" s="57"/>
      <c r="M430" s="57"/>
      <c r="O430" s="57"/>
    </row>
    <row r="431" customFormat="false" ht="15" hidden="false" customHeight="true" outlineLevel="0" collapsed="false">
      <c r="L431" s="57"/>
      <c r="M431" s="57"/>
      <c r="O431" s="57"/>
    </row>
    <row r="432" customFormat="false" ht="15" hidden="false" customHeight="true" outlineLevel="0" collapsed="false">
      <c r="L432" s="57"/>
      <c r="M432" s="57"/>
      <c r="O432" s="57"/>
    </row>
    <row r="433" customFormat="false" ht="15" hidden="false" customHeight="true" outlineLevel="0" collapsed="false">
      <c r="L433" s="57"/>
      <c r="M433" s="57"/>
      <c r="O433" s="57"/>
    </row>
    <row r="434" customFormat="false" ht="15" hidden="false" customHeight="true" outlineLevel="0" collapsed="false">
      <c r="L434" s="57"/>
      <c r="M434" s="57"/>
      <c r="O434" s="57"/>
    </row>
    <row r="435" customFormat="false" ht="15" hidden="false" customHeight="true" outlineLevel="0" collapsed="false">
      <c r="L435" s="57"/>
      <c r="M435" s="57"/>
      <c r="O435" s="57"/>
    </row>
    <row r="436" customFormat="false" ht="15" hidden="false" customHeight="true" outlineLevel="0" collapsed="false">
      <c r="L436" s="57"/>
      <c r="M436" s="57"/>
      <c r="O436" s="57"/>
    </row>
    <row r="437" customFormat="false" ht="15" hidden="false" customHeight="true" outlineLevel="0" collapsed="false">
      <c r="L437" s="57"/>
      <c r="M437" s="57"/>
      <c r="O437" s="57"/>
    </row>
    <row r="438" customFormat="false" ht="15" hidden="false" customHeight="true" outlineLevel="0" collapsed="false">
      <c r="L438" s="57"/>
      <c r="M438" s="57"/>
      <c r="O438" s="57"/>
    </row>
    <row r="439" customFormat="false" ht="15" hidden="false" customHeight="true" outlineLevel="0" collapsed="false">
      <c r="L439" s="57"/>
      <c r="M439" s="57"/>
      <c r="O439" s="57"/>
    </row>
    <row r="440" customFormat="false" ht="15" hidden="false" customHeight="true" outlineLevel="0" collapsed="false">
      <c r="L440" s="57"/>
      <c r="M440" s="57"/>
      <c r="O440" s="57"/>
    </row>
    <row r="441" customFormat="false" ht="15" hidden="false" customHeight="true" outlineLevel="0" collapsed="false">
      <c r="L441" s="57"/>
      <c r="M441" s="57"/>
      <c r="O441" s="57"/>
    </row>
    <row r="442" customFormat="false" ht="15" hidden="false" customHeight="true" outlineLevel="0" collapsed="false">
      <c r="L442" s="57"/>
      <c r="M442" s="57"/>
      <c r="O442" s="57"/>
    </row>
    <row r="443" customFormat="false" ht="15" hidden="false" customHeight="true" outlineLevel="0" collapsed="false">
      <c r="L443" s="57"/>
      <c r="M443" s="57"/>
      <c r="O443" s="57"/>
    </row>
    <row r="444" customFormat="false" ht="15" hidden="false" customHeight="true" outlineLevel="0" collapsed="false">
      <c r="L444" s="57"/>
      <c r="M444" s="57"/>
      <c r="O444" s="57"/>
    </row>
    <row r="445" customFormat="false" ht="15" hidden="false" customHeight="true" outlineLevel="0" collapsed="false">
      <c r="L445" s="57"/>
      <c r="M445" s="57"/>
      <c r="O445" s="57"/>
    </row>
    <row r="446" customFormat="false" ht="15" hidden="false" customHeight="true" outlineLevel="0" collapsed="false">
      <c r="L446" s="57"/>
      <c r="M446" s="57"/>
      <c r="O446" s="57"/>
    </row>
    <row r="447" customFormat="false" ht="15" hidden="false" customHeight="true" outlineLevel="0" collapsed="false">
      <c r="L447" s="57"/>
      <c r="M447" s="57"/>
      <c r="O447" s="57"/>
    </row>
    <row r="448" customFormat="false" ht="15" hidden="false" customHeight="true" outlineLevel="0" collapsed="false">
      <c r="L448" s="57"/>
      <c r="M448" s="57"/>
      <c r="O448" s="57"/>
    </row>
    <row r="449" customFormat="false" ht="15" hidden="false" customHeight="true" outlineLevel="0" collapsed="false">
      <c r="L449" s="57"/>
      <c r="M449" s="57"/>
      <c r="O449" s="57"/>
    </row>
    <row r="450" customFormat="false" ht="15" hidden="false" customHeight="true" outlineLevel="0" collapsed="false">
      <c r="L450" s="57"/>
      <c r="M450" s="57"/>
      <c r="O450" s="57"/>
    </row>
    <row r="451" customFormat="false" ht="15" hidden="false" customHeight="true" outlineLevel="0" collapsed="false">
      <c r="L451" s="57"/>
      <c r="M451" s="57"/>
      <c r="O451" s="57"/>
    </row>
    <row r="452" customFormat="false" ht="15" hidden="false" customHeight="true" outlineLevel="0" collapsed="false">
      <c r="L452" s="57"/>
      <c r="M452" s="57"/>
      <c r="O452" s="57"/>
    </row>
    <row r="453" customFormat="false" ht="15" hidden="false" customHeight="true" outlineLevel="0" collapsed="false">
      <c r="L453" s="57"/>
      <c r="M453" s="57"/>
      <c r="O453" s="57"/>
    </row>
    <row r="454" customFormat="false" ht="15" hidden="false" customHeight="true" outlineLevel="0" collapsed="false">
      <c r="L454" s="57"/>
      <c r="M454" s="57"/>
      <c r="O454" s="57"/>
    </row>
    <row r="455" customFormat="false" ht="15" hidden="false" customHeight="true" outlineLevel="0" collapsed="false">
      <c r="L455" s="57"/>
      <c r="M455" s="57"/>
      <c r="O455" s="57"/>
    </row>
    <row r="456" customFormat="false" ht="15" hidden="false" customHeight="true" outlineLevel="0" collapsed="false">
      <c r="L456" s="57"/>
      <c r="M456" s="57"/>
      <c r="O456" s="57"/>
    </row>
    <row r="457" customFormat="false" ht="15" hidden="false" customHeight="true" outlineLevel="0" collapsed="false">
      <c r="L457" s="57"/>
      <c r="M457" s="57"/>
      <c r="O457" s="57"/>
    </row>
    <row r="458" customFormat="false" ht="15" hidden="false" customHeight="true" outlineLevel="0" collapsed="false">
      <c r="L458" s="57"/>
      <c r="M458" s="57"/>
      <c r="O458" s="57"/>
    </row>
    <row r="459" customFormat="false" ht="15" hidden="false" customHeight="true" outlineLevel="0" collapsed="false">
      <c r="L459" s="57"/>
      <c r="M459" s="57"/>
      <c r="O459" s="57"/>
    </row>
    <row r="460" customFormat="false" ht="15" hidden="false" customHeight="true" outlineLevel="0" collapsed="false">
      <c r="L460" s="57"/>
      <c r="M460" s="57"/>
      <c r="O460" s="57"/>
    </row>
    <row r="461" customFormat="false" ht="15" hidden="false" customHeight="true" outlineLevel="0" collapsed="false">
      <c r="L461" s="57"/>
      <c r="M461" s="57"/>
      <c r="O461" s="57"/>
    </row>
    <row r="462" customFormat="false" ht="15" hidden="false" customHeight="true" outlineLevel="0" collapsed="false">
      <c r="L462" s="57"/>
      <c r="M462" s="57"/>
      <c r="O462" s="57"/>
    </row>
    <row r="463" customFormat="false" ht="15" hidden="false" customHeight="true" outlineLevel="0" collapsed="false">
      <c r="L463" s="57"/>
      <c r="M463" s="57"/>
      <c r="O463" s="57"/>
    </row>
    <row r="464" customFormat="false" ht="15" hidden="false" customHeight="true" outlineLevel="0" collapsed="false">
      <c r="L464" s="57"/>
      <c r="M464" s="57"/>
      <c r="O464" s="57"/>
    </row>
    <row r="465" customFormat="false" ht="15" hidden="false" customHeight="true" outlineLevel="0" collapsed="false">
      <c r="L465" s="57"/>
      <c r="M465" s="57"/>
      <c r="O465" s="57"/>
    </row>
    <row r="466" customFormat="false" ht="15" hidden="false" customHeight="true" outlineLevel="0" collapsed="false">
      <c r="L466" s="57"/>
      <c r="M466" s="57"/>
      <c r="O466" s="57"/>
    </row>
    <row r="467" customFormat="false" ht="15" hidden="false" customHeight="true" outlineLevel="0" collapsed="false">
      <c r="L467" s="57"/>
      <c r="M467" s="57"/>
      <c r="O467" s="57"/>
    </row>
    <row r="468" customFormat="false" ht="15" hidden="false" customHeight="true" outlineLevel="0" collapsed="false">
      <c r="L468" s="57"/>
      <c r="M468" s="57"/>
      <c r="O468" s="57"/>
    </row>
    <row r="469" customFormat="false" ht="15" hidden="false" customHeight="true" outlineLevel="0" collapsed="false">
      <c r="L469" s="57"/>
      <c r="M469" s="57"/>
      <c r="O469" s="57"/>
    </row>
    <row r="470" customFormat="false" ht="15" hidden="false" customHeight="true" outlineLevel="0" collapsed="false">
      <c r="L470" s="57"/>
      <c r="M470" s="57"/>
      <c r="O470" s="57"/>
    </row>
    <row r="471" customFormat="false" ht="15" hidden="false" customHeight="true" outlineLevel="0" collapsed="false">
      <c r="L471" s="57"/>
      <c r="M471" s="57"/>
      <c r="O471" s="57"/>
    </row>
    <row r="472" customFormat="false" ht="15" hidden="false" customHeight="true" outlineLevel="0" collapsed="false">
      <c r="L472" s="57"/>
      <c r="M472" s="57"/>
      <c r="O472" s="57"/>
    </row>
    <row r="473" customFormat="false" ht="15" hidden="false" customHeight="true" outlineLevel="0" collapsed="false">
      <c r="L473" s="57"/>
      <c r="M473" s="57"/>
      <c r="O473" s="57"/>
    </row>
    <row r="474" customFormat="false" ht="15" hidden="false" customHeight="true" outlineLevel="0" collapsed="false">
      <c r="L474" s="57"/>
      <c r="M474" s="57"/>
      <c r="O474" s="57"/>
    </row>
    <row r="475" customFormat="false" ht="15" hidden="false" customHeight="true" outlineLevel="0" collapsed="false">
      <c r="L475" s="57"/>
      <c r="M475" s="57"/>
      <c r="O475" s="57"/>
    </row>
    <row r="476" customFormat="false" ht="15" hidden="false" customHeight="true" outlineLevel="0" collapsed="false">
      <c r="L476" s="57"/>
      <c r="M476" s="57"/>
      <c r="O476" s="57"/>
    </row>
    <row r="477" customFormat="false" ht="15" hidden="false" customHeight="true" outlineLevel="0" collapsed="false">
      <c r="L477" s="57"/>
      <c r="M477" s="57"/>
      <c r="O477" s="57"/>
    </row>
    <row r="478" customFormat="false" ht="15" hidden="false" customHeight="true" outlineLevel="0" collapsed="false">
      <c r="L478" s="57"/>
      <c r="M478" s="57"/>
      <c r="O478" s="57"/>
    </row>
    <row r="479" customFormat="false" ht="15" hidden="false" customHeight="true" outlineLevel="0" collapsed="false">
      <c r="L479" s="57"/>
      <c r="M479" s="57"/>
      <c r="O479" s="57"/>
    </row>
    <row r="480" customFormat="false" ht="15" hidden="false" customHeight="true" outlineLevel="0" collapsed="false">
      <c r="L480" s="57"/>
      <c r="M480" s="57"/>
      <c r="O480" s="57"/>
    </row>
    <row r="481" customFormat="false" ht="15" hidden="false" customHeight="true" outlineLevel="0" collapsed="false">
      <c r="L481" s="57"/>
      <c r="M481" s="57"/>
      <c r="O481" s="57"/>
    </row>
    <row r="482" customFormat="false" ht="15" hidden="false" customHeight="true" outlineLevel="0" collapsed="false">
      <c r="L482" s="57"/>
      <c r="M482" s="57"/>
      <c r="O482" s="57"/>
    </row>
    <row r="483" customFormat="false" ht="15" hidden="false" customHeight="true" outlineLevel="0" collapsed="false">
      <c r="L483" s="57"/>
      <c r="M483" s="57"/>
      <c r="O483" s="57"/>
    </row>
    <row r="484" customFormat="false" ht="15" hidden="false" customHeight="true" outlineLevel="0" collapsed="false">
      <c r="L484" s="57"/>
      <c r="M484" s="57"/>
      <c r="O484" s="57"/>
    </row>
    <row r="485" customFormat="false" ht="15" hidden="false" customHeight="true" outlineLevel="0" collapsed="false">
      <c r="L485" s="57"/>
      <c r="M485" s="57"/>
      <c r="O485" s="57"/>
    </row>
    <row r="486" customFormat="false" ht="15" hidden="false" customHeight="true" outlineLevel="0" collapsed="false">
      <c r="L486" s="57"/>
      <c r="M486" s="57"/>
      <c r="O486" s="57"/>
    </row>
    <row r="487" customFormat="false" ht="15" hidden="false" customHeight="true" outlineLevel="0" collapsed="false">
      <c r="L487" s="57"/>
      <c r="M487" s="57"/>
      <c r="O487" s="57"/>
    </row>
    <row r="488" customFormat="false" ht="15" hidden="false" customHeight="true" outlineLevel="0" collapsed="false">
      <c r="L488" s="57"/>
      <c r="M488" s="57"/>
      <c r="O488" s="57"/>
    </row>
    <row r="489" customFormat="false" ht="15" hidden="false" customHeight="true" outlineLevel="0" collapsed="false">
      <c r="L489" s="57"/>
      <c r="M489" s="57"/>
      <c r="O489" s="57"/>
    </row>
    <row r="490" customFormat="false" ht="15" hidden="false" customHeight="true" outlineLevel="0" collapsed="false">
      <c r="L490" s="57"/>
      <c r="M490" s="57"/>
      <c r="O490" s="57"/>
    </row>
    <row r="491" customFormat="false" ht="15" hidden="false" customHeight="true" outlineLevel="0" collapsed="false">
      <c r="L491" s="57"/>
      <c r="M491" s="57"/>
      <c r="O491" s="57"/>
    </row>
    <row r="492" customFormat="false" ht="15" hidden="false" customHeight="true" outlineLevel="0" collapsed="false">
      <c r="L492" s="57"/>
      <c r="M492" s="57"/>
      <c r="O492" s="57"/>
    </row>
    <row r="493" customFormat="false" ht="15" hidden="false" customHeight="true" outlineLevel="0" collapsed="false">
      <c r="L493" s="57"/>
      <c r="M493" s="57"/>
      <c r="O493" s="57"/>
    </row>
    <row r="494" customFormat="false" ht="15" hidden="false" customHeight="true" outlineLevel="0" collapsed="false">
      <c r="L494" s="57"/>
      <c r="M494" s="57"/>
      <c r="O494" s="57"/>
    </row>
    <row r="495" customFormat="false" ht="15" hidden="false" customHeight="true" outlineLevel="0" collapsed="false">
      <c r="L495" s="57"/>
      <c r="M495" s="57"/>
      <c r="O495" s="57"/>
    </row>
    <row r="496" customFormat="false" ht="15" hidden="false" customHeight="true" outlineLevel="0" collapsed="false">
      <c r="L496" s="57"/>
      <c r="M496" s="57"/>
      <c r="O496" s="57"/>
    </row>
    <row r="497" customFormat="false" ht="15" hidden="false" customHeight="true" outlineLevel="0" collapsed="false">
      <c r="L497" s="57"/>
      <c r="M497" s="57"/>
      <c r="O497" s="57"/>
    </row>
    <row r="498" customFormat="false" ht="15" hidden="false" customHeight="true" outlineLevel="0" collapsed="false">
      <c r="L498" s="57"/>
      <c r="M498" s="57"/>
      <c r="O498" s="57"/>
    </row>
    <row r="499" customFormat="false" ht="15" hidden="false" customHeight="true" outlineLevel="0" collapsed="false">
      <c r="L499" s="57"/>
      <c r="M499" s="57"/>
      <c r="O499" s="57"/>
    </row>
    <row r="500" customFormat="false" ht="15" hidden="false" customHeight="true" outlineLevel="0" collapsed="false">
      <c r="L500" s="57"/>
      <c r="M500" s="57"/>
      <c r="O500" s="57"/>
    </row>
    <row r="501" customFormat="false" ht="15" hidden="false" customHeight="true" outlineLevel="0" collapsed="false">
      <c r="L501" s="57"/>
      <c r="M501" s="57"/>
      <c r="O501" s="57"/>
    </row>
    <row r="502" customFormat="false" ht="15" hidden="false" customHeight="true" outlineLevel="0" collapsed="false">
      <c r="L502" s="57"/>
      <c r="M502" s="57"/>
      <c r="O502" s="57"/>
    </row>
    <row r="503" customFormat="false" ht="15" hidden="false" customHeight="true" outlineLevel="0" collapsed="false">
      <c r="L503" s="57"/>
      <c r="M503" s="57"/>
      <c r="O503" s="57"/>
    </row>
    <row r="504" customFormat="false" ht="15" hidden="false" customHeight="true" outlineLevel="0" collapsed="false">
      <c r="L504" s="57"/>
      <c r="M504" s="57"/>
      <c r="O504" s="57"/>
    </row>
    <row r="505" customFormat="false" ht="15" hidden="false" customHeight="true" outlineLevel="0" collapsed="false">
      <c r="L505" s="57"/>
      <c r="M505" s="57"/>
      <c r="O505" s="57"/>
    </row>
    <row r="506" customFormat="false" ht="15" hidden="false" customHeight="true" outlineLevel="0" collapsed="false">
      <c r="L506" s="57"/>
      <c r="M506" s="57"/>
      <c r="O506" s="57"/>
    </row>
    <row r="507" customFormat="false" ht="15" hidden="false" customHeight="true" outlineLevel="0" collapsed="false">
      <c r="L507" s="57"/>
      <c r="M507" s="57"/>
      <c r="O507" s="57"/>
    </row>
    <row r="508" customFormat="false" ht="15" hidden="false" customHeight="true" outlineLevel="0" collapsed="false">
      <c r="L508" s="57"/>
      <c r="M508" s="57"/>
      <c r="O508" s="57"/>
    </row>
    <row r="509" customFormat="false" ht="15" hidden="false" customHeight="true" outlineLevel="0" collapsed="false">
      <c r="L509" s="57"/>
      <c r="M509" s="57"/>
      <c r="O509" s="57"/>
    </row>
    <row r="510" customFormat="false" ht="15" hidden="false" customHeight="true" outlineLevel="0" collapsed="false">
      <c r="L510" s="57"/>
      <c r="M510" s="57"/>
      <c r="O510" s="57"/>
    </row>
    <row r="511" customFormat="false" ht="15" hidden="false" customHeight="true" outlineLevel="0" collapsed="false">
      <c r="L511" s="57"/>
      <c r="M511" s="57"/>
      <c r="O511" s="57"/>
    </row>
    <row r="512" customFormat="false" ht="15" hidden="false" customHeight="true" outlineLevel="0" collapsed="false">
      <c r="L512" s="57"/>
      <c r="M512" s="57"/>
      <c r="O512" s="57"/>
    </row>
    <row r="513" customFormat="false" ht="15" hidden="false" customHeight="true" outlineLevel="0" collapsed="false">
      <c r="L513" s="57"/>
      <c r="M513" s="57"/>
      <c r="O513" s="57"/>
    </row>
    <row r="514" customFormat="false" ht="15" hidden="false" customHeight="true" outlineLevel="0" collapsed="false">
      <c r="L514" s="57"/>
      <c r="M514" s="57"/>
      <c r="O514" s="57"/>
    </row>
    <row r="515" customFormat="false" ht="15" hidden="false" customHeight="true" outlineLevel="0" collapsed="false">
      <c r="L515" s="57"/>
      <c r="M515" s="57"/>
      <c r="O515" s="57"/>
    </row>
    <row r="516" customFormat="false" ht="15" hidden="false" customHeight="true" outlineLevel="0" collapsed="false">
      <c r="L516" s="57"/>
      <c r="M516" s="57"/>
      <c r="O516" s="57"/>
    </row>
    <row r="517" customFormat="false" ht="15" hidden="false" customHeight="true" outlineLevel="0" collapsed="false">
      <c r="L517" s="57"/>
      <c r="M517" s="57"/>
      <c r="O517" s="57"/>
    </row>
    <row r="518" customFormat="false" ht="15" hidden="false" customHeight="true" outlineLevel="0" collapsed="false">
      <c r="L518" s="57"/>
      <c r="M518" s="57"/>
      <c r="O518" s="57"/>
    </row>
    <row r="519" customFormat="false" ht="15" hidden="false" customHeight="true" outlineLevel="0" collapsed="false">
      <c r="L519" s="57"/>
      <c r="M519" s="57"/>
      <c r="O519" s="57"/>
    </row>
    <row r="520" customFormat="false" ht="15" hidden="false" customHeight="true" outlineLevel="0" collapsed="false">
      <c r="L520" s="57"/>
      <c r="M520" s="57"/>
      <c r="O520" s="57"/>
    </row>
    <row r="521" customFormat="false" ht="15" hidden="false" customHeight="true" outlineLevel="0" collapsed="false">
      <c r="L521" s="57"/>
      <c r="M521" s="57"/>
      <c r="O521" s="57"/>
    </row>
    <row r="522" customFormat="false" ht="15" hidden="false" customHeight="true" outlineLevel="0" collapsed="false">
      <c r="L522" s="57"/>
      <c r="M522" s="57"/>
      <c r="O522" s="57"/>
    </row>
    <row r="523" customFormat="false" ht="15" hidden="false" customHeight="true" outlineLevel="0" collapsed="false">
      <c r="L523" s="57"/>
      <c r="M523" s="57"/>
      <c r="O523" s="57"/>
    </row>
    <row r="524" customFormat="false" ht="15" hidden="false" customHeight="true" outlineLevel="0" collapsed="false">
      <c r="L524" s="57"/>
      <c r="M524" s="57"/>
      <c r="O524" s="57"/>
    </row>
    <row r="525" customFormat="false" ht="15" hidden="false" customHeight="true" outlineLevel="0" collapsed="false">
      <c r="L525" s="57"/>
      <c r="M525" s="57"/>
      <c r="O525" s="57"/>
    </row>
    <row r="526" customFormat="false" ht="15" hidden="false" customHeight="true" outlineLevel="0" collapsed="false">
      <c r="L526" s="57"/>
      <c r="M526" s="57"/>
      <c r="O526" s="57"/>
    </row>
    <row r="527" customFormat="false" ht="15" hidden="false" customHeight="true" outlineLevel="0" collapsed="false">
      <c r="L527" s="57"/>
      <c r="M527" s="57"/>
      <c r="O527" s="57"/>
    </row>
    <row r="528" customFormat="false" ht="15" hidden="false" customHeight="true" outlineLevel="0" collapsed="false">
      <c r="L528" s="57"/>
      <c r="M528" s="57"/>
      <c r="O528" s="57"/>
    </row>
    <row r="529" customFormat="false" ht="15" hidden="false" customHeight="true" outlineLevel="0" collapsed="false">
      <c r="L529" s="57"/>
      <c r="M529" s="57"/>
      <c r="O529" s="57"/>
    </row>
    <row r="530" customFormat="false" ht="15" hidden="false" customHeight="true" outlineLevel="0" collapsed="false">
      <c r="L530" s="57"/>
      <c r="M530" s="57"/>
      <c r="O530" s="57"/>
    </row>
    <row r="531" customFormat="false" ht="15" hidden="false" customHeight="true" outlineLevel="0" collapsed="false">
      <c r="L531" s="57"/>
      <c r="M531" s="57"/>
      <c r="O531" s="57"/>
    </row>
    <row r="532" customFormat="false" ht="15" hidden="false" customHeight="true" outlineLevel="0" collapsed="false">
      <c r="L532" s="57"/>
      <c r="M532" s="57"/>
      <c r="O532" s="57"/>
    </row>
    <row r="533" customFormat="false" ht="15" hidden="false" customHeight="true" outlineLevel="0" collapsed="false">
      <c r="L533" s="57"/>
      <c r="M533" s="57"/>
      <c r="O533" s="57"/>
    </row>
    <row r="534" customFormat="false" ht="15" hidden="false" customHeight="true" outlineLevel="0" collapsed="false">
      <c r="L534" s="57"/>
      <c r="M534" s="57"/>
      <c r="O534" s="57"/>
    </row>
    <row r="535" customFormat="false" ht="15" hidden="false" customHeight="true" outlineLevel="0" collapsed="false">
      <c r="L535" s="57"/>
      <c r="M535" s="57"/>
      <c r="O535" s="57"/>
    </row>
    <row r="536" customFormat="false" ht="15" hidden="false" customHeight="true" outlineLevel="0" collapsed="false">
      <c r="L536" s="57"/>
      <c r="M536" s="57"/>
      <c r="O536" s="57"/>
    </row>
    <row r="537" customFormat="false" ht="15" hidden="false" customHeight="true" outlineLevel="0" collapsed="false">
      <c r="L537" s="57"/>
      <c r="M537" s="57"/>
      <c r="O537" s="57"/>
    </row>
    <row r="538" customFormat="false" ht="15" hidden="false" customHeight="true" outlineLevel="0" collapsed="false">
      <c r="L538" s="57"/>
      <c r="M538" s="57"/>
      <c r="O538" s="57"/>
    </row>
    <row r="539" customFormat="false" ht="15" hidden="false" customHeight="true" outlineLevel="0" collapsed="false">
      <c r="L539" s="57"/>
      <c r="M539" s="57"/>
      <c r="O539" s="57"/>
    </row>
    <row r="540" customFormat="false" ht="15" hidden="false" customHeight="true" outlineLevel="0" collapsed="false">
      <c r="L540" s="57"/>
      <c r="M540" s="57"/>
      <c r="O540" s="57"/>
    </row>
    <row r="541" customFormat="false" ht="15" hidden="false" customHeight="true" outlineLevel="0" collapsed="false">
      <c r="L541" s="57"/>
      <c r="M541" s="57"/>
      <c r="O541" s="57"/>
    </row>
    <row r="542" customFormat="false" ht="15" hidden="false" customHeight="true" outlineLevel="0" collapsed="false">
      <c r="L542" s="57"/>
      <c r="M542" s="57"/>
      <c r="O542" s="57"/>
    </row>
    <row r="543" customFormat="false" ht="15" hidden="false" customHeight="true" outlineLevel="0" collapsed="false">
      <c r="L543" s="57"/>
      <c r="M543" s="57"/>
      <c r="O543" s="57"/>
    </row>
    <row r="544" customFormat="false" ht="15" hidden="false" customHeight="true" outlineLevel="0" collapsed="false">
      <c r="L544" s="57"/>
      <c r="M544" s="57"/>
      <c r="O544" s="57"/>
    </row>
    <row r="545" customFormat="false" ht="15" hidden="false" customHeight="true" outlineLevel="0" collapsed="false">
      <c r="L545" s="57"/>
      <c r="M545" s="57"/>
      <c r="O545" s="57"/>
    </row>
    <row r="546" customFormat="false" ht="15" hidden="false" customHeight="true" outlineLevel="0" collapsed="false">
      <c r="L546" s="57"/>
      <c r="M546" s="57"/>
      <c r="O546" s="57"/>
    </row>
    <row r="547" customFormat="false" ht="15" hidden="false" customHeight="true" outlineLevel="0" collapsed="false">
      <c r="L547" s="57"/>
      <c r="M547" s="57"/>
      <c r="O547" s="57"/>
    </row>
    <row r="548" customFormat="false" ht="15" hidden="false" customHeight="true" outlineLevel="0" collapsed="false">
      <c r="L548" s="57"/>
      <c r="M548" s="57"/>
      <c r="O548" s="57"/>
    </row>
    <row r="549" customFormat="false" ht="15" hidden="false" customHeight="true" outlineLevel="0" collapsed="false">
      <c r="L549" s="57"/>
      <c r="M549" s="57"/>
      <c r="O549" s="57"/>
    </row>
    <row r="550" customFormat="false" ht="15" hidden="false" customHeight="true" outlineLevel="0" collapsed="false">
      <c r="L550" s="57"/>
      <c r="M550" s="57"/>
      <c r="O550" s="57"/>
    </row>
    <row r="551" customFormat="false" ht="15" hidden="false" customHeight="true" outlineLevel="0" collapsed="false">
      <c r="L551" s="57"/>
      <c r="M551" s="57"/>
      <c r="O551" s="57"/>
    </row>
    <row r="552" customFormat="false" ht="15" hidden="false" customHeight="true" outlineLevel="0" collapsed="false">
      <c r="L552" s="57"/>
      <c r="M552" s="57"/>
      <c r="O552" s="57"/>
    </row>
    <row r="553" customFormat="false" ht="15" hidden="false" customHeight="true" outlineLevel="0" collapsed="false">
      <c r="L553" s="57"/>
      <c r="M553" s="57"/>
      <c r="O553" s="57"/>
    </row>
    <row r="554" customFormat="false" ht="15" hidden="false" customHeight="true" outlineLevel="0" collapsed="false">
      <c r="L554" s="57"/>
      <c r="M554" s="57"/>
      <c r="O554" s="57"/>
    </row>
    <row r="555" customFormat="false" ht="15" hidden="false" customHeight="true" outlineLevel="0" collapsed="false">
      <c r="L555" s="57"/>
      <c r="M555" s="57"/>
      <c r="O555" s="57"/>
    </row>
    <row r="556" customFormat="false" ht="15" hidden="false" customHeight="true" outlineLevel="0" collapsed="false">
      <c r="L556" s="57"/>
      <c r="M556" s="57"/>
      <c r="O556" s="57"/>
    </row>
    <row r="557" customFormat="false" ht="15" hidden="false" customHeight="true" outlineLevel="0" collapsed="false">
      <c r="L557" s="57"/>
      <c r="M557" s="57"/>
      <c r="O557" s="57"/>
    </row>
    <row r="558" customFormat="false" ht="15" hidden="false" customHeight="true" outlineLevel="0" collapsed="false">
      <c r="L558" s="57"/>
      <c r="M558" s="57"/>
      <c r="O558" s="57"/>
    </row>
    <row r="559" customFormat="false" ht="15" hidden="false" customHeight="true" outlineLevel="0" collapsed="false">
      <c r="L559" s="57"/>
      <c r="M559" s="57"/>
      <c r="O559" s="57"/>
    </row>
    <row r="560" customFormat="false" ht="15" hidden="false" customHeight="true" outlineLevel="0" collapsed="false">
      <c r="L560" s="57"/>
      <c r="M560" s="57"/>
      <c r="O560" s="57"/>
    </row>
    <row r="561" customFormat="false" ht="15" hidden="false" customHeight="true" outlineLevel="0" collapsed="false">
      <c r="L561" s="57"/>
      <c r="M561" s="57"/>
      <c r="O561" s="57"/>
    </row>
    <row r="562" customFormat="false" ht="15" hidden="false" customHeight="true" outlineLevel="0" collapsed="false">
      <c r="L562" s="57"/>
      <c r="M562" s="57"/>
      <c r="O562" s="57"/>
    </row>
    <row r="563" customFormat="false" ht="15" hidden="false" customHeight="true" outlineLevel="0" collapsed="false">
      <c r="L563" s="57"/>
      <c r="M563" s="57"/>
      <c r="O563" s="57"/>
    </row>
    <row r="564" customFormat="false" ht="15" hidden="false" customHeight="true" outlineLevel="0" collapsed="false">
      <c r="L564" s="57"/>
      <c r="M564" s="57"/>
      <c r="O564" s="57"/>
    </row>
    <row r="565" customFormat="false" ht="15" hidden="false" customHeight="true" outlineLevel="0" collapsed="false">
      <c r="L565" s="57"/>
      <c r="M565" s="57"/>
      <c r="O565" s="57"/>
    </row>
    <row r="566" customFormat="false" ht="15" hidden="false" customHeight="true" outlineLevel="0" collapsed="false">
      <c r="L566" s="57"/>
      <c r="M566" s="57"/>
      <c r="O566" s="57"/>
    </row>
    <row r="567" customFormat="false" ht="15" hidden="false" customHeight="true" outlineLevel="0" collapsed="false">
      <c r="L567" s="57"/>
      <c r="M567" s="57"/>
      <c r="O567" s="57"/>
    </row>
    <row r="568" customFormat="false" ht="15" hidden="false" customHeight="true" outlineLevel="0" collapsed="false">
      <c r="L568" s="57"/>
      <c r="M568" s="57"/>
      <c r="O568" s="57"/>
    </row>
    <row r="569" customFormat="false" ht="15" hidden="false" customHeight="true" outlineLevel="0" collapsed="false">
      <c r="L569" s="57"/>
      <c r="M569" s="57"/>
      <c r="O569" s="57"/>
    </row>
    <row r="570" customFormat="false" ht="15" hidden="false" customHeight="true" outlineLevel="0" collapsed="false">
      <c r="L570" s="57"/>
      <c r="M570" s="57"/>
      <c r="O570" s="57"/>
    </row>
    <row r="571" customFormat="false" ht="15" hidden="false" customHeight="true" outlineLevel="0" collapsed="false">
      <c r="L571" s="57"/>
      <c r="M571" s="57"/>
      <c r="O571" s="57"/>
    </row>
    <row r="572" customFormat="false" ht="15" hidden="false" customHeight="true" outlineLevel="0" collapsed="false">
      <c r="L572" s="57"/>
      <c r="M572" s="57"/>
      <c r="O572" s="57"/>
    </row>
    <row r="573" customFormat="false" ht="15" hidden="false" customHeight="true" outlineLevel="0" collapsed="false">
      <c r="L573" s="57"/>
      <c r="M573" s="57"/>
      <c r="O573" s="57"/>
    </row>
    <row r="574" customFormat="false" ht="15" hidden="false" customHeight="true" outlineLevel="0" collapsed="false">
      <c r="L574" s="57"/>
      <c r="M574" s="57"/>
      <c r="O574" s="57"/>
    </row>
    <row r="575" customFormat="false" ht="15" hidden="false" customHeight="true" outlineLevel="0" collapsed="false">
      <c r="L575" s="57"/>
      <c r="M575" s="57"/>
      <c r="O575" s="57"/>
    </row>
    <row r="576" customFormat="false" ht="15" hidden="false" customHeight="true" outlineLevel="0" collapsed="false">
      <c r="L576" s="57"/>
      <c r="M576" s="57"/>
      <c r="O576" s="57"/>
    </row>
    <row r="577" customFormat="false" ht="15" hidden="false" customHeight="true" outlineLevel="0" collapsed="false">
      <c r="L577" s="57"/>
      <c r="M577" s="57"/>
      <c r="O577" s="57"/>
    </row>
    <row r="578" customFormat="false" ht="15" hidden="false" customHeight="true" outlineLevel="0" collapsed="false">
      <c r="L578" s="57"/>
      <c r="M578" s="57"/>
      <c r="O578" s="57"/>
    </row>
    <row r="579" customFormat="false" ht="15" hidden="false" customHeight="true" outlineLevel="0" collapsed="false">
      <c r="L579" s="57"/>
      <c r="M579" s="57"/>
      <c r="O579" s="57"/>
    </row>
    <row r="580" customFormat="false" ht="15" hidden="false" customHeight="true" outlineLevel="0" collapsed="false">
      <c r="L580" s="57"/>
      <c r="M580" s="57"/>
      <c r="O580" s="57"/>
    </row>
    <row r="581" customFormat="false" ht="15" hidden="false" customHeight="true" outlineLevel="0" collapsed="false">
      <c r="L581" s="57"/>
      <c r="M581" s="57"/>
      <c r="O581" s="57"/>
    </row>
    <row r="582" customFormat="false" ht="15" hidden="false" customHeight="true" outlineLevel="0" collapsed="false">
      <c r="L582" s="57"/>
      <c r="M582" s="57"/>
      <c r="O582" s="57"/>
    </row>
    <row r="583" customFormat="false" ht="15" hidden="false" customHeight="true" outlineLevel="0" collapsed="false">
      <c r="L583" s="57"/>
      <c r="M583" s="57"/>
      <c r="O583" s="57"/>
    </row>
    <row r="584" customFormat="false" ht="15" hidden="false" customHeight="true" outlineLevel="0" collapsed="false">
      <c r="L584" s="57"/>
      <c r="M584" s="57"/>
      <c r="O584" s="57"/>
    </row>
    <row r="585" customFormat="false" ht="15" hidden="false" customHeight="true" outlineLevel="0" collapsed="false">
      <c r="L585" s="57"/>
      <c r="M585" s="57"/>
      <c r="O585" s="57"/>
    </row>
    <row r="586" customFormat="false" ht="15" hidden="false" customHeight="true" outlineLevel="0" collapsed="false">
      <c r="L586" s="57"/>
      <c r="M586" s="57"/>
      <c r="O586" s="57"/>
    </row>
    <row r="587" customFormat="false" ht="15" hidden="false" customHeight="true" outlineLevel="0" collapsed="false">
      <c r="L587" s="57"/>
      <c r="M587" s="57"/>
      <c r="O587" s="57"/>
    </row>
    <row r="588" customFormat="false" ht="15" hidden="false" customHeight="true" outlineLevel="0" collapsed="false">
      <c r="L588" s="57"/>
      <c r="M588" s="57"/>
      <c r="O588" s="57"/>
    </row>
    <row r="589" customFormat="false" ht="15" hidden="false" customHeight="true" outlineLevel="0" collapsed="false">
      <c r="L589" s="57"/>
      <c r="M589" s="57"/>
      <c r="O589" s="57"/>
    </row>
    <row r="590" customFormat="false" ht="15" hidden="false" customHeight="true" outlineLevel="0" collapsed="false">
      <c r="L590" s="57"/>
      <c r="M590" s="57"/>
      <c r="O590" s="57"/>
    </row>
    <row r="591" customFormat="false" ht="15" hidden="false" customHeight="true" outlineLevel="0" collapsed="false">
      <c r="L591" s="57"/>
      <c r="M591" s="57"/>
      <c r="O591" s="57"/>
    </row>
    <row r="592" customFormat="false" ht="15" hidden="false" customHeight="true" outlineLevel="0" collapsed="false">
      <c r="L592" s="57"/>
      <c r="M592" s="57"/>
      <c r="O592" s="57"/>
    </row>
    <row r="593" customFormat="false" ht="15" hidden="false" customHeight="true" outlineLevel="0" collapsed="false">
      <c r="L593" s="57"/>
      <c r="M593" s="57"/>
      <c r="O593" s="57"/>
    </row>
    <row r="594" customFormat="false" ht="15" hidden="false" customHeight="true" outlineLevel="0" collapsed="false">
      <c r="L594" s="57"/>
      <c r="M594" s="57"/>
      <c r="O594" s="57"/>
    </row>
    <row r="595" customFormat="false" ht="15" hidden="false" customHeight="true" outlineLevel="0" collapsed="false">
      <c r="L595" s="57"/>
      <c r="M595" s="57"/>
      <c r="O595" s="57"/>
    </row>
    <row r="596" customFormat="false" ht="15" hidden="false" customHeight="true" outlineLevel="0" collapsed="false">
      <c r="L596" s="57"/>
      <c r="M596" s="57"/>
      <c r="O596" s="57"/>
    </row>
    <row r="597" customFormat="false" ht="15" hidden="false" customHeight="true" outlineLevel="0" collapsed="false">
      <c r="L597" s="57"/>
      <c r="M597" s="57"/>
      <c r="O597" s="57"/>
    </row>
    <row r="598" customFormat="false" ht="15" hidden="false" customHeight="true" outlineLevel="0" collapsed="false">
      <c r="L598" s="57"/>
      <c r="M598" s="57"/>
      <c r="O598" s="57"/>
    </row>
    <row r="599" customFormat="false" ht="15" hidden="false" customHeight="true" outlineLevel="0" collapsed="false">
      <c r="L599" s="57"/>
      <c r="M599" s="57"/>
      <c r="O599" s="57"/>
    </row>
    <row r="600" customFormat="false" ht="15" hidden="false" customHeight="true" outlineLevel="0" collapsed="false">
      <c r="L600" s="57"/>
      <c r="M600" s="57"/>
      <c r="O600" s="57"/>
    </row>
    <row r="601" customFormat="false" ht="15" hidden="false" customHeight="true" outlineLevel="0" collapsed="false">
      <c r="L601" s="57"/>
      <c r="M601" s="57"/>
      <c r="O601" s="57"/>
    </row>
    <row r="602" customFormat="false" ht="15" hidden="false" customHeight="true" outlineLevel="0" collapsed="false">
      <c r="L602" s="57"/>
      <c r="M602" s="57"/>
      <c r="O602" s="57"/>
    </row>
    <row r="603" customFormat="false" ht="15" hidden="false" customHeight="true" outlineLevel="0" collapsed="false">
      <c r="L603" s="57"/>
      <c r="M603" s="57"/>
      <c r="O603" s="57"/>
    </row>
    <row r="604" customFormat="false" ht="15" hidden="false" customHeight="true" outlineLevel="0" collapsed="false">
      <c r="L604" s="57"/>
      <c r="M604" s="57"/>
      <c r="O604" s="57"/>
    </row>
    <row r="605" customFormat="false" ht="15" hidden="false" customHeight="true" outlineLevel="0" collapsed="false">
      <c r="L605" s="57"/>
      <c r="M605" s="57"/>
      <c r="O605" s="57"/>
    </row>
    <row r="606" customFormat="false" ht="15" hidden="false" customHeight="true" outlineLevel="0" collapsed="false">
      <c r="L606" s="57"/>
      <c r="M606" s="57"/>
      <c r="O606" s="57"/>
    </row>
    <row r="607" customFormat="false" ht="15" hidden="false" customHeight="true" outlineLevel="0" collapsed="false">
      <c r="L607" s="57"/>
      <c r="M607" s="57"/>
      <c r="O607" s="57"/>
    </row>
    <row r="608" customFormat="false" ht="15" hidden="false" customHeight="true" outlineLevel="0" collapsed="false">
      <c r="L608" s="57"/>
      <c r="M608" s="57"/>
      <c r="O608" s="57"/>
    </row>
    <row r="609" customFormat="false" ht="15" hidden="false" customHeight="true" outlineLevel="0" collapsed="false">
      <c r="L609" s="57"/>
      <c r="M609" s="57"/>
      <c r="O609" s="57"/>
    </row>
    <row r="610" customFormat="false" ht="15" hidden="false" customHeight="true" outlineLevel="0" collapsed="false">
      <c r="L610" s="57"/>
      <c r="M610" s="57"/>
      <c r="O610" s="57"/>
    </row>
    <row r="611" customFormat="false" ht="15" hidden="false" customHeight="true" outlineLevel="0" collapsed="false">
      <c r="L611" s="57"/>
      <c r="M611" s="57"/>
      <c r="O611" s="57"/>
    </row>
    <row r="612" customFormat="false" ht="15" hidden="false" customHeight="true" outlineLevel="0" collapsed="false">
      <c r="L612" s="57"/>
      <c r="M612" s="57"/>
      <c r="O612" s="57"/>
    </row>
    <row r="613" customFormat="false" ht="15" hidden="false" customHeight="true" outlineLevel="0" collapsed="false">
      <c r="L613" s="57"/>
      <c r="M613" s="57"/>
      <c r="O613" s="57"/>
    </row>
    <row r="614" customFormat="false" ht="15" hidden="false" customHeight="true" outlineLevel="0" collapsed="false">
      <c r="L614" s="57"/>
      <c r="M614" s="57"/>
      <c r="O614" s="57"/>
    </row>
    <row r="615" customFormat="false" ht="15" hidden="false" customHeight="true" outlineLevel="0" collapsed="false">
      <c r="L615" s="57"/>
      <c r="M615" s="57"/>
      <c r="O615" s="57"/>
    </row>
    <row r="616" customFormat="false" ht="15" hidden="false" customHeight="true" outlineLevel="0" collapsed="false">
      <c r="L616" s="57"/>
      <c r="M616" s="57"/>
      <c r="O616" s="57"/>
    </row>
    <row r="617" customFormat="false" ht="15" hidden="false" customHeight="true" outlineLevel="0" collapsed="false">
      <c r="L617" s="57"/>
      <c r="M617" s="57"/>
      <c r="O617" s="57"/>
    </row>
    <row r="618" customFormat="false" ht="15" hidden="false" customHeight="true" outlineLevel="0" collapsed="false">
      <c r="L618" s="57"/>
      <c r="M618" s="57"/>
      <c r="O618" s="57"/>
    </row>
    <row r="619" customFormat="false" ht="15" hidden="false" customHeight="true" outlineLevel="0" collapsed="false">
      <c r="L619" s="57"/>
      <c r="M619" s="57"/>
      <c r="O619" s="57"/>
    </row>
    <row r="620" customFormat="false" ht="15" hidden="false" customHeight="true" outlineLevel="0" collapsed="false">
      <c r="L620" s="57"/>
      <c r="M620" s="57"/>
      <c r="O620" s="57"/>
    </row>
    <row r="621" customFormat="false" ht="15" hidden="false" customHeight="true" outlineLevel="0" collapsed="false">
      <c r="L621" s="57"/>
      <c r="M621" s="57"/>
      <c r="O621" s="57"/>
    </row>
    <row r="622" customFormat="false" ht="15" hidden="false" customHeight="true" outlineLevel="0" collapsed="false">
      <c r="L622" s="57"/>
      <c r="M622" s="57"/>
      <c r="O622" s="57"/>
    </row>
    <row r="623" customFormat="false" ht="15" hidden="false" customHeight="true" outlineLevel="0" collapsed="false">
      <c r="L623" s="57"/>
      <c r="M623" s="57"/>
      <c r="O623" s="57"/>
    </row>
    <row r="624" customFormat="false" ht="15" hidden="false" customHeight="true" outlineLevel="0" collapsed="false">
      <c r="L624" s="57"/>
      <c r="M624" s="57"/>
      <c r="O624" s="57"/>
    </row>
    <row r="625" customFormat="false" ht="15" hidden="false" customHeight="true" outlineLevel="0" collapsed="false">
      <c r="L625" s="57"/>
      <c r="M625" s="57"/>
      <c r="O625" s="57"/>
    </row>
    <row r="626" customFormat="false" ht="15" hidden="false" customHeight="true" outlineLevel="0" collapsed="false">
      <c r="L626" s="57"/>
      <c r="M626" s="57"/>
      <c r="O626" s="57"/>
    </row>
    <row r="627" customFormat="false" ht="15" hidden="false" customHeight="true" outlineLevel="0" collapsed="false">
      <c r="L627" s="57"/>
      <c r="M627" s="57"/>
      <c r="O627" s="57"/>
    </row>
    <row r="628" customFormat="false" ht="15" hidden="false" customHeight="true" outlineLevel="0" collapsed="false">
      <c r="L628" s="57"/>
      <c r="M628" s="57"/>
      <c r="O628" s="57"/>
    </row>
    <row r="629" customFormat="false" ht="15" hidden="false" customHeight="true" outlineLevel="0" collapsed="false">
      <c r="L629" s="57"/>
      <c r="M629" s="57"/>
      <c r="O629" s="57"/>
    </row>
    <row r="630" customFormat="false" ht="15" hidden="false" customHeight="true" outlineLevel="0" collapsed="false">
      <c r="L630" s="57"/>
      <c r="M630" s="57"/>
      <c r="O630" s="57"/>
    </row>
    <row r="631" customFormat="false" ht="15" hidden="false" customHeight="true" outlineLevel="0" collapsed="false">
      <c r="L631" s="57"/>
      <c r="M631" s="57"/>
      <c r="O631" s="57"/>
    </row>
    <row r="632" customFormat="false" ht="15" hidden="false" customHeight="true" outlineLevel="0" collapsed="false">
      <c r="L632" s="57"/>
      <c r="M632" s="57"/>
      <c r="O632" s="57"/>
    </row>
    <row r="633" customFormat="false" ht="15" hidden="false" customHeight="true" outlineLevel="0" collapsed="false">
      <c r="L633" s="57"/>
      <c r="M633" s="57"/>
      <c r="O633" s="57"/>
    </row>
    <row r="634" customFormat="false" ht="15" hidden="false" customHeight="true" outlineLevel="0" collapsed="false">
      <c r="L634" s="57"/>
      <c r="M634" s="57"/>
      <c r="O634" s="57"/>
    </row>
    <row r="635" customFormat="false" ht="15" hidden="false" customHeight="true" outlineLevel="0" collapsed="false">
      <c r="L635" s="57"/>
      <c r="M635" s="57"/>
      <c r="O635" s="57"/>
    </row>
    <row r="636" customFormat="false" ht="15" hidden="false" customHeight="true" outlineLevel="0" collapsed="false">
      <c r="L636" s="57"/>
      <c r="M636" s="57"/>
      <c r="O636" s="57"/>
    </row>
    <row r="637" customFormat="false" ht="15" hidden="false" customHeight="true" outlineLevel="0" collapsed="false">
      <c r="L637" s="57"/>
      <c r="M637" s="57"/>
      <c r="O637" s="57"/>
    </row>
    <row r="638" customFormat="false" ht="15" hidden="false" customHeight="true" outlineLevel="0" collapsed="false">
      <c r="L638" s="57"/>
      <c r="M638" s="57"/>
      <c r="O638" s="57"/>
    </row>
    <row r="639" customFormat="false" ht="15" hidden="false" customHeight="true" outlineLevel="0" collapsed="false">
      <c r="L639" s="57"/>
      <c r="M639" s="57"/>
      <c r="O639" s="57"/>
    </row>
    <row r="640" customFormat="false" ht="15" hidden="false" customHeight="true" outlineLevel="0" collapsed="false">
      <c r="L640" s="57"/>
      <c r="M640" s="57"/>
      <c r="O640" s="57"/>
    </row>
    <row r="641" customFormat="false" ht="15" hidden="false" customHeight="true" outlineLevel="0" collapsed="false">
      <c r="L641" s="57"/>
      <c r="M641" s="57"/>
      <c r="O641" s="57"/>
    </row>
    <row r="642" customFormat="false" ht="15" hidden="false" customHeight="true" outlineLevel="0" collapsed="false">
      <c r="L642" s="57"/>
      <c r="M642" s="57"/>
      <c r="O642" s="57"/>
    </row>
    <row r="643" customFormat="false" ht="15" hidden="false" customHeight="true" outlineLevel="0" collapsed="false">
      <c r="L643" s="57"/>
      <c r="M643" s="57"/>
      <c r="O643" s="57"/>
    </row>
    <row r="644" customFormat="false" ht="15" hidden="false" customHeight="true" outlineLevel="0" collapsed="false">
      <c r="L644" s="57"/>
      <c r="M644" s="57"/>
      <c r="O644" s="57"/>
    </row>
    <row r="645" customFormat="false" ht="15" hidden="false" customHeight="true" outlineLevel="0" collapsed="false">
      <c r="L645" s="57"/>
      <c r="M645" s="57"/>
      <c r="O645" s="57"/>
    </row>
    <row r="646" customFormat="false" ht="15" hidden="false" customHeight="true" outlineLevel="0" collapsed="false">
      <c r="L646" s="57"/>
      <c r="M646" s="57"/>
      <c r="O646" s="57"/>
    </row>
    <row r="647" customFormat="false" ht="15" hidden="false" customHeight="true" outlineLevel="0" collapsed="false">
      <c r="L647" s="57"/>
      <c r="M647" s="57"/>
      <c r="O647" s="57"/>
    </row>
    <row r="648" customFormat="false" ht="15" hidden="false" customHeight="true" outlineLevel="0" collapsed="false">
      <c r="L648" s="57"/>
      <c r="M648" s="57"/>
      <c r="O648" s="57"/>
    </row>
    <row r="649" customFormat="false" ht="15" hidden="false" customHeight="true" outlineLevel="0" collapsed="false">
      <c r="L649" s="57"/>
      <c r="M649" s="57"/>
      <c r="O649" s="57"/>
    </row>
    <row r="650" customFormat="false" ht="15" hidden="false" customHeight="true" outlineLevel="0" collapsed="false">
      <c r="L650" s="57"/>
      <c r="M650" s="57"/>
      <c r="O650" s="57"/>
    </row>
    <row r="651" customFormat="false" ht="15" hidden="false" customHeight="true" outlineLevel="0" collapsed="false">
      <c r="L651" s="57"/>
      <c r="M651" s="57"/>
      <c r="O651" s="57"/>
    </row>
    <row r="652" customFormat="false" ht="15" hidden="false" customHeight="true" outlineLevel="0" collapsed="false">
      <c r="L652" s="57"/>
      <c r="M652" s="57"/>
      <c r="O652" s="57"/>
    </row>
    <row r="653" customFormat="false" ht="15" hidden="false" customHeight="true" outlineLevel="0" collapsed="false">
      <c r="L653" s="57"/>
      <c r="M653" s="57"/>
      <c r="O653" s="57"/>
    </row>
    <row r="654" customFormat="false" ht="15" hidden="false" customHeight="true" outlineLevel="0" collapsed="false">
      <c r="L654" s="57"/>
      <c r="M654" s="57"/>
      <c r="O654" s="57"/>
    </row>
    <row r="655" customFormat="false" ht="15" hidden="false" customHeight="true" outlineLevel="0" collapsed="false">
      <c r="L655" s="57"/>
      <c r="M655" s="57"/>
      <c r="O655" s="57"/>
    </row>
    <row r="656" customFormat="false" ht="15" hidden="false" customHeight="true" outlineLevel="0" collapsed="false">
      <c r="L656" s="57"/>
      <c r="M656" s="57"/>
      <c r="O656" s="57"/>
    </row>
    <row r="657" customFormat="false" ht="15" hidden="false" customHeight="true" outlineLevel="0" collapsed="false">
      <c r="L657" s="57"/>
      <c r="M657" s="57"/>
      <c r="O657" s="57"/>
    </row>
    <row r="658" customFormat="false" ht="15" hidden="false" customHeight="true" outlineLevel="0" collapsed="false">
      <c r="L658" s="57"/>
      <c r="M658" s="57"/>
      <c r="O658" s="57"/>
    </row>
    <row r="659" customFormat="false" ht="15" hidden="false" customHeight="true" outlineLevel="0" collapsed="false">
      <c r="L659" s="57"/>
      <c r="M659" s="57"/>
      <c r="O659" s="57"/>
    </row>
    <row r="660" customFormat="false" ht="15" hidden="false" customHeight="true" outlineLevel="0" collapsed="false">
      <c r="L660" s="57"/>
      <c r="M660" s="57"/>
      <c r="O660" s="57"/>
    </row>
    <row r="661" customFormat="false" ht="15" hidden="false" customHeight="true" outlineLevel="0" collapsed="false">
      <c r="L661" s="57"/>
      <c r="M661" s="57"/>
      <c r="O661" s="57"/>
    </row>
    <row r="662" customFormat="false" ht="15" hidden="false" customHeight="true" outlineLevel="0" collapsed="false">
      <c r="L662" s="57"/>
      <c r="M662" s="57"/>
      <c r="O662" s="57"/>
    </row>
    <row r="663" customFormat="false" ht="15" hidden="false" customHeight="true" outlineLevel="0" collapsed="false">
      <c r="L663" s="57"/>
      <c r="M663" s="57"/>
      <c r="O663" s="57"/>
    </row>
    <row r="664" customFormat="false" ht="15" hidden="false" customHeight="true" outlineLevel="0" collapsed="false">
      <c r="L664" s="57"/>
      <c r="M664" s="57"/>
      <c r="O664" s="57"/>
    </row>
    <row r="665" customFormat="false" ht="15" hidden="false" customHeight="true" outlineLevel="0" collapsed="false">
      <c r="L665" s="57"/>
      <c r="M665" s="57"/>
      <c r="O665" s="57"/>
    </row>
    <row r="666" customFormat="false" ht="15" hidden="false" customHeight="true" outlineLevel="0" collapsed="false">
      <c r="L666" s="57"/>
      <c r="M666" s="57"/>
      <c r="O666" s="57"/>
    </row>
    <row r="667" customFormat="false" ht="15" hidden="false" customHeight="true" outlineLevel="0" collapsed="false">
      <c r="L667" s="57"/>
      <c r="M667" s="57"/>
      <c r="O667" s="57"/>
    </row>
    <row r="668" customFormat="false" ht="15" hidden="false" customHeight="true" outlineLevel="0" collapsed="false">
      <c r="L668" s="57"/>
      <c r="M668" s="57"/>
      <c r="O668" s="57"/>
    </row>
    <row r="669" customFormat="false" ht="15" hidden="false" customHeight="true" outlineLevel="0" collapsed="false">
      <c r="L669" s="57"/>
      <c r="M669" s="57"/>
      <c r="O669" s="57"/>
    </row>
    <row r="670" customFormat="false" ht="15" hidden="false" customHeight="true" outlineLevel="0" collapsed="false">
      <c r="L670" s="57"/>
      <c r="M670" s="57"/>
      <c r="O670" s="57"/>
    </row>
    <row r="671" customFormat="false" ht="15" hidden="false" customHeight="true" outlineLevel="0" collapsed="false">
      <c r="L671" s="57"/>
      <c r="M671" s="57"/>
      <c r="O671" s="57"/>
    </row>
    <row r="672" customFormat="false" ht="15" hidden="false" customHeight="true" outlineLevel="0" collapsed="false">
      <c r="L672" s="57"/>
      <c r="M672" s="57"/>
      <c r="O672" s="57"/>
    </row>
    <row r="673" customFormat="false" ht="15" hidden="false" customHeight="true" outlineLevel="0" collapsed="false">
      <c r="L673" s="57"/>
      <c r="M673" s="57"/>
      <c r="O673" s="57"/>
    </row>
    <row r="674" customFormat="false" ht="15" hidden="false" customHeight="true" outlineLevel="0" collapsed="false">
      <c r="L674" s="57"/>
      <c r="M674" s="57"/>
      <c r="O674" s="57"/>
    </row>
    <row r="675" customFormat="false" ht="15" hidden="false" customHeight="true" outlineLevel="0" collapsed="false">
      <c r="L675" s="57"/>
      <c r="M675" s="57"/>
      <c r="O675" s="57"/>
    </row>
    <row r="676" customFormat="false" ht="15" hidden="false" customHeight="true" outlineLevel="0" collapsed="false">
      <c r="L676" s="57"/>
      <c r="M676" s="57"/>
      <c r="O676" s="57"/>
    </row>
    <row r="677" customFormat="false" ht="15" hidden="false" customHeight="true" outlineLevel="0" collapsed="false">
      <c r="L677" s="57"/>
      <c r="M677" s="57"/>
      <c r="O677" s="57"/>
    </row>
    <row r="678" customFormat="false" ht="15" hidden="false" customHeight="true" outlineLevel="0" collapsed="false">
      <c r="L678" s="57"/>
      <c r="M678" s="57"/>
      <c r="O678" s="57"/>
    </row>
    <row r="679" customFormat="false" ht="15" hidden="false" customHeight="true" outlineLevel="0" collapsed="false">
      <c r="L679" s="57"/>
      <c r="M679" s="57"/>
      <c r="O679" s="57"/>
    </row>
    <row r="680" customFormat="false" ht="15" hidden="false" customHeight="true" outlineLevel="0" collapsed="false">
      <c r="L680" s="57"/>
      <c r="M680" s="57"/>
      <c r="O680" s="57"/>
    </row>
    <row r="681" customFormat="false" ht="15" hidden="false" customHeight="true" outlineLevel="0" collapsed="false">
      <c r="L681" s="57"/>
      <c r="M681" s="57"/>
      <c r="O681" s="57"/>
    </row>
    <row r="682" customFormat="false" ht="15" hidden="false" customHeight="true" outlineLevel="0" collapsed="false">
      <c r="L682" s="57"/>
      <c r="M682" s="57"/>
      <c r="O682" s="57"/>
    </row>
    <row r="683" customFormat="false" ht="15" hidden="false" customHeight="true" outlineLevel="0" collapsed="false">
      <c r="L683" s="57"/>
      <c r="M683" s="57"/>
      <c r="O683" s="57"/>
    </row>
    <row r="684" customFormat="false" ht="15" hidden="false" customHeight="true" outlineLevel="0" collapsed="false">
      <c r="L684" s="57"/>
      <c r="M684" s="57"/>
      <c r="O684" s="57"/>
    </row>
    <row r="685" customFormat="false" ht="15" hidden="false" customHeight="true" outlineLevel="0" collapsed="false">
      <c r="L685" s="57"/>
      <c r="M685" s="57"/>
      <c r="O685" s="57"/>
    </row>
    <row r="686" customFormat="false" ht="15" hidden="false" customHeight="true" outlineLevel="0" collapsed="false">
      <c r="L686" s="57"/>
      <c r="M686" s="57"/>
      <c r="O686" s="57"/>
    </row>
    <row r="687" customFormat="false" ht="15" hidden="false" customHeight="true" outlineLevel="0" collapsed="false">
      <c r="L687" s="57"/>
      <c r="M687" s="57"/>
      <c r="O687" s="57"/>
    </row>
    <row r="688" customFormat="false" ht="15" hidden="false" customHeight="true" outlineLevel="0" collapsed="false">
      <c r="L688" s="57"/>
      <c r="M688" s="57"/>
      <c r="O688" s="57"/>
    </row>
    <row r="689" customFormat="false" ht="15" hidden="false" customHeight="true" outlineLevel="0" collapsed="false">
      <c r="L689" s="57"/>
      <c r="M689" s="57"/>
      <c r="O689" s="57"/>
    </row>
    <row r="690" customFormat="false" ht="15" hidden="false" customHeight="true" outlineLevel="0" collapsed="false">
      <c r="L690" s="57"/>
      <c r="M690" s="57"/>
      <c r="O690" s="57"/>
    </row>
    <row r="691" customFormat="false" ht="15" hidden="false" customHeight="true" outlineLevel="0" collapsed="false">
      <c r="L691" s="57"/>
      <c r="M691" s="57"/>
      <c r="O691" s="57"/>
    </row>
    <row r="692" customFormat="false" ht="15" hidden="false" customHeight="true" outlineLevel="0" collapsed="false">
      <c r="L692" s="57"/>
      <c r="M692" s="57"/>
      <c r="O692" s="57"/>
    </row>
    <row r="693" customFormat="false" ht="15" hidden="false" customHeight="true" outlineLevel="0" collapsed="false">
      <c r="L693" s="57"/>
      <c r="M693" s="57"/>
      <c r="O693" s="57"/>
    </row>
    <row r="694" customFormat="false" ht="15" hidden="false" customHeight="true" outlineLevel="0" collapsed="false">
      <c r="L694" s="57"/>
      <c r="M694" s="57"/>
      <c r="O694" s="57"/>
    </row>
    <row r="695" customFormat="false" ht="15" hidden="false" customHeight="true" outlineLevel="0" collapsed="false">
      <c r="L695" s="57"/>
      <c r="M695" s="57"/>
      <c r="O695" s="57"/>
    </row>
    <row r="696" customFormat="false" ht="15" hidden="false" customHeight="true" outlineLevel="0" collapsed="false">
      <c r="L696" s="57"/>
      <c r="M696" s="57"/>
      <c r="O696" s="57"/>
    </row>
    <row r="697" customFormat="false" ht="15" hidden="false" customHeight="true" outlineLevel="0" collapsed="false">
      <c r="L697" s="57"/>
      <c r="M697" s="57"/>
      <c r="O697" s="57"/>
    </row>
    <row r="698" customFormat="false" ht="15" hidden="false" customHeight="true" outlineLevel="0" collapsed="false">
      <c r="L698" s="57"/>
      <c r="M698" s="57"/>
      <c r="O698" s="57"/>
    </row>
    <row r="699" customFormat="false" ht="15" hidden="false" customHeight="true" outlineLevel="0" collapsed="false">
      <c r="L699" s="57"/>
      <c r="M699" s="57"/>
      <c r="O699" s="57"/>
    </row>
    <row r="700" customFormat="false" ht="15" hidden="false" customHeight="true" outlineLevel="0" collapsed="false">
      <c r="L700" s="57"/>
      <c r="M700" s="57"/>
      <c r="O700" s="57"/>
    </row>
    <row r="701" customFormat="false" ht="15" hidden="false" customHeight="true" outlineLevel="0" collapsed="false">
      <c r="L701" s="57"/>
      <c r="M701" s="57"/>
      <c r="O701" s="57"/>
    </row>
    <row r="702" customFormat="false" ht="15" hidden="false" customHeight="true" outlineLevel="0" collapsed="false">
      <c r="L702" s="57"/>
      <c r="M702" s="57"/>
      <c r="O702" s="57"/>
    </row>
    <row r="703" customFormat="false" ht="15" hidden="false" customHeight="true" outlineLevel="0" collapsed="false">
      <c r="L703" s="57"/>
      <c r="M703" s="57"/>
      <c r="O703" s="57"/>
    </row>
    <row r="704" customFormat="false" ht="15" hidden="false" customHeight="true" outlineLevel="0" collapsed="false">
      <c r="L704" s="57"/>
      <c r="M704" s="57"/>
      <c r="O704" s="57"/>
    </row>
    <row r="705" customFormat="false" ht="15" hidden="false" customHeight="true" outlineLevel="0" collapsed="false">
      <c r="L705" s="57"/>
      <c r="M705" s="57"/>
      <c r="O705" s="57"/>
    </row>
    <row r="706" customFormat="false" ht="15" hidden="false" customHeight="true" outlineLevel="0" collapsed="false">
      <c r="L706" s="57"/>
      <c r="M706" s="57"/>
      <c r="O706" s="57"/>
    </row>
    <row r="707" customFormat="false" ht="15" hidden="false" customHeight="true" outlineLevel="0" collapsed="false">
      <c r="L707" s="57"/>
      <c r="M707" s="57"/>
      <c r="O707" s="57"/>
    </row>
    <row r="708" customFormat="false" ht="15" hidden="false" customHeight="true" outlineLevel="0" collapsed="false">
      <c r="L708" s="57"/>
      <c r="M708" s="57"/>
      <c r="O708" s="57"/>
    </row>
    <row r="709" customFormat="false" ht="15" hidden="false" customHeight="true" outlineLevel="0" collapsed="false">
      <c r="L709" s="57"/>
      <c r="M709" s="57"/>
      <c r="O709" s="57"/>
    </row>
    <row r="710" customFormat="false" ht="15" hidden="false" customHeight="true" outlineLevel="0" collapsed="false">
      <c r="L710" s="57"/>
      <c r="M710" s="57"/>
      <c r="O710" s="57"/>
    </row>
    <row r="711" customFormat="false" ht="15" hidden="false" customHeight="true" outlineLevel="0" collapsed="false">
      <c r="L711" s="57"/>
      <c r="M711" s="57"/>
      <c r="O711" s="57"/>
    </row>
    <row r="712" customFormat="false" ht="15" hidden="false" customHeight="true" outlineLevel="0" collapsed="false">
      <c r="L712" s="57"/>
      <c r="M712" s="57"/>
      <c r="O712" s="57"/>
    </row>
    <row r="713" customFormat="false" ht="15" hidden="false" customHeight="true" outlineLevel="0" collapsed="false">
      <c r="L713" s="57"/>
      <c r="M713" s="57"/>
      <c r="O713" s="57"/>
    </row>
    <row r="714" customFormat="false" ht="15" hidden="false" customHeight="true" outlineLevel="0" collapsed="false">
      <c r="L714" s="57"/>
      <c r="M714" s="57"/>
      <c r="O714" s="57"/>
    </row>
    <row r="715" customFormat="false" ht="15" hidden="false" customHeight="true" outlineLevel="0" collapsed="false">
      <c r="L715" s="57"/>
      <c r="M715" s="57"/>
      <c r="O715" s="57"/>
    </row>
    <row r="716" customFormat="false" ht="15" hidden="false" customHeight="true" outlineLevel="0" collapsed="false">
      <c r="L716" s="57"/>
      <c r="M716" s="57"/>
      <c r="O716" s="57"/>
    </row>
    <row r="717" customFormat="false" ht="15" hidden="false" customHeight="true" outlineLevel="0" collapsed="false">
      <c r="L717" s="57"/>
      <c r="M717" s="57"/>
      <c r="O717" s="57"/>
    </row>
    <row r="718" customFormat="false" ht="15" hidden="false" customHeight="true" outlineLevel="0" collapsed="false">
      <c r="L718" s="57"/>
      <c r="M718" s="57"/>
      <c r="O718" s="57"/>
    </row>
    <row r="719" customFormat="false" ht="15" hidden="false" customHeight="true" outlineLevel="0" collapsed="false">
      <c r="L719" s="57"/>
      <c r="M719" s="57"/>
      <c r="O719" s="57"/>
    </row>
    <row r="720" customFormat="false" ht="15" hidden="false" customHeight="true" outlineLevel="0" collapsed="false">
      <c r="L720" s="57"/>
      <c r="M720" s="57"/>
      <c r="O720" s="57"/>
    </row>
    <row r="721" customFormat="false" ht="15" hidden="false" customHeight="true" outlineLevel="0" collapsed="false">
      <c r="L721" s="57"/>
      <c r="M721" s="57"/>
      <c r="O721" s="57"/>
    </row>
    <row r="722" customFormat="false" ht="15" hidden="false" customHeight="true" outlineLevel="0" collapsed="false">
      <c r="L722" s="57"/>
      <c r="M722" s="57"/>
      <c r="O722" s="57"/>
    </row>
    <row r="723" customFormat="false" ht="15" hidden="false" customHeight="true" outlineLevel="0" collapsed="false">
      <c r="L723" s="57"/>
      <c r="M723" s="57"/>
      <c r="O723" s="57"/>
    </row>
    <row r="724" customFormat="false" ht="15" hidden="false" customHeight="true" outlineLevel="0" collapsed="false">
      <c r="L724" s="57"/>
      <c r="M724" s="57"/>
      <c r="O724" s="57"/>
    </row>
    <row r="725" customFormat="false" ht="15" hidden="false" customHeight="true" outlineLevel="0" collapsed="false">
      <c r="L725" s="57"/>
      <c r="M725" s="57"/>
      <c r="O725" s="57"/>
    </row>
    <row r="726" customFormat="false" ht="15" hidden="false" customHeight="true" outlineLevel="0" collapsed="false">
      <c r="L726" s="57"/>
      <c r="M726" s="57"/>
      <c r="O726" s="57"/>
    </row>
    <row r="727" customFormat="false" ht="15" hidden="false" customHeight="true" outlineLevel="0" collapsed="false">
      <c r="L727" s="57"/>
      <c r="M727" s="57"/>
      <c r="O727" s="57"/>
    </row>
    <row r="728" customFormat="false" ht="15" hidden="false" customHeight="true" outlineLevel="0" collapsed="false">
      <c r="L728" s="57"/>
      <c r="M728" s="57"/>
      <c r="O728" s="57"/>
    </row>
    <row r="729" customFormat="false" ht="15" hidden="false" customHeight="true" outlineLevel="0" collapsed="false">
      <c r="L729" s="57"/>
      <c r="M729" s="57"/>
      <c r="O729" s="57"/>
    </row>
    <row r="730" customFormat="false" ht="15" hidden="false" customHeight="true" outlineLevel="0" collapsed="false">
      <c r="L730" s="57"/>
      <c r="M730" s="57"/>
      <c r="O730" s="57"/>
    </row>
    <row r="731" customFormat="false" ht="15" hidden="false" customHeight="true" outlineLevel="0" collapsed="false">
      <c r="L731" s="57"/>
      <c r="M731" s="57"/>
      <c r="O731" s="57"/>
    </row>
    <row r="732" customFormat="false" ht="15" hidden="false" customHeight="true" outlineLevel="0" collapsed="false">
      <c r="L732" s="57"/>
      <c r="M732" s="57"/>
      <c r="O732" s="57"/>
    </row>
    <row r="733" customFormat="false" ht="15" hidden="false" customHeight="true" outlineLevel="0" collapsed="false">
      <c r="L733" s="57"/>
      <c r="M733" s="57"/>
      <c r="O733" s="57"/>
    </row>
    <row r="734" customFormat="false" ht="15" hidden="false" customHeight="true" outlineLevel="0" collapsed="false">
      <c r="L734" s="57"/>
      <c r="M734" s="57"/>
      <c r="O734" s="57"/>
    </row>
    <row r="735" customFormat="false" ht="15" hidden="false" customHeight="true" outlineLevel="0" collapsed="false">
      <c r="L735" s="57"/>
      <c r="M735" s="57"/>
      <c r="O735" s="57"/>
    </row>
    <row r="736" customFormat="false" ht="15" hidden="false" customHeight="true" outlineLevel="0" collapsed="false">
      <c r="L736" s="57"/>
      <c r="M736" s="57"/>
      <c r="O736" s="57"/>
    </row>
    <row r="737" customFormat="false" ht="15" hidden="false" customHeight="true" outlineLevel="0" collapsed="false">
      <c r="L737" s="57"/>
      <c r="M737" s="57"/>
      <c r="O737" s="57"/>
    </row>
    <row r="738" customFormat="false" ht="15" hidden="false" customHeight="true" outlineLevel="0" collapsed="false">
      <c r="L738" s="57"/>
      <c r="M738" s="57"/>
      <c r="O738" s="57"/>
    </row>
    <row r="739" customFormat="false" ht="15" hidden="false" customHeight="true" outlineLevel="0" collapsed="false">
      <c r="L739" s="57"/>
      <c r="M739" s="57"/>
      <c r="O739" s="57"/>
    </row>
    <row r="740" customFormat="false" ht="15" hidden="false" customHeight="true" outlineLevel="0" collapsed="false">
      <c r="L740" s="57"/>
      <c r="M740" s="57"/>
      <c r="O740" s="57"/>
    </row>
    <row r="741" customFormat="false" ht="15" hidden="false" customHeight="true" outlineLevel="0" collapsed="false">
      <c r="L741" s="57"/>
      <c r="M741" s="57"/>
      <c r="O741" s="57"/>
    </row>
    <row r="742" customFormat="false" ht="15" hidden="false" customHeight="true" outlineLevel="0" collapsed="false">
      <c r="L742" s="57"/>
      <c r="M742" s="57"/>
      <c r="O742" s="57"/>
    </row>
    <row r="743" customFormat="false" ht="15" hidden="false" customHeight="true" outlineLevel="0" collapsed="false">
      <c r="L743" s="57"/>
      <c r="M743" s="57"/>
      <c r="O743" s="57"/>
    </row>
    <row r="744" customFormat="false" ht="15" hidden="false" customHeight="true" outlineLevel="0" collapsed="false">
      <c r="L744" s="57"/>
      <c r="M744" s="57"/>
      <c r="O744" s="57"/>
    </row>
    <row r="745" customFormat="false" ht="15" hidden="false" customHeight="true" outlineLevel="0" collapsed="false">
      <c r="L745" s="57"/>
      <c r="M745" s="57"/>
      <c r="O745" s="57"/>
    </row>
    <row r="746" customFormat="false" ht="15" hidden="false" customHeight="true" outlineLevel="0" collapsed="false">
      <c r="L746" s="57"/>
      <c r="M746" s="57"/>
      <c r="O746" s="57"/>
    </row>
    <row r="747" customFormat="false" ht="15" hidden="false" customHeight="true" outlineLevel="0" collapsed="false">
      <c r="L747" s="57"/>
      <c r="M747" s="57"/>
      <c r="O747" s="57"/>
    </row>
    <row r="748" customFormat="false" ht="15" hidden="false" customHeight="true" outlineLevel="0" collapsed="false">
      <c r="L748" s="57"/>
      <c r="M748" s="57"/>
      <c r="O748" s="57"/>
    </row>
    <row r="749" customFormat="false" ht="15" hidden="false" customHeight="true" outlineLevel="0" collapsed="false">
      <c r="L749" s="57"/>
      <c r="M749" s="57"/>
      <c r="O749" s="57"/>
    </row>
    <row r="750" customFormat="false" ht="15" hidden="false" customHeight="true" outlineLevel="0" collapsed="false">
      <c r="L750" s="57"/>
      <c r="M750" s="57"/>
      <c r="O750" s="57"/>
    </row>
    <row r="751" customFormat="false" ht="15" hidden="false" customHeight="true" outlineLevel="0" collapsed="false">
      <c r="L751" s="57"/>
      <c r="M751" s="57"/>
      <c r="O751" s="57"/>
    </row>
    <row r="752" customFormat="false" ht="15" hidden="false" customHeight="true" outlineLevel="0" collapsed="false">
      <c r="L752" s="57"/>
      <c r="M752" s="57"/>
      <c r="O752" s="57"/>
    </row>
    <row r="753" customFormat="false" ht="15" hidden="false" customHeight="true" outlineLevel="0" collapsed="false">
      <c r="L753" s="57"/>
      <c r="M753" s="57"/>
      <c r="O753" s="57"/>
    </row>
    <row r="754" customFormat="false" ht="15" hidden="false" customHeight="true" outlineLevel="0" collapsed="false">
      <c r="L754" s="57"/>
      <c r="M754" s="57"/>
      <c r="O754" s="57"/>
    </row>
    <row r="755" customFormat="false" ht="15" hidden="false" customHeight="true" outlineLevel="0" collapsed="false">
      <c r="L755" s="57"/>
      <c r="M755" s="57"/>
      <c r="O755" s="57"/>
    </row>
    <row r="756" customFormat="false" ht="15" hidden="false" customHeight="true" outlineLevel="0" collapsed="false">
      <c r="L756" s="57"/>
      <c r="M756" s="57"/>
      <c r="O756" s="57"/>
    </row>
    <row r="757" customFormat="false" ht="15" hidden="false" customHeight="true" outlineLevel="0" collapsed="false">
      <c r="L757" s="57"/>
      <c r="M757" s="57"/>
      <c r="O757" s="57"/>
    </row>
    <row r="758" customFormat="false" ht="15" hidden="false" customHeight="true" outlineLevel="0" collapsed="false">
      <c r="L758" s="57"/>
      <c r="M758" s="57"/>
      <c r="O758" s="57"/>
    </row>
    <row r="759" customFormat="false" ht="15" hidden="false" customHeight="true" outlineLevel="0" collapsed="false">
      <c r="L759" s="57"/>
      <c r="M759" s="57"/>
      <c r="O759" s="57"/>
    </row>
    <row r="760" customFormat="false" ht="15" hidden="false" customHeight="true" outlineLevel="0" collapsed="false">
      <c r="L760" s="57"/>
      <c r="M760" s="57"/>
      <c r="O760" s="57"/>
    </row>
    <row r="761" customFormat="false" ht="15" hidden="false" customHeight="true" outlineLevel="0" collapsed="false">
      <c r="L761" s="57"/>
      <c r="M761" s="57"/>
      <c r="O761" s="57"/>
    </row>
    <row r="762" customFormat="false" ht="15" hidden="false" customHeight="true" outlineLevel="0" collapsed="false">
      <c r="L762" s="57"/>
      <c r="M762" s="57"/>
      <c r="O762" s="57"/>
    </row>
    <row r="763" customFormat="false" ht="15" hidden="false" customHeight="true" outlineLevel="0" collapsed="false">
      <c r="L763" s="57"/>
      <c r="M763" s="57"/>
      <c r="O763" s="57"/>
    </row>
    <row r="764" customFormat="false" ht="15" hidden="false" customHeight="true" outlineLevel="0" collapsed="false">
      <c r="L764" s="57"/>
      <c r="M764" s="57"/>
      <c r="O764" s="57"/>
    </row>
    <row r="765" customFormat="false" ht="15" hidden="false" customHeight="true" outlineLevel="0" collapsed="false">
      <c r="L765" s="57"/>
      <c r="M765" s="57"/>
      <c r="O765" s="57"/>
    </row>
    <row r="766" customFormat="false" ht="15" hidden="false" customHeight="true" outlineLevel="0" collapsed="false">
      <c r="L766" s="57"/>
      <c r="M766" s="57"/>
      <c r="O766" s="57"/>
    </row>
    <row r="767" customFormat="false" ht="15" hidden="false" customHeight="true" outlineLevel="0" collapsed="false">
      <c r="L767" s="57"/>
      <c r="M767" s="57"/>
      <c r="O767" s="57"/>
    </row>
    <row r="768" customFormat="false" ht="15" hidden="false" customHeight="true" outlineLevel="0" collapsed="false">
      <c r="L768" s="57"/>
      <c r="M768" s="57"/>
      <c r="O768" s="57"/>
    </row>
    <row r="769" customFormat="false" ht="15" hidden="false" customHeight="true" outlineLevel="0" collapsed="false">
      <c r="L769" s="57"/>
      <c r="M769" s="57"/>
      <c r="O769" s="57"/>
    </row>
    <row r="770" customFormat="false" ht="15" hidden="false" customHeight="true" outlineLevel="0" collapsed="false">
      <c r="L770" s="57"/>
      <c r="M770" s="57"/>
      <c r="O770" s="57"/>
    </row>
    <row r="771" customFormat="false" ht="15" hidden="false" customHeight="true" outlineLevel="0" collapsed="false">
      <c r="L771" s="57"/>
      <c r="M771" s="57"/>
      <c r="O771" s="57"/>
    </row>
    <row r="772" customFormat="false" ht="15" hidden="false" customHeight="true" outlineLevel="0" collapsed="false">
      <c r="L772" s="57"/>
      <c r="M772" s="57"/>
      <c r="O772" s="57"/>
    </row>
    <row r="773" customFormat="false" ht="15" hidden="false" customHeight="true" outlineLevel="0" collapsed="false">
      <c r="L773" s="57"/>
      <c r="M773" s="57"/>
      <c r="O773" s="57"/>
    </row>
    <row r="774" customFormat="false" ht="15" hidden="false" customHeight="true" outlineLevel="0" collapsed="false">
      <c r="L774" s="57"/>
      <c r="M774" s="57"/>
      <c r="O774" s="57"/>
    </row>
    <row r="775" customFormat="false" ht="15" hidden="false" customHeight="true" outlineLevel="0" collapsed="false">
      <c r="L775" s="57"/>
      <c r="M775" s="57"/>
      <c r="O775" s="57"/>
    </row>
    <row r="776" customFormat="false" ht="15" hidden="false" customHeight="true" outlineLevel="0" collapsed="false">
      <c r="L776" s="57"/>
      <c r="M776" s="57"/>
      <c r="O776" s="57"/>
    </row>
    <row r="777" customFormat="false" ht="15" hidden="false" customHeight="true" outlineLevel="0" collapsed="false">
      <c r="L777" s="57"/>
      <c r="M777" s="57"/>
      <c r="O777" s="57"/>
    </row>
    <row r="778" customFormat="false" ht="15" hidden="false" customHeight="true" outlineLevel="0" collapsed="false">
      <c r="L778" s="57"/>
      <c r="M778" s="57"/>
      <c r="O778" s="57"/>
    </row>
    <row r="779" customFormat="false" ht="15" hidden="false" customHeight="true" outlineLevel="0" collapsed="false">
      <c r="L779" s="57"/>
      <c r="M779" s="57"/>
      <c r="O779" s="57"/>
    </row>
    <row r="780" customFormat="false" ht="15" hidden="false" customHeight="true" outlineLevel="0" collapsed="false">
      <c r="L780" s="57"/>
      <c r="M780" s="57"/>
      <c r="O780" s="57"/>
    </row>
    <row r="781" customFormat="false" ht="15" hidden="false" customHeight="true" outlineLevel="0" collapsed="false">
      <c r="L781" s="57"/>
      <c r="M781" s="57"/>
      <c r="O781" s="57"/>
    </row>
    <row r="782" customFormat="false" ht="15" hidden="false" customHeight="true" outlineLevel="0" collapsed="false">
      <c r="L782" s="57"/>
      <c r="M782" s="57"/>
      <c r="O782" s="57"/>
    </row>
    <row r="783" customFormat="false" ht="15" hidden="false" customHeight="true" outlineLevel="0" collapsed="false">
      <c r="L783" s="57"/>
      <c r="M783" s="57"/>
      <c r="O783" s="57"/>
    </row>
    <row r="784" customFormat="false" ht="15" hidden="false" customHeight="true" outlineLevel="0" collapsed="false">
      <c r="L784" s="57"/>
      <c r="M784" s="57"/>
      <c r="O784" s="57"/>
    </row>
    <row r="785" customFormat="false" ht="15" hidden="false" customHeight="true" outlineLevel="0" collapsed="false">
      <c r="L785" s="57"/>
      <c r="M785" s="57"/>
      <c r="O785" s="57"/>
    </row>
    <row r="786" customFormat="false" ht="15" hidden="false" customHeight="true" outlineLevel="0" collapsed="false">
      <c r="L786" s="57"/>
      <c r="M786" s="57"/>
      <c r="O786" s="57"/>
    </row>
    <row r="787" customFormat="false" ht="15" hidden="false" customHeight="true" outlineLevel="0" collapsed="false">
      <c r="L787" s="57"/>
      <c r="M787" s="57"/>
      <c r="O787" s="57"/>
    </row>
    <row r="788" customFormat="false" ht="15" hidden="false" customHeight="true" outlineLevel="0" collapsed="false">
      <c r="L788" s="57"/>
      <c r="M788" s="57"/>
      <c r="O788" s="57"/>
    </row>
    <row r="789" customFormat="false" ht="15" hidden="false" customHeight="true" outlineLevel="0" collapsed="false">
      <c r="L789" s="57"/>
      <c r="M789" s="57"/>
      <c r="O789" s="57"/>
    </row>
    <row r="790" customFormat="false" ht="15" hidden="false" customHeight="true" outlineLevel="0" collapsed="false">
      <c r="L790" s="57"/>
      <c r="M790" s="57"/>
      <c r="O790" s="57"/>
    </row>
    <row r="791" customFormat="false" ht="15" hidden="false" customHeight="true" outlineLevel="0" collapsed="false">
      <c r="L791" s="57"/>
      <c r="M791" s="57"/>
      <c r="O791" s="57"/>
    </row>
    <row r="792" customFormat="false" ht="15" hidden="false" customHeight="true" outlineLevel="0" collapsed="false">
      <c r="L792" s="57"/>
      <c r="M792" s="57"/>
      <c r="O792" s="57"/>
    </row>
    <row r="793" customFormat="false" ht="15" hidden="false" customHeight="true" outlineLevel="0" collapsed="false">
      <c r="L793" s="57"/>
      <c r="M793" s="57"/>
      <c r="O793" s="57"/>
    </row>
    <row r="794" customFormat="false" ht="15" hidden="false" customHeight="true" outlineLevel="0" collapsed="false">
      <c r="L794" s="57"/>
      <c r="M794" s="57"/>
      <c r="O794" s="57"/>
    </row>
    <row r="795" customFormat="false" ht="15" hidden="false" customHeight="true" outlineLevel="0" collapsed="false">
      <c r="L795" s="57"/>
      <c r="M795" s="57"/>
      <c r="O795" s="57"/>
    </row>
    <row r="796" customFormat="false" ht="15" hidden="false" customHeight="true" outlineLevel="0" collapsed="false">
      <c r="L796" s="57"/>
      <c r="M796" s="57"/>
      <c r="O796" s="57"/>
    </row>
    <row r="797" customFormat="false" ht="15" hidden="false" customHeight="true" outlineLevel="0" collapsed="false">
      <c r="L797" s="57"/>
      <c r="M797" s="57"/>
      <c r="O797" s="57"/>
    </row>
    <row r="798" customFormat="false" ht="15" hidden="false" customHeight="true" outlineLevel="0" collapsed="false">
      <c r="L798" s="57"/>
      <c r="M798" s="57"/>
      <c r="O798" s="57"/>
    </row>
    <row r="799" customFormat="false" ht="15" hidden="false" customHeight="true" outlineLevel="0" collapsed="false">
      <c r="L799" s="57"/>
      <c r="M799" s="57"/>
      <c r="O799" s="57"/>
    </row>
    <row r="800" customFormat="false" ht="15" hidden="false" customHeight="true" outlineLevel="0" collapsed="false">
      <c r="L800" s="57"/>
      <c r="M800" s="57"/>
      <c r="O800" s="57"/>
    </row>
    <row r="801" customFormat="false" ht="15" hidden="false" customHeight="true" outlineLevel="0" collapsed="false">
      <c r="L801" s="57"/>
      <c r="M801" s="57"/>
      <c r="O801" s="57"/>
    </row>
    <row r="802" customFormat="false" ht="15" hidden="false" customHeight="true" outlineLevel="0" collapsed="false">
      <c r="L802" s="57"/>
      <c r="M802" s="57"/>
      <c r="O802" s="57"/>
    </row>
    <row r="803" customFormat="false" ht="15" hidden="false" customHeight="true" outlineLevel="0" collapsed="false">
      <c r="L803" s="57"/>
      <c r="M803" s="57"/>
      <c r="O803" s="57"/>
    </row>
    <row r="804" customFormat="false" ht="15" hidden="false" customHeight="true" outlineLevel="0" collapsed="false">
      <c r="L804" s="57"/>
      <c r="M804" s="57"/>
      <c r="O804" s="57"/>
    </row>
    <row r="805" customFormat="false" ht="15" hidden="false" customHeight="true" outlineLevel="0" collapsed="false">
      <c r="L805" s="57"/>
      <c r="M805" s="57"/>
      <c r="O805" s="57"/>
    </row>
    <row r="806" customFormat="false" ht="15" hidden="false" customHeight="true" outlineLevel="0" collapsed="false">
      <c r="L806" s="57"/>
      <c r="M806" s="57"/>
      <c r="O806" s="57"/>
    </row>
    <row r="807" customFormat="false" ht="15" hidden="false" customHeight="true" outlineLevel="0" collapsed="false">
      <c r="L807" s="57"/>
      <c r="M807" s="57"/>
      <c r="O807" s="57"/>
    </row>
    <row r="808" customFormat="false" ht="15" hidden="false" customHeight="true" outlineLevel="0" collapsed="false">
      <c r="L808" s="57"/>
      <c r="M808" s="57"/>
      <c r="O808" s="57"/>
    </row>
    <row r="809" customFormat="false" ht="15" hidden="false" customHeight="true" outlineLevel="0" collapsed="false">
      <c r="L809" s="57"/>
      <c r="M809" s="57"/>
      <c r="O809" s="57"/>
    </row>
    <row r="810" customFormat="false" ht="15" hidden="false" customHeight="true" outlineLevel="0" collapsed="false">
      <c r="L810" s="57"/>
      <c r="M810" s="57"/>
      <c r="O810" s="57"/>
    </row>
    <row r="811" customFormat="false" ht="15" hidden="false" customHeight="true" outlineLevel="0" collapsed="false">
      <c r="L811" s="57"/>
      <c r="M811" s="57"/>
      <c r="O811" s="57"/>
    </row>
    <row r="812" customFormat="false" ht="15" hidden="false" customHeight="true" outlineLevel="0" collapsed="false">
      <c r="L812" s="57"/>
      <c r="M812" s="57"/>
      <c r="O812" s="57"/>
    </row>
    <row r="813" customFormat="false" ht="15" hidden="false" customHeight="true" outlineLevel="0" collapsed="false">
      <c r="L813" s="57"/>
      <c r="M813" s="57"/>
      <c r="O813" s="57"/>
    </row>
    <row r="814" customFormat="false" ht="15" hidden="false" customHeight="true" outlineLevel="0" collapsed="false">
      <c r="L814" s="57"/>
      <c r="M814" s="57"/>
      <c r="O814" s="57"/>
    </row>
    <row r="815" customFormat="false" ht="15" hidden="false" customHeight="true" outlineLevel="0" collapsed="false">
      <c r="L815" s="57"/>
      <c r="M815" s="57"/>
      <c r="O815" s="57"/>
    </row>
    <row r="816" customFormat="false" ht="15" hidden="false" customHeight="true" outlineLevel="0" collapsed="false">
      <c r="L816" s="57"/>
      <c r="M816" s="57"/>
      <c r="O816" s="57"/>
    </row>
    <row r="817" customFormat="false" ht="15" hidden="false" customHeight="true" outlineLevel="0" collapsed="false">
      <c r="L817" s="57"/>
      <c r="M817" s="57"/>
      <c r="O817" s="57"/>
    </row>
    <row r="818" customFormat="false" ht="15" hidden="false" customHeight="true" outlineLevel="0" collapsed="false">
      <c r="L818" s="57"/>
      <c r="M818" s="57"/>
      <c r="O818" s="57"/>
    </row>
    <row r="819" customFormat="false" ht="15" hidden="false" customHeight="true" outlineLevel="0" collapsed="false">
      <c r="L819" s="57"/>
      <c r="M819" s="57"/>
      <c r="O819" s="57"/>
    </row>
    <row r="820" customFormat="false" ht="15" hidden="false" customHeight="true" outlineLevel="0" collapsed="false">
      <c r="L820" s="57"/>
      <c r="M820" s="57"/>
      <c r="O820" s="57"/>
    </row>
    <row r="821" customFormat="false" ht="15" hidden="false" customHeight="true" outlineLevel="0" collapsed="false">
      <c r="L821" s="57"/>
      <c r="M821" s="57"/>
      <c r="O821" s="57"/>
    </row>
    <row r="822" customFormat="false" ht="15" hidden="false" customHeight="true" outlineLevel="0" collapsed="false">
      <c r="L822" s="57"/>
      <c r="M822" s="57"/>
      <c r="O822" s="57"/>
    </row>
    <row r="823" customFormat="false" ht="15" hidden="false" customHeight="true" outlineLevel="0" collapsed="false">
      <c r="L823" s="57"/>
      <c r="M823" s="57"/>
      <c r="O823" s="57"/>
    </row>
    <row r="824" customFormat="false" ht="15" hidden="false" customHeight="true" outlineLevel="0" collapsed="false">
      <c r="L824" s="57"/>
      <c r="M824" s="57"/>
      <c r="O824" s="57"/>
    </row>
    <row r="825" customFormat="false" ht="15" hidden="false" customHeight="true" outlineLevel="0" collapsed="false">
      <c r="L825" s="57"/>
      <c r="M825" s="57"/>
      <c r="O825" s="57"/>
    </row>
    <row r="826" customFormat="false" ht="15" hidden="false" customHeight="true" outlineLevel="0" collapsed="false">
      <c r="L826" s="57"/>
      <c r="M826" s="57"/>
      <c r="O826" s="57"/>
    </row>
    <row r="827" customFormat="false" ht="15" hidden="false" customHeight="true" outlineLevel="0" collapsed="false">
      <c r="L827" s="57"/>
      <c r="M827" s="57"/>
      <c r="O827" s="57"/>
    </row>
    <row r="828" customFormat="false" ht="15" hidden="false" customHeight="true" outlineLevel="0" collapsed="false">
      <c r="L828" s="57"/>
      <c r="M828" s="57"/>
      <c r="O828" s="57"/>
    </row>
    <row r="829" customFormat="false" ht="15" hidden="false" customHeight="true" outlineLevel="0" collapsed="false">
      <c r="L829" s="57"/>
      <c r="M829" s="57"/>
      <c r="O829" s="57"/>
    </row>
    <row r="830" customFormat="false" ht="15" hidden="false" customHeight="true" outlineLevel="0" collapsed="false">
      <c r="L830" s="57"/>
      <c r="M830" s="57"/>
      <c r="O830" s="57"/>
    </row>
    <row r="831" customFormat="false" ht="15" hidden="false" customHeight="true" outlineLevel="0" collapsed="false">
      <c r="L831" s="57"/>
      <c r="M831" s="57"/>
      <c r="O831" s="57"/>
    </row>
    <row r="832" customFormat="false" ht="15" hidden="false" customHeight="true" outlineLevel="0" collapsed="false">
      <c r="L832" s="57"/>
      <c r="M832" s="57"/>
      <c r="O832" s="57"/>
    </row>
    <row r="833" customFormat="false" ht="15" hidden="false" customHeight="true" outlineLevel="0" collapsed="false">
      <c r="L833" s="57"/>
      <c r="M833" s="57"/>
      <c r="O833" s="57"/>
    </row>
    <row r="834" customFormat="false" ht="15" hidden="false" customHeight="true" outlineLevel="0" collapsed="false">
      <c r="L834" s="57"/>
      <c r="M834" s="57"/>
      <c r="O834" s="57"/>
    </row>
    <row r="835" customFormat="false" ht="15" hidden="false" customHeight="true" outlineLevel="0" collapsed="false">
      <c r="L835" s="57"/>
      <c r="M835" s="57"/>
      <c r="O835" s="57"/>
    </row>
    <row r="836" customFormat="false" ht="15" hidden="false" customHeight="true" outlineLevel="0" collapsed="false">
      <c r="L836" s="57"/>
      <c r="M836" s="57"/>
      <c r="O836" s="57"/>
    </row>
    <row r="837" customFormat="false" ht="15" hidden="false" customHeight="true" outlineLevel="0" collapsed="false">
      <c r="L837" s="57"/>
      <c r="M837" s="57"/>
      <c r="O837" s="57"/>
    </row>
    <row r="838" customFormat="false" ht="15" hidden="false" customHeight="true" outlineLevel="0" collapsed="false">
      <c r="L838" s="57"/>
      <c r="M838" s="57"/>
      <c r="O838" s="57"/>
    </row>
    <row r="839" customFormat="false" ht="15" hidden="false" customHeight="true" outlineLevel="0" collapsed="false">
      <c r="L839" s="57"/>
      <c r="M839" s="57"/>
      <c r="O839" s="57"/>
    </row>
    <row r="840" customFormat="false" ht="15" hidden="false" customHeight="true" outlineLevel="0" collapsed="false">
      <c r="L840" s="57"/>
      <c r="M840" s="57"/>
      <c r="O840" s="57"/>
    </row>
    <row r="841" customFormat="false" ht="15" hidden="false" customHeight="true" outlineLevel="0" collapsed="false">
      <c r="L841" s="57"/>
      <c r="M841" s="57"/>
      <c r="O841" s="57"/>
    </row>
    <row r="842" customFormat="false" ht="15" hidden="false" customHeight="true" outlineLevel="0" collapsed="false">
      <c r="L842" s="57"/>
      <c r="M842" s="57"/>
      <c r="O842" s="57"/>
    </row>
    <row r="843" customFormat="false" ht="15" hidden="false" customHeight="true" outlineLevel="0" collapsed="false">
      <c r="L843" s="57"/>
      <c r="M843" s="57"/>
      <c r="O843" s="57"/>
    </row>
    <row r="844" customFormat="false" ht="15" hidden="false" customHeight="true" outlineLevel="0" collapsed="false">
      <c r="L844" s="57"/>
      <c r="M844" s="57"/>
      <c r="O844" s="57"/>
    </row>
    <row r="845" customFormat="false" ht="15" hidden="false" customHeight="true" outlineLevel="0" collapsed="false">
      <c r="L845" s="57"/>
      <c r="M845" s="57"/>
      <c r="O845" s="57"/>
    </row>
    <row r="846" customFormat="false" ht="15" hidden="false" customHeight="true" outlineLevel="0" collapsed="false">
      <c r="L846" s="57"/>
      <c r="M846" s="57"/>
      <c r="O846" s="57"/>
    </row>
    <row r="847" customFormat="false" ht="15" hidden="false" customHeight="true" outlineLevel="0" collapsed="false">
      <c r="L847" s="57"/>
      <c r="M847" s="57"/>
      <c r="O847" s="57"/>
    </row>
    <row r="848" customFormat="false" ht="15" hidden="false" customHeight="true" outlineLevel="0" collapsed="false">
      <c r="L848" s="57"/>
      <c r="M848" s="57"/>
      <c r="O848" s="57"/>
    </row>
    <row r="849" customFormat="false" ht="15" hidden="false" customHeight="true" outlineLevel="0" collapsed="false">
      <c r="L849" s="57"/>
      <c r="M849" s="57"/>
      <c r="O849" s="57"/>
    </row>
    <row r="850" customFormat="false" ht="15" hidden="false" customHeight="true" outlineLevel="0" collapsed="false">
      <c r="L850" s="57"/>
      <c r="M850" s="57"/>
      <c r="O850" s="57"/>
    </row>
    <row r="851" customFormat="false" ht="15" hidden="false" customHeight="true" outlineLevel="0" collapsed="false">
      <c r="L851" s="57"/>
      <c r="M851" s="57"/>
      <c r="O851" s="57"/>
    </row>
    <row r="852" customFormat="false" ht="15" hidden="false" customHeight="true" outlineLevel="0" collapsed="false">
      <c r="L852" s="57"/>
      <c r="M852" s="57"/>
      <c r="O852" s="57"/>
    </row>
    <row r="853" customFormat="false" ht="15" hidden="false" customHeight="true" outlineLevel="0" collapsed="false">
      <c r="L853" s="57"/>
      <c r="M853" s="57"/>
      <c r="O853" s="57"/>
    </row>
    <row r="854" customFormat="false" ht="15" hidden="false" customHeight="true" outlineLevel="0" collapsed="false">
      <c r="L854" s="57"/>
      <c r="M854" s="57"/>
      <c r="O854" s="57"/>
    </row>
    <row r="855" customFormat="false" ht="15" hidden="false" customHeight="true" outlineLevel="0" collapsed="false">
      <c r="L855" s="57"/>
      <c r="M855" s="57"/>
      <c r="O855" s="57"/>
    </row>
    <row r="856" customFormat="false" ht="15" hidden="false" customHeight="true" outlineLevel="0" collapsed="false">
      <c r="L856" s="57"/>
      <c r="M856" s="57"/>
      <c r="O856" s="57"/>
    </row>
    <row r="857" customFormat="false" ht="15" hidden="false" customHeight="true" outlineLevel="0" collapsed="false">
      <c r="L857" s="57"/>
      <c r="M857" s="57"/>
      <c r="O857" s="57"/>
    </row>
    <row r="858" customFormat="false" ht="15" hidden="false" customHeight="true" outlineLevel="0" collapsed="false">
      <c r="L858" s="57"/>
      <c r="M858" s="57"/>
      <c r="O858" s="57"/>
    </row>
    <row r="859" customFormat="false" ht="15" hidden="false" customHeight="true" outlineLevel="0" collapsed="false">
      <c r="L859" s="57"/>
      <c r="M859" s="57"/>
      <c r="O859" s="57"/>
    </row>
    <row r="860" customFormat="false" ht="15" hidden="false" customHeight="true" outlineLevel="0" collapsed="false">
      <c r="L860" s="57"/>
      <c r="M860" s="57"/>
      <c r="O860" s="57"/>
    </row>
    <row r="861" customFormat="false" ht="15" hidden="false" customHeight="true" outlineLevel="0" collapsed="false">
      <c r="L861" s="57"/>
      <c r="M861" s="57"/>
      <c r="O861" s="57"/>
    </row>
    <row r="862" customFormat="false" ht="15" hidden="false" customHeight="true" outlineLevel="0" collapsed="false">
      <c r="L862" s="57"/>
      <c r="M862" s="57"/>
      <c r="O862" s="57"/>
    </row>
    <row r="863" customFormat="false" ht="15" hidden="false" customHeight="true" outlineLevel="0" collapsed="false">
      <c r="L863" s="57"/>
      <c r="M863" s="57"/>
      <c r="O863" s="57"/>
    </row>
    <row r="864" customFormat="false" ht="15" hidden="false" customHeight="true" outlineLevel="0" collapsed="false">
      <c r="L864" s="57"/>
      <c r="M864" s="57"/>
      <c r="O864" s="57"/>
    </row>
    <row r="865" customFormat="false" ht="15" hidden="false" customHeight="true" outlineLevel="0" collapsed="false">
      <c r="L865" s="57"/>
      <c r="M865" s="57"/>
      <c r="O865" s="57"/>
    </row>
    <row r="866" customFormat="false" ht="15" hidden="false" customHeight="true" outlineLevel="0" collapsed="false">
      <c r="L866" s="57"/>
      <c r="M866" s="57"/>
      <c r="O866" s="57"/>
    </row>
    <row r="867" customFormat="false" ht="15" hidden="false" customHeight="true" outlineLevel="0" collapsed="false">
      <c r="L867" s="57"/>
      <c r="M867" s="57"/>
      <c r="O867" s="57"/>
    </row>
    <row r="868" customFormat="false" ht="15" hidden="false" customHeight="true" outlineLevel="0" collapsed="false">
      <c r="L868" s="57"/>
      <c r="M868" s="57"/>
      <c r="O868" s="57"/>
    </row>
    <row r="869" customFormat="false" ht="15" hidden="false" customHeight="true" outlineLevel="0" collapsed="false">
      <c r="L869" s="57"/>
      <c r="M869" s="57"/>
      <c r="O869" s="57"/>
    </row>
    <row r="870" customFormat="false" ht="15" hidden="false" customHeight="true" outlineLevel="0" collapsed="false">
      <c r="L870" s="57"/>
      <c r="M870" s="57"/>
      <c r="O870" s="57"/>
    </row>
    <row r="871" customFormat="false" ht="15" hidden="false" customHeight="true" outlineLevel="0" collapsed="false">
      <c r="L871" s="57"/>
      <c r="M871" s="57"/>
      <c r="O871" s="57"/>
    </row>
    <row r="872" customFormat="false" ht="15" hidden="false" customHeight="true" outlineLevel="0" collapsed="false">
      <c r="L872" s="57"/>
      <c r="M872" s="57"/>
      <c r="O872" s="57"/>
    </row>
    <row r="873" customFormat="false" ht="15" hidden="false" customHeight="true" outlineLevel="0" collapsed="false">
      <c r="L873" s="57"/>
      <c r="M873" s="57"/>
      <c r="O873" s="57"/>
    </row>
    <row r="874" customFormat="false" ht="15" hidden="false" customHeight="true" outlineLevel="0" collapsed="false">
      <c r="L874" s="57"/>
      <c r="M874" s="57"/>
      <c r="O874" s="57"/>
    </row>
    <row r="875" customFormat="false" ht="15" hidden="false" customHeight="true" outlineLevel="0" collapsed="false">
      <c r="L875" s="57"/>
      <c r="M875" s="57"/>
      <c r="O875" s="57"/>
    </row>
    <row r="876" customFormat="false" ht="15" hidden="false" customHeight="true" outlineLevel="0" collapsed="false">
      <c r="L876" s="57"/>
      <c r="M876" s="57"/>
      <c r="O876" s="57"/>
    </row>
    <row r="877" customFormat="false" ht="15" hidden="false" customHeight="true" outlineLevel="0" collapsed="false">
      <c r="L877" s="57"/>
      <c r="M877" s="57"/>
      <c r="O877" s="57"/>
    </row>
    <row r="878" customFormat="false" ht="15" hidden="false" customHeight="true" outlineLevel="0" collapsed="false">
      <c r="L878" s="57"/>
      <c r="M878" s="57"/>
      <c r="O878" s="57"/>
    </row>
    <row r="879" customFormat="false" ht="15" hidden="false" customHeight="true" outlineLevel="0" collapsed="false">
      <c r="L879" s="57"/>
      <c r="M879" s="57"/>
      <c r="O879" s="57"/>
    </row>
    <row r="880" customFormat="false" ht="15" hidden="false" customHeight="true" outlineLevel="0" collapsed="false">
      <c r="L880" s="57"/>
      <c r="M880" s="57"/>
      <c r="O880" s="57"/>
    </row>
    <row r="881" customFormat="false" ht="15" hidden="false" customHeight="true" outlineLevel="0" collapsed="false">
      <c r="L881" s="57"/>
      <c r="M881" s="57"/>
      <c r="O881" s="57"/>
    </row>
    <row r="882" customFormat="false" ht="15" hidden="false" customHeight="true" outlineLevel="0" collapsed="false">
      <c r="L882" s="57"/>
      <c r="M882" s="57"/>
      <c r="O882" s="57"/>
    </row>
    <row r="883" customFormat="false" ht="15" hidden="false" customHeight="true" outlineLevel="0" collapsed="false">
      <c r="L883" s="57"/>
      <c r="M883" s="57"/>
      <c r="O883" s="57"/>
    </row>
    <row r="884" customFormat="false" ht="15" hidden="false" customHeight="true" outlineLevel="0" collapsed="false">
      <c r="L884" s="57"/>
      <c r="M884" s="57"/>
      <c r="O884" s="57"/>
    </row>
    <row r="885" customFormat="false" ht="15" hidden="false" customHeight="true" outlineLevel="0" collapsed="false">
      <c r="L885" s="57"/>
      <c r="M885" s="57"/>
      <c r="O885" s="57"/>
    </row>
    <row r="886" customFormat="false" ht="15" hidden="false" customHeight="true" outlineLevel="0" collapsed="false">
      <c r="L886" s="57"/>
      <c r="M886" s="57"/>
      <c r="O886" s="57"/>
    </row>
    <row r="887" customFormat="false" ht="15" hidden="false" customHeight="true" outlineLevel="0" collapsed="false">
      <c r="L887" s="57"/>
      <c r="M887" s="57"/>
      <c r="O887" s="57"/>
    </row>
    <row r="888" customFormat="false" ht="15" hidden="false" customHeight="true" outlineLevel="0" collapsed="false">
      <c r="L888" s="57"/>
      <c r="M888" s="57"/>
      <c r="O888" s="57"/>
    </row>
    <row r="889" customFormat="false" ht="15" hidden="false" customHeight="true" outlineLevel="0" collapsed="false">
      <c r="L889" s="57"/>
      <c r="M889" s="57"/>
      <c r="O889" s="57"/>
    </row>
    <row r="890" customFormat="false" ht="15" hidden="false" customHeight="true" outlineLevel="0" collapsed="false">
      <c r="L890" s="57"/>
      <c r="M890" s="57"/>
      <c r="O890" s="57"/>
    </row>
    <row r="891" customFormat="false" ht="15" hidden="false" customHeight="true" outlineLevel="0" collapsed="false">
      <c r="L891" s="57"/>
      <c r="M891" s="57"/>
      <c r="O891" s="57"/>
    </row>
    <row r="892" customFormat="false" ht="15" hidden="false" customHeight="true" outlineLevel="0" collapsed="false">
      <c r="L892" s="57"/>
      <c r="M892" s="57"/>
      <c r="O892" s="57"/>
    </row>
    <row r="893" customFormat="false" ht="15" hidden="false" customHeight="true" outlineLevel="0" collapsed="false">
      <c r="L893" s="57"/>
      <c r="M893" s="57"/>
      <c r="O893" s="57"/>
    </row>
    <row r="894" customFormat="false" ht="15" hidden="false" customHeight="true" outlineLevel="0" collapsed="false">
      <c r="L894" s="57"/>
      <c r="M894" s="57"/>
      <c r="O894" s="57"/>
    </row>
    <row r="895" customFormat="false" ht="15" hidden="false" customHeight="true" outlineLevel="0" collapsed="false">
      <c r="L895" s="57"/>
      <c r="M895" s="57"/>
      <c r="O895" s="57"/>
    </row>
    <row r="896" customFormat="false" ht="15" hidden="false" customHeight="true" outlineLevel="0" collapsed="false">
      <c r="L896" s="57"/>
      <c r="M896" s="57"/>
      <c r="O896" s="57"/>
    </row>
    <row r="897" customFormat="false" ht="15" hidden="false" customHeight="true" outlineLevel="0" collapsed="false">
      <c r="L897" s="57"/>
      <c r="M897" s="57"/>
      <c r="O897" s="57"/>
    </row>
    <row r="898" customFormat="false" ht="15" hidden="false" customHeight="true" outlineLevel="0" collapsed="false">
      <c r="L898" s="57"/>
      <c r="M898" s="57"/>
      <c r="O898" s="57"/>
    </row>
    <row r="899" customFormat="false" ht="15" hidden="false" customHeight="true" outlineLevel="0" collapsed="false">
      <c r="L899" s="57"/>
      <c r="M899" s="57"/>
      <c r="O899" s="57"/>
    </row>
    <row r="900" customFormat="false" ht="15" hidden="false" customHeight="true" outlineLevel="0" collapsed="false">
      <c r="L900" s="57"/>
      <c r="M900" s="57"/>
      <c r="O900" s="57"/>
    </row>
    <row r="901" customFormat="false" ht="15" hidden="false" customHeight="true" outlineLevel="0" collapsed="false">
      <c r="L901" s="57"/>
      <c r="M901" s="57"/>
      <c r="O901" s="57"/>
    </row>
    <row r="902" customFormat="false" ht="15" hidden="false" customHeight="true" outlineLevel="0" collapsed="false">
      <c r="L902" s="57"/>
      <c r="M902" s="57"/>
      <c r="O902" s="57"/>
    </row>
    <row r="903" customFormat="false" ht="15" hidden="false" customHeight="true" outlineLevel="0" collapsed="false">
      <c r="L903" s="57"/>
      <c r="M903" s="57"/>
      <c r="O903" s="57"/>
    </row>
    <row r="904" customFormat="false" ht="15" hidden="false" customHeight="true" outlineLevel="0" collapsed="false">
      <c r="L904" s="57"/>
      <c r="M904" s="57"/>
      <c r="O904" s="57"/>
    </row>
    <row r="905" customFormat="false" ht="15" hidden="false" customHeight="true" outlineLevel="0" collapsed="false">
      <c r="L905" s="57"/>
      <c r="M905" s="57"/>
      <c r="O905" s="57"/>
    </row>
    <row r="906" customFormat="false" ht="15" hidden="false" customHeight="true" outlineLevel="0" collapsed="false">
      <c r="L906" s="57"/>
      <c r="M906" s="57"/>
      <c r="O906" s="57"/>
    </row>
    <row r="907" customFormat="false" ht="15" hidden="false" customHeight="true" outlineLevel="0" collapsed="false">
      <c r="L907" s="57"/>
      <c r="M907" s="57"/>
      <c r="O907" s="57"/>
    </row>
    <row r="908" customFormat="false" ht="15" hidden="false" customHeight="true" outlineLevel="0" collapsed="false">
      <c r="L908" s="57"/>
      <c r="M908" s="57"/>
      <c r="O908" s="57"/>
    </row>
    <row r="909" customFormat="false" ht="15" hidden="false" customHeight="true" outlineLevel="0" collapsed="false">
      <c r="L909" s="57"/>
      <c r="M909" s="57"/>
      <c r="O909" s="57"/>
    </row>
    <row r="910" customFormat="false" ht="15" hidden="false" customHeight="true" outlineLevel="0" collapsed="false">
      <c r="L910" s="57"/>
      <c r="M910" s="57"/>
      <c r="O910" s="57"/>
    </row>
    <row r="911" customFormat="false" ht="15" hidden="false" customHeight="true" outlineLevel="0" collapsed="false">
      <c r="L911" s="57"/>
      <c r="M911" s="57"/>
      <c r="O911" s="57"/>
    </row>
    <row r="912" customFormat="false" ht="15" hidden="false" customHeight="true" outlineLevel="0" collapsed="false">
      <c r="L912" s="57"/>
      <c r="M912" s="57"/>
      <c r="O912" s="57"/>
    </row>
    <row r="913" customFormat="false" ht="15" hidden="false" customHeight="true" outlineLevel="0" collapsed="false">
      <c r="L913" s="57"/>
      <c r="M913" s="57"/>
      <c r="O913" s="57"/>
    </row>
    <row r="914" customFormat="false" ht="15" hidden="false" customHeight="true" outlineLevel="0" collapsed="false">
      <c r="L914" s="57"/>
      <c r="M914" s="57"/>
      <c r="O914" s="57"/>
    </row>
    <row r="915" customFormat="false" ht="15" hidden="false" customHeight="true" outlineLevel="0" collapsed="false">
      <c r="L915" s="57"/>
      <c r="M915" s="57"/>
      <c r="O915" s="57"/>
    </row>
    <row r="916" customFormat="false" ht="15" hidden="false" customHeight="true" outlineLevel="0" collapsed="false">
      <c r="L916" s="57"/>
      <c r="M916" s="57"/>
      <c r="O916" s="57"/>
    </row>
    <row r="917" customFormat="false" ht="15" hidden="false" customHeight="true" outlineLevel="0" collapsed="false">
      <c r="L917" s="57"/>
      <c r="M917" s="57"/>
      <c r="O917" s="57"/>
    </row>
    <row r="918" customFormat="false" ht="15" hidden="false" customHeight="true" outlineLevel="0" collapsed="false">
      <c r="L918" s="57"/>
      <c r="M918" s="57"/>
      <c r="O918" s="57"/>
    </row>
    <row r="919" customFormat="false" ht="15" hidden="false" customHeight="true" outlineLevel="0" collapsed="false">
      <c r="L919" s="57"/>
      <c r="M919" s="57"/>
      <c r="O919" s="57"/>
    </row>
    <row r="920" customFormat="false" ht="15" hidden="false" customHeight="true" outlineLevel="0" collapsed="false">
      <c r="L920" s="57"/>
      <c r="M920" s="57"/>
      <c r="O920" s="57"/>
    </row>
    <row r="921" customFormat="false" ht="15" hidden="false" customHeight="true" outlineLevel="0" collapsed="false">
      <c r="L921" s="57"/>
      <c r="M921" s="57"/>
      <c r="O921" s="57"/>
    </row>
    <row r="922" customFormat="false" ht="15" hidden="false" customHeight="true" outlineLevel="0" collapsed="false">
      <c r="L922" s="57"/>
      <c r="M922" s="57"/>
      <c r="O922" s="57"/>
    </row>
    <row r="923" customFormat="false" ht="15" hidden="false" customHeight="true" outlineLevel="0" collapsed="false">
      <c r="L923" s="57"/>
      <c r="M923" s="57"/>
      <c r="O923" s="57"/>
    </row>
    <row r="924" customFormat="false" ht="15" hidden="false" customHeight="true" outlineLevel="0" collapsed="false">
      <c r="L924" s="57"/>
      <c r="M924" s="57"/>
      <c r="O924" s="57"/>
    </row>
    <row r="925" customFormat="false" ht="15" hidden="false" customHeight="true" outlineLevel="0" collapsed="false">
      <c r="L925" s="57"/>
      <c r="M925" s="57"/>
      <c r="O925" s="57"/>
    </row>
    <row r="926" customFormat="false" ht="15" hidden="false" customHeight="true" outlineLevel="0" collapsed="false">
      <c r="L926" s="57"/>
      <c r="M926" s="57"/>
      <c r="O926" s="57"/>
    </row>
    <row r="927" customFormat="false" ht="15" hidden="false" customHeight="true" outlineLevel="0" collapsed="false">
      <c r="L927" s="57"/>
      <c r="M927" s="57"/>
      <c r="O927" s="57"/>
    </row>
    <row r="928" customFormat="false" ht="15" hidden="false" customHeight="true" outlineLevel="0" collapsed="false">
      <c r="L928" s="57"/>
      <c r="M928" s="57"/>
      <c r="O928" s="57"/>
    </row>
    <row r="929" customFormat="false" ht="15" hidden="false" customHeight="true" outlineLevel="0" collapsed="false">
      <c r="L929" s="57"/>
      <c r="M929" s="57"/>
      <c r="O929" s="57"/>
    </row>
    <row r="930" customFormat="false" ht="15" hidden="false" customHeight="true" outlineLevel="0" collapsed="false">
      <c r="L930" s="57"/>
      <c r="M930" s="57"/>
      <c r="O930" s="57"/>
    </row>
    <row r="931" customFormat="false" ht="15" hidden="false" customHeight="true" outlineLevel="0" collapsed="false">
      <c r="L931" s="57"/>
      <c r="M931" s="57"/>
      <c r="O931" s="57"/>
    </row>
    <row r="932" customFormat="false" ht="15" hidden="false" customHeight="true" outlineLevel="0" collapsed="false">
      <c r="L932" s="57"/>
      <c r="M932" s="57"/>
      <c r="O932" s="57"/>
    </row>
    <row r="933" customFormat="false" ht="15" hidden="false" customHeight="true" outlineLevel="0" collapsed="false">
      <c r="L933" s="57"/>
      <c r="M933" s="57"/>
      <c r="O933" s="57"/>
    </row>
    <row r="934" customFormat="false" ht="15" hidden="false" customHeight="true" outlineLevel="0" collapsed="false">
      <c r="L934" s="57"/>
      <c r="M934" s="57"/>
      <c r="O934" s="57"/>
    </row>
    <row r="935" customFormat="false" ht="15" hidden="false" customHeight="true" outlineLevel="0" collapsed="false">
      <c r="L935" s="57"/>
      <c r="M935" s="57"/>
      <c r="O935" s="57"/>
    </row>
    <row r="936" customFormat="false" ht="15" hidden="false" customHeight="true" outlineLevel="0" collapsed="false">
      <c r="L936" s="57"/>
      <c r="M936" s="57"/>
      <c r="O936" s="57"/>
    </row>
    <row r="937" customFormat="false" ht="15" hidden="false" customHeight="true" outlineLevel="0" collapsed="false">
      <c r="L937" s="57"/>
      <c r="M937" s="57"/>
      <c r="O937" s="57"/>
    </row>
    <row r="938" customFormat="false" ht="15" hidden="false" customHeight="true" outlineLevel="0" collapsed="false">
      <c r="L938" s="57"/>
      <c r="M938" s="57"/>
      <c r="O938" s="57"/>
    </row>
    <row r="939" customFormat="false" ht="15" hidden="false" customHeight="true" outlineLevel="0" collapsed="false">
      <c r="L939" s="57"/>
      <c r="M939" s="57"/>
      <c r="O939" s="57"/>
    </row>
    <row r="940" customFormat="false" ht="15" hidden="false" customHeight="true" outlineLevel="0" collapsed="false">
      <c r="L940" s="57"/>
      <c r="M940" s="57"/>
      <c r="O940" s="57"/>
    </row>
    <row r="941" customFormat="false" ht="15" hidden="false" customHeight="true" outlineLevel="0" collapsed="false">
      <c r="L941" s="57"/>
      <c r="M941" s="57"/>
      <c r="O941" s="57"/>
    </row>
    <row r="942" customFormat="false" ht="15" hidden="false" customHeight="true" outlineLevel="0" collapsed="false">
      <c r="L942" s="57"/>
      <c r="M942" s="57"/>
      <c r="O942" s="57"/>
    </row>
    <row r="943" customFormat="false" ht="15" hidden="false" customHeight="true" outlineLevel="0" collapsed="false">
      <c r="L943" s="57"/>
      <c r="M943" s="57"/>
      <c r="O943" s="57"/>
    </row>
    <row r="944" customFormat="false" ht="15" hidden="false" customHeight="true" outlineLevel="0" collapsed="false">
      <c r="L944" s="57"/>
      <c r="M944" s="57"/>
      <c r="O944" s="57"/>
    </row>
    <row r="945" customFormat="false" ht="15" hidden="false" customHeight="true" outlineLevel="0" collapsed="false">
      <c r="L945" s="57"/>
      <c r="M945" s="57"/>
      <c r="O945" s="57"/>
    </row>
    <row r="946" customFormat="false" ht="15" hidden="false" customHeight="true" outlineLevel="0" collapsed="false">
      <c r="L946" s="57"/>
      <c r="M946" s="57"/>
      <c r="O946" s="57"/>
    </row>
    <row r="947" customFormat="false" ht="15" hidden="false" customHeight="true" outlineLevel="0" collapsed="false">
      <c r="L947" s="57"/>
      <c r="M947" s="57"/>
      <c r="O947" s="57"/>
    </row>
    <row r="948" customFormat="false" ht="15" hidden="false" customHeight="true" outlineLevel="0" collapsed="false">
      <c r="L948" s="57"/>
      <c r="M948" s="57"/>
      <c r="O948" s="57"/>
    </row>
    <row r="949" customFormat="false" ht="15" hidden="false" customHeight="true" outlineLevel="0" collapsed="false">
      <c r="L949" s="57"/>
      <c r="M949" s="57"/>
      <c r="O949" s="57"/>
    </row>
    <row r="950" customFormat="false" ht="15" hidden="false" customHeight="true" outlineLevel="0" collapsed="false">
      <c r="L950" s="57"/>
      <c r="M950" s="57"/>
      <c r="O950" s="57"/>
    </row>
    <row r="951" customFormat="false" ht="15" hidden="false" customHeight="true" outlineLevel="0" collapsed="false">
      <c r="L951" s="57"/>
      <c r="M951" s="57"/>
      <c r="O951" s="57"/>
    </row>
    <row r="952" customFormat="false" ht="15" hidden="false" customHeight="true" outlineLevel="0" collapsed="false">
      <c r="L952" s="57"/>
      <c r="M952" s="57"/>
      <c r="O952" s="57"/>
    </row>
    <row r="953" customFormat="false" ht="15" hidden="false" customHeight="true" outlineLevel="0" collapsed="false">
      <c r="L953" s="57"/>
      <c r="M953" s="57"/>
      <c r="O953" s="57"/>
    </row>
    <row r="954" customFormat="false" ht="15" hidden="false" customHeight="true" outlineLevel="0" collapsed="false">
      <c r="L954" s="57"/>
      <c r="M954" s="57"/>
      <c r="O954" s="57"/>
    </row>
    <row r="955" customFormat="false" ht="15" hidden="false" customHeight="true" outlineLevel="0" collapsed="false">
      <c r="L955" s="57"/>
      <c r="M955" s="57"/>
      <c r="O955" s="57"/>
    </row>
    <row r="956" customFormat="false" ht="15" hidden="false" customHeight="true" outlineLevel="0" collapsed="false">
      <c r="L956" s="57"/>
      <c r="M956" s="57"/>
      <c r="O956" s="57"/>
    </row>
    <row r="957" customFormat="false" ht="15" hidden="false" customHeight="true" outlineLevel="0" collapsed="false">
      <c r="L957" s="57"/>
      <c r="M957" s="57"/>
      <c r="O957" s="57"/>
    </row>
    <row r="958" customFormat="false" ht="15" hidden="false" customHeight="true" outlineLevel="0" collapsed="false">
      <c r="L958" s="57"/>
      <c r="M958" s="57"/>
      <c r="O958" s="57"/>
    </row>
    <row r="959" customFormat="false" ht="15" hidden="false" customHeight="true" outlineLevel="0" collapsed="false">
      <c r="L959" s="57"/>
      <c r="M959" s="57"/>
      <c r="O959" s="57"/>
    </row>
    <row r="960" customFormat="false" ht="15" hidden="false" customHeight="true" outlineLevel="0" collapsed="false">
      <c r="L960" s="57"/>
      <c r="M960" s="57"/>
      <c r="O960" s="57"/>
    </row>
    <row r="961" customFormat="false" ht="15" hidden="false" customHeight="true" outlineLevel="0" collapsed="false">
      <c r="L961" s="57"/>
      <c r="M961" s="57"/>
      <c r="O961" s="57"/>
    </row>
    <row r="962" customFormat="false" ht="15" hidden="false" customHeight="true" outlineLevel="0" collapsed="false">
      <c r="L962" s="57"/>
      <c r="M962" s="57"/>
      <c r="O962" s="57"/>
    </row>
    <row r="963" customFormat="false" ht="15" hidden="false" customHeight="true" outlineLevel="0" collapsed="false">
      <c r="L963" s="57"/>
      <c r="M963" s="57"/>
      <c r="O963" s="57"/>
    </row>
    <row r="964" customFormat="false" ht="15" hidden="false" customHeight="true" outlineLevel="0" collapsed="false">
      <c r="L964" s="57"/>
      <c r="M964" s="57"/>
      <c r="O964" s="57"/>
    </row>
    <row r="965" customFormat="false" ht="15" hidden="false" customHeight="true" outlineLevel="0" collapsed="false">
      <c r="L965" s="57"/>
      <c r="M965" s="57"/>
      <c r="O965" s="57"/>
    </row>
    <row r="966" customFormat="false" ht="15" hidden="false" customHeight="true" outlineLevel="0" collapsed="false">
      <c r="L966" s="57"/>
      <c r="M966" s="57"/>
      <c r="O966" s="57"/>
    </row>
    <row r="967" customFormat="false" ht="15" hidden="false" customHeight="true" outlineLevel="0" collapsed="false">
      <c r="L967" s="57"/>
      <c r="M967" s="57"/>
      <c r="O967" s="57"/>
    </row>
    <row r="968" customFormat="false" ht="15" hidden="false" customHeight="true" outlineLevel="0" collapsed="false">
      <c r="L968" s="57"/>
      <c r="M968" s="57"/>
      <c r="O968" s="57"/>
    </row>
    <row r="969" customFormat="false" ht="15" hidden="false" customHeight="true" outlineLevel="0" collapsed="false">
      <c r="L969" s="57"/>
      <c r="M969" s="57"/>
      <c r="O969" s="57"/>
    </row>
    <row r="970" customFormat="false" ht="15" hidden="false" customHeight="true" outlineLevel="0" collapsed="false">
      <c r="L970" s="57"/>
      <c r="M970" s="57"/>
      <c r="O970" s="57"/>
    </row>
    <row r="971" customFormat="false" ht="15" hidden="false" customHeight="true" outlineLevel="0" collapsed="false">
      <c r="L971" s="57"/>
      <c r="M971" s="57"/>
      <c r="O971" s="57"/>
    </row>
    <row r="972" customFormat="false" ht="15" hidden="false" customHeight="true" outlineLevel="0" collapsed="false">
      <c r="L972" s="57"/>
      <c r="M972" s="57"/>
      <c r="O972" s="57"/>
    </row>
    <row r="973" customFormat="false" ht="15" hidden="false" customHeight="true" outlineLevel="0" collapsed="false">
      <c r="L973" s="57"/>
      <c r="M973" s="57"/>
      <c r="O973" s="57"/>
    </row>
    <row r="974" customFormat="false" ht="15" hidden="false" customHeight="true" outlineLevel="0" collapsed="false">
      <c r="L974" s="57"/>
      <c r="M974" s="57"/>
      <c r="O974" s="57"/>
    </row>
    <row r="975" customFormat="false" ht="15" hidden="false" customHeight="true" outlineLevel="0" collapsed="false">
      <c r="L975" s="57"/>
      <c r="M975" s="57"/>
      <c r="O975" s="57"/>
    </row>
    <row r="976" customFormat="false" ht="15" hidden="false" customHeight="true" outlineLevel="0" collapsed="false">
      <c r="L976" s="57"/>
      <c r="M976" s="57"/>
      <c r="O976" s="57"/>
    </row>
    <row r="977" customFormat="false" ht="15" hidden="false" customHeight="true" outlineLevel="0" collapsed="false">
      <c r="L977" s="57"/>
      <c r="M977" s="57"/>
      <c r="O977" s="57"/>
    </row>
    <row r="978" customFormat="false" ht="15" hidden="false" customHeight="true" outlineLevel="0" collapsed="false">
      <c r="L978" s="57"/>
      <c r="M978" s="57"/>
      <c r="O978" s="57"/>
    </row>
    <row r="979" customFormat="false" ht="15" hidden="false" customHeight="true" outlineLevel="0" collapsed="false">
      <c r="L979" s="57"/>
      <c r="M979" s="57"/>
      <c r="O979" s="57"/>
    </row>
    <row r="980" customFormat="false" ht="15" hidden="false" customHeight="true" outlineLevel="0" collapsed="false">
      <c r="L980" s="57"/>
      <c r="M980" s="57"/>
      <c r="O980" s="57"/>
    </row>
    <row r="981" customFormat="false" ht="15" hidden="false" customHeight="true" outlineLevel="0" collapsed="false">
      <c r="L981" s="57"/>
      <c r="M981" s="57"/>
      <c r="O981" s="57"/>
    </row>
    <row r="982" customFormat="false" ht="15" hidden="false" customHeight="true" outlineLevel="0" collapsed="false">
      <c r="L982" s="57"/>
      <c r="M982" s="57"/>
      <c r="O982" s="57"/>
    </row>
    <row r="983" customFormat="false" ht="15" hidden="false" customHeight="true" outlineLevel="0" collapsed="false">
      <c r="L983" s="57"/>
      <c r="M983" s="57"/>
      <c r="O983" s="57"/>
    </row>
    <row r="984" customFormat="false" ht="15" hidden="false" customHeight="true" outlineLevel="0" collapsed="false">
      <c r="L984" s="57"/>
      <c r="M984" s="57"/>
      <c r="O984" s="57"/>
    </row>
    <row r="985" customFormat="false" ht="15" hidden="false" customHeight="true" outlineLevel="0" collapsed="false">
      <c r="L985" s="57"/>
      <c r="M985" s="57"/>
      <c r="O985" s="57"/>
    </row>
    <row r="986" customFormat="false" ht="15" hidden="false" customHeight="true" outlineLevel="0" collapsed="false">
      <c r="L986" s="57"/>
      <c r="M986" s="57"/>
      <c r="O986" s="57"/>
    </row>
    <row r="987" customFormat="false" ht="15" hidden="false" customHeight="true" outlineLevel="0" collapsed="false">
      <c r="L987" s="57"/>
      <c r="M987" s="57"/>
      <c r="O987" s="57"/>
    </row>
    <row r="988" customFormat="false" ht="15" hidden="false" customHeight="true" outlineLevel="0" collapsed="false">
      <c r="L988" s="57"/>
      <c r="M988" s="57"/>
      <c r="O988" s="57"/>
    </row>
    <row r="989" customFormat="false" ht="15" hidden="false" customHeight="true" outlineLevel="0" collapsed="false">
      <c r="L989" s="57"/>
      <c r="M989" s="57"/>
      <c r="O989" s="57"/>
    </row>
    <row r="990" customFormat="false" ht="15" hidden="false" customHeight="true" outlineLevel="0" collapsed="false">
      <c r="L990" s="57"/>
      <c r="M990" s="57"/>
      <c r="O990" s="57"/>
    </row>
    <row r="991" customFormat="false" ht="15" hidden="false" customHeight="true" outlineLevel="0" collapsed="false">
      <c r="L991" s="57"/>
      <c r="M991" s="57"/>
      <c r="O991" s="57"/>
    </row>
    <row r="992" customFormat="false" ht="15" hidden="false" customHeight="true" outlineLevel="0" collapsed="false">
      <c r="L992" s="57"/>
      <c r="M992" s="57"/>
      <c r="O992" s="57"/>
    </row>
    <row r="993" customFormat="false" ht="15" hidden="false" customHeight="true" outlineLevel="0" collapsed="false">
      <c r="L993" s="57"/>
      <c r="M993" s="57"/>
      <c r="O993" s="57"/>
    </row>
    <row r="994" customFormat="false" ht="15" hidden="false" customHeight="true" outlineLevel="0" collapsed="false">
      <c r="L994" s="57"/>
      <c r="M994" s="57"/>
      <c r="O994" s="57"/>
    </row>
    <row r="995" customFormat="false" ht="15" hidden="false" customHeight="true" outlineLevel="0" collapsed="false">
      <c r="L995" s="57"/>
      <c r="M995" s="57"/>
      <c r="O995" s="57"/>
    </row>
    <row r="996" customFormat="false" ht="15" hidden="false" customHeight="true" outlineLevel="0" collapsed="false">
      <c r="L996" s="57"/>
      <c r="M996" s="57"/>
      <c r="O996" s="57"/>
    </row>
    <row r="997" customFormat="false" ht="15" hidden="false" customHeight="true" outlineLevel="0" collapsed="false">
      <c r="L997" s="57"/>
      <c r="M997" s="57"/>
      <c r="O997" s="57"/>
    </row>
    <row r="998" customFormat="false" ht="15" hidden="false" customHeight="true" outlineLevel="0" collapsed="false">
      <c r="L998" s="57"/>
      <c r="M998" s="57"/>
      <c r="O998" s="57"/>
    </row>
    <row r="999" customFormat="false" ht="15" hidden="false" customHeight="true" outlineLevel="0" collapsed="false"/>
    <row r="1000" customFormat="false" ht="15" hidden="false" customHeight="true" outlineLevel="0" collapsed="false"/>
  </sheetData>
  <conditionalFormatting sqref="A2:Q998">
    <cfRule type="expression" priority="2" aboveAverage="0" equalAverage="0" bottom="0" percent="0" rank="0" text="" dxfId="10">
      <formula>$C2="US"</formula>
    </cfRule>
    <cfRule type="expression" priority="3" aboveAverage="0" equalAverage="0" bottom="0" percent="0" rank="0" text="" dxfId="11">
      <formula>$C2="MyMSC"</formula>
    </cfRule>
    <cfRule type="expression" priority="4" aboveAverage="0" equalAverage="0" bottom="0" percent="0" rank="0" text="" dxfId="12">
      <formula>$C2="Rollout"</formula>
    </cfRule>
    <cfRule type="expression" priority="5" aboveAverage="0" equalAverage="0" bottom="0" percent="0" rank="0" text="" dxfId="12">
      <formula>$C2="MVP Rollout"</formula>
    </cfRule>
    <cfRule type="expression" priority="6" aboveAverage="0" equalAverage="0" bottom="0" percent="0" rank="0" text="" dxfId="13">
      <formula>$C2="Backlog"</formula>
    </cfRule>
    <cfRule type="expression" priority="7" aboveAverage="0" equalAverage="0" bottom="0" percent="0" rank="0" text="" dxfId="13">
      <formula>$C2="Growth"</formula>
    </cfRule>
    <cfRule type="expression" priority="8" aboveAverage="0" equalAverage="0" bottom="0" percent="0" rank="0" text="" dxfId="14">
      <formula>$C2="Tech Enhancements"</formula>
    </cfRule>
    <cfRule type="expression" priority="9" aboveAverage="0" equalAverage="0" bottom="0" percent="0" rank="0" text="" dxfId="15">
      <formula>LEFT($C2,2)="PI"</formula>
    </cfRule>
  </conditionalFormatting>
  <dataValidations count="1">
    <dataValidation allowBlank="true" errorStyle="stop" operator="between" showDropDown="false" showErrorMessage="false" showInputMessage="false" sqref="F2:G498" type="list">
      <formula1>"Yes,No,NA"</formula1>
      <formula2>0</formula2>
    </dataValidation>
  </dataValidations>
  <hyperlinks>
    <hyperlink ref="O4" r:id="rId1" display="https://smartship.atlassian.net/browse/DTTP25-35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0"/>
  <sheetViews>
    <sheetView showFormulas="false" showGridLines="true" showRowColHeaders="true" showZeros="true" rightToLeft="false" tabSelected="false" showOutlineSymbols="true" defaultGridColor="true" view="normal" topLeftCell="A1" colorId="64" zoomScale="174" zoomScaleNormal="174" zoomScalePageLayoutView="100" workbookViewId="0">
      <pane xSplit="0" ySplit="1" topLeftCell="A2" activePane="bottomLeft" state="frozen"/>
      <selection pane="topLeft" activeCell="A1" activeCellId="0" sqref="A1"/>
      <selection pane="bottomLeft" activeCell="I22" activeCellId="0" sqref="I22"/>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78"/>
    <col collapsed="false" customWidth="true" hidden="false" outlineLevel="0" max="4" min="3" style="1" width="12"/>
    <col collapsed="false" customWidth="true" hidden="false" outlineLevel="0" max="6" min="5" style="1" width="14"/>
    <col collapsed="false" customWidth="true" hidden="false" outlineLevel="0" max="7" min="7" style="1" width="8"/>
    <col collapsed="false" customWidth="true" hidden="true" outlineLevel="0" max="8" min="8" style="1" width="10.33"/>
    <col collapsed="false" customWidth="true" hidden="false" outlineLevel="0" max="9" min="9" style="1" width="14"/>
    <col collapsed="false" customWidth="true" hidden="false" outlineLevel="0" max="10" min="10" style="1" width="12"/>
  </cols>
  <sheetData>
    <row r="1" customFormat="false" ht="30" hidden="false" customHeight="true" outlineLevel="0" collapsed="false">
      <c r="A1" s="21" t="s">
        <v>66</v>
      </c>
      <c r="B1" s="22" t="s">
        <v>67</v>
      </c>
      <c r="C1" s="22" t="s">
        <v>69</v>
      </c>
      <c r="D1" s="22" t="s">
        <v>72</v>
      </c>
      <c r="E1" s="22" t="s">
        <v>71</v>
      </c>
      <c r="F1" s="21" t="s">
        <v>74</v>
      </c>
      <c r="G1" s="22" t="s">
        <v>75</v>
      </c>
      <c r="H1" s="22" t="s">
        <v>411</v>
      </c>
      <c r="I1" s="62" t="s">
        <v>412</v>
      </c>
      <c r="J1" s="62"/>
    </row>
    <row r="2" customFormat="false" ht="15" hidden="false" customHeight="true" outlineLevel="0" collapsed="false">
      <c r="A2" s="24" t="str">
        <f aca="false">Backlog!A2</f>
        <v>NEW-0267</v>
      </c>
      <c r="B2" s="26" t="str">
        <f aca="false">IFERROR(IF(ISBLANK(INDEX(Backlog[Requirement Name],MATCH($A2,Backlog[Requirement ID],0))),"",INDEX(Backlog[Requirement Name],MATCH($A2,Backlog[Requirement ID],0))),"")</f>
        <v>Outbound leads - Abandoned Cart - Replacement of Salescycle</v>
      </c>
      <c r="C2" s="26" t="str">
        <f aca="false">IFERROR(IF(ISBLANK(INDEX(Backlog[Stream],MATCH($A2,Backlog[Requirement ID],0))),"",INDEX(Backlog[Stream],MATCH($A2,Backlog[Requirement ID],0))),"")</f>
        <v>US</v>
      </c>
      <c r="D2" s="26" t="str">
        <f aca="false">IFERROR(IF(ISBLANK(INDEX(Backlog[Priority],MATCH($A2,Backlog[Requirement ID],0))),"",INDEX(Backlog[Priority],MATCH($A2,Backlog[Requirement ID],0))),"")</f>
        <v>Medium</v>
      </c>
      <c r="E2" s="26" t="str">
        <f aca="false">IFERROR(IF(ISBLANK(INDEX(Backlog[Status],MATCH($A2,Backlog[Requirement ID],0))),"",INDEX(Backlog[Status],MATCH($A2,Backlog[Requirement ID],0))),"")</f>
        <v>ON HOLD</v>
      </c>
      <c r="F2" s="24" t="s">
        <v>413</v>
      </c>
      <c r="G2" s="26" t="str">
        <f aca="false">IFERROR(IF(ISBLANK(INDEX(Backlog[HLE],MATCH($A2,Backlog[Requirement ID],0))),"",INDEX(Backlog[HLE],MATCH($A2,Backlog[Requirement ID],0))),"")</f>
        <v/>
      </c>
      <c r="H2" s="63" t="n">
        <f aca="false">IFERROR(VALUE(SUBSTITUTE($F2,"Sprint ","")),9999)</f>
        <v>9999</v>
      </c>
      <c r="I2" s="64" t="s">
        <v>74</v>
      </c>
      <c r="J2" s="64" t="s">
        <v>414</v>
      </c>
    </row>
    <row r="3" customFormat="false" ht="15" hidden="false" customHeight="true" outlineLevel="0" collapsed="false">
      <c r="A3" s="24" t="str">
        <f aca="false">Backlog!A3</f>
        <v>NEW-0057</v>
      </c>
      <c r="B3" s="26" t="str">
        <f aca="false">IFERROR(IF(ISBLANK(INDEX(Backlog[Requirement Name],MATCH($A3,Backlog[Requirement ID],0))),"",INDEX(Backlog[Requirement Name],MATCH($A3,Backlog[Requirement ID],0))),"")</f>
        <v>API Prod Configurations - Attentive / Webforms</v>
      </c>
      <c r="C3" s="26" t="str">
        <f aca="false">IFERROR(IF(ISBLANK(INDEX(Backlog[Stream],MATCH($A3,Backlog[Requirement ID],0))),"",INDEX(Backlog[Stream],MATCH($A3,Backlog[Requirement ID],0))),"")</f>
        <v>US</v>
      </c>
      <c r="D3" s="26" t="str">
        <f aca="false">IFERROR(IF(ISBLANK(INDEX(Backlog[Priority],MATCH($A3,Backlog[Requirement ID],0))),"",INDEX(Backlog[Priority],MATCH($A3,Backlog[Requirement ID],0))),"")</f>
        <v>High</v>
      </c>
      <c r="E3" s="26" t="str">
        <f aca="false">IFERROR(IF(ISBLANK(INDEX(Backlog[Status],MATCH($A3,Backlog[Requirement ID],0))),"",INDEX(Backlog[Status],MATCH($A3,Backlog[Requirement ID],0))),"")</f>
        <v>IN PROGRESS</v>
      </c>
      <c r="F3" s="24" t="s">
        <v>415</v>
      </c>
      <c r="G3" s="26" t="n">
        <f aca="false">IFERROR(IF(ISBLANK(INDEX(Backlog[HLE],MATCH($A3,Backlog[Requirement ID],0))),"",INDEX(Backlog[HLE],MATCH($A3,Backlog[Requirement ID],0))),"")</f>
        <v>8</v>
      </c>
      <c r="H3" s="63" t="n">
        <f aca="false">IFERROR(VALUE(SUBSTITUTE($F3,"Sprint ","")),9999)</f>
        <v>10</v>
      </c>
      <c r="I3" s="65" t="s">
        <v>416</v>
      </c>
      <c r="J3" s="65" t="n">
        <f aca="false">SUMIFS(SprintPlanning[HLE],SprintPlanning[Sprint],I3)+SUMIFS('Q1 Backlog Report 2026'!$K:$K,'Q1 Backlog Report 2026'!$I:$I,I3)</f>
        <v>104</v>
      </c>
    </row>
    <row r="4" customFormat="false" ht="15" hidden="false" customHeight="true" outlineLevel="0" collapsed="false">
      <c r="A4" s="24" t="str">
        <f aca="false">Backlog!A4</f>
        <v>NEW-0058</v>
      </c>
      <c r="B4" s="26" t="str">
        <f aca="false">IFERROR(IF(ISBLANK(INDEX(Backlog[Requirement Name],MATCH($A4,Backlog[Requirement ID],0))),"",INDEX(Backlog[Requirement Name],MATCH($A4,Backlog[Requirement ID],0))),"")</f>
        <v>CR - Attentive Error Scenarios INT 175</v>
      </c>
      <c r="C4" s="26" t="str">
        <f aca="false">IFERROR(IF(ISBLANK(INDEX(Backlog[Stream],MATCH($A4,Backlog[Requirement ID],0))),"",INDEX(Backlog[Stream],MATCH($A4,Backlog[Requirement ID],0))),"")</f>
        <v>US</v>
      </c>
      <c r="D4" s="26" t="str">
        <f aca="false">IFERROR(IF(ISBLANK(INDEX(Backlog[Priority],MATCH($A4,Backlog[Requirement ID],0))),"",INDEX(Backlog[Priority],MATCH($A4,Backlog[Requirement ID],0))),"")</f>
        <v>Medium</v>
      </c>
      <c r="E4" s="26" t="str">
        <f aca="false">IFERROR(IF(ISBLANK(INDEX(Backlog[Status],MATCH($A4,Backlog[Requirement ID],0))),"",INDEX(Backlog[Status],MATCH($A4,Backlog[Requirement ID],0))),"")</f>
        <v>IN PROGRESS</v>
      </c>
      <c r="F4" s="24" t="s">
        <v>415</v>
      </c>
      <c r="G4" s="26" t="n">
        <f aca="false">IFERROR(IF(ISBLANK(INDEX(Backlog[HLE],MATCH($A4,Backlog[Requirement ID],0))),"",INDEX(Backlog[HLE],MATCH($A4,Backlog[Requirement ID],0))),"")</f>
        <v>5</v>
      </c>
      <c r="H4" s="63" t="n">
        <f aca="false">IFERROR(VALUE(SUBSTITUTE($F4,"Sprint ","")),9999)</f>
        <v>10</v>
      </c>
      <c r="I4" s="65" t="s">
        <v>417</v>
      </c>
      <c r="J4" s="65" t="n">
        <f aca="false">SUMIFS(SprintPlanning[HLE],SprintPlanning[Sprint],I4)+SUMIFS('Q1 Backlog Report 2026'!$K:$K,'Q1 Backlog Report 2026'!$I:$I,I4)</f>
        <v>56</v>
      </c>
    </row>
    <row r="5" customFormat="false" ht="15" hidden="false" customHeight="true" outlineLevel="0" collapsed="false">
      <c r="A5" s="24" t="str">
        <f aca="false">Backlog!A5</f>
        <v>NEW-0060</v>
      </c>
      <c r="B5" s="26" t="str">
        <f aca="false">IFERROR(IF(ISBLANK(INDEX(Backlog[Requirement Name],MATCH($A5,Backlog[Requirement ID],0))),"",INDEX(Backlog[Requirement Name],MATCH($A5,Backlog[Requirement ID],0))),"")</f>
        <v>US Configuration myMSC - Production</v>
      </c>
      <c r="C5" s="26" t="str">
        <f aca="false">IFERROR(IF(ISBLANK(INDEX(Backlog[Stream],MATCH($A5,Backlog[Requirement ID],0))),"",INDEX(Backlog[Stream],MATCH($A5,Backlog[Requirement ID],0))),"")</f>
        <v>US</v>
      </c>
      <c r="D5" s="26" t="str">
        <f aca="false">IFERROR(IF(ISBLANK(INDEX(Backlog[Priority],MATCH($A5,Backlog[Requirement ID],0))),"",INDEX(Backlog[Priority],MATCH($A5,Backlog[Requirement ID],0))),"")</f>
        <v>High</v>
      </c>
      <c r="E5" s="26" t="str">
        <f aca="false">IFERROR(IF(ISBLANK(INDEX(Backlog[Status],MATCH($A5,Backlog[Requirement ID],0))),"",INDEX(Backlog[Status],MATCH($A5,Backlog[Requirement ID],0))),"")</f>
        <v>IN PROGRESS</v>
      </c>
      <c r="F5" s="24" t="s">
        <v>415</v>
      </c>
      <c r="G5" s="26" t="n">
        <f aca="false">IFERROR(IF(ISBLANK(INDEX(Backlog[HLE],MATCH($A5,Backlog[Requirement ID],0))),"",INDEX(Backlog[HLE],MATCH($A5,Backlog[Requirement ID],0))),"")</f>
        <v>8</v>
      </c>
      <c r="H5" s="63" t="n">
        <f aca="false">IFERROR(VALUE(SUBSTITUTE($F5,"Sprint ","")),9999)</f>
        <v>10</v>
      </c>
      <c r="I5" s="65" t="s">
        <v>418</v>
      </c>
      <c r="J5" s="65" t="n">
        <f aca="false">SUMIFS(SprintPlanning[HLE],SprintPlanning[Sprint],I5)+SUMIFS('Q1 Backlog Report 2026'!$K:$K,'Q1 Backlog Report 2026'!$I:$I,I5)</f>
        <v>84</v>
      </c>
    </row>
    <row r="6" customFormat="false" ht="15" hidden="false" customHeight="true" outlineLevel="0" collapsed="false">
      <c r="A6" s="24" t="str">
        <f aca="false">Backlog!A6</f>
        <v>NEW-0061</v>
      </c>
      <c r="B6" s="26" t="str">
        <f aca="false">IFERROR(IF(ISBLANK(INDEX(Backlog[Requirement Name],MATCH($A6,Backlog[Requirement ID],0))),"",INDEX(Backlog[Requirement Name],MATCH($A6,Backlog[Requirement ID],0))),"")</f>
        <v>Load Test + Performance Enhancements - Part 1</v>
      </c>
      <c r="C6" s="26" t="str">
        <f aca="false">IFERROR(IF(ISBLANK(INDEX(Backlog[Stream],MATCH($A6,Backlog[Requirement ID],0))),"",INDEX(Backlog[Stream],MATCH($A6,Backlog[Requirement ID],0))),"")</f>
        <v>US</v>
      </c>
      <c r="D6" s="26" t="str">
        <f aca="false">IFERROR(IF(ISBLANK(INDEX(Backlog[Priority],MATCH($A6,Backlog[Requirement ID],0))),"",INDEX(Backlog[Priority],MATCH($A6,Backlog[Requirement ID],0))),"")</f>
        <v>High</v>
      </c>
      <c r="E6" s="26" t="str">
        <f aca="false">IFERROR(IF(ISBLANK(INDEX(Backlog[Status],MATCH($A6,Backlog[Requirement ID],0))),"",INDEX(Backlog[Status],MATCH($A6,Backlog[Requirement ID],0))),"")</f>
        <v>IN PROGRESS</v>
      </c>
      <c r="F6" s="24" t="s">
        <v>415</v>
      </c>
      <c r="G6" s="26" t="n">
        <f aca="false">IFERROR(IF(ISBLANK(INDEX(Backlog[HLE],MATCH($A6,Backlog[Requirement ID],0))),"",INDEX(Backlog[HLE],MATCH($A6,Backlog[Requirement ID],0))),"")</f>
        <v>21</v>
      </c>
      <c r="H6" s="63" t="n">
        <f aca="false">IFERROR(VALUE(SUBSTITUTE($F6,"Sprint ","")),9999)</f>
        <v>10</v>
      </c>
      <c r="I6" s="65" t="s">
        <v>419</v>
      </c>
      <c r="J6" s="65" t="n">
        <f aca="false">SUMIFS(SprintPlanning[HLE],SprintPlanning[Sprint],I6)+SUMIFS('Q1 Backlog Report 2026'!$K:$K,'Q1 Backlog Report 2026'!$I:$I,I6)</f>
        <v>68</v>
      </c>
    </row>
    <row r="7" customFormat="false" ht="15" hidden="false" customHeight="true" outlineLevel="0" collapsed="false">
      <c r="A7" s="24" t="str">
        <f aca="false">Backlog!A7</f>
        <v>NEW-0071</v>
      </c>
      <c r="B7" s="26" t="str">
        <f aca="false">IFERROR(IF(ISBLANK(INDEX(Backlog[Requirement Name],MATCH($A7,Backlog[Requirement ID],0))),"",INDEX(Backlog[Requirement Name],MATCH($A7,Backlog[Requirement ID],0))),"")</f>
        <v>E2E Ticket Support - FAT and Canary Tests</v>
      </c>
      <c r="C7" s="26" t="str">
        <f aca="false">IFERROR(IF(ISBLANK(INDEX(Backlog[Stream],MATCH($A7,Backlog[Requirement ID],0))),"",INDEX(Backlog[Stream],MATCH($A7,Backlog[Requirement ID],0))),"")</f>
        <v>US</v>
      </c>
      <c r="D7" s="26" t="str">
        <f aca="false">IFERROR(IF(ISBLANK(INDEX(Backlog[Priority],MATCH($A7,Backlog[Requirement ID],0))),"",INDEX(Backlog[Priority],MATCH($A7,Backlog[Requirement ID],0))),"")</f>
        <v>High</v>
      </c>
      <c r="E7" s="26" t="str">
        <f aca="false">IFERROR(IF(ISBLANK(INDEX(Backlog[Status],MATCH($A7,Backlog[Requirement ID],0))),"",INDEX(Backlog[Status],MATCH($A7,Backlog[Requirement ID],0))),"")</f>
        <v>IN PROGRESS</v>
      </c>
      <c r="F7" s="24" t="s">
        <v>415</v>
      </c>
      <c r="G7" s="26" t="n">
        <f aca="false">IFERROR(IF(ISBLANK(INDEX(Backlog[HLE],MATCH($A7,Backlog[Requirement ID],0))),"",INDEX(Backlog[HLE],MATCH($A7,Backlog[Requirement ID],0))),"")</f>
        <v>13</v>
      </c>
      <c r="H7" s="63" t="n">
        <f aca="false">IFERROR(VALUE(SUBSTITUTE($F7,"Sprint ","")),9999)</f>
        <v>10</v>
      </c>
      <c r="I7" s="65" t="s">
        <v>420</v>
      </c>
      <c r="J7" s="65" t="n">
        <f aca="false">SUMIFS(SprintPlanning[HLE],SprintPlanning[Sprint],I7)+SUMIFS('Q2 Backlog Report 2026'!$K:$K,'Q2 Backlog Report 2026'!$I:$I,I7)</f>
        <v>202</v>
      </c>
    </row>
    <row r="8" customFormat="false" ht="15" hidden="false" customHeight="true" outlineLevel="0" collapsed="false">
      <c r="A8" s="24" t="str">
        <f aca="false">Backlog!A8</f>
        <v>NEW-0275</v>
      </c>
      <c r="B8" s="26" t="str">
        <f aca="false">IFERROR(IF(ISBLANK(INDEX(Backlog[Requirement Name],MATCH($A8,Backlog[Requirement ID],0))),"",INDEX(Backlog[Requirement Name],MATCH($A8,Backlog[Requirement ID],0))),"")</f>
        <v>[EINT] [Tech Task] INT172 INT174 - Attentive Error Scenarios</v>
      </c>
      <c r="C8" s="26" t="str">
        <f aca="false">IFERROR(IF(ISBLANK(INDEX(Backlog[Stream],MATCH($A8,Backlog[Requirement ID],0))),"",INDEX(Backlog[Stream],MATCH($A8,Backlog[Requirement ID],0))),"")</f>
        <v>US</v>
      </c>
      <c r="D8" s="26" t="str">
        <f aca="false">IFERROR(IF(ISBLANK(INDEX(Backlog[Priority],MATCH($A8,Backlog[Requirement ID],0))),"",INDEX(Backlog[Priority],MATCH($A8,Backlog[Requirement ID],0))),"")</f>
        <v>Medium</v>
      </c>
      <c r="E8" s="26" t="str">
        <f aca="false">IFERROR(IF(ISBLANK(INDEX(Backlog[Status],MATCH($A8,Backlog[Requirement ID],0))),"",INDEX(Backlog[Status],MATCH($A8,Backlog[Requirement ID],0))),"")</f>
        <v>IN PROGRESS</v>
      </c>
      <c r="F8" s="24" t="s">
        <v>415</v>
      </c>
      <c r="G8" s="26" t="n">
        <f aca="false">IFERROR(IF(ISBLANK(INDEX(Backlog[HLE],MATCH($A8,Backlog[Requirement ID],0))),"",INDEX(Backlog[HLE],MATCH($A8,Backlog[Requirement ID],0))),"")</f>
        <v>5</v>
      </c>
      <c r="H8" s="63" t="n">
        <f aca="false">IFERROR(VALUE(SUBSTITUTE($F8,"Sprint ","")),9999)</f>
        <v>10</v>
      </c>
      <c r="I8" s="65" t="s">
        <v>421</v>
      </c>
      <c r="J8" s="65" t="n">
        <f aca="false">SUMIFS(SprintPlanning[HLE],SprintPlanning[Sprint],I8)+SUMIFS('Q2 Backlog Report 2026'!$K:$K,'Q2 Backlog Report 2026'!$I:$I,I8)</f>
        <v>153</v>
      </c>
    </row>
    <row r="9" customFormat="false" ht="15" hidden="false" customHeight="true" outlineLevel="0" collapsed="false">
      <c r="A9" s="24" t="str">
        <f aca="false">Backlog!A9</f>
        <v>NEW-0368</v>
      </c>
      <c r="B9" s="26" t="str">
        <f aca="false">IFERROR(IF(ISBLANK(INDEX(Backlog[Requirement Name],MATCH($A9,Backlog[Requirement ID],0))),"",INDEX(Backlog[Requirement Name],MATCH($A9,Backlog[Requirement ID],0))),"")</f>
        <v>MyMSC US | [INT112][INT137][INT140][INT146][INT153][INT154][INT188] Add per-country/language MyMSC campaign config check to skip optional marketing automation calls</v>
      </c>
      <c r="C9" s="26" t="str">
        <f aca="false">IFERROR(IF(ISBLANK(INDEX(Backlog[Stream],MATCH($A9,Backlog[Requirement ID],0))),"",INDEX(Backlog[Stream],MATCH($A9,Backlog[Requirement ID],0))),"")</f>
        <v>Growth</v>
      </c>
      <c r="D9" s="26" t="str">
        <f aca="false">IFERROR(IF(ISBLANK(INDEX(Backlog[Priority],MATCH($A9,Backlog[Requirement ID],0))),"",INDEX(Backlog[Priority],MATCH($A9,Backlog[Requirement ID],0))),"")</f>
        <v>High</v>
      </c>
      <c r="E9" s="26" t="str">
        <f aca="false">IFERROR(IF(ISBLANK(INDEX(Backlog[Status],MATCH($A9,Backlog[Requirement ID],0))),"",INDEX(Backlog[Status],MATCH($A9,Backlog[Requirement ID],0))),"")</f>
        <v>IN PROGRESS</v>
      </c>
      <c r="F9" s="24" t="s">
        <v>415</v>
      </c>
      <c r="G9" s="26" t="n">
        <f aca="false">IFERROR(IF(ISBLANK(INDEX(Backlog[HLE],MATCH($A9,Backlog[Requirement ID],0))),"",INDEX(Backlog[HLE],MATCH($A9,Backlog[Requirement ID],0))),"")</f>
        <v>8</v>
      </c>
      <c r="H9" s="63" t="n">
        <f aca="false">IFERROR(VALUE(SUBSTITUTE($F9,"Sprint ","")),9999)</f>
        <v>10</v>
      </c>
      <c r="I9" s="65" t="s">
        <v>422</v>
      </c>
      <c r="J9" s="65" t="n">
        <f aca="false">SUMIFS(SprintPlanning[HLE],SprintPlanning[Sprint],I9)+SUMIFS('Q2 Backlog Report 2026'!$K:$K,'Q2 Backlog Report 2026'!$I:$I,I9)</f>
        <v>116</v>
      </c>
    </row>
    <row r="10" customFormat="false" ht="15" hidden="false" customHeight="true" outlineLevel="0" collapsed="false">
      <c r="A10" s="24" t="str">
        <f aca="false">Backlog!A10</f>
        <v>NEW-0389</v>
      </c>
      <c r="B10" s="26" t="str">
        <f aca="false">IFERROR(IF(ISBLANK(INDEX(Backlog[Requirement Name],MATCH($A10,Backlog[Requirement ID],0))),"",INDEX(Backlog[Requirement Name],MATCH($A10,Backlog[Requirement ID],0))),"")</f>
        <v>[DTTP] Implementation of Online Post-Cruise Complaint Form – Salesforce Integration_EA</v>
      </c>
      <c r="C10" s="26" t="str">
        <f aca="false">IFERROR(IF(ISBLANK(INDEX(Backlog[Stream],MATCH($A10,Backlog[Requirement ID],0))),"",INDEX(Backlog[Stream],MATCH($A10,Backlog[Requirement ID],0))),"")</f>
        <v>PI10</v>
      </c>
      <c r="D10" s="26" t="str">
        <f aca="false">IFERROR(IF(ISBLANK(INDEX(Backlog[Priority],MATCH($A10,Backlog[Requirement ID],0))),"",INDEX(Backlog[Priority],MATCH($A10,Backlog[Requirement ID],0))),"")</f>
        <v>Medium</v>
      </c>
      <c r="E10" s="26" t="str">
        <f aca="false">IFERROR(IF(ISBLANK(INDEX(Backlog[Status],MATCH($A10,Backlog[Requirement ID],0))),"",INDEX(Backlog[Status],MATCH($A10,Backlog[Requirement ID],0))),"")</f>
        <v>IN PROGRESS</v>
      </c>
      <c r="F10" s="24" t="s">
        <v>415</v>
      </c>
      <c r="G10" s="26" t="n">
        <f aca="false">IFERROR(IF(ISBLANK(INDEX(Backlog[HLE],MATCH($A10,Backlog[Requirement ID],0))),"",INDEX(Backlog[HLE],MATCH($A10,Backlog[Requirement ID],0))),"")</f>
        <v>8</v>
      </c>
      <c r="H10" s="63" t="n">
        <f aca="false">IFERROR(VALUE(SUBSTITUTE($F10,"Sprint ","")),9999)</f>
        <v>10</v>
      </c>
      <c r="I10" s="65" t="s">
        <v>423</v>
      </c>
      <c r="J10" s="65" t="n">
        <f aca="false">SUMIFS(SprintPlanning[HLE],SprintPlanning[Sprint],I10)+SUMIFS('Q2 Backlog Report 2026'!$K:$K,'Q2 Backlog Report 2026'!$I:$I,I10)</f>
        <v>105</v>
      </c>
    </row>
    <row r="11" customFormat="false" ht="15" hidden="false" customHeight="true" outlineLevel="0" collapsed="false">
      <c r="A11" s="24" t="str">
        <f aca="false">Backlog!A11</f>
        <v>NEW-0408</v>
      </c>
      <c r="B11" s="26" t="str">
        <f aca="false">IFERROR(IF(ISBLANK(INDEX(Backlog[Requirement Name],MATCH($A11,Backlog[Requirement ID],0))),"",INDEX(Backlog[Requirement Name],MATCH($A11,Backlog[Requirement ID],0))),"")</f>
        <v>US Growth - B2CW Payment billing data/ US Release ACS Check - Part 1 (Adding the new fields to INT007, INT140, INT146)</v>
      </c>
      <c r="C11" s="26" t="str">
        <f aca="false">IFERROR(IF(ISBLANK(INDEX(Backlog[Stream],MATCH($A11,Backlog[Requirement ID],0))),"",INDEX(Backlog[Stream],MATCH($A11,Backlog[Requirement ID],0))),"")</f>
        <v>Growth</v>
      </c>
      <c r="D11" s="26" t="str">
        <f aca="false">IFERROR(IF(ISBLANK(INDEX(Backlog[Priority],MATCH($A11,Backlog[Requirement ID],0))),"",INDEX(Backlog[Priority],MATCH($A11,Backlog[Requirement ID],0))),"")</f>
        <v>High</v>
      </c>
      <c r="E11" s="26" t="str">
        <f aca="false">IFERROR(IF(ISBLANK(INDEX(Backlog[Status],MATCH($A11,Backlog[Requirement ID],0))),"",INDEX(Backlog[Status],MATCH($A11,Backlog[Requirement ID],0))),"")</f>
        <v>NEW</v>
      </c>
      <c r="F11" s="24" t="s">
        <v>415</v>
      </c>
      <c r="G11" s="26" t="n">
        <f aca="false">IFERROR(IF(ISBLANK(INDEX(Backlog[HLE],MATCH($A11,Backlog[Requirement ID],0))),"",INDEX(Backlog[HLE],MATCH($A11,Backlog[Requirement ID],0))),"")</f>
        <v>5</v>
      </c>
      <c r="H11" s="63" t="n">
        <f aca="false">IFERROR(VALUE(SUBSTITUTE($F11,"Sprint ","")),9999)</f>
        <v>10</v>
      </c>
      <c r="I11" s="65" t="s">
        <v>424</v>
      </c>
      <c r="J11" s="65" t="n">
        <f aca="false">SUMIFS(SprintPlanning[HLE],SprintPlanning[Sprint],I11)+SUMIFS('Q3 Backlog Report 2026'!$K:$K,'Q3 Backlog Report 2026'!$I:$I,I11)</f>
        <v>141</v>
      </c>
    </row>
    <row r="12" customFormat="false" ht="15" hidden="false" customHeight="true" outlineLevel="0" collapsed="false">
      <c r="A12" s="24" t="str">
        <f aca="false">Backlog!A12</f>
        <v>NEW-0411</v>
      </c>
      <c r="B12" s="26" t="str">
        <f aca="false">IFERROR(IF(ISBLANK(INDEX(Backlog[Requirement Name],MATCH($A12,Backlog[Requirement ID],0))),"",INDEX(Backlog[Requirement Name],MATCH($A12,Backlog[Requirement ID],0))),"")</f>
        <v>Load Test Perf - Support &amp; Analysis</v>
      </c>
      <c r="C12" s="26" t="str">
        <f aca="false">IFERROR(IF(ISBLANK(INDEX(Backlog[Stream],MATCH($A12,Backlog[Requirement ID],0))),"",INDEX(Backlog[Stream],MATCH($A12,Backlog[Requirement ID],0))),"")</f>
        <v>US</v>
      </c>
      <c r="D12" s="26" t="str">
        <f aca="false">IFERROR(IF(ISBLANK(INDEX(Backlog[Priority],MATCH($A12,Backlog[Requirement ID],0))),"",INDEX(Backlog[Priority],MATCH($A12,Backlog[Requirement ID],0))),"")</f>
        <v>High</v>
      </c>
      <c r="E12" s="26" t="str">
        <f aca="false">IFERROR(IF(ISBLANK(INDEX(Backlog[Status],MATCH($A12,Backlog[Requirement ID],0))),"",INDEX(Backlog[Status],MATCH($A12,Backlog[Requirement ID],0))),"")</f>
        <v>IN PROGRESS</v>
      </c>
      <c r="F12" s="24" t="s">
        <v>415</v>
      </c>
      <c r="G12" s="26" t="n">
        <f aca="false">IFERROR(IF(ISBLANK(INDEX(Backlog[HLE],MATCH($A12,Backlog[Requirement ID],0))),"",INDEX(Backlog[HLE],MATCH($A12,Backlog[Requirement ID],0))),"")</f>
        <v>21</v>
      </c>
      <c r="H12" s="63" t="n">
        <f aca="false">IFERROR(VALUE(SUBSTITUTE($F12,"Sprint ","")),9999)</f>
        <v>10</v>
      </c>
      <c r="I12" s="65" t="s">
        <v>415</v>
      </c>
      <c r="J12" s="65" t="n">
        <f aca="false">SUMIFS(SprintPlanning[HLE],SprintPlanning[Sprint],I12)+SUMIFS('Q3 Backlog Report 2026'!$K:$K,'Q3 Backlog Report 2026'!$I:$I,I12)</f>
        <v>115</v>
      </c>
    </row>
    <row r="13" customFormat="false" ht="15" hidden="false" customHeight="true" outlineLevel="0" collapsed="false">
      <c r="A13" s="24" t="str">
        <f aca="false">Backlog!A13</f>
        <v>NEW-0412</v>
      </c>
      <c r="B13" s="26" t="str">
        <f aca="false">IFERROR(IF(ISBLANK(INDEX(Backlog[Requirement Name],MATCH($A13,Backlog[Requirement ID],0))),"",INDEX(Backlog[Requirement Name],MATCH($A13,Backlog[Requirement ID],0))),"")</f>
        <v>US 0.1 Release Preparation - Aug 24</v>
      </c>
      <c r="C13" s="26" t="str">
        <f aca="false">IFERROR(IF(ISBLANK(INDEX(Backlog[Stream],MATCH($A13,Backlog[Requirement ID],0))),"",INDEX(Backlog[Stream],MATCH($A13,Backlog[Requirement ID],0))),"")</f>
        <v>Cross</v>
      </c>
      <c r="D13" s="26" t="str">
        <f aca="false">IFERROR(IF(ISBLANK(INDEX(Backlog[Priority],MATCH($A13,Backlog[Requirement ID],0))),"",INDEX(Backlog[Priority],MATCH($A13,Backlog[Requirement ID],0))),"")</f>
        <v>High</v>
      </c>
      <c r="E13" s="26" t="str">
        <f aca="false">IFERROR(IF(ISBLANK(INDEX(Backlog[Status],MATCH($A13,Backlog[Requirement ID],0))),"",INDEX(Backlog[Status],MATCH($A13,Backlog[Requirement ID],0))),"")</f>
        <v>IN PROGRESS</v>
      </c>
      <c r="F13" s="24" t="s">
        <v>415</v>
      </c>
      <c r="G13" s="26" t="n">
        <f aca="false">IFERROR(IF(ISBLANK(INDEX(Backlog[HLE],MATCH($A13,Backlog[Requirement ID],0))),"",INDEX(Backlog[HLE],MATCH($A13,Backlog[Requirement ID],0))),"")</f>
        <v>13</v>
      </c>
      <c r="H13" s="63" t="n">
        <f aca="false">IFERROR(VALUE(SUBSTITUTE($F13,"Sprint ","")),9999)</f>
        <v>10</v>
      </c>
      <c r="I13" s="65" t="s">
        <v>425</v>
      </c>
      <c r="J13" s="65" t="n">
        <f aca="false">SUMIFS(SprintPlanning[HLE],SprintPlanning[Sprint],I13)+SUMIFS('Q3 Backlog Report 2026'!$K:$K,'Q3 Backlog Report 2026'!$I:$I,I13)</f>
        <v>105</v>
      </c>
    </row>
    <row r="14" customFormat="false" ht="15" hidden="false" customHeight="true" outlineLevel="0" collapsed="false">
      <c r="A14" s="24" t="str">
        <f aca="false">Backlog!A14</f>
        <v>NEW-0064</v>
      </c>
      <c r="B14" s="26" t="str">
        <f aca="false">IFERROR(IF(ISBLANK(INDEX(Backlog[Requirement Name],MATCH($A14,Backlog[Requirement ID],0))),"",INDEX(Backlog[Requirement Name],MATCH($A14,Backlog[Requirement ID],0))),"")</f>
        <v>ZAF Rollout - Market Configurations in CHAIN1 &amp; CHAIN2 and PROD</v>
      </c>
      <c r="C14" s="26" t="str">
        <f aca="false">IFERROR(IF(ISBLANK(INDEX(Backlog[Stream],MATCH($A14,Backlog[Requirement ID],0))),"",INDEX(Backlog[Stream],MATCH($A14,Backlog[Requirement ID],0))),"")</f>
        <v>MVP Rollout</v>
      </c>
      <c r="D14" s="26" t="str">
        <f aca="false">IFERROR(IF(ISBLANK(INDEX(Backlog[Priority],MATCH($A14,Backlog[Requirement ID],0))),"",INDEX(Backlog[Priority],MATCH($A14,Backlog[Requirement ID],0))),"")</f>
        <v>Medium</v>
      </c>
      <c r="E14" s="26" t="str">
        <f aca="false">IFERROR(IF(ISBLANK(INDEX(Backlog[Status],MATCH($A14,Backlog[Requirement ID],0))),"",INDEX(Backlog[Status],MATCH($A14,Backlog[Requirement ID],0))),"")</f>
        <v>NEW</v>
      </c>
      <c r="F14" s="24" t="s">
        <v>425</v>
      </c>
      <c r="G14" s="26" t="n">
        <f aca="false">IFERROR(IF(ISBLANK(INDEX(Backlog[HLE],MATCH($A14,Backlog[Requirement ID],0))),"",INDEX(Backlog[HLE],MATCH($A14,Backlog[Requirement ID],0))),"")</f>
        <v>8</v>
      </c>
      <c r="H14" s="63" t="n">
        <f aca="false">IFERROR(VALUE(SUBSTITUTE($F14,"Sprint ","")),9999)</f>
        <v>11</v>
      </c>
      <c r="I14" s="66" t="s">
        <v>426</v>
      </c>
      <c r="J14" s="66" t="n">
        <f aca="false">SUMIFS(SprintPlanning[HLE],SprintPlanning[Sprint],I14)+SUMIFS('Q3 Backlog Report 2026'!$K:$K,'Q3 Backlog Report 2026'!$I:$I,I14)</f>
        <v>110</v>
      </c>
    </row>
    <row r="15" customFormat="false" ht="15" hidden="false" customHeight="true" outlineLevel="0" collapsed="false">
      <c r="A15" s="24" t="str">
        <f aca="false">Backlog!A15</f>
        <v>NEW-0065</v>
      </c>
      <c r="B15" s="26" t="str">
        <f aca="false">IFERROR(IF(ISBLANK(INDEX(Backlog[Requirement Name],MATCH($A15,Backlog[Requirement ID],0))),"",INDEX(Backlog[Requirement Name],MATCH($A15,Backlog[Requirement ID],0))),"")</f>
        <v>ZAFRollout - Market Configurations in Production</v>
      </c>
      <c r="C15" s="26" t="str">
        <f aca="false">IFERROR(IF(ISBLANK(INDEX(Backlog[Stream],MATCH($A15,Backlog[Requirement ID],0))),"",INDEX(Backlog[Stream],MATCH($A15,Backlog[Requirement ID],0))),"")</f>
        <v>MVP Rollout</v>
      </c>
      <c r="D15" s="26" t="str">
        <f aca="false">IFERROR(IF(ISBLANK(INDEX(Backlog[Priority],MATCH($A15,Backlog[Requirement ID],0))),"",INDEX(Backlog[Priority],MATCH($A15,Backlog[Requirement ID],0))),"")</f>
        <v>Medium</v>
      </c>
      <c r="E15" s="26" t="str">
        <f aca="false">IFERROR(IF(ISBLANK(INDEX(Backlog[Status],MATCH($A15,Backlog[Requirement ID],0))),"",INDEX(Backlog[Status],MATCH($A15,Backlog[Requirement ID],0))),"")</f>
        <v>NA</v>
      </c>
      <c r="F15" s="24" t="s">
        <v>413</v>
      </c>
      <c r="G15" s="26" t="n">
        <f aca="false">IFERROR(IF(ISBLANK(INDEX(Backlog[HLE],MATCH($A15,Backlog[Requirement ID],0))),"",INDEX(Backlog[HLE],MATCH($A15,Backlog[Requirement ID],0))),"")</f>
        <v>8</v>
      </c>
      <c r="H15" s="63" t="n">
        <f aca="false">IFERROR(VALUE(SUBSTITUTE($F15,"Sprint ","")),9999)</f>
        <v>9999</v>
      </c>
      <c r="I15" s="66" t="s">
        <v>427</v>
      </c>
      <c r="J15" s="66" t="n">
        <f aca="false">SUMIFS(SprintPlanning[HLE],SprintPlanning[Sprint],I15)+SUMIFS('Q4 Backlog Report 2026'!$K:$K,'Q4 Backlog Report 2026'!$I:$I,I15)</f>
        <v>0</v>
      </c>
    </row>
    <row r="16" customFormat="false" ht="15" hidden="false" customHeight="true" outlineLevel="0" collapsed="false">
      <c r="A16" s="24" t="str">
        <f aca="false">Backlog!A16</f>
        <v>NEW-0075</v>
      </c>
      <c r="B16" s="26" t="str">
        <f aca="false">IFERROR(IF(ISBLANK(INDEX(Backlog[Requirement Name],MATCH($A16,Backlog[Requirement ID],0))),"",INDEX(Backlog[Requirement Name],MATCH($A16,Backlog[Requirement ID],0))),"")</f>
        <v>PI11-13 [CRM] [INTP-25] CRM Dependency - Marketing Automation - Calculated fields Booking B2B/B2C</v>
      </c>
      <c r="C16" s="26" t="str">
        <f aca="false">IFERROR(IF(ISBLANK(INDEX(Backlog[Stream],MATCH($A16,Backlog[Requirement ID],0))),"",INDEX(Backlog[Stream],MATCH($A16,Backlog[Requirement ID],0))),"")</f>
        <v>PI11</v>
      </c>
      <c r="D16" s="26" t="str">
        <f aca="false">IFERROR(IF(ISBLANK(INDEX(Backlog[Priority],MATCH($A16,Backlog[Requirement ID],0))),"",INDEX(Backlog[Priority],MATCH($A16,Backlog[Requirement ID],0))),"")</f>
        <v>Medium</v>
      </c>
      <c r="E16" s="26" t="str">
        <f aca="false">IFERROR(IF(ISBLANK(INDEX(Backlog[Status],MATCH($A16,Backlog[Requirement ID],0))),"",INDEX(Backlog[Status],MATCH($A16,Backlog[Requirement ID],0))),"")</f>
        <v>NEW</v>
      </c>
      <c r="F16" s="24" t="s">
        <v>426</v>
      </c>
      <c r="G16" s="26" t="n">
        <f aca="false">IFERROR(IF(ISBLANK(INDEX(Backlog[HLE],MATCH($A16,Backlog[Requirement ID],0))),"",INDEX(Backlog[HLE],MATCH($A16,Backlog[Requirement ID],0))),"")</f>
        <v>13</v>
      </c>
      <c r="H16" s="63" t="n">
        <f aca="false">IFERROR(VALUE(SUBSTITUTE($F16,"Sprint ","")),9999)</f>
        <v>12</v>
      </c>
      <c r="I16" s="66" t="s">
        <v>428</v>
      </c>
      <c r="J16" s="66" t="n">
        <f aca="false">SUMIFS(SprintPlanning[HLE],SprintPlanning[Sprint],I16)+SUMIFS('Q4 Backlog Report 2026'!$K:$K,'Q4 Backlog Report 2026'!$I:$I,I16)</f>
        <v>0</v>
      </c>
    </row>
    <row r="17" customFormat="false" ht="15" hidden="false" customHeight="true" outlineLevel="0" collapsed="false">
      <c r="A17" s="24" t="str">
        <f aca="false">Backlog!A17</f>
        <v>NEW-0076</v>
      </c>
      <c r="B17" s="26" t="str">
        <f aca="false">IFERROR(IF(ISBLANK(INDEX(Backlog[Requirement Name],MATCH($A17,Backlog[Requirement ID],0))),"",INDEX(Backlog[Requirement Name],MATCH($A17,Backlog[Requirement ID],0))),"")</f>
        <v>PI11-15 [CRM] [EA-1662] CRM Dependency - Lead Management - Hold option additional event fields in CDP</v>
      </c>
      <c r="C17" s="26" t="str">
        <f aca="false">IFERROR(IF(ISBLANK(INDEX(Backlog[Stream],MATCH($A17,Backlog[Requirement ID],0))),"",INDEX(Backlog[Stream],MATCH($A17,Backlog[Requirement ID],0))),"")</f>
        <v>PI11</v>
      </c>
      <c r="D17" s="26" t="str">
        <f aca="false">IFERROR(IF(ISBLANK(INDEX(Backlog[Priority],MATCH($A17,Backlog[Requirement ID],0))),"",INDEX(Backlog[Priority],MATCH($A17,Backlog[Requirement ID],0))),"")</f>
        <v>Medium</v>
      </c>
      <c r="E17" s="26" t="str">
        <f aca="false">IFERROR(IF(ISBLANK(INDEX(Backlog[Status],MATCH($A17,Backlog[Requirement ID],0))),"",INDEX(Backlog[Status],MATCH($A17,Backlog[Requirement ID],0))),"")</f>
        <v>NEW</v>
      </c>
      <c r="F17" s="24" t="s">
        <v>426</v>
      </c>
      <c r="G17" s="26" t="n">
        <f aca="false">IFERROR(IF(ISBLANK(INDEX(Backlog[HLE],MATCH($A17,Backlog[Requirement ID],0))),"",INDEX(Backlog[HLE],MATCH($A17,Backlog[Requirement ID],0))),"")</f>
        <v>13</v>
      </c>
      <c r="H17" s="63" t="n">
        <f aca="false">IFERROR(VALUE(SUBSTITUTE($F17,"Sprint ","")),9999)</f>
        <v>12</v>
      </c>
      <c r="I17" s="66" t="s">
        <v>429</v>
      </c>
      <c r="J17" s="66" t="n">
        <f aca="false">SUMIFS(SprintPlanning[HLE],SprintPlanning[Sprint],I17)+SUMIFS('Q4 Backlog Report 2026'!$K:$K,'Q4 Backlog Report 2026'!$I:$I,I17)</f>
        <v>0</v>
      </c>
    </row>
    <row r="18" customFormat="false" ht="15" hidden="false" customHeight="true" outlineLevel="0" collapsed="false">
      <c r="A18" s="24" t="str">
        <f aca="false">Backlog!A18</f>
        <v>NEW-0077</v>
      </c>
      <c r="B18" s="26" t="str">
        <f aca="false">IFERROR(IF(ISBLANK(INDEX(Backlog[Requirement Name],MATCH($A18,Backlog[Requirement ID],0))),"",INDEX(Backlog[Requirement Name],MATCH($A18,Backlog[Requirement ID],0))),"")</f>
        <v>Nordics SWE, DEN, NOR, FIN Rollout - Market Configurations in CHAIN1 &amp; CHAIN2</v>
      </c>
      <c r="C18" s="26" t="str">
        <f aca="false">IFERROR(IF(ISBLANK(INDEX(Backlog[Stream],MATCH($A18,Backlog[Requirement ID],0))),"",INDEX(Backlog[Stream],MATCH($A18,Backlog[Requirement ID],0))),"")</f>
        <v>MVP Rollout</v>
      </c>
      <c r="D18" s="26" t="str">
        <f aca="false">IFERROR(IF(ISBLANK(INDEX(Backlog[Priority],MATCH($A18,Backlog[Requirement ID],0))),"",INDEX(Backlog[Priority],MATCH($A18,Backlog[Requirement ID],0))),"")</f>
        <v>Medium</v>
      </c>
      <c r="E18" s="26" t="str">
        <f aca="false">IFERROR(IF(ISBLANK(INDEX(Backlog[Status],MATCH($A18,Backlog[Requirement ID],0))),"",INDEX(Backlog[Status],MATCH($A18,Backlog[Requirement ID],0))),"")</f>
        <v>NEW</v>
      </c>
      <c r="F18" s="24" t="s">
        <v>413</v>
      </c>
      <c r="G18" s="26" t="n">
        <f aca="false">IFERROR(IF(ISBLANK(INDEX(Backlog[HLE],MATCH($A18,Backlog[Requirement ID],0))),"",INDEX(Backlog[HLE],MATCH($A18,Backlog[Requirement ID],0))),"")</f>
        <v>8</v>
      </c>
      <c r="H18" s="63" t="n">
        <f aca="false">IFERROR(VALUE(SUBSTITUTE($F18,"Sprint ","")),9999)</f>
        <v>9999</v>
      </c>
      <c r="I18" s="66" t="s">
        <v>430</v>
      </c>
      <c r="J18" s="66" t="n">
        <f aca="false">SUMIFS(SprintPlanning[HLE],SprintPlanning[Sprint],I18)+SUMIFS('Q4 Backlog Report 2026'!$K:$K,'Q4 Backlog Report 2026'!$I:$I,I18)</f>
        <v>0</v>
      </c>
    </row>
    <row r="19" customFormat="false" ht="15" hidden="false" customHeight="true" outlineLevel="0" collapsed="false">
      <c r="A19" s="24" t="str">
        <f aca="false">Backlog!A19</f>
        <v>NEW-0078</v>
      </c>
      <c r="B19" s="26" t="str">
        <f aca="false">IFERROR(IF(ISBLANK(INDEX(Backlog[Requirement Name],MATCH($A19,Backlog[Requirement ID],0))),"",INDEX(Backlog[Requirement Name],MATCH($A19,Backlog[Requirement ID],0))),"")</f>
        <v>Nordics SWE, DEN, NOR, FIN Rollout - Market Configurations in Production</v>
      </c>
      <c r="C19" s="26" t="str">
        <f aca="false">IFERROR(IF(ISBLANK(INDEX(Backlog[Stream],MATCH($A19,Backlog[Requirement ID],0))),"",INDEX(Backlog[Stream],MATCH($A19,Backlog[Requirement ID],0))),"")</f>
        <v>MVP Rollout</v>
      </c>
      <c r="D19" s="26" t="str">
        <f aca="false">IFERROR(IF(ISBLANK(INDEX(Backlog[Priority],MATCH($A19,Backlog[Requirement ID],0))),"",INDEX(Backlog[Priority],MATCH($A19,Backlog[Requirement ID],0))),"")</f>
        <v>Medium</v>
      </c>
      <c r="E19" s="26" t="str">
        <f aca="false">IFERROR(IF(ISBLANK(INDEX(Backlog[Status],MATCH($A19,Backlog[Requirement ID],0))),"",INDEX(Backlog[Status],MATCH($A19,Backlog[Requirement ID],0))),"")</f>
        <v>NEW</v>
      </c>
      <c r="F19" s="24" t="s">
        <v>413</v>
      </c>
      <c r="G19" s="26" t="n">
        <f aca="false">IFERROR(IF(ISBLANK(INDEX(Backlog[HLE],MATCH($A19,Backlog[Requirement ID],0))),"",INDEX(Backlog[HLE],MATCH($A19,Backlog[Requirement ID],0))),"")</f>
        <v>8</v>
      </c>
      <c r="H19" s="26" t="n">
        <f aca="false">IFERROR(VALUE(SUBSTITUTE($F19,"Sprint ","")),9999)</f>
        <v>9999</v>
      </c>
    </row>
    <row r="20" customFormat="false" ht="15" hidden="false" customHeight="true" outlineLevel="0" collapsed="false">
      <c r="A20" s="24" t="str">
        <f aca="false">Backlog!A20</f>
        <v>NEW-0409</v>
      </c>
      <c r="B20" s="26" t="str">
        <f aca="false">IFERROR(IF(ISBLANK(INDEX(Backlog[Requirement Name],MATCH($A20,Backlog[Requirement ID],0))),"",INDEX(Backlog[Requirement Name],MATCH($A20,Backlog[Requirement ID],0))),"")</f>
        <v>US Growth - B2CW Payment billing data/ US Release AVS Check - Part 2 (Wiring the new fields to Datatrans in INT007, INT140, INT146)</v>
      </c>
      <c r="C20" s="26" t="str">
        <f aca="false">IFERROR(IF(ISBLANK(INDEX(Backlog[Stream],MATCH($A20,Backlog[Requirement ID],0))),"",INDEX(Backlog[Stream],MATCH($A20,Backlog[Requirement ID],0))),"")</f>
        <v>Growth</v>
      </c>
      <c r="D20" s="26" t="str">
        <f aca="false">IFERROR(IF(ISBLANK(INDEX(Backlog[Priority],MATCH($A20,Backlog[Requirement ID],0))),"",INDEX(Backlog[Priority],MATCH($A20,Backlog[Requirement ID],0))),"")</f>
        <v>High</v>
      </c>
      <c r="E20" s="26" t="str">
        <f aca="false">IFERROR(IF(ISBLANK(INDEX(Backlog[Status],MATCH($A20,Backlog[Requirement ID],0))),"",INDEX(Backlog[Status],MATCH($A20,Backlog[Requirement ID],0))),"")</f>
        <v>NEW</v>
      </c>
      <c r="F20" s="24" t="s">
        <v>425</v>
      </c>
      <c r="G20" s="26" t="n">
        <f aca="false">IFERROR(IF(ISBLANK(INDEX(Backlog[HLE],MATCH($A20,Backlog[Requirement ID],0))),"",INDEX(Backlog[HLE],MATCH($A20,Backlog[Requirement ID],0))),"")</f>
        <v>13</v>
      </c>
      <c r="H20" s="26" t="n">
        <f aca="false">IFERROR(VALUE(SUBSTITUTE($F20,"Sprint ","")),9999)</f>
        <v>11</v>
      </c>
    </row>
    <row r="21" customFormat="false" ht="15" hidden="false" customHeight="true" outlineLevel="0" collapsed="false">
      <c r="A21" s="24" t="str">
        <f aca="false">Backlog!A21</f>
        <v>NEW-0410</v>
      </c>
      <c r="B21" s="26" t="str">
        <f aca="false">IFERROR(IF(ISBLANK(INDEX(Backlog[Requirement Name],MATCH($A21,Backlog[Requirement ID],0))),"",INDEX(Backlog[Requirement Name],MATCH($A21,Backlog[Requirement ID],0))),"")</f>
        <v>US Growth - M4M Payment billing data/ US Release AVS Check (Adding the fields in M4M transaction init)</v>
      </c>
      <c r="C21" s="26" t="str">
        <f aca="false">IFERROR(IF(ISBLANK(INDEX(Backlog[Stream],MATCH($A21,Backlog[Requirement ID],0))),"",INDEX(Backlog[Stream],MATCH($A21,Backlog[Requirement ID],0))),"")</f>
        <v>Growth</v>
      </c>
      <c r="D21" s="26" t="str">
        <f aca="false">IFERROR(IF(ISBLANK(INDEX(Backlog[Priority],MATCH($A21,Backlog[Requirement ID],0))),"",INDEX(Backlog[Priority],MATCH($A21,Backlog[Requirement ID],0))),"")</f>
        <v>High</v>
      </c>
      <c r="E21" s="26" t="str">
        <f aca="false">IFERROR(IF(ISBLANK(INDEX(Backlog[Status],MATCH($A21,Backlog[Requirement ID],0))),"",INDEX(Backlog[Status],MATCH($A21,Backlog[Requirement ID],0))),"")</f>
        <v>ON HOLD</v>
      </c>
      <c r="F21" s="24" t="s">
        <v>426</v>
      </c>
      <c r="G21" s="26" t="n">
        <f aca="false">IFERROR(IF(ISBLANK(INDEX(Backlog[HLE],MATCH($A21,Backlog[Requirement ID],0))),"",INDEX(Backlog[HLE],MATCH($A21,Backlog[Requirement ID],0))),"")</f>
        <v>8</v>
      </c>
      <c r="H21" s="26" t="n">
        <f aca="false">IFERROR(VALUE(SUBSTITUTE($F21,"Sprint ","")),9999)</f>
        <v>12</v>
      </c>
    </row>
    <row r="22" customFormat="false" ht="15" hidden="false" customHeight="true" outlineLevel="0" collapsed="false">
      <c r="A22" s="24" t="str">
        <f aca="false">Backlog!A22</f>
        <v>NEW-0001</v>
      </c>
      <c r="B22" s="26" t="str">
        <f aca="false">IFERROR(IF(ISBLANK(INDEX(Backlog[Requirement Name],MATCH($A22,Backlog[Requirement ID],0))),"",INDEX(Backlog[Requirement Name],MATCH($A22,Backlog[Requirement ID],0))),"")</f>
        <v>Whatsapp Subscription (Phase 1)</v>
      </c>
      <c r="C22" s="26" t="str">
        <f aca="false">IFERROR(IF(ISBLANK(INDEX(Backlog[Stream],MATCH($A22,Backlog[Requirement ID],0))),"",INDEX(Backlog[Stream],MATCH($A22,Backlog[Requirement ID],0))),"")</f>
        <v>Backlog</v>
      </c>
      <c r="D22" s="26" t="str">
        <f aca="false">IFERROR(IF(ISBLANK(INDEX(Backlog[Priority],MATCH($A22,Backlog[Requirement ID],0))),"",INDEX(Backlog[Priority],MATCH($A22,Backlog[Requirement ID],0))),"")</f>
        <v>Medium</v>
      </c>
      <c r="E22" s="26" t="str">
        <f aca="false">IFERROR(IF(ISBLANK(INDEX(Backlog[Status],MATCH($A22,Backlog[Requirement ID],0))),"",INDEX(Backlog[Status],MATCH($A22,Backlog[Requirement ID],0))),"")</f>
        <v>NEW</v>
      </c>
      <c r="F22" s="24" t="s">
        <v>426</v>
      </c>
      <c r="G22" s="26" t="n">
        <f aca="false">IFERROR(IF(ISBLANK(INDEX(Backlog[HLE],MATCH($A22,Backlog[Requirement ID],0))),"",INDEX(Backlog[HLE],MATCH($A22,Backlog[Requirement ID],0))),"")</f>
        <v>13</v>
      </c>
      <c r="H22" s="26" t="n">
        <f aca="false">IFERROR(VALUE(SUBSTITUTE($F22,"Sprint ","")),9999)</f>
        <v>12</v>
      </c>
    </row>
    <row r="23" customFormat="false" ht="15" hidden="false" customHeight="true" outlineLevel="0" collapsed="false">
      <c r="A23" s="24" t="str">
        <f aca="false">Backlog!A23</f>
        <v>NEW-0003</v>
      </c>
      <c r="B23" s="26" t="str">
        <f aca="false">IFERROR(IF(ISBLANK(INDEX(Backlog[Requirement Name],MATCH($A23,Backlog[Requirement ID],0))),"",INDEX(Backlog[Requirement Name],MATCH($A23,Backlog[Requirement ID],0))),"")</f>
        <v>Friends and Family INT 157</v>
      </c>
      <c r="C23" s="26" t="str">
        <f aca="false">IFERROR(IF(ISBLANK(INDEX(Backlog[Stream],MATCH($A23,Backlog[Requirement ID],0))),"",INDEX(Backlog[Stream],MATCH($A23,Backlog[Requirement ID],0))),"")</f>
        <v>Backlog</v>
      </c>
      <c r="D23" s="26" t="str">
        <f aca="false">IFERROR(IF(ISBLANK(INDEX(Backlog[Priority],MATCH($A23,Backlog[Requirement ID],0))),"",INDEX(Backlog[Priority],MATCH($A23,Backlog[Requirement ID],0))),"")</f>
        <v>Medium</v>
      </c>
      <c r="E23" s="26" t="str">
        <f aca="false">IFERROR(IF(ISBLANK(INDEX(Backlog[Status],MATCH($A23,Backlog[Requirement ID],0))),"",INDEX(Backlog[Status],MATCH($A23,Backlog[Requirement ID],0))),"")</f>
        <v>NEW</v>
      </c>
      <c r="F23" s="24" t="s">
        <v>426</v>
      </c>
      <c r="G23" s="26" t="n">
        <f aca="false">IFERROR(IF(ISBLANK(INDEX(Backlog[HLE],MATCH($A23,Backlog[Requirement ID],0))),"",INDEX(Backlog[HLE],MATCH($A23,Backlog[Requirement ID],0))),"")</f>
        <v>13</v>
      </c>
      <c r="H23" s="26" t="n">
        <f aca="false">IFERROR(VALUE(SUBSTITUTE($F23,"Sprint ","")),9999)</f>
        <v>12</v>
      </c>
    </row>
    <row r="24" customFormat="false" ht="15" hidden="false" customHeight="true" outlineLevel="0" collapsed="false">
      <c r="A24" s="24" t="str">
        <f aca="false">Backlog!A24</f>
        <v>NEW-0029</v>
      </c>
      <c r="B24" s="26" t="str">
        <f aca="false">IFERROR(IF(ISBLANK(INDEX(Backlog[Requirement Name],MATCH($A24,Backlog[Requirement ID],0))),"",INDEX(Backlog[Requirement Name],MATCH($A24,Backlog[Requirement ID],0))),"")</f>
        <v>MYMSC All inc CR remove logic from AEM</v>
      </c>
      <c r="C24" s="26" t="str">
        <f aca="false">IFERROR(IF(ISBLANK(INDEX(Backlog[Stream],MATCH($A24,Backlog[Requirement ID],0))),"",INDEX(Backlog[Stream],MATCH($A24,Backlog[Requirement ID],0))),"")</f>
        <v>MyMSC</v>
      </c>
      <c r="D24" s="26" t="str">
        <f aca="false">IFERROR(IF(ISBLANK(INDEX(Backlog[Priority],MATCH($A24,Backlog[Requirement ID],0))),"",INDEX(Backlog[Priority],MATCH($A24,Backlog[Requirement ID],0))),"")</f>
        <v>Medium</v>
      </c>
      <c r="E24" s="26" t="str">
        <f aca="false">IFERROR(IF(ISBLANK(INDEX(Backlog[Status],MATCH($A24,Backlog[Requirement ID],0))),"",INDEX(Backlog[Status],MATCH($A24,Backlog[Requirement ID],0))),"")</f>
        <v>NEW</v>
      </c>
      <c r="F24" s="24" t="s">
        <v>425</v>
      </c>
      <c r="G24" s="26" t="n">
        <f aca="false">IFERROR(IF(ISBLANK(INDEX(Backlog[HLE],MATCH($A24,Backlog[Requirement ID],0))),"",INDEX(Backlog[HLE],MATCH($A24,Backlog[Requirement ID],0))),"")</f>
        <v>23</v>
      </c>
      <c r="H24" s="26" t="n">
        <f aca="false">IFERROR(VALUE(SUBSTITUTE($F24,"Sprint ","")),9999)</f>
        <v>11</v>
      </c>
    </row>
    <row r="25" customFormat="false" ht="15" hidden="false" customHeight="true" outlineLevel="0" collapsed="false">
      <c r="A25" s="24" t="str">
        <f aca="false">Backlog!A25</f>
        <v>NEW-0030</v>
      </c>
      <c r="B25" s="26" t="str">
        <f aca="false">IFERROR(IF(ISBLANK(INDEX(Backlog[Requirement Name],MATCH($A25,Backlog[Requirement ID],0))),"",INDEX(Backlog[Requirement Name],MATCH($A25,Backlog[Requirement ID],0))),"")</f>
        <v>Handling of additional errors INT 139/ INT 140</v>
      </c>
      <c r="C25" s="26" t="str">
        <f aca="false">IFERROR(IF(ISBLANK(INDEX(Backlog[Stream],MATCH($A25,Backlog[Requirement ID],0))),"",INDEX(Backlog[Stream],MATCH($A25,Backlog[Requirement ID],0))),"")</f>
        <v>MyMSC</v>
      </c>
      <c r="D25" s="26" t="str">
        <f aca="false">IFERROR(IF(ISBLANK(INDEX(Backlog[Priority],MATCH($A25,Backlog[Requirement ID],0))),"",INDEX(Backlog[Priority],MATCH($A25,Backlog[Requirement ID],0))),"")</f>
        <v>Medium</v>
      </c>
      <c r="E25" s="26" t="str">
        <f aca="false">IFERROR(IF(ISBLANK(INDEX(Backlog[Status],MATCH($A25,Backlog[Requirement ID],0))),"",INDEX(Backlog[Status],MATCH($A25,Backlog[Requirement ID],0))),"")</f>
        <v>NEW</v>
      </c>
      <c r="F25" s="24" t="s">
        <v>426</v>
      </c>
      <c r="G25" s="26" t="n">
        <f aca="false">IFERROR(IF(ISBLANK(INDEX(Backlog[HLE],MATCH($A25,Backlog[Requirement ID],0))),"",INDEX(Backlog[HLE],MATCH($A25,Backlog[Requirement ID],0))),"")</f>
        <v>8</v>
      </c>
      <c r="H25" s="26" t="n">
        <f aca="false">IFERROR(VALUE(SUBSTITUTE($F25,"Sprint ","")),9999)</f>
        <v>12</v>
      </c>
    </row>
    <row r="26" customFormat="false" ht="15" hidden="false" customHeight="true" outlineLevel="0" collapsed="false">
      <c r="A26" s="24" t="str">
        <f aca="false">Backlog!A26</f>
        <v>NEW-0080</v>
      </c>
      <c r="B26" s="26" t="str">
        <f aca="false">IFERROR(IF(ISBLANK(INDEX(Backlog[Requirement Name],MATCH($A26,Backlog[Requirement ID],0))),"",INDEX(Backlog[Requirement Name],MATCH($A26,Backlog[Requirement ID],0))),"")</f>
        <v>Hypercare</v>
      </c>
      <c r="C26" s="26" t="str">
        <f aca="false">IFERROR(IF(ISBLANK(INDEX(Backlog[Stream],MATCH($A26,Backlog[Requirement ID],0))),"",INDEX(Backlog[Stream],MATCH($A26,Backlog[Requirement ID],0))),"")</f>
        <v>US</v>
      </c>
      <c r="D26" s="26" t="str">
        <f aca="false">IFERROR(IF(ISBLANK(INDEX(Backlog[Priority],MATCH($A26,Backlog[Requirement ID],0))),"",INDEX(Backlog[Priority],MATCH($A26,Backlog[Requirement ID],0))),"")</f>
        <v>High</v>
      </c>
      <c r="E26" s="26" t="str">
        <f aca="false">IFERROR(IF(ISBLANK(INDEX(Backlog[Status],MATCH($A26,Backlog[Requirement ID],0))),"",INDEX(Backlog[Status],MATCH($A26,Backlog[Requirement ID],0))),"")</f>
        <v>NEW</v>
      </c>
      <c r="F26" s="24" t="s">
        <v>426</v>
      </c>
      <c r="G26" s="26" t="str">
        <f aca="false">IFERROR(IF(ISBLANK(INDEX(Backlog[HLE],MATCH($A26,Backlog[Requirement ID],0))),"",INDEX(Backlog[HLE],MATCH($A26,Backlog[Requirement ID],0))),"")</f>
        <v/>
      </c>
      <c r="H26" s="26" t="n">
        <f aca="false">IFERROR(VALUE(SUBSTITUTE($F26,"Sprint ","")),9999)</f>
        <v>12</v>
      </c>
    </row>
    <row r="27" customFormat="false" ht="15" hidden="false" customHeight="true" outlineLevel="0" collapsed="false">
      <c r="A27" s="24" t="str">
        <f aca="false">Backlog!A27</f>
        <v>NEW-0085</v>
      </c>
      <c r="B27" s="26" t="str">
        <f aca="false">IFERROR(IF(ISBLANK(INDEX(Backlog[Requirement Name],MATCH($A27,Backlog[Requirement ID],0))),"",INDEX(Backlog[Requirement Name],MATCH($A27,Backlog[Requirement ID],0))),"")</f>
        <v>PI11-08 [CDP] [INTP-21] Lead Management - Option event creation in CDP</v>
      </c>
      <c r="C27" s="26" t="str">
        <f aca="false">IFERROR(IF(ISBLANK(INDEX(Backlog[Stream],MATCH($A27,Backlog[Requirement ID],0))),"",INDEX(Backlog[Stream],MATCH($A27,Backlog[Requirement ID],0))),"")</f>
        <v>PI11</v>
      </c>
      <c r="D27" s="26" t="str">
        <f aca="false">IFERROR(IF(ISBLANK(INDEX(Backlog[Priority],MATCH($A27,Backlog[Requirement ID],0))),"",INDEX(Backlog[Priority],MATCH($A27,Backlog[Requirement ID],0))),"")</f>
        <v>Medium</v>
      </c>
      <c r="E27" s="26" t="str">
        <f aca="false">IFERROR(IF(ISBLANK(INDEX(Backlog[Status],MATCH($A27,Backlog[Requirement ID],0))),"",INDEX(Backlog[Status],MATCH($A27,Backlog[Requirement ID],0))),"")</f>
        <v>NEW</v>
      </c>
      <c r="F27" s="24" t="s">
        <v>426</v>
      </c>
      <c r="G27" s="26" t="n">
        <f aca="false">IFERROR(IF(ISBLANK(INDEX(Backlog[HLE],MATCH($A27,Backlog[Requirement ID],0))),"",INDEX(Backlog[HLE],MATCH($A27,Backlog[Requirement ID],0))),"")</f>
        <v>5</v>
      </c>
      <c r="H27" s="26" t="n">
        <f aca="false">IFERROR(VALUE(SUBSTITUTE($F27,"Sprint ","")),9999)</f>
        <v>12</v>
      </c>
    </row>
    <row r="28" customFormat="false" ht="15" hidden="false" customHeight="true" outlineLevel="0" collapsed="false">
      <c r="A28" s="24" t="str">
        <f aca="false">Backlog!A28</f>
        <v>NEW-0086</v>
      </c>
      <c r="B28" s="26" t="str">
        <f aca="false">IFERROR(IF(ISBLANK(INDEX(Backlog[Requirement Name],MATCH($A28,Backlog[Requirement ID],0))),"",INDEX(Backlog[Requirement Name],MATCH($A28,Backlog[Requirement ID],0))),"")</f>
        <v>PI11-11 [CRM] [EA-1008] DTTP - Lead Management - FCC new outbound sources</v>
      </c>
      <c r="C28" s="26" t="str">
        <f aca="false">IFERROR(IF(ISBLANK(INDEX(Backlog[Stream],MATCH($A28,Backlog[Requirement ID],0))),"",INDEX(Backlog[Stream],MATCH($A28,Backlog[Requirement ID],0))),"")</f>
        <v>PI11</v>
      </c>
      <c r="D28" s="26" t="str">
        <f aca="false">IFERROR(IF(ISBLANK(INDEX(Backlog[Priority],MATCH($A28,Backlog[Requirement ID],0))),"",INDEX(Backlog[Priority],MATCH($A28,Backlog[Requirement ID],0))),"")</f>
        <v>Medium</v>
      </c>
      <c r="E28" s="26" t="str">
        <f aca="false">IFERROR(IF(ISBLANK(INDEX(Backlog[Status],MATCH($A28,Backlog[Requirement ID],0))),"",INDEX(Backlog[Status],MATCH($A28,Backlog[Requirement ID],0))),"")</f>
        <v>NEW</v>
      </c>
      <c r="F28" s="24" t="s">
        <v>426</v>
      </c>
      <c r="G28" s="26" t="n">
        <f aca="false">IFERROR(IF(ISBLANK(INDEX(Backlog[HLE],MATCH($A28,Backlog[Requirement ID],0))),"",INDEX(Backlog[HLE],MATCH($A28,Backlog[Requirement ID],0))),"")</f>
        <v>8</v>
      </c>
      <c r="H28" s="26" t="n">
        <f aca="false">IFERROR(VALUE(SUBSTITUTE($F28,"Sprint ","")),9999)</f>
        <v>12</v>
      </c>
    </row>
    <row r="29" customFormat="false" ht="15" hidden="false" customHeight="true" outlineLevel="0" collapsed="false">
      <c r="A29" s="24" t="str">
        <f aca="false">Backlog!A29</f>
        <v>NEW-0087</v>
      </c>
      <c r="B29" s="26" t="str">
        <f aca="false">IFERROR(IF(ISBLANK(INDEX(Backlog[Requirement Name],MATCH($A29,Backlog[Requirement ID],0))),"",INDEX(Backlog[Requirement Name],MATCH($A29,Backlog[Requirement ID],0))),"")</f>
        <v>PI11-12 [CDP/CRM] CRM2-11097 / [INTP-20] Lead Management - IRL Outbound Sources Activation &amp; Form Creation</v>
      </c>
      <c r="C29" s="26" t="str">
        <f aca="false">IFERROR(IF(ISBLANK(INDEX(Backlog[Stream],MATCH($A29,Backlog[Requirement ID],0))),"",INDEX(Backlog[Stream],MATCH($A29,Backlog[Requirement ID],0))),"")</f>
        <v>PI11</v>
      </c>
      <c r="D29" s="26" t="str">
        <f aca="false">IFERROR(IF(ISBLANK(INDEX(Backlog[Priority],MATCH($A29,Backlog[Requirement ID],0))),"",INDEX(Backlog[Priority],MATCH($A29,Backlog[Requirement ID],0))),"")</f>
        <v>Medium</v>
      </c>
      <c r="E29" s="26" t="str">
        <f aca="false">IFERROR(IF(ISBLANK(INDEX(Backlog[Status],MATCH($A29,Backlog[Requirement ID],0))),"",INDEX(Backlog[Status],MATCH($A29,Backlog[Requirement ID],0))),"")</f>
        <v>NEW</v>
      </c>
      <c r="F29" s="24" t="s">
        <v>426</v>
      </c>
      <c r="G29" s="26" t="n">
        <f aca="false">IFERROR(IF(ISBLANK(INDEX(Backlog[HLE],MATCH($A29,Backlog[Requirement ID],0))),"",INDEX(Backlog[HLE],MATCH($A29,Backlog[Requirement ID],0))),"")</f>
        <v>5</v>
      </c>
      <c r="H29" s="26" t="n">
        <f aca="false">IFERROR(VALUE(SUBSTITUTE($F29,"Sprint ","")),9999)</f>
        <v>12</v>
      </c>
    </row>
    <row r="30" customFormat="false" ht="15" hidden="false" customHeight="true" outlineLevel="0" collapsed="false">
      <c r="A30" s="24" t="str">
        <f aca="false">Backlog!A30</f>
        <v>NEW-0316</v>
      </c>
      <c r="B30" s="26" t="str">
        <f aca="false">IFERROR(IF(ISBLANK(INDEX(Backlog[Requirement Name],MATCH($A30,Backlog[Requirement ID],0))),"",INDEX(Backlog[Requirement Name],MATCH($A30,Backlog[Requirement ID],0))),"")</f>
        <v>INT139 / INT140 - speciality restaurants CR to handle dining inventory errors</v>
      </c>
      <c r="C30" s="26" t="str">
        <f aca="false">IFERROR(IF(ISBLANK(INDEX(Backlog[Stream],MATCH($A30,Backlog[Requirement ID],0))),"",INDEX(Backlog[Stream],MATCH($A30,Backlog[Requirement ID],0))),"")</f>
        <v>MyMSC</v>
      </c>
      <c r="D30" s="26" t="str">
        <f aca="false">IFERROR(IF(ISBLANK(INDEX(Backlog[Priority],MATCH($A30,Backlog[Requirement ID],0))),"",INDEX(Backlog[Priority],MATCH($A30,Backlog[Requirement ID],0))),"")</f>
        <v>Medium</v>
      </c>
      <c r="E30" s="26" t="str">
        <f aca="false">IFERROR(IF(ISBLANK(INDEX(Backlog[Status],MATCH($A30,Backlog[Requirement ID],0))),"",INDEX(Backlog[Status],MATCH($A30,Backlog[Requirement ID],0))),"")</f>
        <v>NEW</v>
      </c>
      <c r="F30" s="24" t="s">
        <v>426</v>
      </c>
      <c r="G30" s="26" t="n">
        <f aca="false">IFERROR(IF(ISBLANK(INDEX(Backlog[HLE],MATCH($A30,Backlog[Requirement ID],0))),"",INDEX(Backlog[HLE],MATCH($A30,Backlog[Requirement ID],0))),"")</f>
        <v>8</v>
      </c>
      <c r="H30" s="26" t="n">
        <f aca="false">IFERROR(VALUE(SUBSTITUTE($F30,"Sprint ","")),9999)</f>
        <v>12</v>
      </c>
    </row>
    <row r="31" customFormat="false" ht="15" hidden="false" customHeight="true" outlineLevel="0" collapsed="false">
      <c r="A31" s="24" t="str">
        <f aca="false">Backlog!A31</f>
        <v>NEW-0066</v>
      </c>
      <c r="B31" s="26" t="str">
        <f aca="false">IFERROR(IF(ISBLANK(INDEX(Backlog[Requirement Name],MATCH($A31,Backlog[Requirement ID],0))),"",INDEX(Backlog[Requirement Name],MATCH($A31,Backlog[Requirement ID],0))),"")</f>
        <v>PI11-03 [B2C] Flight Enhancement - DTTP25-38915</v>
      </c>
      <c r="C31" s="26" t="str">
        <f aca="false">IFERROR(IF(ISBLANK(INDEX(Backlog[Stream],MATCH($A31,Backlog[Requirement ID],0))),"",INDEX(Backlog[Stream],MATCH($A31,Backlog[Requirement ID],0))),"")</f>
        <v>PI11</v>
      </c>
      <c r="D31" s="26" t="str">
        <f aca="false">IFERROR(IF(ISBLANK(INDEX(Backlog[Priority],MATCH($A31,Backlog[Requirement ID],0))),"",INDEX(Backlog[Priority],MATCH($A31,Backlog[Requirement ID],0))),"")</f>
        <v>Medium</v>
      </c>
      <c r="E31" s="26" t="str">
        <f aca="false">IFERROR(IF(ISBLANK(INDEX(Backlog[Status],MATCH($A31,Backlog[Requirement ID],0))),"",INDEX(Backlog[Status],MATCH($A31,Backlog[Requirement ID],0))),"")</f>
        <v>NEW</v>
      </c>
      <c r="F31" s="24" t="s">
        <v>426</v>
      </c>
      <c r="G31" s="26" t="n">
        <f aca="false">IFERROR(IF(ISBLANK(INDEX(Backlog[HLE],MATCH($A31,Backlog[Requirement ID],0))),"",INDEX(Backlog[HLE],MATCH($A31,Backlog[Requirement ID],0))),"")</f>
        <v>5</v>
      </c>
      <c r="H31" s="26" t="n">
        <f aca="false">IFERROR(VALUE(SUBSTITUTE($F31,"Sprint ","")),9999)</f>
        <v>12</v>
      </c>
    </row>
    <row r="32" customFormat="false" ht="15" hidden="false" customHeight="true" outlineLevel="0" collapsed="false">
      <c r="A32" s="24" t="str">
        <f aca="false">Backlog!A32</f>
        <v>NEW-0067</v>
      </c>
      <c r="B32" s="26" t="str">
        <f aca="false">IFERROR(IF(ISBLANK(INDEX(Backlog[Requirement Name],MATCH($A32,Backlog[Requirement ID],0))),"",INDEX(Backlog[Requirement Name],MATCH($A32,Backlog[Requirement ID],0))),"")</f>
        <v>PI11-14 [CRM] [EA-1722] CRM Dependency - Lead Management - Price Description info in CDP</v>
      </c>
      <c r="C32" s="26" t="str">
        <f aca="false">IFERROR(IF(ISBLANK(INDEX(Backlog[Stream],MATCH($A32,Backlog[Requirement ID],0))),"",INDEX(Backlog[Stream],MATCH($A32,Backlog[Requirement ID],0))),"")</f>
        <v>PI11</v>
      </c>
      <c r="D32" s="26" t="str">
        <f aca="false">IFERROR(IF(ISBLANK(INDEX(Backlog[Priority],MATCH($A32,Backlog[Requirement ID],0))),"",INDEX(Backlog[Priority],MATCH($A32,Backlog[Requirement ID],0))),"")</f>
        <v>Medium</v>
      </c>
      <c r="E32" s="26" t="str">
        <f aca="false">IFERROR(IF(ISBLANK(INDEX(Backlog[Status],MATCH($A32,Backlog[Requirement ID],0))),"",INDEX(Backlog[Status],MATCH($A32,Backlog[Requirement ID],0))),"")</f>
        <v>NEW</v>
      </c>
      <c r="F32" s="24" t="s">
        <v>426</v>
      </c>
      <c r="G32" s="26" t="n">
        <f aca="false">IFERROR(IF(ISBLANK(INDEX(Backlog[HLE],MATCH($A32,Backlog[Requirement ID],0))),"",INDEX(Backlog[HLE],MATCH($A32,Backlog[Requirement ID],0))),"")</f>
        <v>8</v>
      </c>
      <c r="H32" s="26" t="n">
        <f aca="false">IFERROR(VALUE(SUBSTITUTE($F32,"Sprint ","")),9999)</f>
        <v>12</v>
      </c>
    </row>
    <row r="33" customFormat="false" ht="15" hidden="false" customHeight="true" outlineLevel="0" collapsed="false">
      <c r="A33" s="24" t="str">
        <f aca="false">Backlog!A33</f>
        <v>NEW-0002</v>
      </c>
      <c r="B33" s="26" t="str">
        <f aca="false">IFERROR(IF(ISBLANK(INDEX(Backlog[Requirement Name],MATCH($A33,Backlog[Requirement ID],0))),"",INDEX(Backlog[Requirement Name],MATCH($A33,Backlog[Requirement ID],0))),"")</f>
        <v>Whatsapp Subscription (Phase 2)</v>
      </c>
      <c r="C33" s="26" t="str">
        <f aca="false">IFERROR(IF(ISBLANK(INDEX(Backlog[Stream],MATCH($A33,Backlog[Requirement ID],0))),"",INDEX(Backlog[Stream],MATCH($A33,Backlog[Requirement ID],0))),"")</f>
        <v>Backlog</v>
      </c>
      <c r="D33" s="26" t="str">
        <f aca="false">IFERROR(IF(ISBLANK(INDEX(Backlog[Priority],MATCH($A33,Backlog[Requirement ID],0))),"",INDEX(Backlog[Priority],MATCH($A33,Backlog[Requirement ID],0))),"")</f>
        <v>Medium</v>
      </c>
      <c r="E33" s="26" t="str">
        <f aca="false">IFERROR(IF(ISBLANK(INDEX(Backlog[Status],MATCH($A33,Backlog[Requirement ID],0))),"",INDEX(Backlog[Status],MATCH($A33,Backlog[Requirement ID],0))),"")</f>
        <v>ON HOLD</v>
      </c>
      <c r="F33" s="24" t="s">
        <v>413</v>
      </c>
      <c r="G33" s="26" t="str">
        <f aca="false">IFERROR(IF(ISBLANK(INDEX(Backlog[HLE],MATCH($A33,Backlog[Requirement ID],0))),"",INDEX(Backlog[HLE],MATCH($A33,Backlog[Requirement ID],0))),"")</f>
        <v/>
      </c>
      <c r="H33" s="26" t="n">
        <f aca="false">IFERROR(VALUE(SUBSTITUTE($F33,"Sprint ","")),9999)</f>
        <v>9999</v>
      </c>
    </row>
    <row r="34" customFormat="false" ht="15" hidden="false" customHeight="true" outlineLevel="0" collapsed="false">
      <c r="A34" s="24" t="str">
        <f aca="false">Backlog!A34</f>
        <v>NEW-0005</v>
      </c>
      <c r="B34" s="26" t="str">
        <f aca="false">IFERROR(IF(ISBLANK(INDEX(Backlog[Requirement Name],MATCH($A34,Backlog[Requirement ID],0))),"",INDEX(Backlog[Requirement Name],MATCH($A34,Backlog[Requirement ID],0))),"")</f>
        <v>Handling multicabin booking</v>
      </c>
      <c r="C34" s="26" t="str">
        <f aca="false">IFERROR(IF(ISBLANK(INDEX(Backlog[Stream],MATCH($A34,Backlog[Requirement ID],0))),"",INDEX(Backlog[Stream],MATCH($A34,Backlog[Requirement ID],0))),"")</f>
        <v>Growth</v>
      </c>
      <c r="D34" s="26" t="str">
        <f aca="false">IFERROR(IF(ISBLANK(INDEX(Backlog[Priority],MATCH($A34,Backlog[Requirement ID],0))),"",INDEX(Backlog[Priority],MATCH($A34,Backlog[Requirement ID],0))),"")</f>
        <v>Medium</v>
      </c>
      <c r="E34" s="26" t="str">
        <f aca="false">IFERROR(IF(ISBLANK(INDEX(Backlog[Status],MATCH($A34,Backlog[Requirement ID],0))),"",INDEX(Backlog[Status],MATCH($A34,Backlog[Requirement ID],0))),"")</f>
        <v>NEW</v>
      </c>
      <c r="F34" s="24" t="s">
        <v>413</v>
      </c>
      <c r="G34" s="26" t="n">
        <f aca="false">IFERROR(IF(ISBLANK(INDEX(Backlog[HLE],MATCH($A34,Backlog[Requirement ID],0))),"",INDEX(Backlog[HLE],MATCH($A34,Backlog[Requirement ID],0))),"")</f>
        <v>21</v>
      </c>
      <c r="H34" s="26" t="n">
        <f aca="false">IFERROR(VALUE(SUBSTITUTE($F34,"Sprint ","")),9999)</f>
        <v>9999</v>
      </c>
    </row>
    <row r="35" customFormat="false" ht="15" hidden="false" customHeight="true" outlineLevel="0" collapsed="false">
      <c r="A35" s="24" t="str">
        <f aca="false">Backlog!A35</f>
        <v>NEW-0006</v>
      </c>
      <c r="B35" s="26" t="str">
        <f aca="false">IFERROR(IF(ISBLANK(INDEX(Backlog[Requirement Name],MATCH($A35,Backlog[Requirement ID],0))),"",INDEX(Backlog[Requirement Name],MATCH($A35,Backlog[Requirement ID],0))),"")</f>
        <v>New UWO Interface (decoupling) </v>
      </c>
      <c r="C35" s="26" t="str">
        <f aca="false">IFERROR(IF(ISBLANK(INDEX(Backlog[Stream],MATCH($A35,Backlog[Requirement ID],0))),"",INDEX(Backlog[Stream],MATCH($A35,Backlog[Requirement ID],0))),"")</f>
        <v>Growth</v>
      </c>
      <c r="D35" s="26" t="str">
        <f aca="false">IFERROR(IF(ISBLANK(INDEX(Backlog[Priority],MATCH($A35,Backlog[Requirement ID],0))),"",INDEX(Backlog[Priority],MATCH($A35,Backlog[Requirement ID],0))),"")</f>
        <v>Medium</v>
      </c>
      <c r="E35" s="26" t="str">
        <f aca="false">IFERROR(IF(ISBLANK(INDEX(Backlog[Status],MATCH($A35,Backlog[Requirement ID],0))),"",INDEX(Backlog[Status],MATCH($A35,Backlog[Requirement ID],0))),"")</f>
        <v>NEW</v>
      </c>
      <c r="F35" s="24" t="s">
        <v>413</v>
      </c>
      <c r="G35" s="26" t="n">
        <f aca="false">IFERROR(IF(ISBLANK(INDEX(Backlog[HLE],MATCH($A35,Backlog[Requirement ID],0))),"",INDEX(Backlog[HLE],MATCH($A35,Backlog[Requirement ID],0))),"")</f>
        <v>3</v>
      </c>
      <c r="H35" s="26" t="n">
        <f aca="false">IFERROR(VALUE(SUBSTITUTE($F35,"Sprint ","")),9999)</f>
        <v>9999</v>
      </c>
    </row>
    <row r="36" customFormat="false" ht="15" hidden="false" customHeight="true" outlineLevel="0" collapsed="false">
      <c r="A36" s="24" t="str">
        <f aca="false">Backlog!A36</f>
        <v>NEW-0007</v>
      </c>
      <c r="B36" s="26" t="str">
        <f aca="false">IFERROR(IF(ISBLANK(INDEX(Backlog[Requirement Name],MATCH($A36,Backlog[Requirement ID],0))),"",INDEX(Backlog[Requirement Name],MATCH($A36,Backlog[Requirement ID],0))),"")</f>
        <v>Update Hold option (decoupling)</v>
      </c>
      <c r="C36" s="26" t="str">
        <f aca="false">IFERROR(IF(ISBLANK(INDEX(Backlog[Stream],MATCH($A36,Backlog[Requirement ID],0))),"",INDEX(Backlog[Stream],MATCH($A36,Backlog[Requirement ID],0))),"")</f>
        <v>Growth</v>
      </c>
      <c r="D36" s="26" t="str">
        <f aca="false">IFERROR(IF(ISBLANK(INDEX(Backlog[Priority],MATCH($A36,Backlog[Requirement ID],0))),"",INDEX(Backlog[Priority],MATCH($A36,Backlog[Requirement ID],0))),"")</f>
        <v>Medium</v>
      </c>
      <c r="E36" s="26" t="str">
        <f aca="false">IFERROR(IF(ISBLANK(INDEX(Backlog[Status],MATCH($A36,Backlog[Requirement ID],0))),"",INDEX(Backlog[Status],MATCH($A36,Backlog[Requirement ID],0))),"")</f>
        <v>NEW</v>
      </c>
      <c r="F36" s="24" t="s">
        <v>413</v>
      </c>
      <c r="G36" s="26" t="n">
        <f aca="false">IFERROR(IF(ISBLANK(INDEX(Backlog[HLE],MATCH($A36,Backlog[Requirement ID],0))),"",INDEX(Backlog[HLE],MATCH($A36,Backlog[Requirement ID],0))),"")</f>
        <v>3</v>
      </c>
      <c r="H36" s="26" t="n">
        <f aca="false">IFERROR(VALUE(SUBSTITUTE($F36,"Sprint ","")),9999)</f>
        <v>9999</v>
      </c>
    </row>
    <row r="37" customFormat="false" ht="15" hidden="false" customHeight="true" outlineLevel="0" collapsed="false">
      <c r="A37" s="24" t="str">
        <f aca="false">Backlog!A37</f>
        <v>NEW-0011</v>
      </c>
      <c r="B37" s="26" t="str">
        <f aca="false">IFERROR(IF(ISBLANK(INDEX(Backlog[Requirement Name],MATCH($A37,Backlog[Requirement ID],0))),"",INDEX(Backlog[Requirement Name],MATCH($A37,Backlog[Requirement ID],0))),"")</f>
        <v>INT 101 - Cabin Selections (Booking Group Management) </v>
      </c>
      <c r="C37" s="26" t="str">
        <f aca="false">IFERROR(IF(ISBLANK(INDEX(Backlog[Stream],MATCH($A37,Backlog[Requirement ID],0))),"",INDEX(Backlog[Stream],MATCH($A37,Backlog[Requirement ID],0))),"")</f>
        <v>Growth</v>
      </c>
      <c r="D37" s="26" t="str">
        <f aca="false">IFERROR(IF(ISBLANK(INDEX(Backlog[Priority],MATCH($A37,Backlog[Requirement ID],0))),"",INDEX(Backlog[Priority],MATCH($A37,Backlog[Requirement ID],0))),"")</f>
        <v>Medium</v>
      </c>
      <c r="E37" s="26" t="str">
        <f aca="false">IFERROR(IF(ISBLANK(INDEX(Backlog[Status],MATCH($A37,Backlog[Requirement ID],0))),"",INDEX(Backlog[Status],MATCH($A37,Backlog[Requirement ID],0))),"")</f>
        <v>NEW</v>
      </c>
      <c r="F37" s="24" t="s">
        <v>413</v>
      </c>
      <c r="G37" s="26" t="n">
        <f aca="false">IFERROR(IF(ISBLANK(INDEX(Backlog[HLE],MATCH($A37,Backlog[Requirement ID],0))),"",INDEX(Backlog[HLE],MATCH($A37,Backlog[Requirement ID],0))),"")</f>
        <v>8</v>
      </c>
      <c r="H37" s="26" t="n">
        <f aca="false">IFERROR(VALUE(SUBSTITUTE($F37,"Sprint ","")),9999)</f>
        <v>9999</v>
      </c>
    </row>
    <row r="38" customFormat="false" ht="15" hidden="false" customHeight="true" outlineLevel="0" collapsed="false">
      <c r="A38" s="24" t="str">
        <f aca="false">Backlog!A38</f>
        <v>NEW-0016</v>
      </c>
      <c r="B38" s="26" t="str">
        <f aca="false">IFERROR(IF(ISBLANK(INDEX(Backlog[Requirement Name],MATCH($A38,Backlog[Requirement ID],0))),"",INDEX(Backlog[Requirement Name],MATCH($A38,Backlog[Requirement ID],0))),"")</f>
        <v>myMSC Add USA Market Configuration - Chain 1/ Chain 2 </v>
      </c>
      <c r="C38" s="26" t="str">
        <f aca="false">IFERROR(IF(ISBLANK(INDEX(Backlog[Stream],MATCH($A38,Backlog[Requirement ID],0))),"",INDEX(Backlog[Stream],MATCH($A38,Backlog[Requirement ID],0))),"")</f>
        <v>US</v>
      </c>
      <c r="D38" s="26" t="str">
        <f aca="false">IFERROR(IF(ISBLANK(INDEX(Backlog[Priority],MATCH($A38,Backlog[Requirement ID],0))),"",INDEX(Backlog[Priority],MATCH($A38,Backlog[Requirement ID],0))),"")</f>
        <v>Medium</v>
      </c>
      <c r="E38" s="26" t="str">
        <f aca="false">IFERROR(IF(ISBLANK(INDEX(Backlog[Status],MATCH($A38,Backlog[Requirement ID],0))),"",INDEX(Backlog[Status],MATCH($A38,Backlog[Requirement ID],0))),"")</f>
        <v>NEW</v>
      </c>
      <c r="F38" s="24" t="s">
        <v>413</v>
      </c>
      <c r="G38" s="26" t="n">
        <f aca="false">IFERROR(IF(ISBLANK(INDEX(Backlog[HLE],MATCH($A38,Backlog[Requirement ID],0))),"",INDEX(Backlog[HLE],MATCH($A38,Backlog[Requirement ID],0))),"")</f>
        <v>8</v>
      </c>
      <c r="H38" s="26" t="n">
        <f aca="false">IFERROR(VALUE(SUBSTITUTE($F38,"Sprint ","")),9999)</f>
        <v>9999</v>
      </c>
    </row>
    <row r="39" customFormat="false" ht="15" hidden="false" customHeight="true" outlineLevel="0" collapsed="false">
      <c r="A39" s="24" t="str">
        <f aca="false">Backlog!A39</f>
        <v>NEW-0017</v>
      </c>
      <c r="B39" s="26" t="str">
        <f aca="false">IFERROR(IF(ISBLANK(INDEX(Backlog[Requirement Name],MATCH($A39,Backlog[Requirement ID],0))),"",INDEX(Backlog[Requirement Name],MATCH($A39,Backlog[Requirement ID],0))),"")</f>
        <v>ARG Payment provider Pagtur</v>
      </c>
      <c r="C39" s="26" t="str">
        <f aca="false">IFERROR(IF(ISBLANK(INDEX(Backlog[Stream],MATCH($A39,Backlog[Requirement ID],0))),"",INDEX(Backlog[Stream],MATCH($A39,Backlog[Requirement ID],0))),"")</f>
        <v>MVP Rollout</v>
      </c>
      <c r="D39" s="26" t="str">
        <f aca="false">IFERROR(IF(ISBLANK(INDEX(Backlog[Priority],MATCH($A39,Backlog[Requirement ID],0))),"",INDEX(Backlog[Priority],MATCH($A39,Backlog[Requirement ID],0))),"")</f>
        <v>Medium</v>
      </c>
      <c r="E39" s="26" t="str">
        <f aca="false">IFERROR(IF(ISBLANK(INDEX(Backlog[Status],MATCH($A39,Backlog[Requirement ID],0))),"",INDEX(Backlog[Status],MATCH($A39,Backlog[Requirement ID],0))),"")</f>
        <v>NEW</v>
      </c>
      <c r="F39" s="24" t="s">
        <v>413</v>
      </c>
      <c r="G39" s="26" t="n">
        <f aca="false">IFERROR(IF(ISBLANK(INDEX(Backlog[HLE],MATCH($A39,Backlog[Requirement ID],0))),"",INDEX(Backlog[HLE],MATCH($A39,Backlog[Requirement ID],0))),"")</f>
        <v>40</v>
      </c>
      <c r="H39" s="26" t="n">
        <f aca="false">IFERROR(VALUE(SUBSTITUTE($F39,"Sprint ","")),9999)</f>
        <v>9999</v>
      </c>
    </row>
    <row r="40" customFormat="false" ht="15" hidden="false" customHeight="true" outlineLevel="0" collapsed="false">
      <c r="A40" s="24" t="str">
        <f aca="false">Backlog!A40</f>
        <v>NEW-0018</v>
      </c>
      <c r="B40" s="26" t="str">
        <f aca="false">IFERROR(IF(ISBLANK(INDEX(Backlog[Requirement Name],MATCH($A40,Backlog[Requirement ID],0))),"",INDEX(Backlog[Requirement Name],MATCH($A40,Backlog[Requirement ID],0))),"")</f>
        <v>BR Payment providerDireçao</v>
      </c>
      <c r="C40" s="26" t="str">
        <f aca="false">IFERROR(IF(ISBLANK(INDEX(Backlog[Stream],MATCH($A40,Backlog[Requirement ID],0))),"",INDEX(Backlog[Stream],MATCH($A40,Backlog[Requirement ID],0))),"")</f>
        <v>MVP Rollout</v>
      </c>
      <c r="D40" s="26" t="str">
        <f aca="false">IFERROR(IF(ISBLANK(INDEX(Backlog[Priority],MATCH($A40,Backlog[Requirement ID],0))),"",INDEX(Backlog[Priority],MATCH($A40,Backlog[Requirement ID],0))),"")</f>
        <v>Medium</v>
      </c>
      <c r="E40" s="26" t="str">
        <f aca="false">IFERROR(IF(ISBLANK(INDEX(Backlog[Status],MATCH($A40,Backlog[Requirement ID],0))),"",INDEX(Backlog[Status],MATCH($A40,Backlog[Requirement ID],0))),"")</f>
        <v>NEW</v>
      </c>
      <c r="F40" s="24" t="s">
        <v>413</v>
      </c>
      <c r="G40" s="26" t="n">
        <f aca="false">IFERROR(IF(ISBLANK(INDEX(Backlog[HLE],MATCH($A40,Backlog[Requirement ID],0))),"",INDEX(Backlog[HLE],MATCH($A40,Backlog[Requirement ID],0))),"")</f>
        <v>40</v>
      </c>
      <c r="H40" s="26" t="n">
        <f aca="false">IFERROR(VALUE(SUBSTITUTE($F40,"Sprint ","")),9999)</f>
        <v>9999</v>
      </c>
    </row>
    <row r="41" customFormat="false" ht="15" hidden="false" customHeight="true" outlineLevel="0" collapsed="false">
      <c r="A41" s="24" t="str">
        <f aca="false">Backlog!A41</f>
        <v>NEW-0020</v>
      </c>
      <c r="B41" s="26" t="str">
        <f aca="false">IFERROR(IF(ISBLANK(INDEX(Backlog[Requirement Name],MATCH($A41,Backlog[Requirement ID],0))),"",INDEX(Backlog[Requirement Name],MATCH($A41,Backlog[Requirement ID],0))),"")</f>
        <v>MyMSC Spa </v>
      </c>
      <c r="C41" s="26" t="str">
        <f aca="false">IFERROR(IF(ISBLANK(INDEX(Backlog[Stream],MATCH($A41,Backlog[Requirement ID],0))),"",INDEX(Backlog[Stream],MATCH($A41,Backlog[Requirement ID],0))),"")</f>
        <v>MyMSC</v>
      </c>
      <c r="D41" s="26" t="str">
        <f aca="false">IFERROR(IF(ISBLANK(INDEX(Backlog[Priority],MATCH($A41,Backlog[Requirement ID],0))),"",INDEX(Backlog[Priority],MATCH($A41,Backlog[Requirement ID],0))),"")</f>
        <v>Medium</v>
      </c>
      <c r="E41" s="26" t="str">
        <f aca="false">IFERROR(IF(ISBLANK(INDEX(Backlog[Status],MATCH($A41,Backlog[Requirement ID],0))),"",INDEX(Backlog[Status],MATCH($A41,Backlog[Requirement ID],0))),"")</f>
        <v>NEW</v>
      </c>
      <c r="F41" s="24" t="s">
        <v>413</v>
      </c>
      <c r="G41" s="26" t="n">
        <f aca="false">IFERROR(IF(ISBLANK(INDEX(Backlog[HLE],MATCH($A41,Backlog[Requirement ID],0))),"",INDEX(Backlog[HLE],MATCH($A41,Backlog[Requirement ID],0))),"")</f>
        <v>20</v>
      </c>
      <c r="H41" s="26" t="n">
        <f aca="false">IFERROR(VALUE(SUBSTITUTE($F41,"Sprint ","")),9999)</f>
        <v>9999</v>
      </c>
    </row>
    <row r="42" customFormat="false" ht="15" hidden="false" customHeight="true" outlineLevel="0" collapsed="false">
      <c r="A42" s="24" t="str">
        <f aca="false">Backlog!A42</f>
        <v>NEW-0022</v>
      </c>
      <c r="B42" s="26" t="str">
        <f aca="false">IFERROR(IF(ISBLANK(INDEX(Backlog[Requirement Name],MATCH($A42,Backlog[Requirement ID],0))),"",INDEX(Backlog[Requirement Name],MATCH($A42,Backlog[Requirement ID],0))),"")</f>
        <v>Super Agency Access</v>
      </c>
      <c r="C42" s="26" t="str">
        <f aca="false">IFERROR(IF(ISBLANK(INDEX(Backlog[Stream],MATCH($A42,Backlog[Requirement ID],0))),"",INDEX(Backlog[Stream],MATCH($A42,Backlog[Requirement ID],0))),"")</f>
        <v>MyMSC</v>
      </c>
      <c r="D42" s="26" t="str">
        <f aca="false">IFERROR(IF(ISBLANK(INDEX(Backlog[Priority],MATCH($A42,Backlog[Requirement ID],0))),"",INDEX(Backlog[Priority],MATCH($A42,Backlog[Requirement ID],0))),"")</f>
        <v>Medium</v>
      </c>
      <c r="E42" s="26" t="str">
        <f aca="false">IFERROR(IF(ISBLANK(INDEX(Backlog[Status],MATCH($A42,Backlog[Requirement ID],0))),"",INDEX(Backlog[Status],MATCH($A42,Backlog[Requirement ID],0))),"")</f>
        <v>NEW</v>
      </c>
      <c r="F42" s="24" t="s">
        <v>413</v>
      </c>
      <c r="G42" s="26" t="n">
        <f aca="false">IFERROR(IF(ISBLANK(INDEX(Backlog[HLE],MATCH($A42,Backlog[Requirement ID],0))),"",INDEX(Backlog[HLE],MATCH($A42,Backlog[Requirement ID],0))),"")</f>
        <v>8</v>
      </c>
      <c r="H42" s="26" t="n">
        <f aca="false">IFERROR(VALUE(SUBSTITUTE($F42,"Sprint ","")),9999)</f>
        <v>9999</v>
      </c>
    </row>
    <row r="43" customFormat="false" ht="15" hidden="false" customHeight="true" outlineLevel="0" collapsed="false">
      <c r="A43" s="24" t="str">
        <f aca="false">Backlog!A43</f>
        <v>NEW-0033</v>
      </c>
      <c r="B43" s="26" t="str">
        <f aca="false">IFERROR(IF(ISBLANK(INDEX(Backlog[Requirement Name],MATCH($A43,Backlog[Requirement ID],0))),"",INDEX(Backlog[Requirement Name],MATCH($A43,Backlog[Requirement ID],0))),"")</f>
        <v>Pending Configurations for DACH, MED, LATAM</v>
      </c>
      <c r="C43" s="26" t="str">
        <f aca="false">IFERROR(IF(ISBLANK(INDEX(Backlog[Stream],MATCH($A43,Backlog[Requirement ID],0))),"",INDEX(Backlog[Stream],MATCH($A43,Backlog[Requirement ID],0))),"")</f>
        <v>MyMSC</v>
      </c>
      <c r="D43" s="26" t="str">
        <f aca="false">IFERROR(IF(ISBLANK(INDEX(Backlog[Priority],MATCH($A43,Backlog[Requirement ID],0))),"",INDEX(Backlog[Priority],MATCH($A43,Backlog[Requirement ID],0))),"")</f>
        <v>Medium</v>
      </c>
      <c r="E43" s="26" t="str">
        <f aca="false">IFERROR(IF(ISBLANK(INDEX(Backlog[Status],MATCH($A43,Backlog[Requirement ID],0))),"",INDEX(Backlog[Status],MATCH($A43,Backlog[Requirement ID],0))),"")</f>
        <v>NEW</v>
      </c>
      <c r="F43" s="24" t="s">
        <v>413</v>
      </c>
      <c r="G43" s="26" t="n">
        <f aca="false">IFERROR(IF(ISBLANK(INDEX(Backlog[HLE],MATCH($A43,Backlog[Requirement ID],0))),"",INDEX(Backlog[HLE],MATCH($A43,Backlog[Requirement ID],0))),"")</f>
        <v>3</v>
      </c>
      <c r="H43" s="26" t="n">
        <f aca="false">IFERROR(VALUE(SUBSTITUTE($F43,"Sprint ","")),9999)</f>
        <v>9999</v>
      </c>
    </row>
    <row r="44" customFormat="false" ht="15" hidden="false" customHeight="true" outlineLevel="0" collapsed="false">
      <c r="A44" s="24" t="str">
        <f aca="false">Backlog!A44</f>
        <v>NEW-0068</v>
      </c>
      <c r="B44" s="26" t="str">
        <f aca="false">IFERROR(IF(ISBLANK(INDEX(Backlog[Requirement Name],MATCH($A44,Backlog[Requirement ID],0))),"",INDEX(Backlog[Requirement Name],MATCH($A44,Backlog[Requirement ID],0))),"")</f>
        <v>[EAINT] [CR][INT026][INT133][INT130] Split calls to CMS for excursion/OBS data into chunks</v>
      </c>
      <c r="C44" s="26" t="str">
        <f aca="false">IFERROR(IF(ISBLANK(INDEX(Backlog[Stream],MATCH($A44,Backlog[Requirement ID],0))),"",INDEX(Backlog[Stream],MATCH($A44,Backlog[Requirement ID],0))),"")</f>
        <v>MyMSC</v>
      </c>
      <c r="D44" s="26" t="str">
        <f aca="false">IFERROR(IF(ISBLANK(INDEX(Backlog[Priority],MATCH($A44,Backlog[Requirement ID],0))),"",INDEX(Backlog[Priority],MATCH($A44,Backlog[Requirement ID],0))),"")</f>
        <v>Medium</v>
      </c>
      <c r="E44" s="26" t="str">
        <f aca="false">IFERROR(IF(ISBLANK(INDEX(Backlog[Status],MATCH($A44,Backlog[Requirement ID],0))),"",INDEX(Backlog[Status],MATCH($A44,Backlog[Requirement ID],0))),"")</f>
        <v>NEW</v>
      </c>
      <c r="F44" s="24" t="s">
        <v>413</v>
      </c>
      <c r="G44" s="26" t="n">
        <f aca="false">IFERROR(IF(ISBLANK(INDEX(Backlog[HLE],MATCH($A44,Backlog[Requirement ID],0))),"",INDEX(Backlog[HLE],MATCH($A44,Backlog[Requirement ID],0))),"")</f>
        <v>8</v>
      </c>
      <c r="H44" s="26" t="n">
        <f aca="false">IFERROR(VALUE(SUBSTITUTE($F44,"Sprint ","")),9999)</f>
        <v>9999</v>
      </c>
    </row>
    <row r="45" customFormat="false" ht="15" hidden="false" customHeight="true" outlineLevel="0" collapsed="false">
      <c r="A45" s="24" t="str">
        <f aca="false">Backlog!A45</f>
        <v>NEW-0265</v>
      </c>
      <c r="B45" s="26" t="str">
        <f aca="false">IFERROR(IF(ISBLANK(INDEX(Backlog[Requirement Name],MATCH($A45,Backlog[Requirement ID],0))),"",INDEX(Backlog[Requirement Name],MATCH($A45,Backlog[Requirement ID],0))),"")</f>
        <v>TLI 99.1</v>
      </c>
      <c r="C45" s="26" t="str">
        <f aca="false">IFERROR(IF(ISBLANK(INDEX(Backlog[Stream],MATCH($A45,Backlog[Requirement ID],0))),"",INDEX(Backlog[Stream],MATCH($A45,Backlog[Requirement ID],0))),"")</f>
        <v>US</v>
      </c>
      <c r="D45" s="26" t="str">
        <f aca="false">IFERROR(IF(ISBLANK(INDEX(Backlog[Priority],MATCH($A45,Backlog[Requirement ID],0))),"",INDEX(Backlog[Priority],MATCH($A45,Backlog[Requirement ID],0))),"")</f>
        <v>Medium</v>
      </c>
      <c r="E45" s="26" t="str">
        <f aca="false">IFERROR(IF(ISBLANK(INDEX(Backlog[Status],MATCH($A45,Backlog[Requirement ID],0))),"",INDEX(Backlog[Status],MATCH($A45,Backlog[Requirement ID],0))),"")</f>
        <v>DONE</v>
      </c>
      <c r="F45" s="24"/>
      <c r="G45" s="26" t="str">
        <f aca="false">IFERROR(IF(ISBLANK(INDEX(Backlog[HLE],MATCH($A45,Backlog[Requirement ID],0))),"",INDEX(Backlog[HLE],MATCH($A45,Backlog[Requirement ID],0))),"")</f>
        <v/>
      </c>
      <c r="H45" s="26" t="n">
        <f aca="false">IFERROR(VALUE(SUBSTITUTE($F45,"Sprint ","")),9999)</f>
        <v>9999</v>
      </c>
    </row>
    <row r="46" customFormat="false" ht="15" hidden="false" customHeight="true" outlineLevel="0" collapsed="false">
      <c r="A46" s="24" t="str">
        <f aca="false">Backlog!A46</f>
        <v>NEW-0266</v>
      </c>
      <c r="B46" s="26" t="str">
        <f aca="false">IFERROR(IF(ISBLANK(INDEX(Backlog[Requirement Name],MATCH($A46,Backlog[Requirement ID],0))),"",INDEX(Backlog[Requirement Name],MATCH($A46,Backlog[Requirement ID],0))),"")</f>
        <v>Campaigns for loyalty program management</v>
      </c>
      <c r="C46" s="26" t="str">
        <f aca="false">IFERROR(IF(ISBLANK(INDEX(Backlog[Stream],MATCH($A46,Backlog[Requirement ID],0))),"",INDEX(Backlog[Stream],MATCH($A46,Backlog[Requirement ID],0))),"")</f>
        <v>US</v>
      </c>
      <c r="D46" s="26" t="str">
        <f aca="false">IFERROR(IF(ISBLANK(INDEX(Backlog[Priority],MATCH($A46,Backlog[Requirement ID],0))),"",INDEX(Backlog[Priority],MATCH($A46,Backlog[Requirement ID],0))),"")</f>
        <v>Medium</v>
      </c>
      <c r="E46" s="26" t="str">
        <f aca="false">IFERROR(IF(ISBLANK(INDEX(Backlog[Status],MATCH($A46,Backlog[Requirement ID],0))),"",INDEX(Backlog[Status],MATCH($A46,Backlog[Requirement ID],0))),"")</f>
        <v>DONE</v>
      </c>
      <c r="F46" s="24"/>
      <c r="G46" s="26" t="str">
        <f aca="false">IFERROR(IF(ISBLANK(INDEX(Backlog[HLE],MATCH($A46,Backlog[Requirement ID],0))),"",INDEX(Backlog[HLE],MATCH($A46,Backlog[Requirement ID],0))),"")</f>
        <v/>
      </c>
      <c r="H46" s="26" t="n">
        <f aca="false">IFERROR(VALUE(SUBSTITUTE($F46,"Sprint ","")),9999)</f>
        <v>9999</v>
      </c>
    </row>
    <row r="47" customFormat="false" ht="15" hidden="false" customHeight="true" outlineLevel="0" collapsed="false">
      <c r="A47" s="24" t="str">
        <f aca="false">Backlog!A47</f>
        <v>NEW-0270</v>
      </c>
      <c r="B47" s="26" t="str">
        <f aca="false">IFERROR(IF(ISBLANK(INDEX(Backlog[Requirement Name],MATCH($A47,Backlog[Requirement ID],0))),"",INDEX(Backlog[Requirement Name],MATCH($A47,Backlog[Requirement ID],0))),"")</f>
        <v>Booking Group Management Cabin Selections</v>
      </c>
      <c r="C47" s="26" t="str">
        <f aca="false">IFERROR(IF(ISBLANK(INDEX(Backlog[Stream],MATCH($A47,Backlog[Requirement ID],0))),"",INDEX(Backlog[Stream],MATCH($A47,Backlog[Requirement ID],0))),"")</f>
        <v>US</v>
      </c>
      <c r="D47" s="26" t="str">
        <f aca="false">IFERROR(IF(ISBLANK(INDEX(Backlog[Priority],MATCH($A47,Backlog[Requirement ID],0))),"",INDEX(Backlog[Priority],MATCH($A47,Backlog[Requirement ID],0))),"")</f>
        <v>Medium</v>
      </c>
      <c r="E47" s="26" t="str">
        <f aca="false">IFERROR(IF(ISBLANK(INDEX(Backlog[Status],MATCH($A47,Backlog[Requirement ID],0))),"",INDEX(Backlog[Status],MATCH($A47,Backlog[Requirement ID],0))),"")</f>
        <v>NEW</v>
      </c>
      <c r="F47" s="24" t="s">
        <v>413</v>
      </c>
      <c r="G47" s="26" t="n">
        <f aca="false">IFERROR(IF(ISBLANK(INDEX(Backlog[HLE],MATCH($A47,Backlog[Requirement ID],0))),"",INDEX(Backlog[HLE],MATCH($A47,Backlog[Requirement ID],0))),"")</f>
        <v>5</v>
      </c>
      <c r="H47" s="26" t="n">
        <f aca="false">IFERROR(VALUE(SUBSTITUTE($F47,"Sprint ","")),9999)</f>
        <v>9999</v>
      </c>
    </row>
    <row r="48" customFormat="false" ht="15" hidden="false" customHeight="true" outlineLevel="0" collapsed="false">
      <c r="A48" s="24" t="str">
        <f aca="false">Backlog!A48</f>
        <v>NEW-0274</v>
      </c>
      <c r="B48" s="26" t="str">
        <f aca="false">IFERROR(IF(ISBLANK(INDEX(Backlog[Requirement Name],MATCH($A48,Backlog[Requirement ID],0))),"",INDEX(Backlog[Requirement Name],MATCH($A48,Backlog[Requirement ID],0))),"")</f>
        <v>INT024.2 - Addition of “Disembarkation Date” and “Pay By” fields</v>
      </c>
      <c r="C48" s="26" t="str">
        <f aca="false">IFERROR(IF(ISBLANK(INDEX(Backlog[Stream],MATCH($A48,Backlog[Requirement ID],0))),"",INDEX(Backlog[Stream],MATCH($A48,Backlog[Requirement ID],0))),"")</f>
        <v>Growth</v>
      </c>
      <c r="D48" s="26" t="str">
        <f aca="false">IFERROR(IF(ISBLANK(INDEX(Backlog[Priority],MATCH($A48,Backlog[Requirement ID],0))),"",INDEX(Backlog[Priority],MATCH($A48,Backlog[Requirement ID],0))),"")</f>
        <v>Medium</v>
      </c>
      <c r="E48" s="26" t="str">
        <f aca="false">IFERROR(IF(ISBLANK(INDEX(Backlog[Status],MATCH($A48,Backlog[Requirement ID],0))),"",INDEX(Backlog[Status],MATCH($A48,Backlog[Requirement ID],0))),"")</f>
        <v>NEW</v>
      </c>
      <c r="F48" s="24" t="s">
        <v>413</v>
      </c>
      <c r="G48" s="26" t="n">
        <f aca="false">IFERROR(IF(ISBLANK(INDEX(Backlog[HLE],MATCH($A48,Backlog[Requirement ID],0))),"",INDEX(Backlog[HLE],MATCH($A48,Backlog[Requirement ID],0))),"")</f>
        <v>3</v>
      </c>
      <c r="H48" s="26" t="n">
        <f aca="false">IFERROR(VALUE(SUBSTITUTE($F48,"Sprint ","")),9999)</f>
        <v>9999</v>
      </c>
    </row>
    <row r="49" customFormat="false" ht="15" hidden="false" customHeight="true" outlineLevel="0" collapsed="false">
      <c r="A49" s="24" t="str">
        <f aca="false">Backlog!A49</f>
        <v>NEW-0284</v>
      </c>
      <c r="B49" s="26" t="str">
        <f aca="false">IFERROR(IF(ISBLANK(INDEX(Backlog[Requirement Name],MATCH($A49,Backlog[Requirement ID],0))),"",INDEX(Backlog[Requirement Name],MATCH($A49,Backlog[Requirement ID],0))),"")</f>
        <v>DACH, MED, LATAM Configurations</v>
      </c>
      <c r="C49" s="26" t="str">
        <f aca="false">IFERROR(IF(ISBLANK(INDEX(Backlog[Stream],MATCH($A49,Backlog[Requirement ID],0))),"",INDEX(Backlog[Stream],MATCH($A49,Backlog[Requirement ID],0))),"")</f>
        <v>MyMSC</v>
      </c>
      <c r="D49" s="26" t="str">
        <f aca="false">IFERROR(IF(ISBLANK(INDEX(Backlog[Priority],MATCH($A49,Backlog[Requirement ID],0))),"",INDEX(Backlog[Priority],MATCH($A49,Backlog[Requirement ID],0))),"")</f>
        <v>Medium</v>
      </c>
      <c r="E49" s="26" t="str">
        <f aca="false">IFERROR(IF(ISBLANK(INDEX(Backlog[Status],MATCH($A49,Backlog[Requirement ID],0))),"",INDEX(Backlog[Status],MATCH($A49,Backlog[Requirement ID],0))),"")</f>
        <v>NEW</v>
      </c>
      <c r="F49" s="24" t="s">
        <v>413</v>
      </c>
      <c r="G49" s="26" t="str">
        <f aca="false">IFERROR(IF(ISBLANK(INDEX(Backlog[HLE],MATCH($A49,Backlog[Requirement ID],0))),"",INDEX(Backlog[HLE],MATCH($A49,Backlog[Requirement ID],0))),"")</f>
        <v/>
      </c>
      <c r="H49" s="26" t="n">
        <f aca="false">IFERROR(VALUE(SUBSTITUTE($F49,"Sprint ","")),9999)</f>
        <v>9999</v>
      </c>
    </row>
    <row r="50" customFormat="false" ht="15" hidden="false" customHeight="true" outlineLevel="0" collapsed="false">
      <c r="A50" s="24" t="str">
        <f aca="false">Backlog!A50</f>
        <v>NEW-0288</v>
      </c>
      <c r="B50" s="26" t="str">
        <f aca="false">IFERROR(IF(ISBLANK(INDEX(Backlog[Requirement Name],MATCH($A50,Backlog[Requirement ID],0))),"",INDEX(Backlog[Requirement Name],MATCH($A50,Backlog[Requirement ID],0))),"")</f>
        <v>Remove of login endpoints from MyMSC EAPI</v>
      </c>
      <c r="C50" s="26" t="str">
        <f aca="false">IFERROR(IF(ISBLANK(INDEX(Backlog[Stream],MATCH($A50,Backlog[Requirement ID],0))),"",INDEX(Backlog[Stream],MATCH($A50,Backlog[Requirement ID],0))),"")</f>
        <v>MyMSC</v>
      </c>
      <c r="D50" s="26" t="str">
        <f aca="false">IFERROR(IF(ISBLANK(INDEX(Backlog[Priority],MATCH($A50,Backlog[Requirement ID],0))),"",INDEX(Backlog[Priority],MATCH($A50,Backlog[Requirement ID],0))),"")</f>
        <v>Medium</v>
      </c>
      <c r="E50" s="26" t="str">
        <f aca="false">IFERROR(IF(ISBLANK(INDEX(Backlog[Status],MATCH($A50,Backlog[Requirement ID],0))),"",INDEX(Backlog[Status],MATCH($A50,Backlog[Requirement ID],0))),"")</f>
        <v>NEW</v>
      </c>
      <c r="F50" s="24" t="s">
        <v>413</v>
      </c>
      <c r="G50" s="26" t="n">
        <f aca="false">IFERROR(IF(ISBLANK(INDEX(Backlog[HLE],MATCH($A50,Backlog[Requirement ID],0))),"",INDEX(Backlog[HLE],MATCH($A50,Backlog[Requirement ID],0))),"")</f>
        <v>8</v>
      </c>
      <c r="H50" s="26" t="n">
        <f aca="false">IFERROR(VALUE(SUBSTITUTE($F50,"Sprint ","")),9999)</f>
        <v>9999</v>
      </c>
    </row>
    <row r="51" customFormat="false" ht="15" hidden="false" customHeight="true" outlineLevel="0" collapsed="false">
      <c r="A51" s="24" t="str">
        <f aca="false">Backlog!A51</f>
        <v>NEW-0290</v>
      </c>
      <c r="B51" s="26" t="str">
        <f aca="false">IFERROR(IF(ISBLANK(INDEX(Backlog[Requirement Name],MATCH($A51,Backlog[Requirement ID],0))),"",INDEX(Backlog[Requirement Name],MATCH($A51,Backlog[Requirement ID],0))),"")</f>
        <v>Bug fix for cabin logic in INT135.1/135.2</v>
      </c>
      <c r="C51" s="26" t="str">
        <f aca="false">IFERROR(IF(ISBLANK(INDEX(Backlog[Stream],MATCH($A51,Backlog[Requirement ID],0))),"",INDEX(Backlog[Stream],MATCH($A51,Backlog[Requirement ID],0))),"")</f>
        <v>MyMSC</v>
      </c>
      <c r="D51" s="26" t="str">
        <f aca="false">IFERROR(IF(ISBLANK(INDEX(Backlog[Priority],MATCH($A51,Backlog[Requirement ID],0))),"",INDEX(Backlog[Priority],MATCH($A51,Backlog[Requirement ID],0))),"")</f>
        <v>Medium</v>
      </c>
      <c r="E51" s="26" t="str">
        <f aca="false">IFERROR(IF(ISBLANK(INDEX(Backlog[Status],MATCH($A51,Backlog[Requirement ID],0))),"",INDEX(Backlog[Status],MATCH($A51,Backlog[Requirement ID],0))),"")</f>
        <v>NEW</v>
      </c>
      <c r="F51" s="24" t="s">
        <v>425</v>
      </c>
      <c r="G51" s="26" t="n">
        <f aca="false">IFERROR(IF(ISBLANK(INDEX(Backlog[HLE],MATCH($A51,Backlog[Requirement ID],0))),"",INDEX(Backlog[HLE],MATCH($A51,Backlog[Requirement ID],0))),"")</f>
        <v>5</v>
      </c>
      <c r="H51" s="26" t="n">
        <f aca="false">IFERROR(VALUE(SUBSTITUTE($F51,"Sprint ","")),9999)</f>
        <v>11</v>
      </c>
    </row>
    <row r="52" customFormat="false" ht="15" hidden="false" customHeight="true" outlineLevel="0" collapsed="false">
      <c r="A52" s="24" t="str">
        <f aca="false">Backlog!A52</f>
        <v>NEW-0299</v>
      </c>
      <c r="B52" s="26" t="str">
        <f aca="false">IFERROR(IF(ISBLANK(INDEX(Backlog[Requirement Name],MATCH($A52,Backlog[Requirement ID],0))),"",INDEX(Backlog[Requirement Name],MATCH($A52,Backlog[Requirement ID],0))),"")</f>
        <v>Spa</v>
      </c>
      <c r="C52" s="26" t="str">
        <f aca="false">IFERROR(IF(ISBLANK(INDEX(Backlog[Stream],MATCH($A52,Backlog[Requirement ID],0))),"",INDEX(Backlog[Stream],MATCH($A52,Backlog[Requirement ID],0))),"")</f>
        <v>MyMSC</v>
      </c>
      <c r="D52" s="26" t="str">
        <f aca="false">IFERROR(IF(ISBLANK(INDEX(Backlog[Priority],MATCH($A52,Backlog[Requirement ID],0))),"",INDEX(Backlog[Priority],MATCH($A52,Backlog[Requirement ID],0))),"")</f>
        <v>Medium</v>
      </c>
      <c r="E52" s="26" t="str">
        <f aca="false">IFERROR(IF(ISBLANK(INDEX(Backlog[Status],MATCH($A52,Backlog[Requirement ID],0))),"",INDEX(Backlog[Status],MATCH($A52,Backlog[Requirement ID],0))),"")</f>
        <v>NEW</v>
      </c>
      <c r="F52" s="24" t="s">
        <v>413</v>
      </c>
      <c r="G52" s="26" t="n">
        <f aca="false">IFERROR(IF(ISBLANK(INDEX(Backlog[HLE],MATCH($A52,Backlog[Requirement ID],0))),"",INDEX(Backlog[HLE],MATCH($A52,Backlog[Requirement ID],0))),"")</f>
        <v>33</v>
      </c>
      <c r="H52" s="26" t="n">
        <f aca="false">IFERROR(VALUE(SUBSTITUTE($F52,"Sprint ","")),9999)</f>
        <v>9999</v>
      </c>
    </row>
    <row r="53" customFormat="false" ht="15" hidden="false" customHeight="true" outlineLevel="0" collapsed="false">
      <c r="A53" s="24" t="str">
        <f aca="false">Backlog!A53</f>
        <v>NEW-0315</v>
      </c>
      <c r="B53" s="26" t="str">
        <f aca="false">IFERROR(IF(ISBLANK(INDEX(Backlog[Requirement Name],MATCH($A53,Backlog[Requirement ID],0))),"",INDEX(Backlog[Requirement Name],MATCH($A53,Backlog[Requirement ID],0))),"")</f>
        <v>MyMSC CR to handle BKG_001 when booking retrieved</v>
      </c>
      <c r="C53" s="26" t="str">
        <f aca="false">IFERROR(IF(ISBLANK(INDEX(Backlog[Stream],MATCH($A53,Backlog[Requirement ID],0))),"",INDEX(Backlog[Stream],MATCH($A53,Backlog[Requirement ID],0))),"")</f>
        <v>MyMSC</v>
      </c>
      <c r="D53" s="26" t="str">
        <f aca="false">IFERROR(IF(ISBLANK(INDEX(Backlog[Priority],MATCH($A53,Backlog[Requirement ID],0))),"",INDEX(Backlog[Priority],MATCH($A53,Backlog[Requirement ID],0))),"")</f>
        <v>Medium</v>
      </c>
      <c r="E53" s="26" t="str">
        <f aca="false">IFERROR(IF(ISBLANK(INDEX(Backlog[Status],MATCH($A53,Backlog[Requirement ID],0))),"",INDEX(Backlog[Status],MATCH($A53,Backlog[Requirement ID],0))),"")</f>
        <v>NEW</v>
      </c>
      <c r="F53" s="24" t="s">
        <v>413</v>
      </c>
      <c r="G53" s="26" t="n">
        <f aca="false">IFERROR(IF(ISBLANK(INDEX(Backlog[HLE],MATCH($A53,Backlog[Requirement ID],0))),"",INDEX(Backlog[HLE],MATCH($A53,Backlog[Requirement ID],0))),"")</f>
        <v>8</v>
      </c>
      <c r="H53" s="26" t="n">
        <f aca="false">IFERROR(VALUE(SUBSTITUTE($F53,"Sprint ","")),9999)</f>
        <v>9999</v>
      </c>
    </row>
    <row r="54" customFormat="false" ht="15" hidden="false" customHeight="true" outlineLevel="0" collapsed="false">
      <c r="A54" s="24" t="str">
        <f aca="false">Backlog!A54</f>
        <v>NEW-0322</v>
      </c>
      <c r="B54" s="26" t="str">
        <f aca="false">IFERROR(IF(ISBLANK(INDEX(Backlog[Requirement Name],MATCH($A54,Backlog[Requirement ID],0))),"",INDEX(Backlog[Requirement Name],MATCH($A54,Backlog[Requirement ID],0))),"")</f>
        <v>MyMSC/MA CR for enabling DEM links to light login</v>
      </c>
      <c r="C54" s="26" t="str">
        <f aca="false">IFERROR(IF(ISBLANK(INDEX(Backlog[Stream],MATCH($A54,Backlog[Requirement ID],0))),"",INDEX(Backlog[Stream],MATCH($A54,Backlog[Requirement ID],0))),"")</f>
        <v>MyMSC</v>
      </c>
      <c r="D54" s="26" t="str">
        <f aca="false">IFERROR(IF(ISBLANK(INDEX(Backlog[Priority],MATCH($A54,Backlog[Requirement ID],0))),"",INDEX(Backlog[Priority],MATCH($A54,Backlog[Requirement ID],0))),"")</f>
        <v>Medium</v>
      </c>
      <c r="E54" s="26" t="str">
        <f aca="false">IFERROR(IF(ISBLANK(INDEX(Backlog[Status],MATCH($A54,Backlog[Requirement ID],0))),"",INDEX(Backlog[Status],MATCH($A54,Backlog[Requirement ID],0))),"")</f>
        <v>NEW</v>
      </c>
      <c r="F54" s="24" t="s">
        <v>413</v>
      </c>
      <c r="G54" s="26" t="n">
        <f aca="false">IFERROR(IF(ISBLANK(INDEX(Backlog[HLE],MATCH($A54,Backlog[Requirement ID],0))),"",INDEX(Backlog[HLE],MATCH($A54,Backlog[Requirement ID],0))),"")</f>
        <v>13</v>
      </c>
      <c r="H54" s="26" t="n">
        <f aca="false">IFERROR(VALUE(SUBSTITUTE($F54,"Sprint ","")),9999)</f>
        <v>9999</v>
      </c>
    </row>
    <row r="55" customFormat="false" ht="15" hidden="false" customHeight="true" outlineLevel="0" collapsed="false">
      <c r="A55" s="24" t="str">
        <f aca="false">Backlog!A55</f>
        <v>NEW-0324</v>
      </c>
      <c r="B55" s="26" t="str">
        <f aca="false">IFERROR(IF(ISBLANK(INDEX(Backlog[Requirement Name],MATCH($A55,Backlog[Requirement ID],0))),"",INDEX(Backlog[Requirement Name],MATCH($A55,Backlog[Requirement ID],0))),"")</f>
        <v>MSC- MyMSC PRE_CRM_002 error scenario change CR to additem</v>
      </c>
      <c r="C55" s="26" t="str">
        <f aca="false">IFERROR(IF(ISBLANK(INDEX(Backlog[Stream],MATCH($A55,Backlog[Requirement ID],0))),"",INDEX(Backlog[Stream],MATCH($A55,Backlog[Requirement ID],0))),"")</f>
        <v>MyMSC</v>
      </c>
      <c r="D55" s="26" t="str">
        <f aca="false">IFERROR(IF(ISBLANK(INDEX(Backlog[Priority],MATCH($A55,Backlog[Requirement ID],0))),"",INDEX(Backlog[Priority],MATCH($A55,Backlog[Requirement ID],0))),"")</f>
        <v>Medium</v>
      </c>
      <c r="E55" s="26" t="str">
        <f aca="false">IFERROR(IF(ISBLANK(INDEX(Backlog[Status],MATCH($A55,Backlog[Requirement ID],0))),"",INDEX(Backlog[Status],MATCH($A55,Backlog[Requirement ID],0))),"")</f>
        <v>NEW</v>
      </c>
      <c r="F55" s="24" t="s">
        <v>413</v>
      </c>
      <c r="G55" s="26" t="str">
        <f aca="false">IFERROR(IF(ISBLANK(INDEX(Backlog[HLE],MATCH($A55,Backlog[Requirement ID],0))),"",INDEX(Backlog[HLE],MATCH($A55,Backlog[Requirement ID],0))),"")</f>
        <v/>
      </c>
      <c r="H55" s="26" t="n">
        <f aca="false">IFERROR(VALUE(SUBSTITUTE($F55,"Sprint ","")),9999)</f>
        <v>9999</v>
      </c>
    </row>
    <row r="56" customFormat="false" ht="15" hidden="false" customHeight="true" outlineLevel="0" collapsed="false">
      <c r="A56" s="24" t="str">
        <f aca="false">Backlog!A56</f>
        <v>NEW-0343</v>
      </c>
      <c r="B56" s="26" t="str">
        <f aca="false">IFERROR(IF(ISBLANK(INDEX(Backlog[Requirement Name],MATCH($A56,Backlog[Requirement ID],0))),"",INDEX(Backlog[Requirement Name],MATCH($A56,Backlog[Requirement ID],0))),"")</f>
        <v>CDP / DTS Post Booking - CR - Passenger name filter</v>
      </c>
      <c r="C56" s="26" t="str">
        <f aca="false">IFERROR(IF(ISBLANK(INDEX(Backlog[Stream],MATCH($A56,Backlog[Requirement ID],0))),"",INDEX(Backlog[Stream],MATCH($A56,Backlog[Requirement ID],0))),"")</f>
        <v>Backlog</v>
      </c>
      <c r="D56" s="26" t="str">
        <f aca="false">IFERROR(IF(ISBLANK(INDEX(Backlog[Priority],MATCH($A56,Backlog[Requirement ID],0))),"",INDEX(Backlog[Priority],MATCH($A56,Backlog[Requirement ID],0))),"")</f>
        <v>Medium</v>
      </c>
      <c r="E56" s="26" t="str">
        <f aca="false">IFERROR(IF(ISBLANK(INDEX(Backlog[Status],MATCH($A56,Backlog[Requirement ID],0))),"",INDEX(Backlog[Status],MATCH($A56,Backlog[Requirement ID],0))),"")</f>
        <v>ON HOLD</v>
      </c>
      <c r="F56" s="24" t="s">
        <v>413</v>
      </c>
      <c r="G56" s="26" t="str">
        <f aca="false">IFERROR(IF(ISBLANK(INDEX(Backlog[HLE],MATCH($A56,Backlog[Requirement ID],0))),"",INDEX(Backlog[HLE],MATCH($A56,Backlog[Requirement ID],0))),"")</f>
        <v/>
      </c>
      <c r="H56" s="26" t="n">
        <f aca="false">IFERROR(VALUE(SUBSTITUTE($F56,"Sprint ","")),9999)</f>
        <v>9999</v>
      </c>
    </row>
    <row r="57" customFormat="false" ht="15" hidden="false" customHeight="true" outlineLevel="0" collapsed="false">
      <c r="A57" s="24" t="str">
        <f aca="false">Backlog!A57</f>
        <v>NEW-0344</v>
      </c>
      <c r="B57" s="26" t="str">
        <f aca="false">IFERROR(IF(ISBLANK(INDEX(Backlog[Requirement Name],MATCH($A57,Backlog[Requirement ID],0))),"",INDEX(Backlog[Requirement Name],MATCH($A57,Backlog[Requirement ID],0))),"")</f>
        <v>CDP / DTS Post Booking - CR  - INT024.1 Improve data quality handling and optimise customer  search</v>
      </c>
      <c r="C57" s="26" t="str">
        <f aca="false">IFERROR(IF(ISBLANK(INDEX(Backlog[Stream],MATCH($A57,Backlog[Requirement ID],0))),"",INDEX(Backlog[Stream],MATCH($A57,Backlog[Requirement ID],0))),"")</f>
        <v>Backlog</v>
      </c>
      <c r="D57" s="26" t="str">
        <f aca="false">IFERROR(IF(ISBLANK(INDEX(Backlog[Priority],MATCH($A57,Backlog[Requirement ID],0))),"",INDEX(Backlog[Priority],MATCH($A57,Backlog[Requirement ID],0))),"")</f>
        <v>Medium</v>
      </c>
      <c r="E57" s="26" t="str">
        <f aca="false">IFERROR(IF(ISBLANK(INDEX(Backlog[Status],MATCH($A57,Backlog[Requirement ID],0))),"",INDEX(Backlog[Status],MATCH($A57,Backlog[Requirement ID],0))),"")</f>
        <v>NEW</v>
      </c>
      <c r="F57" s="24" t="s">
        <v>413</v>
      </c>
      <c r="G57" s="26" t="str">
        <f aca="false">IFERROR(IF(ISBLANK(INDEX(Backlog[HLE],MATCH($A57,Backlog[Requirement ID],0))),"",INDEX(Backlog[HLE],MATCH($A57,Backlog[Requirement ID],0))),"")</f>
        <v/>
      </c>
      <c r="H57" s="26" t="n">
        <f aca="false">IFERROR(VALUE(SUBSTITUTE($F57,"Sprint ","")),9999)</f>
        <v>9999</v>
      </c>
    </row>
    <row r="58" customFormat="false" ht="15" hidden="false" customHeight="true" outlineLevel="0" collapsed="false">
      <c r="A58" s="24" t="str">
        <f aca="false">Backlog!A58</f>
        <v>NEW-0345</v>
      </c>
      <c r="B58" s="26" t="str">
        <f aca="false">IFERROR(IF(ISBLANK(INDEX(Backlog[Requirement Name],MATCH($A58,Backlog[Requirement ID],0))),"",INDEX(Backlog[Requirement Name],MATCH($A58,Backlog[Requirement ID],0))),"")</f>
        <v>CDP / DTS Post Booking - CR - INT024.1 Long term Improved data quality handling</v>
      </c>
      <c r="C58" s="26" t="str">
        <f aca="false">IFERROR(IF(ISBLANK(INDEX(Backlog[Stream],MATCH($A58,Backlog[Requirement ID],0))),"",INDEX(Backlog[Stream],MATCH($A58,Backlog[Requirement ID],0))),"")</f>
        <v>Backlog</v>
      </c>
      <c r="D58" s="26" t="str">
        <f aca="false">IFERROR(IF(ISBLANK(INDEX(Backlog[Priority],MATCH($A58,Backlog[Requirement ID],0))),"",INDEX(Backlog[Priority],MATCH($A58,Backlog[Requirement ID],0))),"")</f>
        <v>Medium</v>
      </c>
      <c r="E58" s="26" t="str">
        <f aca="false">IFERROR(IF(ISBLANK(INDEX(Backlog[Status],MATCH($A58,Backlog[Requirement ID],0))),"",INDEX(Backlog[Status],MATCH($A58,Backlog[Requirement ID],0))),"")</f>
        <v>NEW</v>
      </c>
      <c r="F58" s="24" t="s">
        <v>413</v>
      </c>
      <c r="G58" s="26" t="str">
        <f aca="false">IFERROR(IF(ISBLANK(INDEX(Backlog[HLE],MATCH($A58,Backlog[Requirement ID],0))),"",INDEX(Backlog[HLE],MATCH($A58,Backlog[Requirement ID],0))),"")</f>
        <v/>
      </c>
      <c r="H58" s="26" t="n">
        <f aca="false">IFERROR(VALUE(SUBSTITUTE($F58,"Sprint ","")),9999)</f>
        <v>9999</v>
      </c>
    </row>
    <row r="59" customFormat="false" ht="15" hidden="false" customHeight="true" outlineLevel="0" collapsed="false">
      <c r="A59" s="24" t="str">
        <f aca="false">Backlog!A59</f>
        <v>NEW-0346</v>
      </c>
      <c r="B59" s="26" t="str">
        <f aca="false">IFERROR(IF(ISBLANK(INDEX(Backlog[Requirement Name],MATCH($A59,Backlog[Requirement ID],0))),"",INDEX(Backlog[Requirement Name],MATCH($A59,Backlog[Requirement ID],0))),"")</f>
        <v>CR - Improved data quality handling optimise customer search page size across other integrations</v>
      </c>
      <c r="C59" s="26" t="str">
        <f aca="false">IFERROR(IF(ISBLANK(INDEX(Backlog[Stream],MATCH($A59,Backlog[Requirement ID],0))),"",INDEX(Backlog[Stream],MATCH($A59,Backlog[Requirement ID],0))),"")</f>
        <v>Backlog</v>
      </c>
      <c r="D59" s="26" t="str">
        <f aca="false">IFERROR(IF(ISBLANK(INDEX(Backlog[Priority],MATCH($A59,Backlog[Requirement ID],0))),"",INDEX(Backlog[Priority],MATCH($A59,Backlog[Requirement ID],0))),"")</f>
        <v>Medium</v>
      </c>
      <c r="E59" s="26" t="str">
        <f aca="false">IFERROR(IF(ISBLANK(INDEX(Backlog[Status],MATCH($A59,Backlog[Requirement ID],0))),"",INDEX(Backlog[Status],MATCH($A59,Backlog[Requirement ID],0))),"")</f>
        <v>NEW</v>
      </c>
      <c r="F59" s="24" t="s">
        <v>413</v>
      </c>
      <c r="G59" s="26" t="str">
        <f aca="false">IFERROR(IF(ISBLANK(INDEX(Backlog[HLE],MATCH($A59,Backlog[Requirement ID],0))),"",INDEX(Backlog[HLE],MATCH($A59,Backlog[Requirement ID],0))),"")</f>
        <v/>
      </c>
      <c r="H59" s="26" t="n">
        <f aca="false">IFERROR(VALUE(SUBSTITUTE($F59,"Sprint ","")),9999)</f>
        <v>9999</v>
      </c>
    </row>
    <row r="60" customFormat="false" ht="15" hidden="false" customHeight="true" outlineLevel="0" collapsed="false">
      <c r="A60" s="24" t="str">
        <f aca="false">Backlog!A60</f>
        <v>NEW-0356</v>
      </c>
      <c r="B60" s="46" t="str">
        <f aca="false">IFERROR(IF(ISBLANK(INDEX(Backlog[Requirement Name],MATCH($A60,Backlog[Requirement ID],0))),"",INDEX(Backlog[Requirement Name],MATCH($A60,Backlog[Requirement ID],0))),"")</f>
        <v>MED Insurance - Do not sell any insurance if CoR differ across pax</v>
      </c>
      <c r="C60" s="26" t="str">
        <f aca="false">IFERROR(IF(ISBLANK(INDEX(Backlog[Stream],MATCH($A60,Backlog[Requirement ID],0))),"",INDEX(Backlog[Stream],MATCH($A60,Backlog[Requirement ID],0))),"")</f>
        <v>Growth</v>
      </c>
      <c r="D60" s="26" t="str">
        <f aca="false">IFERROR(IF(ISBLANK(INDEX(Backlog[Priority],MATCH($A60,Backlog[Requirement ID],0))),"",INDEX(Backlog[Priority],MATCH($A60,Backlog[Requirement ID],0))),"")</f>
        <v>Medium</v>
      </c>
      <c r="E60" s="26" t="str">
        <f aca="false">IFERROR(IF(ISBLANK(INDEX(Backlog[Status],MATCH($A60,Backlog[Requirement ID],0))),"",INDEX(Backlog[Status],MATCH($A60,Backlog[Requirement ID],0))),"")</f>
        <v>ON HOLD</v>
      </c>
      <c r="F60" s="24" t="s">
        <v>413</v>
      </c>
      <c r="G60" s="26" t="n">
        <f aca="false">IFERROR(IF(ISBLANK(INDEX(Backlog[HLE],MATCH($A60,Backlog[Requirement ID],0))),"",INDEX(Backlog[HLE],MATCH($A60,Backlog[Requirement ID],0))),"")</f>
        <v>8</v>
      </c>
      <c r="H60" s="26" t="n">
        <f aca="false">IFERROR(VALUE(SUBSTITUTE($F60,"Sprint ","")),9999)</f>
        <v>9999</v>
      </c>
    </row>
    <row r="61" customFormat="false" ht="15" hidden="false" customHeight="true" outlineLevel="0" collapsed="false">
      <c r="A61" s="24" t="str">
        <f aca="false">Backlog!A61</f>
        <v>NEW-0358</v>
      </c>
      <c r="B61" s="26" t="str">
        <f aca="false">IFERROR(IF(ISBLANK(INDEX(Backlog[Requirement Name],MATCH($A61,Backlog[Requirement ID],0))),"",INDEX(Backlog[Requirement Name],MATCH($A61,Backlog[Requirement ID],0))),"")</f>
        <v>CMS Configuration for Airports in B2CW Booking Funnel</v>
      </c>
      <c r="C61" s="26" t="str">
        <f aca="false">IFERROR(IF(ISBLANK(INDEX(Backlog[Stream],MATCH($A61,Backlog[Requirement ID],0))),"",INDEX(Backlog[Stream],MATCH($A61,Backlog[Requirement ID],0))),"")</f>
        <v>Growth</v>
      </c>
      <c r="D61" s="26" t="str">
        <f aca="false">IFERROR(IF(ISBLANK(INDEX(Backlog[Priority],MATCH($A61,Backlog[Requirement ID],0))),"",INDEX(Backlog[Priority],MATCH($A61,Backlog[Requirement ID],0))),"")</f>
        <v>Medium</v>
      </c>
      <c r="E61" s="26" t="str">
        <f aca="false">IFERROR(IF(ISBLANK(INDEX(Backlog[Status],MATCH($A61,Backlog[Requirement ID],0))),"",INDEX(Backlog[Status],MATCH($A61,Backlog[Requirement ID],0))),"")</f>
        <v>ON HOLD</v>
      </c>
      <c r="F61" s="24" t="s">
        <v>413</v>
      </c>
      <c r="G61" s="26" t="str">
        <f aca="false">IFERROR(IF(ISBLANK(INDEX(Backlog[HLE],MATCH($A61,Backlog[Requirement ID],0))),"",INDEX(Backlog[HLE],MATCH($A61,Backlog[Requirement ID],0))),"")</f>
        <v/>
      </c>
      <c r="H61" s="26" t="n">
        <f aca="false">IFERROR(VALUE(SUBSTITUTE($F61,"Sprint ","")),9999)</f>
        <v>9999</v>
      </c>
    </row>
    <row r="62" customFormat="false" ht="15" hidden="false" customHeight="true" outlineLevel="0" collapsed="false">
      <c r="A62" s="24" t="str">
        <f aca="false">Backlog!A62</f>
        <v>NEW-0360</v>
      </c>
      <c r="B62" s="26" t="str">
        <f aca="false">IFERROR(IF(ISBLANK(INDEX(Backlog[Requirement Name],MATCH($A62,Backlog[Requirement ID],0))),"",INDEX(Backlog[Requirement Name],MATCH($A62,Backlog[Requirement ID],0))),"")</f>
        <v>Paypal Reconciliation for prepaid</v>
      </c>
      <c r="C62" s="26" t="str">
        <f aca="false">IFERROR(IF(ISBLANK(INDEX(Backlog[Stream],MATCH($A62,Backlog[Requirement ID],0))),"",INDEX(Backlog[Stream],MATCH($A62,Backlog[Requirement ID],0))),"")</f>
        <v>Growth</v>
      </c>
      <c r="D62" s="26" t="str">
        <f aca="false">IFERROR(IF(ISBLANK(INDEX(Backlog[Priority],MATCH($A62,Backlog[Requirement ID],0))),"",INDEX(Backlog[Priority],MATCH($A62,Backlog[Requirement ID],0))),"")</f>
        <v>Medium</v>
      </c>
      <c r="E62" s="26" t="str">
        <f aca="false">IFERROR(IF(ISBLANK(INDEX(Backlog[Status],MATCH($A62,Backlog[Requirement ID],0))),"",INDEX(Backlog[Status],MATCH($A62,Backlog[Requirement ID],0))),"")</f>
        <v>NEW</v>
      </c>
      <c r="F62" s="24" t="s">
        <v>413</v>
      </c>
      <c r="G62" s="26" t="n">
        <f aca="false">IFERROR(IF(ISBLANK(INDEX(Backlog[HLE],MATCH($A62,Backlog[Requirement ID],0))),"",INDEX(Backlog[HLE],MATCH($A62,Backlog[Requirement ID],0))),"")</f>
        <v>5</v>
      </c>
      <c r="H62" s="26" t="n">
        <f aca="false">IFERROR(VALUE(SUBSTITUTE($F62,"Sprint ","")),9999)</f>
        <v>9999</v>
      </c>
    </row>
    <row r="63" customFormat="false" ht="15" hidden="false" customHeight="true" outlineLevel="0" collapsed="false">
      <c r="A63" s="24" t="str">
        <f aca="false">Backlog!A63</f>
        <v>NEW-0361</v>
      </c>
      <c r="B63" s="26" t="str">
        <f aca="false">IFERROR(IF(ISBLANK(INDEX(Backlog[Requirement Name],MATCH($A63,Backlog[Requirement ID],0))),"",INDEX(Backlog[Requirement Name],MATCH($A63,Backlog[Requirement ID],0))),"")</f>
        <v>US - adding of fields to Hold option orchestration in call to AJO  -cabincode, embarkation date, cruise area</v>
      </c>
      <c r="C63" s="26" t="str">
        <f aca="false">IFERROR(IF(ISBLANK(INDEX(Backlog[Stream],MATCH($A63,Backlog[Requirement ID],0))),"",INDEX(Backlog[Stream],MATCH($A63,Backlog[Requirement ID],0))),"")</f>
        <v>Growth</v>
      </c>
      <c r="D63" s="26" t="str">
        <f aca="false">IFERROR(IF(ISBLANK(INDEX(Backlog[Priority],MATCH($A63,Backlog[Requirement ID],0))),"",INDEX(Backlog[Priority],MATCH($A63,Backlog[Requirement ID],0))),"")</f>
        <v>Medium</v>
      </c>
      <c r="E63" s="26" t="str">
        <f aca="false">IFERROR(IF(ISBLANK(INDEX(Backlog[Status],MATCH($A63,Backlog[Requirement ID],0))),"",INDEX(Backlog[Status],MATCH($A63,Backlog[Requirement ID],0))),"")</f>
        <v>NEW</v>
      </c>
      <c r="F63" s="24" t="s">
        <v>413</v>
      </c>
      <c r="G63" s="26" t="str">
        <f aca="false">IFERROR(IF(ISBLANK(INDEX(Backlog[HLE],MATCH($A63,Backlog[Requirement ID],0))),"",INDEX(Backlog[HLE],MATCH($A63,Backlog[Requirement ID],0))),"")</f>
        <v/>
      </c>
      <c r="H63" s="26" t="n">
        <f aca="false">IFERROR(VALUE(SUBSTITUTE($F63,"Sprint ","")),9999)</f>
        <v>9999</v>
      </c>
    </row>
    <row r="64" customFormat="false" ht="15" hidden="false" customHeight="true" outlineLevel="0" collapsed="false">
      <c r="A64" s="24" t="str">
        <f aca="false">Backlog!A64</f>
        <v>NEW-0362</v>
      </c>
      <c r="B64" s="26" t="str">
        <f aca="false">IFERROR(IF(ISBLANK(INDEX(Backlog[Requirement Name],MATCH($A64,Backlog[Requirement ID],0))),"",INDEX(Backlog[Requirement Name],MATCH($A64,Backlog[Requirement ID],0))),"")</f>
        <v>US - Known and Unknown management analysis for US (CDP/AJO)</v>
      </c>
      <c r="C64" s="26" t="str">
        <f aca="false">IFERROR(IF(ISBLANK(INDEX(Backlog[Stream],MATCH($A64,Backlog[Requirement ID],0))),"",INDEX(Backlog[Stream],MATCH($A64,Backlog[Requirement ID],0))),"")</f>
        <v>Growth</v>
      </c>
      <c r="D64" s="26" t="str">
        <f aca="false">IFERROR(IF(ISBLANK(INDEX(Backlog[Priority],MATCH($A64,Backlog[Requirement ID],0))),"",INDEX(Backlog[Priority],MATCH($A64,Backlog[Requirement ID],0))),"")</f>
        <v>Medium</v>
      </c>
      <c r="E64" s="26" t="str">
        <f aca="false">IFERROR(IF(ISBLANK(INDEX(Backlog[Status],MATCH($A64,Backlog[Requirement ID],0))),"",INDEX(Backlog[Status],MATCH($A64,Backlog[Requirement ID],0))),"")</f>
        <v>NEW</v>
      </c>
      <c r="F64" s="24" t="s">
        <v>413</v>
      </c>
      <c r="G64" s="26" t="str">
        <f aca="false">IFERROR(IF(ISBLANK(INDEX(Backlog[HLE],MATCH($A64,Backlog[Requirement ID],0))),"",INDEX(Backlog[HLE],MATCH($A64,Backlog[Requirement ID],0))),"")</f>
        <v/>
      </c>
      <c r="H64" s="26" t="n">
        <f aca="false">IFERROR(VALUE(SUBSTITUTE($F64,"Sprint ","")),9999)</f>
        <v>9999</v>
      </c>
    </row>
    <row r="65" customFormat="false" ht="15" hidden="false" customHeight="true" outlineLevel="0" collapsed="false">
      <c r="A65" s="24" t="str">
        <f aca="false">Backlog!A65</f>
        <v>NEW-0363</v>
      </c>
      <c r="B65" s="26" t="str">
        <f aca="false">IFERROR(IF(ISBLANK(INDEX(Backlog[Requirement Name],MATCH($A65,Backlog[Requirement ID],0))),"",INDEX(Backlog[Requirement Name],MATCH($A65,Backlog[Requirement ID],0))),"")</f>
        <v>US - Outbound Leads - Light Login for Leads Moving Option Expiring</v>
      </c>
      <c r="C65" s="26" t="str">
        <f aca="false">IFERROR(IF(ISBLANK(INDEX(Backlog[Stream],MATCH($A65,Backlog[Requirement ID],0))),"",INDEX(Backlog[Stream],MATCH($A65,Backlog[Requirement ID],0))),"")</f>
        <v>Growth</v>
      </c>
      <c r="D65" s="26" t="str">
        <f aca="false">IFERROR(IF(ISBLANK(INDEX(Backlog[Priority],MATCH($A65,Backlog[Requirement ID],0))),"",INDEX(Backlog[Priority],MATCH($A65,Backlog[Requirement ID],0))),"")</f>
        <v>Medium</v>
      </c>
      <c r="E65" s="26" t="str">
        <f aca="false">IFERROR(IF(ISBLANK(INDEX(Backlog[Status],MATCH($A65,Backlog[Requirement ID],0))),"",INDEX(Backlog[Status],MATCH($A65,Backlog[Requirement ID],0))),"")</f>
        <v>NEW</v>
      </c>
      <c r="F65" s="24" t="s">
        <v>413</v>
      </c>
      <c r="G65" s="26" t="str">
        <f aca="false">IFERROR(IF(ISBLANK(INDEX(Backlog[HLE],MATCH($A65,Backlog[Requirement ID],0))),"",INDEX(Backlog[HLE],MATCH($A65,Backlog[Requirement ID],0))),"")</f>
        <v/>
      </c>
      <c r="H65" s="26" t="n">
        <f aca="false">IFERROR(VALUE(SUBSTITUTE($F65,"Sprint ","")),9999)</f>
        <v>9999</v>
      </c>
    </row>
    <row r="66" customFormat="false" ht="15" hidden="false" customHeight="true" outlineLevel="0" collapsed="false">
      <c r="A66" s="24" t="str">
        <f aca="false">Backlog!A66</f>
        <v>NEW-0364</v>
      </c>
      <c r="B66" s="26" t="str">
        <f aca="false">IFERROR(IF(ISBLANK(INDEX(Backlog[Requirement Name],MATCH($A66,Backlog[Requirement ID],0))),"",INDEX(Backlog[Requirement Name],MATCH($A66,Backlog[Requirement ID],0))),"")</f>
        <v>B2CW Booking Funnel - TRF and Pricing Structure Assessment – ESP Market</v>
      </c>
      <c r="C66" s="26" t="str">
        <f aca="false">IFERROR(IF(ISBLANK(INDEX(Backlog[Stream],MATCH($A66,Backlog[Requirement ID],0))),"",INDEX(Backlog[Stream],MATCH($A66,Backlog[Requirement ID],0))),"")</f>
        <v>Growth</v>
      </c>
      <c r="D66" s="26" t="str">
        <f aca="false">IFERROR(IF(ISBLANK(INDEX(Backlog[Priority],MATCH($A66,Backlog[Requirement ID],0))),"",INDEX(Backlog[Priority],MATCH($A66,Backlog[Requirement ID],0))),"")</f>
        <v>Medium</v>
      </c>
      <c r="E66" s="26" t="str">
        <f aca="false">IFERROR(IF(ISBLANK(INDEX(Backlog[Status],MATCH($A66,Backlog[Requirement ID],0))),"",INDEX(Backlog[Status],MATCH($A66,Backlog[Requirement ID],0))),"")</f>
        <v>NEW</v>
      </c>
      <c r="F66" s="24" t="s">
        <v>413</v>
      </c>
      <c r="G66" s="26" t="str">
        <f aca="false">IFERROR(IF(ISBLANK(INDEX(Backlog[HLE],MATCH($A66,Backlog[Requirement ID],0))),"",INDEX(Backlog[HLE],MATCH($A66,Backlog[Requirement ID],0))),"")</f>
        <v/>
      </c>
      <c r="H66" s="26" t="n">
        <f aca="false">IFERROR(VALUE(SUBSTITUTE($F66,"Sprint ","")),9999)</f>
        <v>9999</v>
      </c>
    </row>
    <row r="67" customFormat="false" ht="15" hidden="false" customHeight="true" outlineLevel="0" collapsed="false">
      <c r="A67" s="24" t="str">
        <f aca="false">Backlog!A67</f>
        <v>NEW-0366</v>
      </c>
      <c r="B67" s="26" t="str">
        <f aca="false">IFERROR(IF(ISBLANK(INDEX(Backlog[Requirement Name],MATCH($A67,Backlog[Requirement ID],0))),"",INDEX(Backlog[Requirement Name],MATCH($A67,Backlog[Requirement ID],0))),"")</f>
        <v>B2CW Accessibility &amp; Medical Webform Business Rules for booking</v>
      </c>
      <c r="C67" s="26" t="str">
        <f aca="false">IFERROR(IF(ISBLANK(INDEX(Backlog[Stream],MATCH($A67,Backlog[Requirement ID],0))),"",INDEX(Backlog[Stream],MATCH($A67,Backlog[Requirement ID],0))),"")</f>
        <v>Growth</v>
      </c>
      <c r="D67" s="26" t="str">
        <f aca="false">IFERROR(IF(ISBLANK(INDEX(Backlog[Priority],MATCH($A67,Backlog[Requirement ID],0))),"",INDEX(Backlog[Priority],MATCH($A67,Backlog[Requirement ID],0))),"")</f>
        <v>Medium</v>
      </c>
      <c r="E67" s="26" t="str">
        <f aca="false">IFERROR(IF(ISBLANK(INDEX(Backlog[Status],MATCH($A67,Backlog[Requirement ID],0))),"",INDEX(Backlog[Status],MATCH($A67,Backlog[Requirement ID],0))),"")</f>
        <v>NEW</v>
      </c>
      <c r="F67" s="24" t="s">
        <v>413</v>
      </c>
      <c r="G67" s="26" t="str">
        <f aca="false">IFERROR(IF(ISBLANK(INDEX(Backlog[HLE],MATCH($A67,Backlog[Requirement ID],0))),"",INDEX(Backlog[HLE],MATCH($A67,Backlog[Requirement ID],0))),"")</f>
        <v/>
      </c>
      <c r="H67" s="26" t="n">
        <f aca="false">IFERROR(VALUE(SUBSTITUTE($F67,"Sprint ","")),9999)</f>
        <v>9999</v>
      </c>
    </row>
    <row r="68" customFormat="false" ht="15" hidden="false" customHeight="true" outlineLevel="0" collapsed="false">
      <c r="A68" s="24" t="str">
        <f aca="false">Backlog!A68</f>
        <v>NEW-0367</v>
      </c>
      <c r="B68" s="26" t="str">
        <f aca="false">IFERROR(IF(ISBLANK(INDEX(Backlog[Requirement Name],MATCH($A68,Backlog[Requirement ID],0))),"",INDEX(Backlog[Requirement Name],MATCH($A68,Backlog[Requirement ID],0))),"")</f>
        <v>MyMSC US | Extend JWT expiry</v>
      </c>
      <c r="C68" s="26" t="str">
        <f aca="false">IFERROR(IF(ISBLANK(INDEX(Backlog[Stream],MATCH($A68,Backlog[Requirement ID],0))),"",INDEX(Backlog[Stream],MATCH($A68,Backlog[Requirement ID],0))),"")</f>
        <v>Growth</v>
      </c>
      <c r="D68" s="26" t="str">
        <f aca="false">IFERROR(IF(ISBLANK(INDEX(Backlog[Priority],MATCH($A68,Backlog[Requirement ID],0))),"",INDEX(Backlog[Priority],MATCH($A68,Backlog[Requirement ID],0))),"")</f>
        <v>Medium</v>
      </c>
      <c r="E68" s="26" t="str">
        <f aca="false">IFERROR(IF(ISBLANK(INDEX(Backlog[Status],MATCH($A68,Backlog[Requirement ID],0))),"",INDEX(Backlog[Status],MATCH($A68,Backlog[Requirement ID],0))),"")</f>
        <v>NEW</v>
      </c>
      <c r="F68" s="24" t="s">
        <v>413</v>
      </c>
      <c r="G68" s="26" t="n">
        <f aca="false">IFERROR(IF(ISBLANK(INDEX(Backlog[HLE],MATCH($A68,Backlog[Requirement ID],0))),"",INDEX(Backlog[HLE],MATCH($A68,Backlog[Requirement ID],0))),"")</f>
        <v>5</v>
      </c>
      <c r="H68" s="26" t="n">
        <f aca="false">IFERROR(VALUE(SUBSTITUTE($F68,"Sprint ","")),9999)</f>
        <v>9999</v>
      </c>
    </row>
    <row r="69" customFormat="false" ht="15" hidden="false" customHeight="true" outlineLevel="0" collapsed="false">
      <c r="A69" s="24" t="str">
        <f aca="false">Backlog!A69</f>
        <v>NEW-0370</v>
      </c>
      <c r="B69" s="26" t="str">
        <f aca="false">IFERROR(IF(ISBLANK(INDEX(Backlog[Requirement Name],MATCH($A69,Backlog[Requirement ID],0))),"",INDEX(Backlog[Requirement Name],MATCH($A69,Backlog[Requirement ID],0))),"")</f>
        <v>Handling DSC_076 scenario in booking funnel</v>
      </c>
      <c r="C69" s="26" t="str">
        <f aca="false">IFERROR(IF(ISBLANK(INDEX(Backlog[Stream],MATCH($A69,Backlog[Requirement ID],0))),"",INDEX(Backlog[Stream],MATCH($A69,Backlog[Requirement ID],0))),"")</f>
        <v>Growth</v>
      </c>
      <c r="D69" s="26" t="str">
        <f aca="false">IFERROR(IF(ISBLANK(INDEX(Backlog[Priority],MATCH($A69,Backlog[Requirement ID],0))),"",INDEX(Backlog[Priority],MATCH($A69,Backlog[Requirement ID],0))),"")</f>
        <v>Medium</v>
      </c>
      <c r="E69" s="26" t="str">
        <f aca="false">IFERROR(IF(ISBLANK(INDEX(Backlog[Status],MATCH($A69,Backlog[Requirement ID],0))),"",INDEX(Backlog[Status],MATCH($A69,Backlog[Requirement ID],0))),"")</f>
        <v/>
      </c>
      <c r="F69" s="24" t="s">
        <v>413</v>
      </c>
      <c r="G69" s="26" t="str">
        <f aca="false">IFERROR(IF(ISBLANK(INDEX(Backlog[HLE],MATCH($A69,Backlog[Requirement ID],0))),"",INDEX(Backlog[HLE],MATCH($A69,Backlog[Requirement ID],0))),"")</f>
        <v/>
      </c>
      <c r="H69" s="26" t="n">
        <f aca="false">IFERROR(VALUE(SUBSTITUTE($F69,"Sprint ","")),9999)</f>
        <v>9999</v>
      </c>
    </row>
    <row r="70" customFormat="false" ht="15" hidden="false" customHeight="true" outlineLevel="0" collapsed="false">
      <c r="A70" s="24" t="str">
        <f aca="false">Backlog!A70</f>
        <v>NEW-0371</v>
      </c>
      <c r="B70" s="26" t="str">
        <f aca="false">IFERROR(IF(ISBLANK(INDEX(Backlog[Requirement Name],MATCH($A70,Backlog[Requirement ID],0))),"",INDEX(Backlog[Requirement Name],MATCH($A70,Backlog[Requirement ID],0))),"")</f>
        <v>B2CW Prospect Onsite Quotation</v>
      </c>
      <c r="C70" s="26" t="str">
        <f aca="false">IFERROR(IF(ISBLANK(INDEX(Backlog[Stream],MATCH($A70,Backlog[Requirement ID],0))),"",INDEX(Backlog[Stream],MATCH($A70,Backlog[Requirement ID],0))),"")</f>
        <v>Growth</v>
      </c>
      <c r="D70" s="26" t="str">
        <f aca="false">IFERROR(IF(ISBLANK(INDEX(Backlog[Priority],MATCH($A70,Backlog[Requirement ID],0))),"",INDEX(Backlog[Priority],MATCH($A70,Backlog[Requirement ID],0))),"")</f>
        <v>Medium</v>
      </c>
      <c r="E70" s="26" t="str">
        <f aca="false">IFERROR(IF(ISBLANK(INDEX(Backlog[Status],MATCH($A70,Backlog[Requirement ID],0))),"",INDEX(Backlog[Status],MATCH($A70,Backlog[Requirement ID],0))),"")</f>
        <v>NEW</v>
      </c>
      <c r="F70" s="24" t="s">
        <v>413</v>
      </c>
      <c r="G70" s="26" t="n">
        <f aca="false">IFERROR(IF(ISBLANK(INDEX(Backlog[HLE],MATCH($A70,Backlog[Requirement ID],0))),"",INDEX(Backlog[HLE],MATCH($A70,Backlog[Requirement ID],0))),"")</f>
        <v>5</v>
      </c>
      <c r="H70" s="26" t="n">
        <f aca="false">IFERROR(VALUE(SUBSTITUTE($F70,"Sprint ","")),9999)</f>
        <v>9999</v>
      </c>
    </row>
    <row r="71" customFormat="false" ht="15" hidden="false" customHeight="true" outlineLevel="0" collapsed="false">
      <c r="A71" s="24" t="str">
        <f aca="false">Backlog!A71</f>
        <v>NEW-0373</v>
      </c>
      <c r="B71" s="26" t="str">
        <f aca="false">IFERROR(IF(ISBLANK(INDEX(Backlog[Requirement Name],MATCH($A71,Backlog[Requirement ID],0))),"",INDEX(Backlog[Requirement Name],MATCH($A71,Backlog[Requirement ID],0))),"")</f>
        <v>Booking Funnel - AI Optimisation</v>
      </c>
      <c r="C71" s="26" t="str">
        <f aca="false">IFERROR(IF(ISBLANK(INDEX(Backlog[Stream],MATCH($A71,Backlog[Requirement ID],0))),"",INDEX(Backlog[Stream],MATCH($A71,Backlog[Requirement ID],0))),"")</f>
        <v>Backlog / Tech Enh</v>
      </c>
      <c r="D71" s="26" t="str">
        <f aca="false">IFERROR(IF(ISBLANK(INDEX(Backlog[Priority],MATCH($A71,Backlog[Requirement ID],0))),"",INDEX(Backlog[Priority],MATCH($A71,Backlog[Requirement ID],0))),"")</f>
        <v>Medium</v>
      </c>
      <c r="E71" s="26" t="str">
        <f aca="false">IFERROR(IF(ISBLANK(INDEX(Backlog[Status],MATCH($A71,Backlog[Requirement ID],0))),"",INDEX(Backlog[Status],MATCH($A71,Backlog[Requirement ID],0))),"")</f>
        <v>NEW</v>
      </c>
      <c r="F71" s="24" t="s">
        <v>413</v>
      </c>
      <c r="G71" s="26" t="str">
        <f aca="false">IFERROR(IF(ISBLANK(INDEX(Backlog[HLE],MATCH($A71,Backlog[Requirement ID],0))),"",INDEX(Backlog[HLE],MATCH($A71,Backlog[Requirement ID],0))),"")</f>
        <v/>
      </c>
      <c r="H71" s="26" t="n">
        <f aca="false">IFERROR(VALUE(SUBSTITUTE($F71,"Sprint ","")),9999)</f>
        <v>9999</v>
      </c>
    </row>
    <row r="72" customFormat="false" ht="15" hidden="false" customHeight="true" outlineLevel="0" collapsed="false">
      <c r="A72" s="24" t="str">
        <f aca="false">Backlog!A72</f>
        <v>NEW-0375</v>
      </c>
      <c r="B72" s="26" t="str">
        <f aca="false">IFERROR(IF(ISBLANK(INDEX(Backlog[Requirement Name],MATCH($A72,Backlog[Requirement ID],0))),"",INDEX(Backlog[Requirement Name],MATCH($A72,Backlog[Requirement ID],0))),"")</f>
        <v>Booking Funnel - OTEL</v>
      </c>
      <c r="C72" s="26" t="str">
        <f aca="false">IFERROR(IF(ISBLANK(INDEX(Backlog[Stream],MATCH($A72,Backlog[Requirement ID],0))),"",INDEX(Backlog[Stream],MATCH($A72,Backlog[Requirement ID],0))),"")</f>
        <v>Backlog / Tech Enh</v>
      </c>
      <c r="D72" s="26" t="str">
        <f aca="false">IFERROR(IF(ISBLANK(INDEX(Backlog[Priority],MATCH($A72,Backlog[Requirement ID],0))),"",INDEX(Backlog[Priority],MATCH($A72,Backlog[Requirement ID],0))),"")</f>
        <v>Medium</v>
      </c>
      <c r="E72" s="26" t="str">
        <f aca="false">IFERROR(IF(ISBLANK(INDEX(Backlog[Status],MATCH($A72,Backlog[Requirement ID],0))),"",INDEX(Backlog[Status],MATCH($A72,Backlog[Requirement ID],0))),"")</f>
        <v>IN PROGRESS</v>
      </c>
      <c r="F72" s="24" t="s">
        <v>413</v>
      </c>
      <c r="G72" s="26" t="str">
        <f aca="false">IFERROR(IF(ISBLANK(INDEX(Backlog[HLE],MATCH($A72,Backlog[Requirement ID],0))),"",INDEX(Backlog[HLE],MATCH($A72,Backlog[Requirement ID],0))),"")</f>
        <v/>
      </c>
      <c r="H72" s="26" t="n">
        <f aca="false">IFERROR(VALUE(SUBSTITUTE($F72,"Sprint ","")),9999)</f>
        <v>9999</v>
      </c>
    </row>
    <row r="73" customFormat="false" ht="15" hidden="false" customHeight="true" outlineLevel="0" collapsed="false">
      <c r="A73" s="24" t="str">
        <f aca="false">Backlog!A73</f>
        <v>NEW-0376</v>
      </c>
      <c r="B73" s="26" t="str">
        <f aca="false">IFERROR(IF(ISBLANK(INDEX(Backlog[Requirement Name],MATCH($A73,Backlog[Requirement ID],0))),"",INDEX(Backlog[Requirement Name],MATCH($A73,Backlog[Requirement ID],0))),"")</f>
        <v>Improve error handling in booking creation</v>
      </c>
      <c r="C73" s="26" t="str">
        <f aca="false">IFERROR(IF(ISBLANK(INDEX(Backlog[Stream],MATCH($A73,Backlog[Requirement ID],0))),"",INDEX(Backlog[Stream],MATCH($A73,Backlog[Requirement ID],0))),"")</f>
        <v>Backlog / Tech Enh</v>
      </c>
      <c r="D73" s="26" t="str">
        <f aca="false">IFERROR(IF(ISBLANK(INDEX(Backlog[Priority],MATCH($A73,Backlog[Requirement ID],0))),"",INDEX(Backlog[Priority],MATCH($A73,Backlog[Requirement ID],0))),"")</f>
        <v>Medium</v>
      </c>
      <c r="E73" s="26" t="str">
        <f aca="false">IFERROR(IF(ISBLANK(INDEX(Backlog[Status],MATCH($A73,Backlog[Requirement ID],0))),"",INDEX(Backlog[Status],MATCH($A73,Backlog[Requirement ID],0))),"")</f>
        <v>NEW</v>
      </c>
      <c r="F73" s="24" t="s">
        <v>413</v>
      </c>
      <c r="G73" s="26" t="str">
        <f aca="false">IFERROR(IF(ISBLANK(INDEX(Backlog[HLE],MATCH($A73,Backlog[Requirement ID],0))),"",INDEX(Backlog[HLE],MATCH($A73,Backlog[Requirement ID],0))),"")</f>
        <v/>
      </c>
      <c r="H73" s="26" t="n">
        <f aca="false">IFERROR(VALUE(SUBSTITUTE($F73,"Sprint ","")),9999)</f>
        <v>9999</v>
      </c>
    </row>
    <row r="74" customFormat="false" ht="15" hidden="false" customHeight="true" outlineLevel="0" collapsed="false">
      <c r="A74" s="24" t="str">
        <f aca="false">Backlog!A74</f>
        <v>NEW-0377</v>
      </c>
      <c r="B74" s="26" t="str">
        <f aca="false">IFERROR(IF(ISBLANK(INDEX(Backlog[Requirement Name],MATCH($A74,Backlog[Requirement ID],0))),"",INDEX(Backlog[Requirement Name],MATCH($A74,Backlog[Requirement ID],0))),"")</f>
        <v>DTTP25-27161 Change payment and newsletter redirection URL logic</v>
      </c>
      <c r="C74" s="26" t="str">
        <f aca="false">IFERROR(IF(ISBLANK(INDEX(Backlog[Stream],MATCH($A74,Backlog[Requirement ID],0))),"",INDEX(Backlog[Stream],MATCH($A74,Backlog[Requirement ID],0))),"")</f>
        <v>Backlog / Tech Enh</v>
      </c>
      <c r="D74" s="26" t="str">
        <f aca="false">IFERROR(IF(ISBLANK(INDEX(Backlog[Priority],MATCH($A74,Backlog[Requirement ID],0))),"",INDEX(Backlog[Priority],MATCH($A74,Backlog[Requirement ID],0))),"")</f>
        <v>Medium</v>
      </c>
      <c r="E74" s="26" t="str">
        <f aca="false">IFERROR(IF(ISBLANK(INDEX(Backlog[Status],MATCH($A74,Backlog[Requirement ID],0))),"",INDEX(Backlog[Status],MATCH($A74,Backlog[Requirement ID],0))),"")</f>
        <v>NEW</v>
      </c>
      <c r="F74" s="24" t="s">
        <v>413</v>
      </c>
      <c r="G74" s="26" t="str">
        <f aca="false">IFERROR(IF(ISBLANK(INDEX(Backlog[HLE],MATCH($A74,Backlog[Requirement ID],0))),"",INDEX(Backlog[HLE],MATCH($A74,Backlog[Requirement ID],0))),"")</f>
        <v/>
      </c>
      <c r="H74" s="26" t="n">
        <f aca="false">IFERROR(VALUE(SUBSTITUTE($F74,"Sprint ","")),9999)</f>
        <v>9999</v>
      </c>
    </row>
    <row r="75" customFormat="false" ht="15" hidden="false" customHeight="true" outlineLevel="0" collapsed="false">
      <c r="A75" s="24" t="str">
        <f aca="false">Backlog!A75</f>
        <v>NEW-0384</v>
      </c>
      <c r="B75" s="26" t="str">
        <f aca="false">IFERROR(IF(ISBLANK(INDEX(Backlog[Requirement Name],MATCH($A75,Backlog[Requirement ID],0))),"",INDEX(Backlog[Requirement Name],MATCH($A75,Backlog[Requirement ID],0))),"")</f>
        <v>New Security Remediation - DTTP Stack to CRM ASIS_EA</v>
      </c>
      <c r="C75" s="26" t="str">
        <f aca="false">IFERROR(IF(ISBLANK(INDEX(Backlog[Stream],MATCH($A75,Backlog[Requirement ID],0))),"",INDEX(Backlog[Stream],MATCH($A75,Backlog[Requirement ID],0))),"")</f>
        <v>PI10</v>
      </c>
      <c r="D75" s="26" t="str">
        <f aca="false">IFERROR(IF(ISBLANK(INDEX(Backlog[Priority],MATCH($A75,Backlog[Requirement ID],0))),"",INDEX(Backlog[Priority],MATCH($A75,Backlog[Requirement ID],0))),"")</f>
        <v>Medium</v>
      </c>
      <c r="E75" s="26" t="str">
        <f aca="false">IFERROR(IF(ISBLANK(INDEX(Backlog[Status],MATCH($A75,Backlog[Requirement ID],0))),"",INDEX(Backlog[Status],MATCH($A75,Backlog[Requirement ID],0))),"")</f>
        <v>DONE</v>
      </c>
      <c r="F75" s="24"/>
      <c r="G75" s="26" t="str">
        <f aca="false">IFERROR(IF(ISBLANK(INDEX(Backlog[HLE],MATCH($A75,Backlog[Requirement ID],0))),"",INDEX(Backlog[HLE],MATCH($A75,Backlog[Requirement ID],0))),"")</f>
        <v/>
      </c>
      <c r="H75" s="26" t="n">
        <f aca="false">IFERROR(VALUE(SUBSTITUTE($F75,"Sprint ","")),9999)</f>
        <v>9999</v>
      </c>
    </row>
    <row r="76" customFormat="false" ht="15" hidden="false" customHeight="true" outlineLevel="0" collapsed="false">
      <c r="A76" s="24" t="str">
        <f aca="false">Backlog!A76</f>
        <v>NEW-0395</v>
      </c>
      <c r="B76" s="26" t="str">
        <f aca="false">IFERROR(IF(ISBLANK(INDEX(Backlog[Requirement Name],MATCH($A76,Backlog[Requirement ID],0))),"",INDEX(Backlog[Requirement Name],MATCH($A76,Backlog[Requirement ID],0))),"")</f>
        <v>PDF: age restrictions management</v>
      </c>
      <c r="C76" s="26" t="str">
        <f aca="false">IFERROR(IF(ISBLANK(INDEX(Backlog[Stream],MATCH($A76,Backlog[Requirement ID],0))),"",INDEX(Backlog[Stream],MATCH($A76,Backlog[Requirement ID],0))),"")</f>
        <v>MyMSC</v>
      </c>
      <c r="D76" s="26" t="str">
        <f aca="false">IFERROR(IF(ISBLANK(INDEX(Backlog[Priority],MATCH($A76,Backlog[Requirement ID],0))),"",INDEX(Backlog[Priority],MATCH($A76,Backlog[Requirement ID],0))),"")</f>
        <v>Medium</v>
      </c>
      <c r="E76" s="26" t="str">
        <f aca="false">IFERROR(IF(ISBLANK(INDEX(Backlog[Status],MATCH($A76,Backlog[Requirement ID],0))),"",INDEX(Backlog[Status],MATCH($A76,Backlog[Requirement ID],0))),"")</f>
        <v>NEW</v>
      </c>
      <c r="F76" s="24" t="s">
        <v>413</v>
      </c>
      <c r="G76" s="26" t="n">
        <f aca="false">IFERROR(IF(ISBLANK(INDEX(Backlog[HLE],MATCH($A76,Backlog[Requirement ID],0))),"",INDEX(Backlog[HLE],MATCH($A76,Backlog[Requirement ID],0))),"")</f>
        <v>5</v>
      </c>
      <c r="H76" s="26" t="n">
        <f aca="false">IFERROR(VALUE(SUBSTITUTE($F76,"Sprint ","")),9999)</f>
        <v>9999</v>
      </c>
    </row>
    <row r="77" customFormat="false" ht="15" hidden="false" customHeight="true" outlineLevel="0" collapsed="false">
      <c r="A77" s="24" t="str">
        <f aca="false">Backlog!A77</f>
        <v>NEW-0397</v>
      </c>
      <c r="B77" s="26" t="str">
        <f aca="false">IFERROR(IF(ISBLANK(INDEX(Backlog[Requirement Name],MATCH($A77,Backlog[Requirement ID],0))),"",INDEX(Backlog[Requirement Name],MATCH($A77,Backlog[Requirement ID],0))),"")</f>
        <v>MSC Voyagers Club subscription block for pending Status Match request for the same user</v>
      </c>
      <c r="C77" s="26" t="str">
        <f aca="false">IFERROR(IF(ISBLANK(INDEX(Backlog[Stream],MATCH($A77,Backlog[Requirement ID],0))),"",INDEX(Backlog[Stream],MATCH($A77,Backlog[Requirement ID],0))),"")</f>
        <v>MyMSC</v>
      </c>
      <c r="D77" s="26" t="str">
        <f aca="false">IFERROR(IF(ISBLANK(INDEX(Backlog[Priority],MATCH($A77,Backlog[Requirement ID],0))),"",INDEX(Backlog[Priority],MATCH($A77,Backlog[Requirement ID],0))),"")</f>
        <v>Medium</v>
      </c>
      <c r="E77" s="26" t="str">
        <f aca="false">IFERROR(IF(ISBLANK(INDEX(Backlog[Status],MATCH($A77,Backlog[Requirement ID],0))),"",INDEX(Backlog[Status],MATCH($A77,Backlog[Requirement ID],0))),"")</f>
        <v>NEW</v>
      </c>
      <c r="F77" s="24" t="s">
        <v>413</v>
      </c>
      <c r="G77" s="26" t="n">
        <f aca="false">IFERROR(IF(ISBLANK(INDEX(Backlog[HLE],MATCH($A77,Backlog[Requirement ID],0))),"",INDEX(Backlog[HLE],MATCH($A77,Backlog[Requirement ID],0))),"")</f>
        <v>8</v>
      </c>
      <c r="H77" s="26" t="n">
        <f aca="false">IFERROR(VALUE(SUBSTITUTE($F77,"Sprint ","")),9999)</f>
        <v>9999</v>
      </c>
    </row>
    <row r="78" customFormat="false" ht="15" hidden="false" customHeight="true" outlineLevel="0" collapsed="false">
      <c r="A78" s="24" t="str">
        <f aca="false">Backlog!A78</f>
        <v>NEW-0398</v>
      </c>
      <c r="B78" s="26" t="str">
        <f aca="false">IFERROR(IF(ISBLANK(INDEX(Backlog[Requirement Name],MATCH($A78,Backlog[Requirement ID],0))),"",INDEX(Backlog[Requirement Name],MATCH($A78,Backlog[Requirement ID],0))),"")</f>
        <v>MSC Voyagers Club children association</v>
      </c>
      <c r="C78" s="26" t="str">
        <f aca="false">IFERROR(IF(ISBLANK(INDEX(Backlog[Stream],MATCH($A78,Backlog[Requirement ID],0))),"",INDEX(Backlog[Stream],MATCH($A78,Backlog[Requirement ID],0))),"")</f>
        <v>MyMSC</v>
      </c>
      <c r="D78" s="26" t="str">
        <f aca="false">IFERROR(IF(ISBLANK(INDEX(Backlog[Priority],MATCH($A78,Backlog[Requirement ID],0))),"",INDEX(Backlog[Priority],MATCH($A78,Backlog[Requirement ID],0))),"")</f>
        <v>Medium</v>
      </c>
      <c r="E78" s="26" t="str">
        <f aca="false">IFERROR(IF(ISBLANK(INDEX(Backlog[Status],MATCH($A78,Backlog[Requirement ID],0))),"",INDEX(Backlog[Status],MATCH($A78,Backlog[Requirement ID],0))),"")</f>
        <v>NEW</v>
      </c>
      <c r="F78" s="24" t="s">
        <v>413</v>
      </c>
      <c r="G78" s="26" t="n">
        <f aca="false">IFERROR(IF(ISBLANK(INDEX(Backlog[HLE],MATCH($A78,Backlog[Requirement ID],0))),"",INDEX(Backlog[HLE],MATCH($A78,Backlog[Requirement ID],0))),"")</f>
        <v>13</v>
      </c>
      <c r="H78" s="26" t="n">
        <f aca="false">IFERROR(VALUE(SUBSTITUTE($F78,"Sprint ","")),9999)</f>
        <v>9999</v>
      </c>
    </row>
    <row r="79" customFormat="false" ht="15" hidden="false" customHeight="true" outlineLevel="0" collapsed="false">
      <c r="A79" s="24" t="str">
        <f aca="false">Backlog!A79</f>
        <v>NEW-0399</v>
      </c>
      <c r="B79" s="26" t="str">
        <f aca="false">IFERROR(IF(ISBLANK(INDEX(Backlog[Requirement Name],MATCH($A79,Backlog[Requirement ID],0))),"",INDEX(Backlog[Requirement Name],MATCH($A79,Backlog[Requirement ID],0))),"")</f>
        <v>Managing the possibility of multiple categories for the same EXC item</v>
      </c>
      <c r="C79" s="26" t="str">
        <f aca="false">IFERROR(IF(ISBLANK(INDEX(Backlog[Stream],MATCH($A79,Backlog[Requirement ID],0))),"",INDEX(Backlog[Stream],MATCH($A79,Backlog[Requirement ID],0))),"")</f>
        <v>MyMSC</v>
      </c>
      <c r="D79" s="26" t="str">
        <f aca="false">IFERROR(IF(ISBLANK(INDEX(Backlog[Priority],MATCH($A79,Backlog[Requirement ID],0))),"",INDEX(Backlog[Priority],MATCH($A79,Backlog[Requirement ID],0))),"")</f>
        <v>Medium</v>
      </c>
      <c r="E79" s="26" t="str">
        <f aca="false">IFERROR(IF(ISBLANK(INDEX(Backlog[Status],MATCH($A79,Backlog[Requirement ID],0))),"",INDEX(Backlog[Status],MATCH($A79,Backlog[Requirement ID],0))),"")</f>
        <v>NEW</v>
      </c>
      <c r="F79" s="24" t="s">
        <v>413</v>
      </c>
      <c r="G79" s="26" t="n">
        <f aca="false">IFERROR(IF(ISBLANK(INDEX(Backlog[HLE],MATCH($A79,Backlog[Requirement ID],0))),"",INDEX(Backlog[HLE],MATCH($A79,Backlog[Requirement ID],0))),"")</f>
        <v>8</v>
      </c>
      <c r="H79" s="26" t="n">
        <f aca="false">IFERROR(VALUE(SUBSTITUTE($F79,"Sprint ","")),9999)</f>
        <v>9999</v>
      </c>
    </row>
    <row r="80" customFormat="false" ht="15" hidden="false" customHeight="true" outlineLevel="0" collapsed="false">
      <c r="A80" s="24" t="str">
        <f aca="false">Backlog!A80</f>
        <v>NEW-0400</v>
      </c>
      <c r="B80" s="26" t="str">
        <f aca="false">IFERROR(IF(ISBLANK(INDEX(Backlog[Requirement Name],MATCH($A80,Backlog[Requirement ID],0))),"",INDEX(Backlog[Requirement Name],MATCH($A80,Backlog[Requirement ID],0))),"")</f>
        <v>Card Points History Reliability Enhancement - B2C</v>
      </c>
      <c r="C80" s="26" t="str">
        <f aca="false">IFERROR(IF(ISBLANK(INDEX(Backlog[Stream],MATCH($A80,Backlog[Requirement ID],0))),"",INDEX(Backlog[Stream],MATCH($A80,Backlog[Requirement ID],0))),"")</f>
        <v>MyMSC</v>
      </c>
      <c r="D80" s="26" t="str">
        <f aca="false">IFERROR(IF(ISBLANK(INDEX(Backlog[Priority],MATCH($A80,Backlog[Requirement ID],0))),"",INDEX(Backlog[Priority],MATCH($A80,Backlog[Requirement ID],0))),"")</f>
        <v>Medium</v>
      </c>
      <c r="E80" s="26" t="str">
        <f aca="false">IFERROR(IF(ISBLANK(INDEX(Backlog[Status],MATCH($A80,Backlog[Requirement ID],0))),"",INDEX(Backlog[Status],MATCH($A80,Backlog[Requirement ID],0))),"")</f>
        <v>NEW</v>
      </c>
      <c r="F80" s="24" t="s">
        <v>413</v>
      </c>
      <c r="G80" s="26" t="n">
        <f aca="false">IFERROR(IF(ISBLANK(INDEX(Backlog[HLE],MATCH($A80,Backlog[Requirement ID],0))),"",INDEX(Backlog[HLE],MATCH($A80,Backlog[Requirement ID],0))),"")</f>
        <v>8</v>
      </c>
      <c r="H80" s="26" t="n">
        <f aca="false">IFERROR(VALUE(SUBSTITUTE($F80,"Sprint ","")),9999)</f>
        <v>9999</v>
      </c>
    </row>
    <row r="81" customFormat="false" ht="15" hidden="false" customHeight="true" outlineLevel="0" collapsed="false">
      <c r="A81" s="24" t="str">
        <f aca="false">Backlog!A81</f>
        <v>NEW-0401</v>
      </c>
      <c r="B81" s="26" t="str">
        <f aca="false">IFERROR(IF(ISBLANK(INDEX(Backlog[Requirement Name],MATCH($A81,Backlog[Requirement ID],0))),"",INDEX(Backlog[Requirement Name],MATCH($A81,Backlog[Requirement ID],0))),"")</f>
        <v>Excursions' category not visible, neither in the catalogue nor in the modal</v>
      </c>
      <c r="C81" s="26" t="str">
        <f aca="false">IFERROR(IF(ISBLANK(INDEX(Backlog[Stream],MATCH($A81,Backlog[Requirement ID],0))),"",INDEX(Backlog[Stream],MATCH($A81,Backlog[Requirement ID],0))),"")</f>
        <v>MyMSC</v>
      </c>
      <c r="D81" s="26" t="str">
        <f aca="false">IFERROR(IF(ISBLANK(INDEX(Backlog[Priority],MATCH($A81,Backlog[Requirement ID],0))),"",INDEX(Backlog[Priority],MATCH($A81,Backlog[Requirement ID],0))),"")</f>
        <v>Medium</v>
      </c>
      <c r="E81" s="26" t="str">
        <f aca="false">IFERROR(IF(ISBLANK(INDEX(Backlog[Status],MATCH($A81,Backlog[Requirement ID],0))),"",INDEX(Backlog[Status],MATCH($A81,Backlog[Requirement ID],0))),"")</f>
        <v>NEW</v>
      </c>
      <c r="F81" s="24" t="s">
        <v>413</v>
      </c>
      <c r="G81" s="26" t="n">
        <f aca="false">IFERROR(IF(ISBLANK(INDEX(Backlog[HLE],MATCH($A81,Backlog[Requirement ID],0))),"",INDEX(Backlog[HLE],MATCH($A81,Backlog[Requirement ID],0))),"")</f>
        <v>8</v>
      </c>
      <c r="H81" s="26" t="n">
        <f aca="false">IFERROR(VALUE(SUBSTITUTE($F81,"Sprint ","")),9999)</f>
        <v>9999</v>
      </c>
    </row>
    <row r="82" customFormat="false" ht="15" hidden="false" customHeight="true" outlineLevel="0" collapsed="false">
      <c r="A82" s="24" t="str">
        <f aca="false">Backlog!A82</f>
        <v>NEW-0402</v>
      </c>
      <c r="B82" s="26" t="str">
        <f aca="false">IFERROR(IF(ISBLANK(INDEX(Backlog[Requirement Name],MATCH($A82,Backlog[Requirement ID],0))),"",INDEX(Backlog[Requirement Name],MATCH($A82,Backlog[Requirement ID],0))),"")</f>
        <v>Cross Device &gt; Plan my cruise: Cart &gt; Impossible to apply a coupon on a NON-Discounted item</v>
      </c>
      <c r="C82" s="26" t="str">
        <f aca="false">IFERROR(IF(ISBLANK(INDEX(Backlog[Stream],MATCH($A82,Backlog[Requirement ID],0))),"",INDEX(Backlog[Stream],MATCH($A82,Backlog[Requirement ID],0))),"")</f>
        <v>MyMSC</v>
      </c>
      <c r="D82" s="26" t="str">
        <f aca="false">IFERROR(IF(ISBLANK(INDEX(Backlog[Priority],MATCH($A82,Backlog[Requirement ID],0))),"",INDEX(Backlog[Priority],MATCH($A82,Backlog[Requirement ID],0))),"")</f>
        <v>Medium</v>
      </c>
      <c r="E82" s="26" t="str">
        <f aca="false">IFERROR(IF(ISBLANK(INDEX(Backlog[Status],MATCH($A82,Backlog[Requirement ID],0))),"",INDEX(Backlog[Status],MATCH($A82,Backlog[Requirement ID],0))),"")</f>
        <v>NEW</v>
      </c>
      <c r="F82" s="24" t="s">
        <v>413</v>
      </c>
      <c r="G82" s="26" t="n">
        <f aca="false">IFERROR(IF(ISBLANK(INDEX(Backlog[HLE],MATCH($A82,Backlog[Requirement ID],0))),"",INDEX(Backlog[HLE],MATCH($A82,Backlog[Requirement ID],0))),"")</f>
        <v>8</v>
      </c>
      <c r="H82" s="26" t="n">
        <f aca="false">IFERROR(VALUE(SUBSTITUTE($F82,"Sprint ","")),9999)</f>
        <v>9999</v>
      </c>
    </row>
    <row r="83" customFormat="false" ht="15" hidden="false" customHeight="true" outlineLevel="0" collapsed="false">
      <c r="A83" s="24" t="str">
        <f aca="false">Backlog!A83</f>
        <v>NEW-0403</v>
      </c>
      <c r="B83" s="26" t="str">
        <f aca="false">IFERROR(IF(ISBLANK(INDEX(Backlog[Requirement Name],MATCH($A83,Backlog[Requirement ID],0))),"",INDEX(Backlog[Requirement Name],MATCH($A83,Backlog[Requirement ID],0))),"")</f>
        <v>Wider management of label</v>
      </c>
      <c r="C83" s="26" t="str">
        <f aca="false">IFERROR(IF(ISBLANK(INDEX(Backlog[Stream],MATCH($A83,Backlog[Requirement ID],0))),"",INDEX(Backlog[Stream],MATCH($A83,Backlog[Requirement ID],0))),"")</f>
        <v>MyMSC</v>
      </c>
      <c r="D83" s="26" t="str">
        <f aca="false">IFERROR(IF(ISBLANK(INDEX(Backlog[Priority],MATCH($A83,Backlog[Requirement ID],0))),"",INDEX(Backlog[Priority],MATCH($A83,Backlog[Requirement ID],0))),"")</f>
        <v>Medium</v>
      </c>
      <c r="E83" s="26" t="str">
        <f aca="false">IFERROR(IF(ISBLANK(INDEX(Backlog[Status],MATCH($A83,Backlog[Requirement ID],0))),"",INDEX(Backlog[Status],MATCH($A83,Backlog[Requirement ID],0))),"")</f>
        <v>NEW</v>
      </c>
      <c r="F83" s="24" t="s">
        <v>413</v>
      </c>
      <c r="G83" s="26" t="str">
        <f aca="false">IFERROR(IF(ISBLANK(INDEX(Backlog[HLE],MATCH($A83,Backlog[Requirement ID],0))),"",INDEX(Backlog[HLE],MATCH($A83,Backlog[Requirement ID],0))),"")</f>
        <v/>
      </c>
      <c r="H83" s="26" t="n">
        <f aca="false">IFERROR(VALUE(SUBSTITUTE($F83,"Sprint ","")),9999)</f>
        <v>9999</v>
      </c>
    </row>
    <row r="84" customFormat="false" ht="15" hidden="false" customHeight="true" outlineLevel="0" collapsed="false">
      <c r="A84" s="24" t="str">
        <f aca="false">Backlog!A84</f>
        <v>NEW-0404</v>
      </c>
      <c r="B84" s="26" t="str">
        <f aca="false">IFERROR(IF(ISBLANK(INDEX(Backlog[Requirement Name],MATCH($A84,Backlog[Requirement ID],0))),"",INDEX(Backlog[Requirement Name],MATCH($A84,Backlog[Requirement ID],0))),"")</f>
        <v>Cross Device &gt; Plan My Cruise &gt; OBS/ACT 'Add passenger' CTA shown even if only non-eligible pax</v>
      </c>
      <c r="C84" s="26" t="str">
        <f aca="false">IFERROR(IF(ISBLANK(INDEX(Backlog[Stream],MATCH($A84,Backlog[Requirement ID],0))),"",INDEX(Backlog[Stream],MATCH($A84,Backlog[Requirement ID],0))),"")</f>
        <v>MyMSC</v>
      </c>
      <c r="D84" s="26" t="str">
        <f aca="false">IFERROR(IF(ISBLANK(INDEX(Backlog[Priority],MATCH($A84,Backlog[Requirement ID],0))),"",INDEX(Backlog[Priority],MATCH($A84,Backlog[Requirement ID],0))),"")</f>
        <v>Medium</v>
      </c>
      <c r="E84" s="26" t="str">
        <f aca="false">IFERROR(IF(ISBLANK(INDEX(Backlog[Status],MATCH($A84,Backlog[Requirement ID],0))),"",INDEX(Backlog[Status],MATCH($A84,Backlog[Requirement ID],0))),"")</f>
        <v>NEW</v>
      </c>
      <c r="F84" s="24" t="s">
        <v>413</v>
      </c>
      <c r="G84" s="26" t="str">
        <f aca="false">IFERROR(IF(ISBLANK(INDEX(Backlog[HLE],MATCH($A84,Backlog[Requirement ID],0))),"",INDEX(Backlog[HLE],MATCH($A84,Backlog[Requirement ID],0))),"")</f>
        <v/>
      </c>
      <c r="H84" s="26" t="n">
        <f aca="false">IFERROR(VALUE(SUBSTITUTE($F84,"Sprint ","")),9999)</f>
        <v>9999</v>
      </c>
    </row>
    <row r="85" customFormat="false" ht="15" hidden="false" customHeight="true" outlineLevel="0" collapsed="false">
      <c r="A85" s="1" t="str">
        <f aca="false">Backlog!A85</f>
        <v>NEW-0405</v>
      </c>
      <c r="B85" s="1" t="str">
        <f aca="false">IFERROR(IF(ISBLANK(INDEX(Backlog[Requirement Name],MATCH($A85,Backlog[Requirement ID],0))),"",INDEX(Backlog[Requirement Name],MATCH($A85,Backlog[Requirement ID],0))),"")</f>
        <v>Whatsapp Subscription (Phase 3)</v>
      </c>
      <c r="C85" s="1" t="str">
        <f aca="false">IFERROR(IF(ISBLANK(INDEX(Backlog[Stream],MATCH($A85,Backlog[Requirement ID],0))),"",INDEX(Backlog[Stream],MATCH($A85,Backlog[Requirement ID],0))),"")</f>
        <v>Backlog</v>
      </c>
      <c r="D85" s="1" t="str">
        <f aca="false">IFERROR(IF(ISBLANK(INDEX(Backlog[Priority],MATCH($A85,Backlog[Requirement ID],0))),"",INDEX(Backlog[Priority],MATCH($A85,Backlog[Requirement ID],0))),"")</f>
        <v>Medium</v>
      </c>
      <c r="E85" s="1" t="str">
        <f aca="false">IFERROR(IF(ISBLANK(INDEX(Backlog[Status],MATCH($A85,Backlog[Requirement ID],0))),"",INDEX(Backlog[Status],MATCH($A85,Backlog[Requirement ID],0))),"")</f>
        <v>NEW</v>
      </c>
      <c r="F85" s="23" t="s">
        <v>413</v>
      </c>
      <c r="G85" s="1" t="n">
        <f aca="false">IFERROR(IF(ISBLANK(INDEX(Backlog[HLE],MATCH($A85,Backlog[Requirement ID],0))),"",INDEX(Backlog[HLE],MATCH($A85,Backlog[Requirement ID],0))),"")</f>
        <v>16</v>
      </c>
      <c r="H85" s="1" t="n">
        <f aca="false">IFERROR(VALUE(SUBSTITUTE($F85,"Sprint ","")),9999)</f>
        <v>9999</v>
      </c>
    </row>
    <row r="86" customFormat="false" ht="15" hidden="false" customHeight="true" outlineLevel="0" collapsed="false">
      <c r="A86" s="1" t="str">
        <f aca="false">Backlog!A86</f>
        <v>NEW-0407</v>
      </c>
      <c r="B86" s="1" t="str">
        <f aca="false">IFERROR(IF(ISBLANK(INDEX(Backlog[Requirement Name],MATCH($A86,Backlog[Requirement ID],0))),"",INDEX(Backlog[Requirement Name],MATCH($A86,Backlog[Requirement ID],0))),"")</f>
        <v>Puerto Rico on US site Status Match (INT010.3)</v>
      </c>
      <c r="C86" s="1" t="str">
        <f aca="false">IFERROR(IF(ISBLANK(INDEX(Backlog[Stream],MATCH($A86,Backlog[Requirement ID],0))),"",INDEX(Backlog[Stream],MATCH($A86,Backlog[Requirement ID],0))),"")</f>
        <v>US</v>
      </c>
      <c r="D86" s="1" t="str">
        <f aca="false">IFERROR(IF(ISBLANK(INDEX(Backlog[Priority],MATCH($A86,Backlog[Requirement ID],0))),"",INDEX(Backlog[Priority],MATCH($A86,Backlog[Requirement ID],0))),"")</f>
        <v>High</v>
      </c>
      <c r="E86" s="1" t="str">
        <f aca="false">IFERROR(IF(ISBLANK(INDEX(Backlog[Status],MATCH($A86,Backlog[Requirement ID],0))),"",INDEX(Backlog[Status],MATCH($A86,Backlog[Requirement ID],0))),"")</f>
        <v>NEW</v>
      </c>
      <c r="F86" s="23" t="s">
        <v>413</v>
      </c>
      <c r="G86" s="1" t="n">
        <f aca="false">IFERROR(IF(ISBLANK(INDEX(Backlog[HLE],MATCH($A86,Backlog[Requirement ID],0))),"",INDEX(Backlog[HLE],MATCH($A86,Backlog[Requirement ID],0))),"")</f>
        <v>5</v>
      </c>
      <c r="H86" s="1" t="n">
        <f aca="false">IFERROR(VALUE(SUBSTITUTE($F86,"Sprint ","")),9999)</f>
        <v>9999</v>
      </c>
    </row>
    <row r="87" customFormat="false" ht="15" hidden="false" customHeight="true" outlineLevel="0" collapsed="false">
      <c r="A87" s="1" t="str">
        <f aca="false">Backlog!A87</f>
        <v>NEW-0413</v>
      </c>
      <c r="B87" s="1" t="str">
        <f aca="false">IFERROR(IF(ISBLANK(INDEX(Backlog[Requirement Name],MATCH($A87,Backlog[Requirement ID],0))),"",INDEX(Backlog[Requirement Name],MATCH($A87,Backlog[Requirement ID],0))),"")</f>
        <v>[EINT][INT187][INT139][INT145] - Remove phone number mapping from Datatrans transaction creation</v>
      </c>
      <c r="C87" s="1" t="str">
        <f aca="false">IFERROR(IF(ISBLANK(INDEX(Backlog[Stream],MATCH($A87,Backlog[Requirement ID],0))),"",INDEX(Backlog[Stream],MATCH($A87,Backlog[Requirement ID],0))),"")</f>
        <v>PI10</v>
      </c>
      <c r="D87" s="1" t="str">
        <f aca="false">IFERROR(IF(ISBLANK(INDEX(Backlog[Priority],MATCH($A87,Backlog[Requirement ID],0))),"",INDEX(Backlog[Priority],MATCH($A87,Backlog[Requirement ID],0))),"")</f>
        <v>Medium</v>
      </c>
      <c r="E87" s="1" t="str">
        <f aca="false">IFERROR(IF(ISBLANK(INDEX(Backlog[Status],MATCH($A87,Backlog[Requirement ID],0))),"",INDEX(Backlog[Status],MATCH($A87,Backlog[Requirement ID],0))),"")</f>
        <v>NEW</v>
      </c>
      <c r="F87" s="23" t="s">
        <v>413</v>
      </c>
      <c r="G87" s="1" t="str">
        <f aca="false">IFERROR(IF(ISBLANK(INDEX(Backlog[HLE],MATCH($A87,Backlog[Requirement ID],0))),"",INDEX(Backlog[HLE],MATCH($A87,Backlog[Requirement ID],0))),"")</f>
        <v/>
      </c>
      <c r="H87" s="1" t="n">
        <f aca="false">IFERROR(VALUE(SUBSTITUTE($F87,"Sprint ","")),9999)</f>
        <v>9999</v>
      </c>
    </row>
    <row r="88" customFormat="false" ht="15" hidden="false" customHeight="true" outlineLevel="0" collapsed="false">
      <c r="A88" s="1" t="str">
        <f aca="false">Backlog!A88</f>
        <v>NEW-0414</v>
      </c>
      <c r="B88" s="1" t="str">
        <f aca="false">IFERROR(IF(ISBLANK(INDEX(Backlog[Requirement Name],MATCH($A88,Backlog[Requirement ID],0))),"",INDEX(Backlog[Requirement Name],MATCH($A88,Backlog[Requirement ID],0))),"")</f>
        <v>[EINT][INT139][INT140][INT187][INT188] - Fix PromoCodeData coupon/discount code field mapping</v>
      </c>
      <c r="C88" s="1" t="str">
        <f aca="false">IFERROR(IF(ISBLANK(INDEX(Backlog[Stream],MATCH($A88,Backlog[Requirement ID],0))),"",INDEX(Backlog[Stream],MATCH($A88,Backlog[Requirement ID],0))),"")</f>
        <v>PI10</v>
      </c>
      <c r="D88" s="1" t="str">
        <f aca="false">IFERROR(IF(ISBLANK(INDEX(Backlog[Priority],MATCH($A88,Backlog[Requirement ID],0))),"",INDEX(Backlog[Priority],MATCH($A88,Backlog[Requirement ID],0))),"")</f>
        <v>Medium</v>
      </c>
      <c r="E88" s="1" t="str">
        <f aca="false">IFERROR(IF(ISBLANK(INDEX(Backlog[Status],MATCH($A88,Backlog[Requirement ID],0))),"",INDEX(Backlog[Status],MATCH($A88,Backlog[Requirement ID],0))),"")</f>
        <v>NEW</v>
      </c>
      <c r="F88" s="23" t="s">
        <v>413</v>
      </c>
      <c r="G88" s="1" t="str">
        <f aca="false">IFERROR(IF(ISBLANK(INDEX(Backlog[HLE],MATCH($A88,Backlog[Requirement ID],0))),"",INDEX(Backlog[HLE],MATCH($A88,Backlog[Requirement ID],0))),"")</f>
        <v/>
      </c>
      <c r="H88" s="1" t="n">
        <f aca="false">IFERROR(VALUE(SUBSTITUTE($F88,"Sprint ","")),9999)</f>
        <v>9999</v>
      </c>
    </row>
    <row r="89" customFormat="false" ht="15" hidden="false" customHeight="true" outlineLevel="0" collapsed="false">
      <c r="A89" s="1" t="str">
        <f aca="false">Backlog!A89</f>
        <v>NEW-0415</v>
      </c>
      <c r="B89" s="1" t="str">
        <f aca="false">IFERROR(IF(ISBLANK(INDEX(Backlog[Requirement Name],MATCH($A89,Backlog[Requirement ID],0))),"",INDEX(Backlog[Requirement Name],MATCH($A89,Backlog[Requirement ID],0))),"")</f>
        <v>[EINT][INT139][INT187][INT140][INT188] - Improve error handling: BKGREQ_098, BKGREQ_050, PPI_DRIPR_11</v>
      </c>
      <c r="C89" s="1" t="str">
        <f aca="false">IFERROR(IF(ISBLANK(INDEX(Backlog[Stream],MATCH($A89,Backlog[Requirement ID],0))),"",INDEX(Backlog[Stream],MATCH($A89,Backlog[Requirement ID],0))),"")</f>
        <v>PI10</v>
      </c>
      <c r="D89" s="1" t="str">
        <f aca="false">IFERROR(IF(ISBLANK(INDEX(Backlog[Priority],MATCH($A89,Backlog[Requirement ID],0))),"",INDEX(Backlog[Priority],MATCH($A89,Backlog[Requirement ID],0))),"")</f>
        <v>Medium</v>
      </c>
      <c r="E89" s="1" t="str">
        <f aca="false">IFERROR(IF(ISBLANK(INDEX(Backlog[Status],MATCH($A89,Backlog[Requirement ID],0))),"",INDEX(Backlog[Status],MATCH($A89,Backlog[Requirement ID],0))),"")</f>
        <v>NEW</v>
      </c>
      <c r="F89" s="23" t="s">
        <v>413</v>
      </c>
      <c r="G89" s="1" t="str">
        <f aca="false">IFERROR(IF(ISBLANK(INDEX(Backlog[HLE],MATCH($A89,Backlog[Requirement ID],0))),"",INDEX(Backlog[HLE],MATCH($A89,Backlog[Requirement ID],0))),"")</f>
        <v/>
      </c>
      <c r="H89" s="1" t="n">
        <f aca="false">IFERROR(VALUE(SUBSTITUTE($F89,"Sprint ","")),9999)</f>
        <v>9999</v>
      </c>
    </row>
    <row r="90" customFormat="false" ht="15" hidden="false" customHeight="true" outlineLevel="0" collapsed="false">
      <c r="A90" s="1" t="str">
        <f aca="false">Backlog!A90</f>
        <v>NEW-0084</v>
      </c>
      <c r="B90" s="1" t="str">
        <f aca="false">IFERROR(IF(ISBLANK(INDEX(Backlog[Requirement Name],MATCH($A90,Backlog[Requirement ID],0))),"",INDEX(Backlog[Requirement Name],MATCH($A90,Backlog[Requirement ID],0))),"")</f>
        <v>PI11-07 [B2C] Hold Option (Placeholder - MuleSoft should not be involved)</v>
      </c>
      <c r="C90" s="1" t="str">
        <f aca="false">IFERROR(IF(ISBLANK(INDEX(Backlog[Stream],MATCH($A90,Backlog[Requirement ID],0))),"",INDEX(Backlog[Stream],MATCH($A90,Backlog[Requirement ID],0))),"")</f>
        <v>PI11</v>
      </c>
      <c r="D90" s="1" t="str">
        <f aca="false">IFERROR(IF(ISBLANK(INDEX(Backlog[Priority],MATCH($A90,Backlog[Requirement ID],0))),"",INDEX(Backlog[Priority],MATCH($A90,Backlog[Requirement ID],0))),"")</f>
        <v>Medium</v>
      </c>
      <c r="E90" s="1" t="str">
        <f aca="false">IFERROR(IF(ISBLANK(INDEX(Backlog[Status],MATCH($A90,Backlog[Requirement ID],0))),"",INDEX(Backlog[Status],MATCH($A90,Backlog[Requirement ID],0))),"")</f>
        <v>NEW</v>
      </c>
      <c r="F90" s="23" t="s">
        <v>413</v>
      </c>
      <c r="G90" s="1" t="str">
        <f aca="false">IFERROR(IF(ISBLANK(INDEX(Backlog[HLE],MATCH($A90,Backlog[Requirement ID],0))),"",INDEX(Backlog[HLE],MATCH($A90,Backlog[Requirement ID],0))),"")</f>
        <v/>
      </c>
      <c r="H90" s="1" t="n">
        <f aca="false">IFERROR(VALUE(SUBSTITUTE($F90,"Sprint ","")),9999)</f>
        <v>9999</v>
      </c>
    </row>
    <row r="91" customFormat="false" ht="15" hidden="false" customHeight="true" outlineLevel="0" collapsed="false">
      <c r="A91" s="1" t="str">
        <f aca="false">Backlog!A91</f>
        <v>NEW-0072</v>
      </c>
      <c r="B91" s="1" t="str">
        <f aca="false">IFERROR(IF(ISBLANK(INDEX(Backlog[Requirement Name],MATCH($A91,Backlog[Requirement ID],0))),"",INDEX(Backlog[Requirement Name],MATCH($A91,Backlog[Requirement ID],0))),"")</f>
        <v>PI11-04 [B2C] Post Cruise Complaint Form Part 2 (Multiple Attachment) - DTTP25-38913</v>
      </c>
      <c r="C91" s="1" t="str">
        <f aca="false">IFERROR(IF(ISBLANK(INDEX(Backlog[Stream],MATCH($A91,Backlog[Requirement ID],0))),"",INDEX(Backlog[Stream],MATCH($A91,Backlog[Requirement ID],0))),"")</f>
        <v>PI11</v>
      </c>
      <c r="D91" s="1" t="str">
        <f aca="false">IFERROR(IF(ISBLANK(INDEX(Backlog[Priority],MATCH($A91,Backlog[Requirement ID],0))),"",INDEX(Backlog[Priority],MATCH($A91,Backlog[Requirement ID],0))),"")</f>
        <v>Medium</v>
      </c>
      <c r="E91" s="1" t="str">
        <f aca="false">IFERROR(IF(ISBLANK(INDEX(Backlog[Status],MATCH($A91,Backlog[Requirement ID],0))),"",INDEX(Backlog[Status],MATCH($A91,Backlog[Requirement ID],0))),"")</f>
        <v>NEW</v>
      </c>
      <c r="F91" s="23" t="s">
        <v>413</v>
      </c>
      <c r="G91" s="1" t="n">
        <f aca="false">IFERROR(IF(ISBLANK(INDEX(Backlog[HLE],MATCH($A91,Backlog[Requirement ID],0))),"",INDEX(Backlog[HLE],MATCH($A91,Backlog[Requirement ID],0))),"")</f>
        <v>21</v>
      </c>
      <c r="H91" s="1" t="n">
        <f aca="false">IFERROR(VALUE(SUBSTITUTE($F91,"Sprint ","")),9999)</f>
        <v>9999</v>
      </c>
    </row>
    <row r="92" customFormat="false" ht="15" hidden="false" customHeight="true" outlineLevel="0" collapsed="false">
      <c r="A92" s="1" t="str">
        <f aca="false">Backlog!A92</f>
        <v>NEW-0073</v>
      </c>
      <c r="B92" s="1" t="str">
        <f aca="false">IFERROR(IF(ISBLANK(INDEX(Backlog[Requirement Name],MATCH($A92,Backlog[Requirement ID],0))),"",INDEX(Backlog[Requirement Name],MATCH($A92,Backlog[Requirement ID],0))),"")</f>
        <v>PI11-05 [B2C] Accessibility Form - DTTP25-38914</v>
      </c>
      <c r="C92" s="1" t="str">
        <f aca="false">IFERROR(IF(ISBLANK(INDEX(Backlog[Stream],MATCH($A92,Backlog[Requirement ID],0))),"",INDEX(Backlog[Stream],MATCH($A92,Backlog[Requirement ID],0))),"")</f>
        <v>PI11</v>
      </c>
      <c r="D92" s="1" t="str">
        <f aca="false">IFERROR(IF(ISBLANK(INDEX(Backlog[Priority],MATCH($A92,Backlog[Requirement ID],0))),"",INDEX(Backlog[Priority],MATCH($A92,Backlog[Requirement ID],0))),"")</f>
        <v>Medium</v>
      </c>
      <c r="E92" s="1" t="str">
        <f aca="false">IFERROR(IF(ISBLANK(INDEX(Backlog[Status],MATCH($A92,Backlog[Requirement ID],0))),"",INDEX(Backlog[Status],MATCH($A92,Backlog[Requirement ID],0))),"")</f>
        <v>NEW</v>
      </c>
      <c r="F92" s="23" t="s">
        <v>413</v>
      </c>
      <c r="G92" s="1" t="str">
        <f aca="false">IFERROR(IF(ISBLANK(INDEX(Backlog[HLE],MATCH($A92,Backlog[Requirement ID],0))),"",INDEX(Backlog[HLE],MATCH($A92,Backlog[Requirement ID],0))),"")</f>
        <v/>
      </c>
      <c r="H92" s="1" t="n">
        <f aca="false">IFERROR(VALUE(SUBSTITUTE($F92,"Sprint ","")),9999)</f>
        <v>9999</v>
      </c>
    </row>
    <row r="93" customFormat="false" ht="15" hidden="false" customHeight="true" outlineLevel="0" collapsed="false">
      <c r="A93" s="1" t="str">
        <f aca="false">Backlog!A93</f>
        <v>NEW-0074</v>
      </c>
      <c r="B93" s="1" t="str">
        <f aca="false">IFERROR(IF(ISBLANK(INDEX(Backlog[Requirement Name],MATCH($A93,Backlog[Requirement ID],0))),"",INDEX(Backlog[Requirement Name],MATCH($A93,Backlog[Requirement ID],0))),"")</f>
        <v>PI11-06 [B2C] Cabin Position - DTTP25-40042</v>
      </c>
      <c r="C93" s="1" t="str">
        <f aca="false">IFERROR(IF(ISBLANK(INDEX(Backlog[Stream],MATCH($A93,Backlog[Requirement ID],0))),"",INDEX(Backlog[Stream],MATCH($A93,Backlog[Requirement ID],0))),"")</f>
        <v>PI11</v>
      </c>
      <c r="D93" s="1" t="str">
        <f aca="false">IFERROR(IF(ISBLANK(INDEX(Backlog[Priority],MATCH($A93,Backlog[Requirement ID],0))),"",INDEX(Backlog[Priority],MATCH($A93,Backlog[Requirement ID],0))),"")</f>
        <v>Medium</v>
      </c>
      <c r="E93" s="1" t="str">
        <f aca="false">IFERROR(IF(ISBLANK(INDEX(Backlog[Status],MATCH($A93,Backlog[Requirement ID],0))),"",INDEX(Backlog[Status],MATCH($A93,Backlog[Requirement ID],0))),"")</f>
        <v>NEW</v>
      </c>
      <c r="F93" s="23" t="s">
        <v>413</v>
      </c>
      <c r="G93" s="1" t="n">
        <f aca="false">IFERROR(IF(ISBLANK(INDEX(Backlog[HLE],MATCH($A93,Backlog[Requirement ID],0))),"",INDEX(Backlog[HLE],MATCH($A93,Backlog[Requirement ID],0))),"")</f>
        <v>5</v>
      </c>
      <c r="H93" s="1" t="n">
        <f aca="false">IFERROR(VALUE(SUBSTITUTE($F93,"Sprint ","")),9999)</f>
        <v>9999</v>
      </c>
    </row>
    <row r="94" customFormat="false" ht="15" hidden="false" customHeight="true" outlineLevel="0" collapsed="false">
      <c r="A94" s="1" t="str">
        <f aca="false">Backlog!A94</f>
        <v>NEW-0436</v>
      </c>
      <c r="B94" s="1" t="str">
        <f aca="false">IFERROR(IF(ISBLANK(INDEX(Backlog[Requirement Name],MATCH($A94,Backlog[Requirement ID],0))),"",INDEX(Backlog[Requirement Name],MATCH($A94,Backlog[Requirement ID],0))),"")</f>
        <v>[Growth] [CR] [INT005.2][INT004.3][INT004.4][INT006][INT007] - Conditionally capture outbound/return dates for One-Way Air Packages</v>
      </c>
      <c r="C94" s="1" t="str">
        <f aca="false">IFERROR(IF(ISBLANK(INDEX(Backlog[Stream],MATCH($A94,Backlog[Requirement ID],0))),"",INDEX(Backlog[Stream],MATCH($A94,Backlog[Requirement ID],0))),"")</f>
        <v>Growth</v>
      </c>
      <c r="D94" s="1" t="str">
        <f aca="false">IFERROR(IF(ISBLANK(INDEX(Backlog[Priority],MATCH($A94,Backlog[Requirement ID],0))),"",INDEX(Backlog[Priority],MATCH($A94,Backlog[Requirement ID],0))),"")</f>
        <v>Medium</v>
      </c>
      <c r="E94" s="1" t="str">
        <f aca="false">IFERROR(IF(ISBLANK(INDEX(Backlog[Status],MATCH($A94,Backlog[Requirement ID],0))),"",INDEX(Backlog[Status],MATCH($A94,Backlog[Requirement ID],0))),"")</f>
        <v>NEW</v>
      </c>
      <c r="F94" s="23" t="s">
        <v>425</v>
      </c>
      <c r="G94" s="1" t="n">
        <f aca="false">IFERROR(IF(ISBLANK(INDEX(Backlog[HLE],MATCH($A94,Backlog[Requirement ID],0))),"",INDEX(Backlog[HLE],MATCH($A94,Backlog[Requirement ID],0))),"")</f>
        <v>8</v>
      </c>
      <c r="H94" s="1" t="n">
        <f aca="false">IFERROR(VALUE(SUBSTITUTE($F94,"Sprint ","")),9999)</f>
        <v>11</v>
      </c>
    </row>
    <row r="95" customFormat="false" ht="15" hidden="false" customHeight="true" outlineLevel="0" collapsed="false">
      <c r="A95" s="1" t="str">
        <f aca="false">Backlog!A95</f>
        <v>NEW-0437</v>
      </c>
      <c r="B95" s="1" t="str">
        <f aca="false">IFERROR(IF(ISBLANK(INDEX(Backlog[Requirement Name],MATCH($A95,Backlog[Requirement ID],0))),"",INDEX(Backlog[Requirement Name],MATCH($A95,Backlog[Requirement ID],0))),"")</f>
        <v>Frictionless secure fields payments</v>
      </c>
      <c r="C95" s="1" t="str">
        <f aca="false">IFERROR(IF(ISBLANK(INDEX(Backlog[Stream],MATCH($A95,Backlog[Requirement ID],0))),"",INDEX(Backlog[Stream],MATCH($A95,Backlog[Requirement ID],0))),"")</f>
        <v>Growth</v>
      </c>
      <c r="D95" s="1" t="str">
        <f aca="false">IFERROR(IF(ISBLANK(INDEX(Backlog[Priority],MATCH($A95,Backlog[Requirement ID],0))),"",INDEX(Backlog[Priority],MATCH($A95,Backlog[Requirement ID],0))),"")</f>
        <v>High</v>
      </c>
      <c r="E95" s="1" t="str">
        <f aca="false">IFERROR(IF(ISBLANK(INDEX(Backlog[Status],MATCH($A95,Backlog[Requirement ID],0))),"",INDEX(Backlog[Status],MATCH($A95,Backlog[Requirement ID],0))),"")</f>
        <v>NEW</v>
      </c>
      <c r="F95" s="23" t="s">
        <v>425</v>
      </c>
      <c r="G95" s="1" t="n">
        <f aca="false">IFERROR(IF(ISBLANK(INDEX(Backlog[HLE],MATCH($A95,Backlog[Requirement ID],0))),"",INDEX(Backlog[HLE],MATCH($A95,Backlog[Requirement ID],0))),"")</f>
        <v>3</v>
      </c>
      <c r="H95" s="1" t="n">
        <f aca="false">IFERROR(VALUE(SUBSTITUTE($F95,"Sprint ","")),9999)</f>
        <v>11</v>
      </c>
    </row>
    <row r="96" customFormat="false" ht="15" hidden="false" customHeight="true" outlineLevel="0" collapsed="false">
      <c r="A96" s="1" t="str">
        <f aca="false">Backlog!A96</f>
        <v>NEW-0438</v>
      </c>
      <c r="B96" s="1" t="str">
        <f aca="false">IFERROR(IF(ISBLANK(INDEX(Backlog[Requirement Name],MATCH($A96,Backlog[Requirement ID],0))),"",INDEX(Backlog[Requirement Name],MATCH($A96,Backlog[Requirement ID],0))),"")</f>
        <v>US: Changes to A070/A013 mapping - refund</v>
      </c>
      <c r="C96" s="1" t="str">
        <f aca="false">IFERROR(IF(ISBLANK(INDEX(Backlog[Stream],MATCH($A96,Backlog[Requirement ID],0))),"",INDEX(Backlog[Stream],MATCH($A96,Backlog[Requirement ID],0))),"")</f>
        <v>Growth</v>
      </c>
      <c r="D96" s="1" t="str">
        <f aca="false">IFERROR(IF(ISBLANK(INDEX(Backlog[Priority],MATCH($A96,Backlog[Requirement ID],0))),"",INDEX(Backlog[Priority],MATCH($A96,Backlog[Requirement ID],0))),"")</f>
        <v>Medium</v>
      </c>
      <c r="E96" s="1" t="str">
        <f aca="false">IFERROR(IF(ISBLANK(INDEX(Backlog[Status],MATCH($A96,Backlog[Requirement ID],0))),"",INDEX(Backlog[Status],MATCH($A96,Backlog[Requirement ID],0))),"")</f>
        <v>NEW</v>
      </c>
      <c r="F96" s="23" t="s">
        <v>413</v>
      </c>
      <c r="G96" s="1" t="str">
        <f aca="false">IFERROR(IF(ISBLANK(INDEX(Backlog[HLE],MATCH($A96,Backlog[Requirement ID],0))),"",INDEX(Backlog[HLE],MATCH($A96,Backlog[Requirement ID],0))),"")</f>
        <v/>
      </c>
      <c r="H96" s="1" t="n">
        <f aca="false">IFERROR(VALUE(SUBSTITUTE($F96,"Sprint ","")),9999)</f>
        <v>9999</v>
      </c>
    </row>
    <row r="97" customFormat="false" ht="15" hidden="false" customHeight="true" outlineLevel="0" collapsed="false">
      <c r="A97" s="1" t="str">
        <f aca="false">Backlog!A97</f>
        <v>NEW-0439</v>
      </c>
      <c r="B97" s="1" t="str">
        <f aca="false">IFERROR(IF(ISBLANK(INDEX(Backlog[Requirement Name],MATCH($A97,Backlog[Requirement ID],0))),"",INDEX(Backlog[Requirement Name],MATCH($A97,Backlog[Requirement ID],0))),"")</f>
        <v>[EINT] [CR] Map timezone in case creation in scheduled callback - US Stream</v>
      </c>
      <c r="C97" s="1" t="str">
        <f aca="false">IFERROR(IF(ISBLANK(INDEX(Backlog[Stream],MATCH($A97,Backlog[Requirement ID],0))),"",INDEX(Backlog[Stream],MATCH($A97,Backlog[Requirement ID],0))),"")</f>
        <v>US</v>
      </c>
      <c r="D97" s="1" t="str">
        <f aca="false">IFERROR(IF(ISBLANK(INDEX(Backlog[Priority],MATCH($A97,Backlog[Requirement ID],0))),"",INDEX(Backlog[Priority],MATCH($A97,Backlog[Requirement ID],0))),"")</f>
        <v>Medium</v>
      </c>
      <c r="E97" s="1" t="str">
        <f aca="false">IFERROR(IF(ISBLANK(INDEX(Backlog[Status],MATCH($A97,Backlog[Requirement ID],0))),"",INDEX(Backlog[Status],MATCH($A97,Backlog[Requirement ID],0))),"")</f>
        <v>NEW</v>
      </c>
      <c r="F97" s="23" t="s">
        <v>425</v>
      </c>
      <c r="G97" s="1" t="n">
        <f aca="false">IFERROR(IF(ISBLANK(INDEX(Backlog[HLE],MATCH($A97,Backlog[Requirement ID],0))),"",INDEX(Backlog[HLE],MATCH($A97,Backlog[Requirement ID],0))),"")</f>
        <v>3</v>
      </c>
      <c r="H97" s="1" t="n">
        <f aca="false">IFERROR(VALUE(SUBSTITUTE($F97,"Sprint ","")),9999)</f>
        <v>11</v>
      </c>
    </row>
    <row r="98" customFormat="false" ht="15" hidden="false" customHeight="true" outlineLevel="0" collapsed="false">
      <c r="A98" s="1" t="str">
        <f aca="false">Backlog!A98</f>
        <v>NEW-0440</v>
      </c>
      <c r="B98" s="1" t="str">
        <f aca="false">IFERROR(IF(ISBLANK(INDEX(Backlog[Requirement Name],MATCH($A98,Backlog[Requirement ID],0))),"",INDEX(Backlog[Requirement Name],MATCH($A98,Backlog[Requirement ID],0))),"")</f>
        <v>Load Test + Performance Enhancements - Part 2 (Placeholder)</v>
      </c>
      <c r="C98" s="1" t="str">
        <f aca="false">IFERROR(IF(ISBLANK(INDEX(Backlog[Stream],MATCH($A98,Backlog[Requirement ID],0))),"",INDEX(Backlog[Stream],MATCH($A98,Backlog[Requirement ID],0))),"")</f>
        <v>US</v>
      </c>
      <c r="D98" s="1" t="str">
        <f aca="false">IFERROR(IF(ISBLANK(INDEX(Backlog[Priority],MATCH($A98,Backlog[Requirement ID],0))),"",INDEX(Backlog[Priority],MATCH($A98,Backlog[Requirement ID],0))),"")</f>
        <v>High</v>
      </c>
      <c r="E98" s="1" t="str">
        <f aca="false">IFERROR(IF(ISBLANK(INDEX(Backlog[Status],MATCH($A98,Backlog[Requirement ID],0))),"",INDEX(Backlog[Status],MATCH($A98,Backlog[Requirement ID],0))),"")</f>
        <v>NEW</v>
      </c>
      <c r="F98" s="23" t="s">
        <v>425</v>
      </c>
      <c r="G98" s="1" t="n">
        <f aca="false">IFERROR(IF(ISBLANK(INDEX(Backlog[HLE],MATCH($A98,Backlog[Requirement ID],0))),"",INDEX(Backlog[HLE],MATCH($A98,Backlog[Requirement ID],0))),"")</f>
        <v>13</v>
      </c>
      <c r="H98" s="1" t="n">
        <f aca="false">IFERROR(VALUE(SUBSTITUTE($F98,"Sprint ","")),9999)</f>
        <v>11</v>
      </c>
    </row>
    <row r="99" customFormat="false" ht="15" hidden="false" customHeight="true" outlineLevel="0" collapsed="false">
      <c r="A99" s="1" t="str">
        <f aca="false">Backlog!A99</f>
        <v>NEW-0441</v>
      </c>
      <c r="B99" s="1" t="str">
        <f aca="false">IFERROR(IF(ISBLANK(INDEX(Backlog[Requirement Name],MATCH($A99,Backlog[Requirement ID],0))),"",INDEX(Backlog[Requirement Name],MATCH($A99,Backlog[Requirement ID],0))),"")</f>
        <v>E2E Ticket Support - FAT and Canary Tests - Sprint 11</v>
      </c>
      <c r="C99" s="1" t="str">
        <f aca="false">IFERROR(IF(ISBLANK(INDEX(Backlog[Stream],MATCH($A99,Backlog[Requirement ID],0))),"",INDEX(Backlog[Stream],MATCH($A99,Backlog[Requirement ID],0))),"")</f>
        <v>Cross</v>
      </c>
      <c r="D99" s="1" t="str">
        <f aca="false">IFERROR(IF(ISBLANK(INDEX(Backlog[Priority],MATCH($A99,Backlog[Requirement ID],0))),"",INDEX(Backlog[Priority],MATCH($A99,Backlog[Requirement ID],0))),"")</f>
        <v>Medium</v>
      </c>
      <c r="E99" s="1" t="str">
        <f aca="false">IFERROR(IF(ISBLANK(INDEX(Backlog[Status],MATCH($A99,Backlog[Requirement ID],0))),"",INDEX(Backlog[Status],MATCH($A99,Backlog[Requirement ID],0))),"")</f>
        <v>NEW</v>
      </c>
      <c r="F99" s="23" t="s">
        <v>425</v>
      </c>
      <c r="G99" s="1" t="n">
        <f aca="false">IFERROR(IF(ISBLANK(INDEX(Backlog[HLE],MATCH($A99,Backlog[Requirement ID],0))),"",INDEX(Backlog[HLE],MATCH($A99,Backlog[Requirement ID],0))),"")</f>
        <v>13</v>
      </c>
      <c r="H99" s="1" t="n">
        <f aca="false">IFERROR(VALUE(SUBSTITUTE($F99,"Sprint ","")),9999)</f>
        <v>11</v>
      </c>
    </row>
    <row r="100" customFormat="false" ht="15" hidden="false" customHeight="true" outlineLevel="0" collapsed="false">
      <c r="A100" s="1" t="str">
        <f aca="false">Backlog!A100</f>
        <v>NEW-0442</v>
      </c>
      <c r="B100" s="1" t="str">
        <f aca="false">IFERROR(IF(ISBLANK(INDEX(Backlog[Requirement Name],MATCH($A100,Backlog[Requirement ID],0))),"",INDEX(Backlog[Requirement Name],MATCH($A100,Backlog[Requirement ID],0))),"")</f>
        <v>2nd of September Release Prep</v>
      </c>
      <c r="C100" s="1" t="str">
        <f aca="false">IFERROR(IF(ISBLANK(INDEX(Backlog[Stream],MATCH($A100,Backlog[Requirement ID],0))),"",INDEX(Backlog[Stream],MATCH($A100,Backlog[Requirement ID],0))),"")</f>
        <v>US</v>
      </c>
      <c r="D100" s="1" t="str">
        <f aca="false">IFERROR(IF(ISBLANK(INDEX(Backlog[Priority],MATCH($A100,Backlog[Requirement ID],0))),"",INDEX(Backlog[Priority],MATCH($A100,Backlog[Requirement ID],0))),"")</f>
        <v>High</v>
      </c>
      <c r="E100" s="1" t="str">
        <f aca="false">IFERROR(IF(ISBLANK(INDEX(Backlog[Status],MATCH($A100,Backlog[Requirement ID],0))),"",INDEX(Backlog[Status],MATCH($A100,Backlog[Requirement ID],0))),"")</f>
        <v>NEW</v>
      </c>
      <c r="F100" s="23" t="s">
        <v>425</v>
      </c>
      <c r="G100" s="1" t="n">
        <f aca="false">IFERROR(IF(ISBLANK(INDEX(Backlog[HLE],MATCH($A100,Backlog[Requirement ID],0))),"",INDEX(Backlog[HLE],MATCH($A100,Backlog[Requirement ID],0))),"")</f>
        <v>13</v>
      </c>
      <c r="H100" s="1" t="n">
        <f aca="false">IFERROR(VALUE(SUBSTITUTE($F100,"Sprint ","")),9999)</f>
        <v>11</v>
      </c>
    </row>
    <row r="101" customFormat="false" ht="15" hidden="false" customHeight="true" outlineLevel="0" collapsed="false">
      <c r="A101" s="1" t="str">
        <f aca="false">Backlog!A101</f>
        <v>NEW-0443</v>
      </c>
      <c r="B101" s="1" t="str">
        <f aca="false">IFERROR(IF(ISBLANK(INDEX(Backlog[Requirement Name],MATCH($A101,Backlog[Requirement ID],0))),"",INDEX(Backlog[Requirement Name],MATCH($A101,Backlog[Requirement ID],0))),"")</f>
        <v>MyMSC Login after Purchase in Booking Funnel</v>
      </c>
      <c r="C101" s="1" t="str">
        <f aca="false">IFERROR(IF(ISBLANK(INDEX(Backlog[Stream],MATCH($A101,Backlog[Requirement ID],0))),"",INDEX(Backlog[Stream],MATCH($A101,Backlog[Requirement ID],0))),"")</f>
        <v>MyMSC</v>
      </c>
      <c r="D101" s="1" t="str">
        <f aca="false">IFERROR(IF(ISBLANK(INDEX(Backlog[Priority],MATCH($A101,Backlog[Requirement ID],0))),"",INDEX(Backlog[Priority],MATCH($A101,Backlog[Requirement ID],0))),"")</f>
        <v>Critical</v>
      </c>
      <c r="E101" s="1" t="str">
        <f aca="false">IFERROR(IF(ISBLANK(INDEX(Backlog[Status],MATCH($A101,Backlog[Requirement ID],0))),"",INDEX(Backlog[Status],MATCH($A101,Backlog[Requirement ID],0))),"")</f>
        <v>NEW</v>
      </c>
      <c r="F101" s="23"/>
      <c r="G101" s="1" t="n">
        <f aca="false">IFERROR(IF(ISBLANK(INDEX(Backlog[HLE],MATCH($A101,Backlog[Requirement ID],0))),"",INDEX(Backlog[HLE],MATCH($A101,Backlog[Requirement ID],0))),"")</f>
        <v>3</v>
      </c>
      <c r="H101" s="1" t="n">
        <f aca="false">IFERROR(VALUE(SUBSTITUTE($F101,"Sprint ","")),9999)</f>
        <v>9999</v>
      </c>
    </row>
    <row r="102" customFormat="false" ht="15" hidden="false" customHeight="true" outlineLevel="0" collapsed="false">
      <c r="A102" s="1" t="str">
        <f aca="false">Backlog!A102</f>
        <v>NEW-0444</v>
      </c>
      <c r="B102" s="1" t="str">
        <f aca="false">IFERROR(IF(ISBLANK(INDEX(Backlog[Requirement Name],MATCH($A102,Backlog[Requirement ID],0))),"",INDEX(Backlog[Requirement Name],MATCH($A102,Backlog[Requirement ID],0))),"")</f>
        <v>M4M Configuration of AU+DE markets</v>
      </c>
      <c r="C102" s="1" t="str">
        <f aca="false">IFERROR(IF(ISBLANK(INDEX(Backlog[Stream],MATCH($A102,Backlog[Requirement ID],0))),"",INDEX(Backlog[Stream],MATCH($A102,Backlog[Requirement ID],0))),"")</f>
        <v>M4M</v>
      </c>
      <c r="D102" s="1" t="str">
        <f aca="false">IFERROR(IF(ISBLANK(INDEX(Backlog[Priority],MATCH($A102,Backlog[Requirement ID],0))),"",INDEX(Backlog[Priority],MATCH($A102,Backlog[Requirement ID],0))),"")</f>
        <v>High</v>
      </c>
      <c r="E102" s="1" t="str">
        <f aca="false">IFERROR(IF(ISBLANK(INDEX(Backlog[Status],MATCH($A102,Backlog[Requirement ID],0))),"",INDEX(Backlog[Status],MATCH($A102,Backlog[Requirement ID],0))),"")</f>
        <v>NEW</v>
      </c>
      <c r="F102" s="23"/>
      <c r="G102" s="1" t="str">
        <f aca="false">IFERROR(IF(ISBLANK(INDEX(Backlog[HLE],MATCH($A102,Backlog[Requirement ID],0))),"",INDEX(Backlog[HLE],MATCH($A102,Backlog[Requirement ID],0))),"")</f>
        <v/>
      </c>
      <c r="H102" s="1" t="n">
        <f aca="false">IFERROR(VALUE(SUBSTITUTE($F102,"Sprint ","")),9999)</f>
        <v>9999</v>
      </c>
    </row>
    <row r="103" customFormat="false" ht="15" hidden="false" customHeight="true" outlineLevel="0" collapsed="false">
      <c r="A103" s="1" t="str">
        <f aca="false">Backlog!A103</f>
        <v>NEW-0445</v>
      </c>
      <c r="B103" s="1" t="str">
        <f aca="false">IFERROR(IF(ISBLANK(INDEX(Backlog[Requirement Name],MATCH($A103,Backlog[Requirement ID],0))),"",INDEX(Backlog[Requirement Name],MATCH($A103,Backlog[Requirement ID],0))),"")</f>
        <v>M4M New Fields on INT181</v>
      </c>
      <c r="C103" s="1" t="str">
        <f aca="false">IFERROR(IF(ISBLANK(INDEX(Backlog[Stream],MATCH($A103,Backlog[Requirement ID],0))),"",INDEX(Backlog[Stream],MATCH($A103,Backlog[Requirement ID],0))),"")</f>
        <v>M4M</v>
      </c>
      <c r="D103" s="1" t="str">
        <f aca="false">IFERROR(IF(ISBLANK(INDEX(Backlog[Priority],MATCH($A103,Backlog[Requirement ID],0))),"",INDEX(Backlog[Priority],MATCH($A103,Backlog[Requirement ID],0))),"")</f>
        <v>Medium</v>
      </c>
      <c r="E103" s="1" t="str">
        <f aca="false">IFERROR(IF(ISBLANK(INDEX(Backlog[Status],MATCH($A103,Backlog[Requirement ID],0))),"",INDEX(Backlog[Status],MATCH($A103,Backlog[Requirement ID],0))),"")</f>
        <v>NEW</v>
      </c>
      <c r="F103" s="23"/>
      <c r="G103" s="1" t="str">
        <f aca="false">IFERROR(IF(ISBLANK(INDEX(Backlog[HLE],MATCH($A103,Backlog[Requirement ID],0))),"",INDEX(Backlog[HLE],MATCH($A103,Backlog[Requirement ID],0))),"")</f>
        <v/>
      </c>
      <c r="H103" s="1" t="n">
        <f aca="false">IFERROR(VALUE(SUBSTITUTE($F103,"Sprint ","")),9999)</f>
        <v>9999</v>
      </c>
    </row>
    <row r="104" customFormat="false" ht="15" hidden="false" customHeight="true" outlineLevel="0" collapsed="false">
      <c r="A104" s="1" t="str">
        <f aca="false">Backlog!A104</f>
        <v>NEW-0446</v>
      </c>
      <c r="B104" s="1" t="str">
        <f aca="false">IFERROR(IF(ISBLANK(INDEX(Backlog[Requirement Name],MATCH($A104,Backlog[Requirement ID],0))),"",INDEX(Backlog[Requirement Name],MATCH($A104,Backlog[Requirement ID],0))),"")</f>
        <v>M4M Gender in Marketing email in INT188</v>
      </c>
      <c r="C104" s="1" t="str">
        <f aca="false">IFERROR(IF(ISBLANK(INDEX(Backlog[Stream],MATCH($A104,Backlog[Requirement ID],0))),"",INDEX(Backlog[Stream],MATCH($A104,Backlog[Requirement ID],0))),"")</f>
        <v>M4M</v>
      </c>
      <c r="D104" s="1" t="str">
        <f aca="false">IFERROR(IF(ISBLANK(INDEX(Backlog[Priority],MATCH($A104,Backlog[Requirement ID],0))),"",INDEX(Backlog[Priority],MATCH($A104,Backlog[Requirement ID],0))),"")</f>
        <v>Medium</v>
      </c>
      <c r="E104" s="1" t="str">
        <f aca="false">IFERROR(IF(ISBLANK(INDEX(Backlog[Status],MATCH($A104,Backlog[Requirement ID],0))),"",INDEX(Backlog[Status],MATCH($A104,Backlog[Requirement ID],0))),"")</f>
        <v>NEW</v>
      </c>
      <c r="F104" s="23"/>
      <c r="G104" s="1" t="str">
        <f aca="false">IFERROR(IF(ISBLANK(INDEX(Backlog[HLE],MATCH($A104,Backlog[Requirement ID],0))),"",INDEX(Backlog[HLE],MATCH($A104,Backlog[Requirement ID],0))),"")</f>
        <v/>
      </c>
      <c r="H104" s="1" t="n">
        <f aca="false">IFERROR(VALUE(SUBSTITUTE($F104,"Sprint ","")),9999)</f>
        <v>9999</v>
      </c>
    </row>
    <row r="105" customFormat="false" ht="15" hidden="false" customHeight="true" outlineLevel="0" collapsed="false">
      <c r="A105" s="1" t="str">
        <f aca="false">Backlog!A105</f>
        <v>NEW-0447</v>
      </c>
      <c r="B105" s="1" t="str">
        <f aca="false">IFERROR(IF(ISBLANK(INDEX(Backlog[Requirement Name],MATCH($A105,Backlog[Requirement ID],0))),"",INDEX(Backlog[Requirement Name],MATCH($A105,Backlog[Requirement ID],0))),"")</f>
        <v>M4M Datatrans information in INT188 response</v>
      </c>
      <c r="C105" s="1" t="str">
        <f aca="false">IFERROR(IF(ISBLANK(INDEX(Backlog[Stream],MATCH($A105,Backlog[Requirement ID],0))),"",INDEX(Backlog[Stream],MATCH($A105,Backlog[Requirement ID],0))),"")</f>
        <v>M4M</v>
      </c>
      <c r="D105" s="1" t="str">
        <f aca="false">IFERROR(IF(ISBLANK(INDEX(Backlog[Priority],MATCH($A105,Backlog[Requirement ID],0))),"",INDEX(Backlog[Priority],MATCH($A105,Backlog[Requirement ID],0))),"")</f>
        <v>Medium</v>
      </c>
      <c r="E105" s="1" t="str">
        <f aca="false">IFERROR(IF(ISBLANK(INDEX(Backlog[Status],MATCH($A105,Backlog[Requirement ID],0))),"",INDEX(Backlog[Status],MATCH($A105,Backlog[Requirement ID],0))),"")</f>
        <v>NEW</v>
      </c>
      <c r="F105" s="23"/>
      <c r="G105" s="1" t="str">
        <f aca="false">IFERROR(IF(ISBLANK(INDEX(Backlog[HLE],MATCH($A105,Backlog[Requirement ID],0))),"",INDEX(Backlog[HLE],MATCH($A105,Backlog[Requirement ID],0))),"")</f>
        <v/>
      </c>
      <c r="H105" s="1" t="n">
        <f aca="false">IFERROR(VALUE(SUBSTITUTE($F105,"Sprint ","")),9999)</f>
        <v>9999</v>
      </c>
    </row>
    <row r="106" customFormat="false" ht="15" hidden="false" customHeight="true" outlineLevel="0" collapsed="false">
      <c r="A106" s="1" t="str">
        <f aca="false">Backlog!A106</f>
        <v>NEW-0448</v>
      </c>
      <c r="B106" s="1" t="str">
        <f aca="false">IFERROR(IF(ISBLANK(INDEX(Backlog[Requirement Name],MATCH($A106,Backlog[Requirement ID],0))),"",INDEX(Backlog[Requirement Name],MATCH($A106,Backlog[Requirement ID],0))),"")</f>
        <v>MYMSC | Club enrollment template checkpoint</v>
      </c>
      <c r="C106" s="1" t="str">
        <f aca="false">IFERROR(IF(ISBLANK(INDEX(Backlog[Stream],MATCH($A106,Backlog[Requirement ID],0))),"",INDEX(Backlog[Stream],MATCH($A106,Backlog[Requirement ID],0))),"")</f>
        <v>MyMSC</v>
      </c>
      <c r="D106" s="1" t="str">
        <f aca="false">IFERROR(IF(ISBLANK(INDEX(Backlog[Priority],MATCH($A106,Backlog[Requirement ID],0))),"",INDEX(Backlog[Priority],MATCH($A106,Backlog[Requirement ID],0))),"")</f>
        <v>High</v>
      </c>
      <c r="E106" s="1" t="str">
        <f aca="false">IFERROR(IF(ISBLANK(INDEX(Backlog[Status],MATCH($A106,Backlog[Requirement ID],0))),"",INDEX(Backlog[Status],MATCH($A106,Backlog[Requirement ID],0))),"")</f>
        <v>NEW</v>
      </c>
      <c r="F106" s="23"/>
      <c r="G106" s="1" t="n">
        <f aca="false">IFERROR(IF(ISBLANK(INDEX(Backlog[HLE],MATCH($A106,Backlog[Requirement ID],0))),"",INDEX(Backlog[HLE],MATCH($A106,Backlog[Requirement ID],0))),"")</f>
        <v>13</v>
      </c>
      <c r="H106" s="1" t="n">
        <f aca="false">IFERROR(VALUE(SUBSTITUTE($F106,"Sprint ","")),9999)</f>
        <v>9999</v>
      </c>
    </row>
    <row r="107" customFormat="false" ht="15" hidden="false" customHeight="true" outlineLevel="0" collapsed="false">
      <c r="A107" s="1" t="str">
        <f aca="false">Backlog!A107</f>
        <v>NEW-0449</v>
      </c>
      <c r="B107" s="1" t="str">
        <f aca="false">IFERROR(IF(ISBLANK(INDEX(Backlog[Requirement Name],MATCH($A107,Backlog[Requirement ID],0))),"",INDEX(Backlog[Requirement Name],MATCH($A107,Backlog[Requirement ID],0))),"")</f>
        <v>Restructure the orchestration of INT188</v>
      </c>
      <c r="C107" s="1" t="str">
        <f aca="false">IFERROR(IF(ISBLANK(INDEX(Backlog[Stream],MATCH($A107,Backlog[Requirement ID],0))),"",INDEX(Backlog[Stream],MATCH($A107,Backlog[Requirement ID],0))),"")</f>
        <v>M4M</v>
      </c>
      <c r="D107" s="1" t="str">
        <f aca="false">IFERROR(IF(ISBLANK(INDEX(Backlog[Priority],MATCH($A107,Backlog[Requirement ID],0))),"",INDEX(Backlog[Priority],MATCH($A107,Backlog[Requirement ID],0))),"")</f>
        <v>High</v>
      </c>
      <c r="E107" s="1" t="str">
        <f aca="false">IFERROR(IF(ISBLANK(INDEX(Backlog[Status],MATCH($A107,Backlog[Requirement ID],0))),"",INDEX(Backlog[Status],MATCH($A107,Backlog[Requirement ID],0))),"")</f>
        <v>NEW</v>
      </c>
      <c r="F107" s="23" t="s">
        <v>426</v>
      </c>
      <c r="G107" s="1" t="n">
        <f aca="false">IFERROR(IF(ISBLANK(INDEX(Backlog[HLE],MATCH($A107,Backlog[Requirement ID],0))),"",INDEX(Backlog[HLE],MATCH($A107,Backlog[Requirement ID],0))),"")</f>
        <v>3</v>
      </c>
      <c r="H107" s="1" t="n">
        <f aca="false">IFERROR(VALUE(SUBSTITUTE($F107,"Sprint ","")),9999)</f>
        <v>12</v>
      </c>
    </row>
    <row r="108" customFormat="false" ht="15" hidden="false" customHeight="true" outlineLevel="0" collapsed="false">
      <c r="A108" s="1" t="str">
        <f aca="false">Backlog!A108</f>
        <v>NEW-0451</v>
      </c>
      <c r="B108" s="1" t="str">
        <f aca="false">IFERROR(IF(ISBLANK(INDEX(Backlog[Requirement Name],MATCH($A108,Backlog[Requirement ID],0))),"",INDEX(Backlog[Requirement Name],MATCH($A108,Backlog[Requirement ID],0))),"")</f>
        <v>[INT188] EAPI incorrectly calling CHUB</v>
      </c>
      <c r="C108" s="1" t="str">
        <f aca="false">IFERROR(IF(ISBLANK(INDEX(Backlog[Stream],MATCH($A108,Backlog[Requirement ID],0))),"",INDEX(Backlog[Stream],MATCH($A108,Backlog[Requirement ID],0))),"")</f>
        <v>M4M</v>
      </c>
      <c r="D108" s="1" t="str">
        <f aca="false">IFERROR(IF(ISBLANK(INDEX(Backlog[Priority],MATCH($A108,Backlog[Requirement ID],0))),"",INDEX(Backlog[Priority],MATCH($A108,Backlog[Requirement ID],0))),"")</f>
        <v>High</v>
      </c>
      <c r="E108" s="1" t="str">
        <f aca="false">IFERROR(IF(ISBLANK(INDEX(Backlog[Status],MATCH($A108,Backlog[Requirement ID],0))),"",INDEX(Backlog[Status],MATCH($A108,Backlog[Requirement ID],0))),"")</f>
        <v>NEW</v>
      </c>
      <c r="F108" s="23" t="s">
        <v>425</v>
      </c>
      <c r="G108" s="1" t="n">
        <f aca="false">IFERROR(IF(ISBLANK(INDEX(Backlog[HLE],MATCH($A108,Backlog[Requirement ID],0))),"",INDEX(Backlog[HLE],MATCH($A108,Backlog[Requirement ID],0))),"")</f>
        <v>3</v>
      </c>
      <c r="H108" s="1" t="n">
        <f aca="false">IFERROR(VALUE(SUBSTITUTE($F108,"Sprint ","")),9999)</f>
        <v>11</v>
      </c>
    </row>
    <row r="109" customFormat="false" ht="15" hidden="false" customHeight="true" outlineLevel="0" collapsed="false">
      <c r="A109" s="1" t="str">
        <f aca="false">Backlog!A109</f>
        <v>NEW-0452</v>
      </c>
      <c r="B109" s="1" t="str">
        <f aca="false">IFERROR(IF(ISBLANK(INDEX(Backlog[Requirement Name],MATCH($A109,Backlog[Requirement ID],0))),"",INDEX(Backlog[Requirement Name],MATCH($A109,Backlog[Requirement ID],0))),"")</f>
        <v>MSC-US | Homeless Email Flexibility - Additional Requirement</v>
      </c>
      <c r="C109" s="1" t="str">
        <f aca="false">IFERROR(IF(ISBLANK(INDEX(Backlog[Stream],MATCH($A109,Backlog[Requirement ID],0))),"",INDEX(Backlog[Stream],MATCH($A109,Backlog[Requirement ID],0))),"")</f>
        <v>US</v>
      </c>
      <c r="D109" s="1" t="str">
        <f aca="false">IFERROR(IF(ISBLANK(INDEX(Backlog[Priority],MATCH($A109,Backlog[Requirement ID],0))),"",INDEX(Backlog[Priority],MATCH($A109,Backlog[Requirement ID],0))),"")</f>
        <v>Medium</v>
      </c>
      <c r="E109" s="1" t="str">
        <f aca="false">IFERROR(IF(ISBLANK(INDEX(Backlog[Status],MATCH($A109,Backlog[Requirement ID],0))),"",INDEX(Backlog[Status],MATCH($A109,Backlog[Requirement ID],0))),"")</f>
        <v>NA</v>
      </c>
      <c r="F109" s="23"/>
      <c r="G109" s="1" t="str">
        <f aca="false">IFERROR(IF(ISBLANK(INDEX(Backlog[HLE],MATCH($A109,Backlog[Requirement ID],0))),"",INDEX(Backlog[HLE],MATCH($A109,Backlog[Requirement ID],0))),"")</f>
        <v/>
      </c>
      <c r="H109" s="1" t="n">
        <f aca="false">IFERROR(VALUE(SUBSTITUTE($F109,"Sprint ","")),9999)</f>
        <v>9999</v>
      </c>
    </row>
    <row r="110" customFormat="false" ht="15" hidden="false" customHeight="true" outlineLevel="0" collapsed="false">
      <c r="A110" s="1" t="str">
        <f aca="false">Backlog!A110</f>
        <v/>
      </c>
      <c r="B110" s="1" t="str">
        <f aca="false">IFERROR(IF(ISBLANK(INDEX(Backlog[Requirement Name],MATCH($A110,Backlog[Requirement ID],0))),"",INDEX(Backlog[Requirement Name],MATCH($A110,Backlog[Requirement ID],0))),"")</f>
        <v/>
      </c>
      <c r="C110" s="1" t="str">
        <f aca="false">IFERROR(IF(ISBLANK(INDEX(Backlog[Stream],MATCH($A110,Backlog[Requirement ID],0))),"",INDEX(Backlog[Stream],MATCH($A110,Backlog[Requirement ID],0))),"")</f>
        <v/>
      </c>
      <c r="D110" s="1" t="str">
        <f aca="false">IFERROR(IF(ISBLANK(INDEX(Backlog[Priority],MATCH($A110,Backlog[Requirement ID],0))),"",INDEX(Backlog[Priority],MATCH($A110,Backlog[Requirement ID],0))),"")</f>
        <v/>
      </c>
      <c r="E110" s="1" t="str">
        <f aca="false">IFERROR(IF(ISBLANK(INDEX(Backlog[Status],MATCH($A110,Backlog[Requirement ID],0))),"",INDEX(Backlog[Status],MATCH($A110,Backlog[Requirement ID],0))),"")</f>
        <v/>
      </c>
      <c r="F110" s="23"/>
      <c r="G110" s="1" t="str">
        <f aca="false">IFERROR(IF(ISBLANK(INDEX(Backlog[HLE],MATCH($A110,Backlog[Requirement ID],0))),"",INDEX(Backlog[HLE],MATCH($A110,Backlog[Requirement ID],0))),"")</f>
        <v/>
      </c>
      <c r="H110" s="1" t="n">
        <f aca="false">IFERROR(VALUE(SUBSTITUTE($F110,"Sprint ","")),9999)</f>
        <v>9999</v>
      </c>
    </row>
    <row r="111" customFormat="false" ht="15" hidden="false" customHeight="true" outlineLevel="0" collapsed="false">
      <c r="A111" s="1" t="str">
        <f aca="false">Backlog!A111</f>
        <v/>
      </c>
      <c r="B111" s="1" t="str">
        <f aca="false">IFERROR(IF(ISBLANK(INDEX(Backlog[Requirement Name],MATCH($A111,Backlog[Requirement ID],0))),"",INDEX(Backlog[Requirement Name],MATCH($A111,Backlog[Requirement ID],0))),"")</f>
        <v/>
      </c>
      <c r="C111" s="1" t="str">
        <f aca="false">IFERROR(IF(ISBLANK(INDEX(Backlog[Stream],MATCH($A111,Backlog[Requirement ID],0))),"",INDEX(Backlog[Stream],MATCH($A111,Backlog[Requirement ID],0))),"")</f>
        <v/>
      </c>
      <c r="D111" s="1" t="str">
        <f aca="false">IFERROR(IF(ISBLANK(INDEX(Backlog[Priority],MATCH($A111,Backlog[Requirement ID],0))),"",INDEX(Backlog[Priority],MATCH($A111,Backlog[Requirement ID],0))),"")</f>
        <v/>
      </c>
      <c r="E111" s="1" t="str">
        <f aca="false">IFERROR(IF(ISBLANK(INDEX(Backlog[Status],MATCH($A111,Backlog[Requirement ID],0))),"",INDEX(Backlog[Status],MATCH($A111,Backlog[Requirement ID],0))),"")</f>
        <v/>
      </c>
      <c r="F111" s="23"/>
      <c r="G111" s="1" t="str">
        <f aca="false">IFERROR(IF(ISBLANK(INDEX(Backlog[HLE],MATCH($A111,Backlog[Requirement ID],0))),"",INDEX(Backlog[HLE],MATCH($A111,Backlog[Requirement ID],0))),"")</f>
        <v/>
      </c>
      <c r="H111" s="1" t="n">
        <f aca="false">IFERROR(VALUE(SUBSTITUTE($F111,"Sprint ","")),9999)</f>
        <v>9999</v>
      </c>
    </row>
    <row r="112" customFormat="false" ht="15" hidden="false" customHeight="true" outlineLevel="0" collapsed="false">
      <c r="A112" s="1" t="str">
        <f aca="false">Backlog!A112</f>
        <v/>
      </c>
      <c r="B112" s="1" t="str">
        <f aca="false">IFERROR(IF(ISBLANK(INDEX(Backlog[Requirement Name],MATCH($A112,Backlog[Requirement ID],0))),"",INDEX(Backlog[Requirement Name],MATCH($A112,Backlog[Requirement ID],0))),"")</f>
        <v/>
      </c>
      <c r="C112" s="1" t="str">
        <f aca="false">IFERROR(IF(ISBLANK(INDEX(Backlog[Stream],MATCH($A112,Backlog[Requirement ID],0))),"",INDEX(Backlog[Stream],MATCH($A112,Backlog[Requirement ID],0))),"")</f>
        <v/>
      </c>
      <c r="D112" s="1" t="str">
        <f aca="false">IFERROR(IF(ISBLANK(INDEX(Backlog[Priority],MATCH($A112,Backlog[Requirement ID],0))),"",INDEX(Backlog[Priority],MATCH($A112,Backlog[Requirement ID],0))),"")</f>
        <v/>
      </c>
      <c r="E112" s="1" t="str">
        <f aca="false">IFERROR(IF(ISBLANK(INDEX(Backlog[Status],MATCH($A112,Backlog[Requirement ID],0))),"",INDEX(Backlog[Status],MATCH($A112,Backlog[Requirement ID],0))),"")</f>
        <v/>
      </c>
      <c r="F112" s="23"/>
      <c r="G112" s="1" t="str">
        <f aca="false">IFERROR(IF(ISBLANK(INDEX(Backlog[HLE],MATCH($A112,Backlog[Requirement ID],0))),"",INDEX(Backlog[HLE],MATCH($A112,Backlog[Requirement ID],0))),"")</f>
        <v/>
      </c>
      <c r="H112" s="1" t="n">
        <f aca="false">IFERROR(VALUE(SUBSTITUTE($F112,"Sprint ","")),9999)</f>
        <v>9999</v>
      </c>
    </row>
    <row r="113" customFormat="false" ht="15" hidden="false" customHeight="true" outlineLevel="0" collapsed="false">
      <c r="A113" s="1" t="str">
        <f aca="false">Backlog!A113</f>
        <v/>
      </c>
      <c r="B113" s="1" t="str">
        <f aca="false">IFERROR(IF(ISBLANK(INDEX(Backlog[Requirement Name],MATCH($A113,Backlog[Requirement ID],0))),"",INDEX(Backlog[Requirement Name],MATCH($A113,Backlog[Requirement ID],0))),"")</f>
        <v/>
      </c>
      <c r="C113" s="1" t="str">
        <f aca="false">IFERROR(IF(ISBLANK(INDEX(Backlog[Stream],MATCH($A113,Backlog[Requirement ID],0))),"",INDEX(Backlog[Stream],MATCH($A113,Backlog[Requirement ID],0))),"")</f>
        <v/>
      </c>
      <c r="D113" s="1" t="str">
        <f aca="false">IFERROR(IF(ISBLANK(INDEX(Backlog[Priority],MATCH($A113,Backlog[Requirement ID],0))),"",INDEX(Backlog[Priority],MATCH($A113,Backlog[Requirement ID],0))),"")</f>
        <v/>
      </c>
      <c r="E113" s="1" t="str">
        <f aca="false">IFERROR(IF(ISBLANK(INDEX(Backlog[Status],MATCH($A113,Backlog[Requirement ID],0))),"",INDEX(Backlog[Status],MATCH($A113,Backlog[Requirement ID],0))),"")</f>
        <v/>
      </c>
      <c r="F113" s="23"/>
      <c r="G113" s="1" t="str">
        <f aca="false">IFERROR(IF(ISBLANK(INDEX(Backlog[HLE],MATCH($A113,Backlog[Requirement ID],0))),"",INDEX(Backlog[HLE],MATCH($A113,Backlog[Requirement ID],0))),"")</f>
        <v/>
      </c>
      <c r="H113" s="1" t="n">
        <f aca="false">IFERROR(VALUE(SUBSTITUTE($F113,"Sprint ","")),9999)</f>
        <v>9999</v>
      </c>
    </row>
    <row r="114" customFormat="false" ht="15" hidden="false" customHeight="true" outlineLevel="0" collapsed="false">
      <c r="A114" s="1" t="str">
        <f aca="false">Backlog!A114</f>
        <v/>
      </c>
      <c r="B114" s="1" t="str">
        <f aca="false">IFERROR(IF(ISBLANK(INDEX(Backlog[Requirement Name],MATCH($A114,Backlog[Requirement ID],0))),"",INDEX(Backlog[Requirement Name],MATCH($A114,Backlog[Requirement ID],0))),"")</f>
        <v/>
      </c>
      <c r="C114" s="1" t="str">
        <f aca="false">IFERROR(IF(ISBLANK(INDEX(Backlog[Stream],MATCH($A114,Backlog[Requirement ID],0))),"",INDEX(Backlog[Stream],MATCH($A114,Backlog[Requirement ID],0))),"")</f>
        <v/>
      </c>
      <c r="D114" s="1" t="str">
        <f aca="false">IFERROR(IF(ISBLANK(INDEX(Backlog[Priority],MATCH($A114,Backlog[Requirement ID],0))),"",INDEX(Backlog[Priority],MATCH($A114,Backlog[Requirement ID],0))),"")</f>
        <v/>
      </c>
      <c r="E114" s="1" t="str">
        <f aca="false">IFERROR(IF(ISBLANK(INDEX(Backlog[Status],MATCH($A114,Backlog[Requirement ID],0))),"",INDEX(Backlog[Status],MATCH($A114,Backlog[Requirement ID],0))),"")</f>
        <v/>
      </c>
      <c r="F114" s="23"/>
      <c r="G114" s="1" t="str">
        <f aca="false">IFERROR(IF(ISBLANK(INDEX(Backlog[HLE],MATCH($A114,Backlog[Requirement ID],0))),"",INDEX(Backlog[HLE],MATCH($A114,Backlog[Requirement ID],0))),"")</f>
        <v/>
      </c>
      <c r="H114" s="1" t="n">
        <f aca="false">IFERROR(VALUE(SUBSTITUTE($F114,"Sprint ","")),9999)</f>
        <v>9999</v>
      </c>
    </row>
    <row r="115" customFormat="false" ht="15" hidden="false" customHeight="true" outlineLevel="0" collapsed="false">
      <c r="A115" s="1" t="str">
        <f aca="false">Backlog!A115</f>
        <v/>
      </c>
      <c r="B115" s="1" t="str">
        <f aca="false">IFERROR(IF(ISBLANK(INDEX(Backlog[Requirement Name],MATCH($A115,Backlog[Requirement ID],0))),"",INDEX(Backlog[Requirement Name],MATCH($A115,Backlog[Requirement ID],0))),"")</f>
        <v/>
      </c>
      <c r="C115" s="1" t="str">
        <f aca="false">IFERROR(IF(ISBLANK(INDEX(Backlog[Stream],MATCH($A115,Backlog[Requirement ID],0))),"",INDEX(Backlog[Stream],MATCH($A115,Backlog[Requirement ID],0))),"")</f>
        <v/>
      </c>
      <c r="D115" s="1" t="str">
        <f aca="false">IFERROR(IF(ISBLANK(INDEX(Backlog[Priority],MATCH($A115,Backlog[Requirement ID],0))),"",INDEX(Backlog[Priority],MATCH($A115,Backlog[Requirement ID],0))),"")</f>
        <v/>
      </c>
      <c r="E115" s="1" t="str">
        <f aca="false">IFERROR(IF(ISBLANK(INDEX(Backlog[Status],MATCH($A115,Backlog[Requirement ID],0))),"",INDEX(Backlog[Status],MATCH($A115,Backlog[Requirement ID],0))),"")</f>
        <v/>
      </c>
      <c r="F115" s="23"/>
      <c r="G115" s="1" t="str">
        <f aca="false">IFERROR(IF(ISBLANK(INDEX(Backlog[HLE],MATCH($A115,Backlog[Requirement ID],0))),"",INDEX(Backlog[HLE],MATCH($A115,Backlog[Requirement ID],0))),"")</f>
        <v/>
      </c>
      <c r="H115" s="1" t="n">
        <f aca="false">IFERROR(VALUE(SUBSTITUTE($F115,"Sprint ","")),9999)</f>
        <v>9999</v>
      </c>
    </row>
    <row r="116" customFormat="false" ht="15" hidden="false" customHeight="true" outlineLevel="0" collapsed="false">
      <c r="A116" s="1" t="str">
        <f aca="false">Backlog!A116</f>
        <v/>
      </c>
      <c r="B116" s="1" t="str">
        <f aca="false">IFERROR(IF(ISBLANK(INDEX(Backlog[Requirement Name],MATCH($A116,Backlog[Requirement ID],0))),"",INDEX(Backlog[Requirement Name],MATCH($A116,Backlog[Requirement ID],0))),"")</f>
        <v/>
      </c>
      <c r="C116" s="1" t="str">
        <f aca="false">IFERROR(IF(ISBLANK(INDEX(Backlog[Stream],MATCH($A116,Backlog[Requirement ID],0))),"",INDEX(Backlog[Stream],MATCH($A116,Backlog[Requirement ID],0))),"")</f>
        <v/>
      </c>
      <c r="D116" s="1" t="str">
        <f aca="false">IFERROR(IF(ISBLANK(INDEX(Backlog[Priority],MATCH($A116,Backlog[Requirement ID],0))),"",INDEX(Backlog[Priority],MATCH($A116,Backlog[Requirement ID],0))),"")</f>
        <v/>
      </c>
      <c r="E116" s="1" t="str">
        <f aca="false">IFERROR(IF(ISBLANK(INDEX(Backlog[Status],MATCH($A116,Backlog[Requirement ID],0))),"",INDEX(Backlog[Status],MATCH($A116,Backlog[Requirement ID],0))),"")</f>
        <v/>
      </c>
      <c r="F116" s="23"/>
      <c r="G116" s="1" t="str">
        <f aca="false">IFERROR(IF(ISBLANK(INDEX(Backlog[HLE],MATCH($A116,Backlog[Requirement ID],0))),"",INDEX(Backlog[HLE],MATCH($A116,Backlog[Requirement ID],0))),"")</f>
        <v/>
      </c>
      <c r="H116" s="1" t="n">
        <f aca="false">IFERROR(VALUE(SUBSTITUTE($F116,"Sprint ","")),9999)</f>
        <v>9999</v>
      </c>
    </row>
    <row r="117" customFormat="false" ht="15" hidden="false" customHeight="true" outlineLevel="0" collapsed="false">
      <c r="A117" s="1" t="str">
        <f aca="false">Backlog!A117</f>
        <v/>
      </c>
      <c r="B117" s="1" t="str">
        <f aca="false">IFERROR(IF(ISBLANK(INDEX(Backlog[Requirement Name],MATCH($A117,Backlog[Requirement ID],0))),"",INDEX(Backlog[Requirement Name],MATCH($A117,Backlog[Requirement ID],0))),"")</f>
        <v/>
      </c>
      <c r="C117" s="1" t="str">
        <f aca="false">IFERROR(IF(ISBLANK(INDEX(Backlog[Stream],MATCH($A117,Backlog[Requirement ID],0))),"",INDEX(Backlog[Stream],MATCH($A117,Backlog[Requirement ID],0))),"")</f>
        <v/>
      </c>
      <c r="D117" s="1" t="str">
        <f aca="false">IFERROR(IF(ISBLANK(INDEX(Backlog[Priority],MATCH($A117,Backlog[Requirement ID],0))),"",INDEX(Backlog[Priority],MATCH($A117,Backlog[Requirement ID],0))),"")</f>
        <v/>
      </c>
      <c r="E117" s="1" t="str">
        <f aca="false">IFERROR(IF(ISBLANK(INDEX(Backlog[Status],MATCH($A117,Backlog[Requirement ID],0))),"",INDEX(Backlog[Status],MATCH($A117,Backlog[Requirement ID],0))),"")</f>
        <v/>
      </c>
      <c r="F117" s="23"/>
      <c r="G117" s="1" t="str">
        <f aca="false">IFERROR(IF(ISBLANK(INDEX(Backlog[HLE],MATCH($A117,Backlog[Requirement ID],0))),"",INDEX(Backlog[HLE],MATCH($A117,Backlog[Requirement ID],0))),"")</f>
        <v/>
      </c>
      <c r="H117" s="1" t="n">
        <f aca="false">IFERROR(VALUE(SUBSTITUTE($F117,"Sprint ","")),9999)</f>
        <v>9999</v>
      </c>
    </row>
    <row r="118" customFormat="false" ht="15" hidden="false" customHeight="true" outlineLevel="0" collapsed="false">
      <c r="A118" s="1" t="str">
        <f aca="false">Backlog!A118</f>
        <v/>
      </c>
      <c r="B118" s="1" t="str">
        <f aca="false">IFERROR(IF(ISBLANK(INDEX(Backlog[Requirement Name],MATCH($A118,Backlog[Requirement ID],0))),"",INDEX(Backlog[Requirement Name],MATCH($A118,Backlog[Requirement ID],0))),"")</f>
        <v/>
      </c>
      <c r="C118" s="1" t="str">
        <f aca="false">IFERROR(IF(ISBLANK(INDEX(Backlog[Stream],MATCH($A118,Backlog[Requirement ID],0))),"",INDEX(Backlog[Stream],MATCH($A118,Backlog[Requirement ID],0))),"")</f>
        <v/>
      </c>
      <c r="D118" s="1" t="str">
        <f aca="false">IFERROR(IF(ISBLANK(INDEX(Backlog[Priority],MATCH($A118,Backlog[Requirement ID],0))),"",INDEX(Backlog[Priority],MATCH($A118,Backlog[Requirement ID],0))),"")</f>
        <v/>
      </c>
      <c r="E118" s="1" t="str">
        <f aca="false">IFERROR(IF(ISBLANK(INDEX(Backlog[Status],MATCH($A118,Backlog[Requirement ID],0))),"",INDEX(Backlog[Status],MATCH($A118,Backlog[Requirement ID],0))),"")</f>
        <v/>
      </c>
      <c r="F118" s="23"/>
      <c r="G118" s="1" t="str">
        <f aca="false">IFERROR(IF(ISBLANK(INDEX(Backlog[HLE],MATCH($A118,Backlog[Requirement ID],0))),"",INDEX(Backlog[HLE],MATCH($A118,Backlog[Requirement ID],0))),"")</f>
        <v/>
      </c>
      <c r="H118" s="1" t="n">
        <f aca="false">IFERROR(VALUE(SUBSTITUTE($F118,"Sprint ","")),9999)</f>
        <v>9999</v>
      </c>
    </row>
    <row r="119" customFormat="false" ht="15" hidden="false" customHeight="true" outlineLevel="0" collapsed="false">
      <c r="A119" s="1" t="str">
        <f aca="false">Backlog!A119</f>
        <v/>
      </c>
      <c r="B119" s="1" t="str">
        <f aca="false">IFERROR(IF(ISBLANK(INDEX(Backlog[Requirement Name],MATCH($A119,Backlog[Requirement ID],0))),"",INDEX(Backlog[Requirement Name],MATCH($A119,Backlog[Requirement ID],0))),"")</f>
        <v/>
      </c>
      <c r="C119" s="1" t="str">
        <f aca="false">IFERROR(IF(ISBLANK(INDEX(Backlog[Stream],MATCH($A119,Backlog[Requirement ID],0))),"",INDEX(Backlog[Stream],MATCH($A119,Backlog[Requirement ID],0))),"")</f>
        <v/>
      </c>
      <c r="D119" s="1" t="str">
        <f aca="false">IFERROR(IF(ISBLANK(INDEX(Backlog[Priority],MATCH($A119,Backlog[Requirement ID],0))),"",INDEX(Backlog[Priority],MATCH($A119,Backlog[Requirement ID],0))),"")</f>
        <v/>
      </c>
      <c r="E119" s="1" t="str">
        <f aca="false">IFERROR(IF(ISBLANK(INDEX(Backlog[Status],MATCH($A119,Backlog[Requirement ID],0))),"",INDEX(Backlog[Status],MATCH($A119,Backlog[Requirement ID],0))),"")</f>
        <v/>
      </c>
      <c r="F119" s="23"/>
      <c r="G119" s="1" t="str">
        <f aca="false">IFERROR(IF(ISBLANK(INDEX(Backlog[HLE],MATCH($A119,Backlog[Requirement ID],0))),"",INDEX(Backlog[HLE],MATCH($A119,Backlog[Requirement ID],0))),"")</f>
        <v/>
      </c>
      <c r="H119" s="1" t="n">
        <f aca="false">IFERROR(VALUE(SUBSTITUTE($F119,"Sprint ","")),9999)</f>
        <v>9999</v>
      </c>
    </row>
    <row r="120" customFormat="false" ht="15" hidden="false" customHeight="true" outlineLevel="0" collapsed="false">
      <c r="A120" s="1" t="str">
        <f aca="false">Backlog!A120</f>
        <v/>
      </c>
      <c r="B120" s="1" t="str">
        <f aca="false">IFERROR(IF(ISBLANK(INDEX(Backlog[Requirement Name],MATCH($A120,Backlog[Requirement ID],0))),"",INDEX(Backlog[Requirement Name],MATCH($A120,Backlog[Requirement ID],0))),"")</f>
        <v/>
      </c>
      <c r="C120" s="1" t="str">
        <f aca="false">IFERROR(IF(ISBLANK(INDEX(Backlog[Stream],MATCH($A120,Backlog[Requirement ID],0))),"",INDEX(Backlog[Stream],MATCH($A120,Backlog[Requirement ID],0))),"")</f>
        <v/>
      </c>
      <c r="D120" s="1" t="str">
        <f aca="false">IFERROR(IF(ISBLANK(INDEX(Backlog[Priority],MATCH($A120,Backlog[Requirement ID],0))),"",INDEX(Backlog[Priority],MATCH($A120,Backlog[Requirement ID],0))),"")</f>
        <v/>
      </c>
      <c r="E120" s="1" t="str">
        <f aca="false">IFERROR(IF(ISBLANK(INDEX(Backlog[Status],MATCH($A120,Backlog[Requirement ID],0))),"",INDEX(Backlog[Status],MATCH($A120,Backlog[Requirement ID],0))),"")</f>
        <v/>
      </c>
      <c r="F120" s="23"/>
      <c r="G120" s="1" t="str">
        <f aca="false">IFERROR(IF(ISBLANK(INDEX(Backlog[HLE],MATCH($A120,Backlog[Requirement ID],0))),"",INDEX(Backlog[HLE],MATCH($A120,Backlog[Requirement ID],0))),"")</f>
        <v/>
      </c>
      <c r="H120" s="1" t="n">
        <f aca="false">IFERROR(VALUE(SUBSTITUTE($F120,"Sprint ","")),9999)</f>
        <v>9999</v>
      </c>
    </row>
    <row r="121" customFormat="false" ht="15" hidden="false" customHeight="true" outlineLevel="0" collapsed="false">
      <c r="A121" s="1" t="str">
        <f aca="false">Backlog!A121</f>
        <v/>
      </c>
      <c r="B121" s="1" t="str">
        <f aca="false">IFERROR(IF(ISBLANK(INDEX(Backlog[Requirement Name],MATCH($A121,Backlog[Requirement ID],0))),"",INDEX(Backlog[Requirement Name],MATCH($A121,Backlog[Requirement ID],0))),"")</f>
        <v/>
      </c>
      <c r="C121" s="1" t="str">
        <f aca="false">IFERROR(IF(ISBLANK(INDEX(Backlog[Stream],MATCH($A121,Backlog[Requirement ID],0))),"",INDEX(Backlog[Stream],MATCH($A121,Backlog[Requirement ID],0))),"")</f>
        <v/>
      </c>
      <c r="D121" s="1" t="str">
        <f aca="false">IFERROR(IF(ISBLANK(INDEX(Backlog[Priority],MATCH($A121,Backlog[Requirement ID],0))),"",INDEX(Backlog[Priority],MATCH($A121,Backlog[Requirement ID],0))),"")</f>
        <v/>
      </c>
      <c r="E121" s="1" t="str">
        <f aca="false">IFERROR(IF(ISBLANK(INDEX(Backlog[Status],MATCH($A121,Backlog[Requirement ID],0))),"",INDEX(Backlog[Status],MATCH($A121,Backlog[Requirement ID],0))),"")</f>
        <v/>
      </c>
      <c r="F121" s="23"/>
      <c r="G121" s="1" t="str">
        <f aca="false">IFERROR(IF(ISBLANK(INDEX(Backlog[HLE],MATCH($A121,Backlog[Requirement ID],0))),"",INDEX(Backlog[HLE],MATCH($A121,Backlog[Requirement ID],0))),"")</f>
        <v/>
      </c>
      <c r="H121" s="1" t="n">
        <f aca="false">IFERROR(VALUE(SUBSTITUTE($F121,"Sprint ","")),9999)</f>
        <v>9999</v>
      </c>
    </row>
    <row r="122" customFormat="false" ht="15" hidden="false" customHeight="true" outlineLevel="0" collapsed="false">
      <c r="A122" s="1" t="str">
        <f aca="false">Backlog!A122</f>
        <v/>
      </c>
      <c r="B122" s="1" t="str">
        <f aca="false">IFERROR(IF(ISBLANK(INDEX(Backlog[Requirement Name],MATCH($A122,Backlog[Requirement ID],0))),"",INDEX(Backlog[Requirement Name],MATCH($A122,Backlog[Requirement ID],0))),"")</f>
        <v/>
      </c>
      <c r="C122" s="1" t="str">
        <f aca="false">IFERROR(IF(ISBLANK(INDEX(Backlog[Stream],MATCH($A122,Backlog[Requirement ID],0))),"",INDEX(Backlog[Stream],MATCH($A122,Backlog[Requirement ID],0))),"")</f>
        <v/>
      </c>
      <c r="D122" s="1" t="str">
        <f aca="false">IFERROR(IF(ISBLANK(INDEX(Backlog[Priority],MATCH($A122,Backlog[Requirement ID],0))),"",INDEX(Backlog[Priority],MATCH($A122,Backlog[Requirement ID],0))),"")</f>
        <v/>
      </c>
      <c r="E122" s="1" t="str">
        <f aca="false">IFERROR(IF(ISBLANK(INDEX(Backlog[Status],MATCH($A122,Backlog[Requirement ID],0))),"",INDEX(Backlog[Status],MATCH($A122,Backlog[Requirement ID],0))),"")</f>
        <v/>
      </c>
      <c r="F122" s="23"/>
      <c r="G122" s="1" t="str">
        <f aca="false">IFERROR(IF(ISBLANK(INDEX(Backlog[HLE],MATCH($A122,Backlog[Requirement ID],0))),"",INDEX(Backlog[HLE],MATCH($A122,Backlog[Requirement ID],0))),"")</f>
        <v/>
      </c>
      <c r="H122" s="1" t="n">
        <f aca="false">IFERROR(VALUE(SUBSTITUTE($F122,"Sprint ","")),9999)</f>
        <v>9999</v>
      </c>
    </row>
    <row r="123" customFormat="false" ht="15" hidden="false" customHeight="true" outlineLevel="0" collapsed="false">
      <c r="A123" s="1" t="str">
        <f aca="false">Backlog!A123</f>
        <v/>
      </c>
      <c r="B123" s="1" t="str">
        <f aca="false">IFERROR(IF(ISBLANK(INDEX(Backlog[Requirement Name],MATCH($A123,Backlog[Requirement ID],0))),"",INDEX(Backlog[Requirement Name],MATCH($A123,Backlog[Requirement ID],0))),"")</f>
        <v/>
      </c>
      <c r="C123" s="1" t="str">
        <f aca="false">IFERROR(IF(ISBLANK(INDEX(Backlog[Stream],MATCH($A123,Backlog[Requirement ID],0))),"",INDEX(Backlog[Stream],MATCH($A123,Backlog[Requirement ID],0))),"")</f>
        <v/>
      </c>
      <c r="D123" s="1" t="str">
        <f aca="false">IFERROR(IF(ISBLANK(INDEX(Backlog[Priority],MATCH($A123,Backlog[Requirement ID],0))),"",INDEX(Backlog[Priority],MATCH($A123,Backlog[Requirement ID],0))),"")</f>
        <v/>
      </c>
      <c r="E123" s="1" t="str">
        <f aca="false">IFERROR(IF(ISBLANK(INDEX(Backlog[Status],MATCH($A123,Backlog[Requirement ID],0))),"",INDEX(Backlog[Status],MATCH($A123,Backlog[Requirement ID],0))),"")</f>
        <v/>
      </c>
      <c r="F123" s="23"/>
      <c r="G123" s="1" t="str">
        <f aca="false">IFERROR(IF(ISBLANK(INDEX(Backlog[HLE],MATCH($A123,Backlog[Requirement ID],0))),"",INDEX(Backlog[HLE],MATCH($A123,Backlog[Requirement ID],0))),"")</f>
        <v/>
      </c>
      <c r="H123" s="1" t="n">
        <f aca="false">IFERROR(VALUE(SUBSTITUTE($F123,"Sprint ","")),9999)</f>
        <v>9999</v>
      </c>
    </row>
    <row r="124" customFormat="false" ht="15" hidden="false" customHeight="true" outlineLevel="0" collapsed="false">
      <c r="A124" s="1" t="str">
        <f aca="false">Backlog!A124</f>
        <v/>
      </c>
      <c r="B124" s="1" t="str">
        <f aca="false">IFERROR(IF(ISBLANK(INDEX(Backlog[Requirement Name],MATCH($A124,Backlog[Requirement ID],0))),"",INDEX(Backlog[Requirement Name],MATCH($A124,Backlog[Requirement ID],0))),"")</f>
        <v/>
      </c>
      <c r="C124" s="1" t="str">
        <f aca="false">IFERROR(IF(ISBLANK(INDEX(Backlog[Stream],MATCH($A124,Backlog[Requirement ID],0))),"",INDEX(Backlog[Stream],MATCH($A124,Backlog[Requirement ID],0))),"")</f>
        <v/>
      </c>
      <c r="D124" s="1" t="str">
        <f aca="false">IFERROR(IF(ISBLANK(INDEX(Backlog[Priority],MATCH($A124,Backlog[Requirement ID],0))),"",INDEX(Backlog[Priority],MATCH($A124,Backlog[Requirement ID],0))),"")</f>
        <v/>
      </c>
      <c r="E124" s="1" t="str">
        <f aca="false">IFERROR(IF(ISBLANK(INDEX(Backlog[Status],MATCH($A124,Backlog[Requirement ID],0))),"",INDEX(Backlog[Status],MATCH($A124,Backlog[Requirement ID],0))),"")</f>
        <v/>
      </c>
      <c r="F124" s="23"/>
      <c r="G124" s="1" t="str">
        <f aca="false">IFERROR(IF(ISBLANK(INDEX(Backlog[HLE],MATCH($A124,Backlog[Requirement ID],0))),"",INDEX(Backlog[HLE],MATCH($A124,Backlog[Requirement ID],0))),"")</f>
        <v/>
      </c>
      <c r="H124" s="1" t="n">
        <f aca="false">IFERROR(VALUE(SUBSTITUTE($F124,"Sprint ","")),9999)</f>
        <v>9999</v>
      </c>
    </row>
    <row r="125" customFormat="false" ht="15" hidden="false" customHeight="true" outlineLevel="0" collapsed="false">
      <c r="A125" s="1" t="str">
        <f aca="false">Backlog!A125</f>
        <v/>
      </c>
      <c r="B125" s="1" t="str">
        <f aca="false">IFERROR(IF(ISBLANK(INDEX(Backlog[Requirement Name],MATCH($A125,Backlog[Requirement ID],0))),"",INDEX(Backlog[Requirement Name],MATCH($A125,Backlog[Requirement ID],0))),"")</f>
        <v/>
      </c>
      <c r="C125" s="1" t="str">
        <f aca="false">IFERROR(IF(ISBLANK(INDEX(Backlog[Stream],MATCH($A125,Backlog[Requirement ID],0))),"",INDEX(Backlog[Stream],MATCH($A125,Backlog[Requirement ID],0))),"")</f>
        <v/>
      </c>
      <c r="D125" s="1" t="str">
        <f aca="false">IFERROR(IF(ISBLANK(INDEX(Backlog[Priority],MATCH($A125,Backlog[Requirement ID],0))),"",INDEX(Backlog[Priority],MATCH($A125,Backlog[Requirement ID],0))),"")</f>
        <v/>
      </c>
      <c r="E125" s="1" t="str">
        <f aca="false">IFERROR(IF(ISBLANK(INDEX(Backlog[Status],MATCH($A125,Backlog[Requirement ID],0))),"",INDEX(Backlog[Status],MATCH($A125,Backlog[Requirement ID],0))),"")</f>
        <v/>
      </c>
      <c r="F125" s="23"/>
      <c r="G125" s="1" t="str">
        <f aca="false">IFERROR(IF(ISBLANK(INDEX(Backlog[HLE],MATCH($A125,Backlog[Requirement ID],0))),"",INDEX(Backlog[HLE],MATCH($A125,Backlog[Requirement ID],0))),"")</f>
        <v/>
      </c>
      <c r="H125" s="1" t="n">
        <f aca="false">IFERROR(VALUE(SUBSTITUTE($F125,"Sprint ","")),9999)</f>
        <v>9999</v>
      </c>
    </row>
    <row r="126" customFormat="false" ht="15" hidden="false" customHeight="true" outlineLevel="0" collapsed="false">
      <c r="A126" s="1" t="str">
        <f aca="false">Backlog!A126</f>
        <v/>
      </c>
      <c r="B126" s="1" t="str">
        <f aca="false">IFERROR(IF(ISBLANK(INDEX(Backlog[Requirement Name],MATCH($A126,Backlog[Requirement ID],0))),"",INDEX(Backlog[Requirement Name],MATCH($A126,Backlog[Requirement ID],0))),"")</f>
        <v/>
      </c>
      <c r="C126" s="1" t="str">
        <f aca="false">IFERROR(IF(ISBLANK(INDEX(Backlog[Stream],MATCH($A126,Backlog[Requirement ID],0))),"",INDEX(Backlog[Stream],MATCH($A126,Backlog[Requirement ID],0))),"")</f>
        <v/>
      </c>
      <c r="D126" s="1" t="str">
        <f aca="false">IFERROR(IF(ISBLANK(INDEX(Backlog[Priority],MATCH($A126,Backlog[Requirement ID],0))),"",INDEX(Backlog[Priority],MATCH($A126,Backlog[Requirement ID],0))),"")</f>
        <v/>
      </c>
      <c r="E126" s="1" t="str">
        <f aca="false">IFERROR(IF(ISBLANK(INDEX(Backlog[Status],MATCH($A126,Backlog[Requirement ID],0))),"",INDEX(Backlog[Status],MATCH($A126,Backlog[Requirement ID],0))),"")</f>
        <v/>
      </c>
      <c r="F126" s="23"/>
      <c r="G126" s="1" t="str">
        <f aca="false">IFERROR(IF(ISBLANK(INDEX(Backlog[HLE],MATCH($A126,Backlog[Requirement ID],0))),"",INDEX(Backlog[HLE],MATCH($A126,Backlog[Requirement ID],0))),"")</f>
        <v/>
      </c>
      <c r="H126" s="1" t="n">
        <f aca="false">IFERROR(VALUE(SUBSTITUTE($F126,"Sprint ","")),9999)</f>
        <v>9999</v>
      </c>
    </row>
    <row r="127" customFormat="false" ht="15" hidden="false" customHeight="true" outlineLevel="0" collapsed="false">
      <c r="A127" s="1" t="str">
        <f aca="false">Backlog!A127</f>
        <v/>
      </c>
      <c r="B127" s="1" t="str">
        <f aca="false">IFERROR(IF(ISBLANK(INDEX(Backlog[Requirement Name],MATCH($A127,Backlog[Requirement ID],0))),"",INDEX(Backlog[Requirement Name],MATCH($A127,Backlog[Requirement ID],0))),"")</f>
        <v/>
      </c>
      <c r="C127" s="1" t="str">
        <f aca="false">IFERROR(IF(ISBLANK(INDEX(Backlog[Stream],MATCH($A127,Backlog[Requirement ID],0))),"",INDEX(Backlog[Stream],MATCH($A127,Backlog[Requirement ID],0))),"")</f>
        <v/>
      </c>
      <c r="D127" s="1" t="str">
        <f aca="false">IFERROR(IF(ISBLANK(INDEX(Backlog[Priority],MATCH($A127,Backlog[Requirement ID],0))),"",INDEX(Backlog[Priority],MATCH($A127,Backlog[Requirement ID],0))),"")</f>
        <v/>
      </c>
      <c r="E127" s="1" t="str">
        <f aca="false">IFERROR(IF(ISBLANK(INDEX(Backlog[Status],MATCH($A127,Backlog[Requirement ID],0))),"",INDEX(Backlog[Status],MATCH($A127,Backlog[Requirement ID],0))),"")</f>
        <v/>
      </c>
      <c r="F127" s="23"/>
      <c r="G127" s="1" t="str">
        <f aca="false">IFERROR(IF(ISBLANK(INDEX(Backlog[HLE],MATCH($A127,Backlog[Requirement ID],0))),"",INDEX(Backlog[HLE],MATCH($A127,Backlog[Requirement ID],0))),"")</f>
        <v/>
      </c>
      <c r="H127" s="1" t="n">
        <f aca="false">IFERROR(VALUE(SUBSTITUTE($F127,"Sprint ","")),9999)</f>
        <v>9999</v>
      </c>
    </row>
    <row r="128" customFormat="false" ht="15" hidden="false" customHeight="true" outlineLevel="0" collapsed="false">
      <c r="A128" s="1" t="str">
        <f aca="false">Backlog!A128</f>
        <v/>
      </c>
      <c r="B128" s="1" t="str">
        <f aca="false">IFERROR(IF(ISBLANK(INDEX(Backlog[Requirement Name],MATCH($A128,Backlog[Requirement ID],0))),"",INDEX(Backlog[Requirement Name],MATCH($A128,Backlog[Requirement ID],0))),"")</f>
        <v/>
      </c>
      <c r="C128" s="1" t="str">
        <f aca="false">IFERROR(IF(ISBLANK(INDEX(Backlog[Stream],MATCH($A128,Backlog[Requirement ID],0))),"",INDEX(Backlog[Stream],MATCH($A128,Backlog[Requirement ID],0))),"")</f>
        <v/>
      </c>
      <c r="D128" s="1" t="str">
        <f aca="false">IFERROR(IF(ISBLANK(INDEX(Backlog[Priority],MATCH($A128,Backlog[Requirement ID],0))),"",INDEX(Backlog[Priority],MATCH($A128,Backlog[Requirement ID],0))),"")</f>
        <v/>
      </c>
      <c r="E128" s="1" t="str">
        <f aca="false">IFERROR(IF(ISBLANK(INDEX(Backlog[Status],MATCH($A128,Backlog[Requirement ID],0))),"",INDEX(Backlog[Status],MATCH($A128,Backlog[Requirement ID],0))),"")</f>
        <v/>
      </c>
      <c r="F128" s="23"/>
      <c r="G128" s="1" t="str">
        <f aca="false">IFERROR(IF(ISBLANK(INDEX(Backlog[HLE],MATCH($A128,Backlog[Requirement ID],0))),"",INDEX(Backlog[HLE],MATCH($A128,Backlog[Requirement ID],0))),"")</f>
        <v/>
      </c>
      <c r="H128" s="1" t="n">
        <f aca="false">IFERROR(VALUE(SUBSTITUTE($F128,"Sprint ","")),9999)</f>
        <v>9999</v>
      </c>
    </row>
    <row r="129" customFormat="false" ht="15" hidden="false" customHeight="true" outlineLevel="0" collapsed="false">
      <c r="A129" s="1" t="str">
        <f aca="false">Backlog!A129</f>
        <v/>
      </c>
      <c r="B129" s="1" t="str">
        <f aca="false">IFERROR(IF(ISBLANK(INDEX(Backlog[Requirement Name],MATCH($A129,Backlog[Requirement ID],0))),"",INDEX(Backlog[Requirement Name],MATCH($A129,Backlog[Requirement ID],0))),"")</f>
        <v/>
      </c>
      <c r="C129" s="1" t="str">
        <f aca="false">IFERROR(IF(ISBLANK(INDEX(Backlog[Stream],MATCH($A129,Backlog[Requirement ID],0))),"",INDEX(Backlog[Stream],MATCH($A129,Backlog[Requirement ID],0))),"")</f>
        <v/>
      </c>
      <c r="D129" s="1" t="str">
        <f aca="false">IFERROR(IF(ISBLANK(INDEX(Backlog[Priority],MATCH($A129,Backlog[Requirement ID],0))),"",INDEX(Backlog[Priority],MATCH($A129,Backlog[Requirement ID],0))),"")</f>
        <v/>
      </c>
      <c r="E129" s="1" t="str">
        <f aca="false">IFERROR(IF(ISBLANK(INDEX(Backlog[Status],MATCH($A129,Backlog[Requirement ID],0))),"",INDEX(Backlog[Status],MATCH($A129,Backlog[Requirement ID],0))),"")</f>
        <v/>
      </c>
      <c r="F129" s="23"/>
      <c r="G129" s="1" t="str">
        <f aca="false">IFERROR(IF(ISBLANK(INDEX(Backlog[HLE],MATCH($A129,Backlog[Requirement ID],0))),"",INDEX(Backlog[HLE],MATCH($A129,Backlog[Requirement ID],0))),"")</f>
        <v/>
      </c>
      <c r="H129" s="1" t="n">
        <f aca="false">IFERROR(VALUE(SUBSTITUTE($F129,"Sprint ","")),9999)</f>
        <v>9999</v>
      </c>
    </row>
    <row r="130" customFormat="false" ht="15" hidden="false" customHeight="true" outlineLevel="0" collapsed="false">
      <c r="A130" s="1" t="str">
        <f aca="false">Backlog!A130</f>
        <v/>
      </c>
      <c r="B130" s="1" t="str">
        <f aca="false">IFERROR(IF(ISBLANK(INDEX(Backlog[Requirement Name],MATCH($A130,Backlog[Requirement ID],0))),"",INDEX(Backlog[Requirement Name],MATCH($A130,Backlog[Requirement ID],0))),"")</f>
        <v/>
      </c>
      <c r="C130" s="1" t="str">
        <f aca="false">IFERROR(IF(ISBLANK(INDEX(Backlog[Stream],MATCH($A130,Backlog[Requirement ID],0))),"",INDEX(Backlog[Stream],MATCH($A130,Backlog[Requirement ID],0))),"")</f>
        <v/>
      </c>
      <c r="D130" s="1" t="str">
        <f aca="false">IFERROR(IF(ISBLANK(INDEX(Backlog[Priority],MATCH($A130,Backlog[Requirement ID],0))),"",INDEX(Backlog[Priority],MATCH($A130,Backlog[Requirement ID],0))),"")</f>
        <v/>
      </c>
      <c r="E130" s="1" t="str">
        <f aca="false">IFERROR(IF(ISBLANK(INDEX(Backlog[Status],MATCH($A130,Backlog[Requirement ID],0))),"",INDEX(Backlog[Status],MATCH($A130,Backlog[Requirement ID],0))),"")</f>
        <v/>
      </c>
      <c r="F130" s="23"/>
      <c r="G130" s="1" t="str">
        <f aca="false">IFERROR(IF(ISBLANK(INDEX(Backlog[HLE],MATCH($A130,Backlog[Requirement ID],0))),"",INDEX(Backlog[HLE],MATCH($A130,Backlog[Requirement ID],0))),"")</f>
        <v/>
      </c>
      <c r="H130" s="1" t="n">
        <f aca="false">IFERROR(VALUE(SUBSTITUTE($F130,"Sprint ","")),9999)</f>
        <v>9999</v>
      </c>
    </row>
    <row r="131" customFormat="false" ht="15" hidden="false" customHeight="true" outlineLevel="0" collapsed="false">
      <c r="A131" s="1" t="str">
        <f aca="false">Backlog!A131</f>
        <v/>
      </c>
      <c r="B131" s="1" t="str">
        <f aca="false">IFERROR(IF(ISBLANK(INDEX(Backlog[Requirement Name],MATCH($A131,Backlog[Requirement ID],0))),"",INDEX(Backlog[Requirement Name],MATCH($A131,Backlog[Requirement ID],0))),"")</f>
        <v/>
      </c>
      <c r="C131" s="1" t="str">
        <f aca="false">IFERROR(IF(ISBLANK(INDEX(Backlog[Stream],MATCH($A131,Backlog[Requirement ID],0))),"",INDEX(Backlog[Stream],MATCH($A131,Backlog[Requirement ID],0))),"")</f>
        <v/>
      </c>
      <c r="D131" s="1" t="str">
        <f aca="false">IFERROR(IF(ISBLANK(INDEX(Backlog[Priority],MATCH($A131,Backlog[Requirement ID],0))),"",INDEX(Backlog[Priority],MATCH($A131,Backlog[Requirement ID],0))),"")</f>
        <v/>
      </c>
      <c r="E131" s="1" t="str">
        <f aca="false">IFERROR(IF(ISBLANK(INDEX(Backlog[Status],MATCH($A131,Backlog[Requirement ID],0))),"",INDEX(Backlog[Status],MATCH($A131,Backlog[Requirement ID],0))),"")</f>
        <v/>
      </c>
      <c r="F131" s="23"/>
      <c r="G131" s="1" t="str">
        <f aca="false">IFERROR(IF(ISBLANK(INDEX(Backlog[HLE],MATCH($A131,Backlog[Requirement ID],0))),"",INDEX(Backlog[HLE],MATCH($A131,Backlog[Requirement ID],0))),"")</f>
        <v/>
      </c>
      <c r="H131" s="1" t="n">
        <f aca="false">IFERROR(VALUE(SUBSTITUTE($F131,"Sprint ","")),9999)</f>
        <v>9999</v>
      </c>
    </row>
    <row r="132" customFormat="false" ht="15" hidden="false" customHeight="true" outlineLevel="0" collapsed="false">
      <c r="A132" s="1" t="str">
        <f aca="false">Backlog!A132</f>
        <v/>
      </c>
      <c r="B132" s="1" t="str">
        <f aca="false">IFERROR(IF(ISBLANK(INDEX(Backlog[Requirement Name],MATCH($A132,Backlog[Requirement ID],0))),"",INDEX(Backlog[Requirement Name],MATCH($A132,Backlog[Requirement ID],0))),"")</f>
        <v/>
      </c>
      <c r="C132" s="1" t="str">
        <f aca="false">IFERROR(IF(ISBLANK(INDEX(Backlog[Stream],MATCH($A132,Backlog[Requirement ID],0))),"",INDEX(Backlog[Stream],MATCH($A132,Backlog[Requirement ID],0))),"")</f>
        <v/>
      </c>
      <c r="D132" s="1" t="str">
        <f aca="false">IFERROR(IF(ISBLANK(INDEX(Backlog[Priority],MATCH($A132,Backlog[Requirement ID],0))),"",INDEX(Backlog[Priority],MATCH($A132,Backlog[Requirement ID],0))),"")</f>
        <v/>
      </c>
      <c r="E132" s="1" t="str">
        <f aca="false">IFERROR(IF(ISBLANK(INDEX(Backlog[Status],MATCH($A132,Backlog[Requirement ID],0))),"",INDEX(Backlog[Status],MATCH($A132,Backlog[Requirement ID],0))),"")</f>
        <v/>
      </c>
      <c r="F132" s="23"/>
      <c r="G132" s="1" t="str">
        <f aca="false">IFERROR(IF(ISBLANK(INDEX(Backlog[HLE],MATCH($A132,Backlog[Requirement ID],0))),"",INDEX(Backlog[HLE],MATCH($A132,Backlog[Requirement ID],0))),"")</f>
        <v/>
      </c>
      <c r="H132" s="1" t="n">
        <f aca="false">IFERROR(VALUE(SUBSTITUTE($F132,"Sprint ","")),9999)</f>
        <v>9999</v>
      </c>
    </row>
    <row r="133" customFormat="false" ht="15" hidden="false" customHeight="true" outlineLevel="0" collapsed="false">
      <c r="A133" s="1" t="str">
        <f aca="false">Backlog!A133</f>
        <v/>
      </c>
      <c r="B133" s="1" t="str">
        <f aca="false">IFERROR(IF(ISBLANK(INDEX(Backlog[Requirement Name],MATCH($A133,Backlog[Requirement ID],0))),"",INDEX(Backlog[Requirement Name],MATCH($A133,Backlog[Requirement ID],0))),"")</f>
        <v/>
      </c>
      <c r="C133" s="1" t="str">
        <f aca="false">IFERROR(IF(ISBLANK(INDEX(Backlog[Stream],MATCH($A133,Backlog[Requirement ID],0))),"",INDEX(Backlog[Stream],MATCH($A133,Backlog[Requirement ID],0))),"")</f>
        <v/>
      </c>
      <c r="D133" s="1" t="str">
        <f aca="false">IFERROR(IF(ISBLANK(INDEX(Backlog[Priority],MATCH($A133,Backlog[Requirement ID],0))),"",INDEX(Backlog[Priority],MATCH($A133,Backlog[Requirement ID],0))),"")</f>
        <v/>
      </c>
      <c r="E133" s="1" t="str">
        <f aca="false">IFERROR(IF(ISBLANK(INDEX(Backlog[Status],MATCH($A133,Backlog[Requirement ID],0))),"",INDEX(Backlog[Status],MATCH($A133,Backlog[Requirement ID],0))),"")</f>
        <v/>
      </c>
      <c r="F133" s="23"/>
      <c r="G133" s="1" t="str">
        <f aca="false">IFERROR(IF(ISBLANK(INDEX(Backlog[HLE],MATCH($A133,Backlog[Requirement ID],0))),"",INDEX(Backlog[HLE],MATCH($A133,Backlog[Requirement ID],0))),"")</f>
        <v/>
      </c>
      <c r="H133" s="1" t="n">
        <f aca="false">IFERROR(VALUE(SUBSTITUTE($F133,"Sprint ","")),9999)</f>
        <v>9999</v>
      </c>
    </row>
    <row r="134" customFormat="false" ht="15" hidden="false" customHeight="true" outlineLevel="0" collapsed="false">
      <c r="A134" s="1" t="str">
        <f aca="false">Backlog!A134</f>
        <v/>
      </c>
      <c r="B134" s="1" t="str">
        <f aca="false">IFERROR(IF(ISBLANK(INDEX(Backlog[Requirement Name],MATCH($A134,Backlog[Requirement ID],0))),"",INDEX(Backlog[Requirement Name],MATCH($A134,Backlog[Requirement ID],0))),"")</f>
        <v/>
      </c>
      <c r="C134" s="1" t="str">
        <f aca="false">IFERROR(IF(ISBLANK(INDEX(Backlog[Stream],MATCH($A134,Backlog[Requirement ID],0))),"",INDEX(Backlog[Stream],MATCH($A134,Backlog[Requirement ID],0))),"")</f>
        <v/>
      </c>
      <c r="D134" s="1" t="str">
        <f aca="false">IFERROR(IF(ISBLANK(INDEX(Backlog[Priority],MATCH($A134,Backlog[Requirement ID],0))),"",INDEX(Backlog[Priority],MATCH($A134,Backlog[Requirement ID],0))),"")</f>
        <v/>
      </c>
      <c r="E134" s="1" t="str">
        <f aca="false">IFERROR(IF(ISBLANK(INDEX(Backlog[Status],MATCH($A134,Backlog[Requirement ID],0))),"",INDEX(Backlog[Status],MATCH($A134,Backlog[Requirement ID],0))),"")</f>
        <v/>
      </c>
      <c r="F134" s="23"/>
      <c r="G134" s="1" t="str">
        <f aca="false">IFERROR(IF(ISBLANK(INDEX(Backlog[HLE],MATCH($A134,Backlog[Requirement ID],0))),"",INDEX(Backlog[HLE],MATCH($A134,Backlog[Requirement ID],0))),"")</f>
        <v/>
      </c>
      <c r="H134" s="1" t="n">
        <f aca="false">IFERROR(VALUE(SUBSTITUTE($F134,"Sprint ","")),9999)</f>
        <v>9999</v>
      </c>
    </row>
    <row r="135" customFormat="false" ht="23.25" hidden="false" customHeight="true" outlineLevel="0" collapsed="false">
      <c r="A135" s="1" t="str">
        <f aca="false">Backlog!A135</f>
        <v/>
      </c>
      <c r="B135" s="1" t="str">
        <f aca="false">IFERROR(IF(ISBLANK(INDEX(Backlog[Requirement Name],MATCH($A135,Backlog[Requirement ID],0))),"",INDEX(Backlog[Requirement Name],MATCH($A135,Backlog[Requirement ID],0))),"")</f>
        <v/>
      </c>
      <c r="C135" s="1" t="str">
        <f aca="false">IFERROR(IF(ISBLANK(INDEX(Backlog[Stream],MATCH($A135,Backlog[Requirement ID],0))),"",INDEX(Backlog[Stream],MATCH($A135,Backlog[Requirement ID],0))),"")</f>
        <v/>
      </c>
      <c r="D135" s="1" t="str">
        <f aca="false">IFERROR(IF(ISBLANK(INDEX(Backlog[Priority],MATCH($A135,Backlog[Requirement ID],0))),"",INDEX(Backlog[Priority],MATCH($A135,Backlog[Requirement ID],0))),"")</f>
        <v/>
      </c>
      <c r="E135" s="1" t="str">
        <f aca="false">IFERROR(IF(ISBLANK(INDEX(Backlog[Status],MATCH($A135,Backlog[Requirement ID],0))),"",INDEX(Backlog[Status],MATCH($A135,Backlog[Requirement ID],0))),"")</f>
        <v/>
      </c>
      <c r="F135" s="23"/>
      <c r="G135" s="1" t="str">
        <f aca="false">IFERROR(IF(ISBLANK(INDEX(Backlog[HLE],MATCH($A135,Backlog[Requirement ID],0))),"",INDEX(Backlog[HLE],MATCH($A135,Backlog[Requirement ID],0))),"")</f>
        <v/>
      </c>
      <c r="H135" s="1" t="n">
        <f aca="false">IFERROR(VALUE(SUBSTITUTE($F135,"Sprint ","")),9999)</f>
        <v>9999</v>
      </c>
    </row>
    <row r="136" customFormat="false" ht="15" hidden="false" customHeight="true" outlineLevel="0" collapsed="false">
      <c r="A136" s="1" t="str">
        <f aca="false">Backlog!A136</f>
        <v/>
      </c>
      <c r="B136" s="1" t="str">
        <f aca="false">IFERROR(IF(ISBLANK(INDEX(Backlog[Requirement Name],MATCH($A136,Backlog[Requirement ID],0))),"",INDEX(Backlog[Requirement Name],MATCH($A136,Backlog[Requirement ID],0))),"")</f>
        <v/>
      </c>
      <c r="C136" s="1" t="str">
        <f aca="false">IFERROR(IF(ISBLANK(INDEX(Backlog[Stream],MATCH($A136,Backlog[Requirement ID],0))),"",INDEX(Backlog[Stream],MATCH($A136,Backlog[Requirement ID],0))),"")</f>
        <v/>
      </c>
      <c r="D136" s="1" t="str">
        <f aca="false">IFERROR(IF(ISBLANK(INDEX(Backlog[Priority],MATCH($A136,Backlog[Requirement ID],0))),"",INDEX(Backlog[Priority],MATCH($A136,Backlog[Requirement ID],0))),"")</f>
        <v/>
      </c>
      <c r="E136" s="1" t="str">
        <f aca="false">IFERROR(IF(ISBLANK(INDEX(Backlog[Status],MATCH($A136,Backlog[Requirement ID],0))),"",INDEX(Backlog[Status],MATCH($A136,Backlog[Requirement ID],0))),"")</f>
        <v/>
      </c>
      <c r="F136" s="23"/>
      <c r="G136" s="1" t="str">
        <f aca="false">IFERROR(IF(ISBLANK(INDEX(Backlog[HLE],MATCH($A136,Backlog[Requirement ID],0))),"",INDEX(Backlog[HLE],MATCH($A136,Backlog[Requirement ID],0))),"")</f>
        <v/>
      </c>
      <c r="H136" s="1" t="n">
        <f aca="false">IFERROR(VALUE(SUBSTITUTE($F136,"Sprint ","")),9999)</f>
        <v>9999</v>
      </c>
    </row>
    <row r="137" customFormat="false" ht="15" hidden="false" customHeight="true" outlineLevel="0" collapsed="false">
      <c r="A137" s="1" t="str">
        <f aca="false">Backlog!A137</f>
        <v/>
      </c>
      <c r="B137" s="1" t="str">
        <f aca="false">IFERROR(IF(ISBLANK(INDEX(Backlog[Requirement Name],MATCH($A137,Backlog[Requirement ID],0))),"",INDEX(Backlog[Requirement Name],MATCH($A137,Backlog[Requirement ID],0))),"")</f>
        <v/>
      </c>
      <c r="C137" s="1" t="str">
        <f aca="false">IFERROR(IF(ISBLANK(INDEX(Backlog[Stream],MATCH($A137,Backlog[Requirement ID],0))),"",INDEX(Backlog[Stream],MATCH($A137,Backlog[Requirement ID],0))),"")</f>
        <v/>
      </c>
      <c r="D137" s="1" t="str">
        <f aca="false">IFERROR(IF(ISBLANK(INDEX(Backlog[Priority],MATCH($A137,Backlog[Requirement ID],0))),"",INDEX(Backlog[Priority],MATCH($A137,Backlog[Requirement ID],0))),"")</f>
        <v/>
      </c>
      <c r="E137" s="1" t="str">
        <f aca="false">IFERROR(IF(ISBLANK(INDEX(Backlog[Status],MATCH($A137,Backlog[Requirement ID],0))),"",INDEX(Backlog[Status],MATCH($A137,Backlog[Requirement ID],0))),"")</f>
        <v/>
      </c>
      <c r="F137" s="23"/>
      <c r="G137" s="1" t="str">
        <f aca="false">IFERROR(IF(ISBLANK(INDEX(Backlog[HLE],MATCH($A137,Backlog[Requirement ID],0))),"",INDEX(Backlog[HLE],MATCH($A137,Backlog[Requirement ID],0))),"")</f>
        <v/>
      </c>
      <c r="H137" s="1" t="n">
        <f aca="false">IFERROR(VALUE(SUBSTITUTE($F137,"Sprint ","")),9999)</f>
        <v>9999</v>
      </c>
    </row>
    <row r="138" customFormat="false" ht="15" hidden="false" customHeight="true" outlineLevel="0" collapsed="false">
      <c r="A138" s="1" t="str">
        <f aca="false">Backlog!A138</f>
        <v/>
      </c>
      <c r="B138" s="1" t="str">
        <f aca="false">IFERROR(IF(ISBLANK(INDEX(Backlog[Requirement Name],MATCH($A138,Backlog[Requirement ID],0))),"",INDEX(Backlog[Requirement Name],MATCH($A138,Backlog[Requirement ID],0))),"")</f>
        <v/>
      </c>
      <c r="C138" s="1" t="str">
        <f aca="false">IFERROR(IF(ISBLANK(INDEX(Backlog[Stream],MATCH($A138,Backlog[Requirement ID],0))),"",INDEX(Backlog[Stream],MATCH($A138,Backlog[Requirement ID],0))),"")</f>
        <v/>
      </c>
      <c r="D138" s="1" t="str">
        <f aca="false">IFERROR(IF(ISBLANK(INDEX(Backlog[Priority],MATCH($A138,Backlog[Requirement ID],0))),"",INDEX(Backlog[Priority],MATCH($A138,Backlog[Requirement ID],0))),"")</f>
        <v/>
      </c>
      <c r="E138" s="1" t="str">
        <f aca="false">IFERROR(IF(ISBLANK(INDEX(Backlog[Status],MATCH($A138,Backlog[Requirement ID],0))),"",INDEX(Backlog[Status],MATCH($A138,Backlog[Requirement ID],0))),"")</f>
        <v/>
      </c>
      <c r="F138" s="23"/>
      <c r="G138" s="1" t="str">
        <f aca="false">IFERROR(IF(ISBLANK(INDEX(Backlog[HLE],MATCH($A138,Backlog[Requirement ID],0))),"",INDEX(Backlog[HLE],MATCH($A138,Backlog[Requirement ID],0))),"")</f>
        <v/>
      </c>
      <c r="H138" s="1" t="n">
        <f aca="false">IFERROR(VALUE(SUBSTITUTE($F138,"Sprint ","")),9999)</f>
        <v>9999</v>
      </c>
    </row>
    <row r="139" customFormat="false" ht="15" hidden="false" customHeight="true" outlineLevel="0" collapsed="false">
      <c r="A139" s="1" t="str">
        <f aca="false">Backlog!A139</f>
        <v/>
      </c>
      <c r="B139" s="1" t="str">
        <f aca="false">IFERROR(IF(ISBLANK(INDEX(Backlog[Requirement Name],MATCH($A139,Backlog[Requirement ID],0))),"",INDEX(Backlog[Requirement Name],MATCH($A139,Backlog[Requirement ID],0))),"")</f>
        <v/>
      </c>
      <c r="C139" s="1" t="str">
        <f aca="false">IFERROR(IF(ISBLANK(INDEX(Backlog[Stream],MATCH($A139,Backlog[Requirement ID],0))),"",INDEX(Backlog[Stream],MATCH($A139,Backlog[Requirement ID],0))),"")</f>
        <v/>
      </c>
      <c r="D139" s="1" t="str">
        <f aca="false">IFERROR(IF(ISBLANK(INDEX(Backlog[Priority],MATCH($A139,Backlog[Requirement ID],0))),"",INDEX(Backlog[Priority],MATCH($A139,Backlog[Requirement ID],0))),"")</f>
        <v/>
      </c>
      <c r="E139" s="1" t="str">
        <f aca="false">IFERROR(IF(ISBLANK(INDEX(Backlog[Status],MATCH($A139,Backlog[Requirement ID],0))),"",INDEX(Backlog[Status],MATCH($A139,Backlog[Requirement ID],0))),"")</f>
        <v/>
      </c>
      <c r="F139" s="23"/>
      <c r="G139" s="1" t="str">
        <f aca="false">IFERROR(IF(ISBLANK(INDEX(Backlog[HLE],MATCH($A139,Backlog[Requirement ID],0))),"",INDEX(Backlog[HLE],MATCH($A139,Backlog[Requirement ID],0))),"")</f>
        <v/>
      </c>
      <c r="H139" s="1" t="n">
        <f aca="false">IFERROR(VALUE(SUBSTITUTE($F139,"Sprint ","")),9999)</f>
        <v>9999</v>
      </c>
    </row>
    <row r="140" customFormat="false" ht="15" hidden="false" customHeight="true" outlineLevel="0" collapsed="false">
      <c r="A140" s="1" t="str">
        <f aca="false">Backlog!A140</f>
        <v/>
      </c>
      <c r="B140" s="1" t="str">
        <f aca="false">IFERROR(IF(ISBLANK(INDEX(Backlog[Requirement Name],MATCH($A140,Backlog[Requirement ID],0))),"",INDEX(Backlog[Requirement Name],MATCH($A140,Backlog[Requirement ID],0))),"")</f>
        <v/>
      </c>
      <c r="C140" s="1" t="str">
        <f aca="false">IFERROR(IF(ISBLANK(INDEX(Backlog[Stream],MATCH($A140,Backlog[Requirement ID],0))),"",INDEX(Backlog[Stream],MATCH($A140,Backlog[Requirement ID],0))),"")</f>
        <v/>
      </c>
      <c r="D140" s="1" t="str">
        <f aca="false">IFERROR(IF(ISBLANK(INDEX(Backlog[Priority],MATCH($A140,Backlog[Requirement ID],0))),"",INDEX(Backlog[Priority],MATCH($A140,Backlog[Requirement ID],0))),"")</f>
        <v/>
      </c>
      <c r="E140" s="1" t="str">
        <f aca="false">IFERROR(IF(ISBLANK(INDEX(Backlog[Status],MATCH($A140,Backlog[Requirement ID],0))),"",INDEX(Backlog[Status],MATCH($A140,Backlog[Requirement ID],0))),"")</f>
        <v/>
      </c>
      <c r="F140" s="23"/>
      <c r="G140" s="1" t="str">
        <f aca="false">IFERROR(IF(ISBLANK(INDEX(Backlog[HLE],MATCH($A140,Backlog[Requirement ID],0))),"",INDEX(Backlog[HLE],MATCH($A140,Backlog[Requirement ID],0))),"")</f>
        <v/>
      </c>
      <c r="H140" s="1" t="n">
        <f aca="false">IFERROR(VALUE(SUBSTITUTE($F140,"Sprint ","")),9999)</f>
        <v>9999</v>
      </c>
    </row>
    <row r="141" customFormat="false" ht="15" hidden="false" customHeight="true" outlineLevel="0" collapsed="false">
      <c r="A141" s="1" t="str">
        <f aca="false">Backlog!A141</f>
        <v/>
      </c>
      <c r="B141" s="1" t="str">
        <f aca="false">IFERROR(IF(ISBLANK(INDEX(Backlog[Requirement Name],MATCH($A141,Backlog[Requirement ID],0))),"",INDEX(Backlog[Requirement Name],MATCH($A141,Backlog[Requirement ID],0))),"")</f>
        <v/>
      </c>
      <c r="C141" s="1" t="str">
        <f aca="false">IFERROR(IF(ISBLANK(INDEX(Backlog[Stream],MATCH($A141,Backlog[Requirement ID],0))),"",INDEX(Backlog[Stream],MATCH($A141,Backlog[Requirement ID],0))),"")</f>
        <v/>
      </c>
      <c r="D141" s="1" t="str">
        <f aca="false">IFERROR(IF(ISBLANK(INDEX(Backlog[Priority],MATCH($A141,Backlog[Requirement ID],0))),"",INDEX(Backlog[Priority],MATCH($A141,Backlog[Requirement ID],0))),"")</f>
        <v/>
      </c>
      <c r="E141" s="1" t="str">
        <f aca="false">IFERROR(IF(ISBLANK(INDEX(Backlog[Status],MATCH($A141,Backlog[Requirement ID],0))),"",INDEX(Backlog[Status],MATCH($A141,Backlog[Requirement ID],0))),"")</f>
        <v/>
      </c>
      <c r="F141" s="23"/>
      <c r="G141" s="1" t="str">
        <f aca="false">IFERROR(IF(ISBLANK(INDEX(Backlog[HLE],MATCH($A141,Backlog[Requirement ID],0))),"",INDEX(Backlog[HLE],MATCH($A141,Backlog[Requirement ID],0))),"")</f>
        <v/>
      </c>
      <c r="H141" s="1" t="n">
        <f aca="false">IFERROR(VALUE(SUBSTITUTE($F141,"Sprint ","")),9999)</f>
        <v>9999</v>
      </c>
    </row>
    <row r="142" customFormat="false" ht="15" hidden="false" customHeight="true" outlineLevel="0" collapsed="false">
      <c r="A142" s="1" t="str">
        <f aca="false">Backlog!A142</f>
        <v/>
      </c>
      <c r="B142" s="1" t="str">
        <f aca="false">IFERROR(IF(ISBLANK(INDEX(Backlog[Requirement Name],MATCH($A142,Backlog[Requirement ID],0))),"",INDEX(Backlog[Requirement Name],MATCH($A142,Backlog[Requirement ID],0))),"")</f>
        <v/>
      </c>
      <c r="C142" s="1" t="str">
        <f aca="false">IFERROR(IF(ISBLANK(INDEX(Backlog[Stream],MATCH($A142,Backlog[Requirement ID],0))),"",INDEX(Backlog[Stream],MATCH($A142,Backlog[Requirement ID],0))),"")</f>
        <v/>
      </c>
      <c r="D142" s="1" t="str">
        <f aca="false">IFERROR(IF(ISBLANK(INDEX(Backlog[Priority],MATCH($A142,Backlog[Requirement ID],0))),"",INDEX(Backlog[Priority],MATCH($A142,Backlog[Requirement ID],0))),"")</f>
        <v/>
      </c>
      <c r="E142" s="1" t="str">
        <f aca="false">IFERROR(IF(ISBLANK(INDEX(Backlog[Status],MATCH($A142,Backlog[Requirement ID],0))),"",INDEX(Backlog[Status],MATCH($A142,Backlog[Requirement ID],0))),"")</f>
        <v/>
      </c>
      <c r="F142" s="23"/>
      <c r="G142" s="1" t="str">
        <f aca="false">IFERROR(IF(ISBLANK(INDEX(Backlog[HLE],MATCH($A142,Backlog[Requirement ID],0))),"",INDEX(Backlog[HLE],MATCH($A142,Backlog[Requirement ID],0))),"")</f>
        <v/>
      </c>
      <c r="H142" s="1" t="n">
        <f aca="false">IFERROR(VALUE(SUBSTITUTE($F142,"Sprint ","")),9999)</f>
        <v>9999</v>
      </c>
    </row>
    <row r="143" customFormat="false" ht="15" hidden="false" customHeight="true" outlineLevel="0" collapsed="false">
      <c r="A143" s="1" t="str">
        <f aca="false">Backlog!A143</f>
        <v/>
      </c>
      <c r="B143" s="1" t="str">
        <f aca="false">IFERROR(IF(ISBLANK(INDEX(Backlog[Requirement Name],MATCH($A143,Backlog[Requirement ID],0))),"",INDEX(Backlog[Requirement Name],MATCH($A143,Backlog[Requirement ID],0))),"")</f>
        <v/>
      </c>
      <c r="C143" s="1" t="str">
        <f aca="false">IFERROR(IF(ISBLANK(INDEX(Backlog[Stream],MATCH($A143,Backlog[Requirement ID],0))),"",INDEX(Backlog[Stream],MATCH($A143,Backlog[Requirement ID],0))),"")</f>
        <v/>
      </c>
      <c r="D143" s="1" t="str">
        <f aca="false">IFERROR(IF(ISBLANK(INDEX(Backlog[Priority],MATCH($A143,Backlog[Requirement ID],0))),"",INDEX(Backlog[Priority],MATCH($A143,Backlog[Requirement ID],0))),"")</f>
        <v/>
      </c>
      <c r="E143" s="1" t="str">
        <f aca="false">IFERROR(IF(ISBLANK(INDEX(Backlog[Status],MATCH($A143,Backlog[Requirement ID],0))),"",INDEX(Backlog[Status],MATCH($A143,Backlog[Requirement ID],0))),"")</f>
        <v/>
      </c>
      <c r="F143" s="23"/>
      <c r="G143" s="1" t="str">
        <f aca="false">IFERROR(IF(ISBLANK(INDEX(Backlog[HLE],MATCH($A143,Backlog[Requirement ID],0))),"",INDEX(Backlog[HLE],MATCH($A143,Backlog[Requirement ID],0))),"")</f>
        <v/>
      </c>
      <c r="H143" s="1" t="n">
        <f aca="false">IFERROR(VALUE(SUBSTITUTE($F143,"Sprint ","")),9999)</f>
        <v>9999</v>
      </c>
    </row>
    <row r="144" customFormat="false" ht="15" hidden="false" customHeight="true" outlineLevel="0" collapsed="false">
      <c r="A144" s="1" t="str">
        <f aca="false">Backlog!A144</f>
        <v/>
      </c>
      <c r="B144" s="1" t="str">
        <f aca="false">IFERROR(IF(ISBLANK(INDEX(Backlog[Requirement Name],MATCH($A144,Backlog[Requirement ID],0))),"",INDEX(Backlog[Requirement Name],MATCH($A144,Backlog[Requirement ID],0))),"")</f>
        <v/>
      </c>
      <c r="C144" s="1" t="str">
        <f aca="false">IFERROR(IF(ISBLANK(INDEX(Backlog[Stream],MATCH($A144,Backlog[Requirement ID],0))),"",INDEX(Backlog[Stream],MATCH($A144,Backlog[Requirement ID],0))),"")</f>
        <v/>
      </c>
      <c r="D144" s="1" t="str">
        <f aca="false">IFERROR(IF(ISBLANK(INDEX(Backlog[Priority],MATCH($A144,Backlog[Requirement ID],0))),"",INDEX(Backlog[Priority],MATCH($A144,Backlog[Requirement ID],0))),"")</f>
        <v/>
      </c>
      <c r="E144" s="1" t="str">
        <f aca="false">IFERROR(IF(ISBLANK(INDEX(Backlog[Status],MATCH($A144,Backlog[Requirement ID],0))),"",INDEX(Backlog[Status],MATCH($A144,Backlog[Requirement ID],0))),"")</f>
        <v/>
      </c>
      <c r="F144" s="23"/>
      <c r="G144" s="1" t="str">
        <f aca="false">IFERROR(IF(ISBLANK(INDEX(Backlog[HLE],MATCH($A144,Backlog[Requirement ID],0))),"",INDEX(Backlog[HLE],MATCH($A144,Backlog[Requirement ID],0))),"")</f>
        <v/>
      </c>
      <c r="H144" s="1" t="n">
        <f aca="false">IFERROR(VALUE(SUBSTITUTE($F144,"Sprint ","")),9999)</f>
        <v>9999</v>
      </c>
    </row>
    <row r="145" customFormat="false" ht="15" hidden="false" customHeight="true" outlineLevel="0" collapsed="false">
      <c r="A145" s="1" t="str">
        <f aca="false">Backlog!A145</f>
        <v/>
      </c>
      <c r="B145" s="1" t="str">
        <f aca="false">IFERROR(IF(ISBLANK(INDEX(Backlog[Requirement Name],MATCH($A145,Backlog[Requirement ID],0))),"",INDEX(Backlog[Requirement Name],MATCH($A145,Backlog[Requirement ID],0))),"")</f>
        <v/>
      </c>
      <c r="C145" s="1" t="str">
        <f aca="false">IFERROR(IF(ISBLANK(INDEX(Backlog[Stream],MATCH($A145,Backlog[Requirement ID],0))),"",INDEX(Backlog[Stream],MATCH($A145,Backlog[Requirement ID],0))),"")</f>
        <v/>
      </c>
      <c r="D145" s="1" t="str">
        <f aca="false">IFERROR(IF(ISBLANK(INDEX(Backlog[Priority],MATCH($A145,Backlog[Requirement ID],0))),"",INDEX(Backlog[Priority],MATCH($A145,Backlog[Requirement ID],0))),"")</f>
        <v/>
      </c>
      <c r="E145" s="1" t="str">
        <f aca="false">IFERROR(IF(ISBLANK(INDEX(Backlog[Status],MATCH($A145,Backlog[Requirement ID],0))),"",INDEX(Backlog[Status],MATCH($A145,Backlog[Requirement ID],0))),"")</f>
        <v/>
      </c>
      <c r="F145" s="23"/>
      <c r="G145" s="1" t="str">
        <f aca="false">IFERROR(IF(ISBLANK(INDEX(Backlog[HLE],MATCH($A145,Backlog[Requirement ID],0))),"",INDEX(Backlog[HLE],MATCH($A145,Backlog[Requirement ID],0))),"")</f>
        <v/>
      </c>
      <c r="H145" s="1" t="n">
        <f aca="false">IFERROR(VALUE(SUBSTITUTE($F145,"Sprint ","")),9999)</f>
        <v>9999</v>
      </c>
    </row>
    <row r="146" customFormat="false" ht="15" hidden="false" customHeight="true" outlineLevel="0" collapsed="false">
      <c r="A146" s="1" t="str">
        <f aca="false">Backlog!A146</f>
        <v/>
      </c>
      <c r="B146" s="1" t="str">
        <f aca="false">IFERROR(IF(ISBLANK(INDEX(Backlog[Requirement Name],MATCH($A146,Backlog[Requirement ID],0))),"",INDEX(Backlog[Requirement Name],MATCH($A146,Backlog[Requirement ID],0))),"")</f>
        <v/>
      </c>
      <c r="C146" s="1" t="str">
        <f aca="false">IFERROR(IF(ISBLANK(INDEX(Backlog[Stream],MATCH($A146,Backlog[Requirement ID],0))),"",INDEX(Backlog[Stream],MATCH($A146,Backlog[Requirement ID],0))),"")</f>
        <v/>
      </c>
      <c r="D146" s="1" t="str">
        <f aca="false">IFERROR(IF(ISBLANK(INDEX(Backlog[Priority],MATCH($A146,Backlog[Requirement ID],0))),"",INDEX(Backlog[Priority],MATCH($A146,Backlog[Requirement ID],0))),"")</f>
        <v/>
      </c>
      <c r="E146" s="1" t="str">
        <f aca="false">IFERROR(IF(ISBLANK(INDEX(Backlog[Status],MATCH($A146,Backlog[Requirement ID],0))),"",INDEX(Backlog[Status],MATCH($A146,Backlog[Requirement ID],0))),"")</f>
        <v/>
      </c>
      <c r="F146" s="23"/>
      <c r="G146" s="1" t="str">
        <f aca="false">IFERROR(IF(ISBLANK(INDEX(Backlog[HLE],MATCH($A146,Backlog[Requirement ID],0))),"",INDEX(Backlog[HLE],MATCH($A146,Backlog[Requirement ID],0))),"")</f>
        <v/>
      </c>
      <c r="H146" s="1" t="n">
        <f aca="false">IFERROR(VALUE(SUBSTITUTE($F146,"Sprint ","")),9999)</f>
        <v>9999</v>
      </c>
    </row>
    <row r="147" customFormat="false" ht="15" hidden="false" customHeight="true" outlineLevel="0" collapsed="false">
      <c r="A147" s="1" t="str">
        <f aca="false">Backlog!A147</f>
        <v/>
      </c>
      <c r="B147" s="1" t="str">
        <f aca="false">IFERROR(IF(ISBLANK(INDEX(Backlog[Requirement Name],MATCH($A147,Backlog[Requirement ID],0))),"",INDEX(Backlog[Requirement Name],MATCH($A147,Backlog[Requirement ID],0))),"")</f>
        <v/>
      </c>
      <c r="C147" s="1" t="str">
        <f aca="false">IFERROR(IF(ISBLANK(INDEX(Backlog[Stream],MATCH($A147,Backlog[Requirement ID],0))),"",INDEX(Backlog[Stream],MATCH($A147,Backlog[Requirement ID],0))),"")</f>
        <v/>
      </c>
      <c r="D147" s="1" t="str">
        <f aca="false">IFERROR(IF(ISBLANK(INDEX(Backlog[Priority],MATCH($A147,Backlog[Requirement ID],0))),"",INDEX(Backlog[Priority],MATCH($A147,Backlog[Requirement ID],0))),"")</f>
        <v/>
      </c>
      <c r="E147" s="1" t="str">
        <f aca="false">IFERROR(IF(ISBLANK(INDEX(Backlog[Status],MATCH($A147,Backlog[Requirement ID],0))),"",INDEX(Backlog[Status],MATCH($A147,Backlog[Requirement ID],0))),"")</f>
        <v/>
      </c>
      <c r="F147" s="23"/>
      <c r="G147" s="1" t="str">
        <f aca="false">IFERROR(IF(ISBLANK(INDEX(Backlog[HLE],MATCH($A147,Backlog[Requirement ID],0))),"",INDEX(Backlog[HLE],MATCH($A147,Backlog[Requirement ID],0))),"")</f>
        <v/>
      </c>
      <c r="H147" s="1" t="n">
        <f aca="false">IFERROR(VALUE(SUBSTITUTE($F147,"Sprint ","")),9999)</f>
        <v>9999</v>
      </c>
    </row>
    <row r="148" customFormat="false" ht="15" hidden="false" customHeight="true" outlineLevel="0" collapsed="false">
      <c r="A148" s="1" t="str">
        <f aca="false">Backlog!A148</f>
        <v/>
      </c>
      <c r="B148" s="1" t="str">
        <f aca="false">IFERROR(IF(ISBLANK(INDEX(Backlog[Requirement Name],MATCH($A148,Backlog[Requirement ID],0))),"",INDEX(Backlog[Requirement Name],MATCH($A148,Backlog[Requirement ID],0))),"")</f>
        <v/>
      </c>
      <c r="C148" s="1" t="str">
        <f aca="false">IFERROR(IF(ISBLANK(INDEX(Backlog[Stream],MATCH($A148,Backlog[Requirement ID],0))),"",INDEX(Backlog[Stream],MATCH($A148,Backlog[Requirement ID],0))),"")</f>
        <v/>
      </c>
      <c r="D148" s="1" t="str">
        <f aca="false">IFERROR(IF(ISBLANK(INDEX(Backlog[Priority],MATCH($A148,Backlog[Requirement ID],0))),"",INDEX(Backlog[Priority],MATCH($A148,Backlog[Requirement ID],0))),"")</f>
        <v/>
      </c>
      <c r="E148" s="1" t="str">
        <f aca="false">IFERROR(IF(ISBLANK(INDEX(Backlog[Status],MATCH($A148,Backlog[Requirement ID],0))),"",INDEX(Backlog[Status],MATCH($A148,Backlog[Requirement ID],0))),"")</f>
        <v/>
      </c>
      <c r="F148" s="23"/>
      <c r="G148" s="1" t="str">
        <f aca="false">IFERROR(IF(ISBLANK(INDEX(Backlog[HLE],MATCH($A148,Backlog[Requirement ID],0))),"",INDEX(Backlog[HLE],MATCH($A148,Backlog[Requirement ID],0))),"")</f>
        <v/>
      </c>
      <c r="H148" s="1" t="n">
        <f aca="false">IFERROR(VALUE(SUBSTITUTE($F148,"Sprint ","")),9999)</f>
        <v>9999</v>
      </c>
    </row>
    <row r="149" customFormat="false" ht="15" hidden="false" customHeight="true" outlineLevel="0" collapsed="false">
      <c r="A149" s="1" t="str">
        <f aca="false">Backlog!A149</f>
        <v/>
      </c>
      <c r="B149" s="1" t="str">
        <f aca="false">IFERROR(IF(ISBLANK(INDEX(Backlog[Requirement Name],MATCH($A149,Backlog[Requirement ID],0))),"",INDEX(Backlog[Requirement Name],MATCH($A149,Backlog[Requirement ID],0))),"")</f>
        <v/>
      </c>
      <c r="C149" s="1" t="str">
        <f aca="false">IFERROR(IF(ISBLANK(INDEX(Backlog[Stream],MATCH($A149,Backlog[Requirement ID],0))),"",INDEX(Backlog[Stream],MATCH($A149,Backlog[Requirement ID],0))),"")</f>
        <v/>
      </c>
      <c r="D149" s="1" t="str">
        <f aca="false">IFERROR(IF(ISBLANK(INDEX(Backlog[Priority],MATCH($A149,Backlog[Requirement ID],0))),"",INDEX(Backlog[Priority],MATCH($A149,Backlog[Requirement ID],0))),"")</f>
        <v/>
      </c>
      <c r="E149" s="1" t="str">
        <f aca="false">IFERROR(IF(ISBLANK(INDEX(Backlog[Status],MATCH($A149,Backlog[Requirement ID],0))),"",INDEX(Backlog[Status],MATCH($A149,Backlog[Requirement ID],0))),"")</f>
        <v/>
      </c>
      <c r="F149" s="23"/>
      <c r="G149" s="1" t="str">
        <f aca="false">IFERROR(IF(ISBLANK(INDEX(Backlog[HLE],MATCH($A149,Backlog[Requirement ID],0))),"",INDEX(Backlog[HLE],MATCH($A149,Backlog[Requirement ID],0))),"")</f>
        <v/>
      </c>
      <c r="H149" s="1" t="n">
        <f aca="false">IFERROR(VALUE(SUBSTITUTE($F149,"Sprint ","")),9999)</f>
        <v>9999</v>
      </c>
    </row>
    <row r="150" customFormat="false" ht="15" hidden="false" customHeight="true" outlineLevel="0" collapsed="false">
      <c r="A150" s="1" t="str">
        <f aca="false">Backlog!A150</f>
        <v/>
      </c>
      <c r="B150" s="1" t="str">
        <f aca="false">IFERROR(IF(ISBLANK(INDEX(Backlog[Requirement Name],MATCH($A150,Backlog[Requirement ID],0))),"",INDEX(Backlog[Requirement Name],MATCH($A150,Backlog[Requirement ID],0))),"")</f>
        <v/>
      </c>
      <c r="C150" s="1" t="str">
        <f aca="false">IFERROR(IF(ISBLANK(INDEX(Backlog[Stream],MATCH($A150,Backlog[Requirement ID],0))),"",INDEX(Backlog[Stream],MATCH($A150,Backlog[Requirement ID],0))),"")</f>
        <v/>
      </c>
      <c r="D150" s="1" t="str">
        <f aca="false">IFERROR(IF(ISBLANK(INDEX(Backlog[Priority],MATCH($A150,Backlog[Requirement ID],0))),"",INDEX(Backlog[Priority],MATCH($A150,Backlog[Requirement ID],0))),"")</f>
        <v/>
      </c>
      <c r="E150" s="1" t="str">
        <f aca="false">IFERROR(IF(ISBLANK(INDEX(Backlog[Status],MATCH($A150,Backlog[Requirement ID],0))),"",INDEX(Backlog[Status],MATCH($A150,Backlog[Requirement ID],0))),"")</f>
        <v/>
      </c>
      <c r="F150" s="23"/>
      <c r="G150" s="1" t="str">
        <f aca="false">IFERROR(IF(ISBLANK(INDEX(Backlog[HLE],MATCH($A150,Backlog[Requirement ID],0))),"",INDEX(Backlog[HLE],MATCH($A150,Backlog[Requirement ID],0))),"")</f>
        <v/>
      </c>
      <c r="H150" s="1" t="n">
        <f aca="false">IFERROR(VALUE(SUBSTITUTE($F150,"Sprint ","")),9999)</f>
        <v>9999</v>
      </c>
    </row>
    <row r="151" customFormat="false" ht="15" hidden="false" customHeight="true" outlineLevel="0" collapsed="false">
      <c r="A151" s="1" t="str">
        <f aca="false">Backlog!A151</f>
        <v/>
      </c>
      <c r="B151" s="1" t="str">
        <f aca="false">IFERROR(IF(ISBLANK(INDEX(Backlog[Requirement Name],MATCH($A151,Backlog[Requirement ID],0))),"",INDEX(Backlog[Requirement Name],MATCH($A151,Backlog[Requirement ID],0))),"")</f>
        <v/>
      </c>
      <c r="C151" s="1" t="str">
        <f aca="false">IFERROR(IF(ISBLANK(INDEX(Backlog[Stream],MATCH($A151,Backlog[Requirement ID],0))),"",INDEX(Backlog[Stream],MATCH($A151,Backlog[Requirement ID],0))),"")</f>
        <v/>
      </c>
      <c r="D151" s="1" t="str">
        <f aca="false">IFERROR(IF(ISBLANK(INDEX(Backlog[Priority],MATCH($A151,Backlog[Requirement ID],0))),"",INDEX(Backlog[Priority],MATCH($A151,Backlog[Requirement ID],0))),"")</f>
        <v/>
      </c>
      <c r="E151" s="1" t="str">
        <f aca="false">IFERROR(IF(ISBLANK(INDEX(Backlog[Status],MATCH($A151,Backlog[Requirement ID],0))),"",INDEX(Backlog[Status],MATCH($A151,Backlog[Requirement ID],0))),"")</f>
        <v/>
      </c>
      <c r="F151" s="23"/>
      <c r="G151" s="1" t="str">
        <f aca="false">IFERROR(IF(ISBLANK(INDEX(Backlog[HLE],MATCH($A151,Backlog[Requirement ID],0))),"",INDEX(Backlog[HLE],MATCH($A151,Backlog[Requirement ID],0))),"")</f>
        <v/>
      </c>
      <c r="H151" s="1" t="n">
        <f aca="false">IFERROR(VALUE(SUBSTITUTE($F151,"Sprint ","")),9999)</f>
        <v>9999</v>
      </c>
    </row>
    <row r="152" customFormat="false" ht="15" hidden="false" customHeight="true" outlineLevel="0" collapsed="false">
      <c r="A152" s="1" t="str">
        <f aca="false">Backlog!A152</f>
        <v/>
      </c>
      <c r="B152" s="1" t="str">
        <f aca="false">IFERROR(IF(ISBLANK(INDEX(Backlog[Requirement Name],MATCH($A152,Backlog[Requirement ID],0))),"",INDEX(Backlog[Requirement Name],MATCH($A152,Backlog[Requirement ID],0))),"")</f>
        <v/>
      </c>
      <c r="C152" s="1" t="str">
        <f aca="false">IFERROR(IF(ISBLANK(INDEX(Backlog[Stream],MATCH($A152,Backlog[Requirement ID],0))),"",INDEX(Backlog[Stream],MATCH($A152,Backlog[Requirement ID],0))),"")</f>
        <v/>
      </c>
      <c r="D152" s="1" t="str">
        <f aca="false">IFERROR(IF(ISBLANK(INDEX(Backlog[Priority],MATCH($A152,Backlog[Requirement ID],0))),"",INDEX(Backlog[Priority],MATCH($A152,Backlog[Requirement ID],0))),"")</f>
        <v/>
      </c>
      <c r="E152" s="1" t="str">
        <f aca="false">IFERROR(IF(ISBLANK(INDEX(Backlog[Status],MATCH($A152,Backlog[Requirement ID],0))),"",INDEX(Backlog[Status],MATCH($A152,Backlog[Requirement ID],0))),"")</f>
        <v/>
      </c>
      <c r="F152" s="23"/>
      <c r="G152" s="1" t="str">
        <f aca="false">IFERROR(IF(ISBLANK(INDEX(Backlog[HLE],MATCH($A152,Backlog[Requirement ID],0))),"",INDEX(Backlog[HLE],MATCH($A152,Backlog[Requirement ID],0))),"")</f>
        <v/>
      </c>
      <c r="H152" s="1" t="n">
        <f aca="false">IFERROR(VALUE(SUBSTITUTE($F152,"Sprint ","")),9999)</f>
        <v>9999</v>
      </c>
    </row>
    <row r="153" customFormat="false" ht="15" hidden="false" customHeight="true" outlineLevel="0" collapsed="false">
      <c r="A153" s="1" t="str">
        <f aca="false">Backlog!A153</f>
        <v/>
      </c>
      <c r="B153" s="1" t="str">
        <f aca="false">IFERROR(IF(ISBLANK(INDEX(Backlog[Requirement Name],MATCH($A153,Backlog[Requirement ID],0))),"",INDEX(Backlog[Requirement Name],MATCH($A153,Backlog[Requirement ID],0))),"")</f>
        <v/>
      </c>
      <c r="C153" s="1" t="str">
        <f aca="false">IFERROR(IF(ISBLANK(INDEX(Backlog[Stream],MATCH($A153,Backlog[Requirement ID],0))),"",INDEX(Backlog[Stream],MATCH($A153,Backlog[Requirement ID],0))),"")</f>
        <v/>
      </c>
      <c r="D153" s="1" t="str">
        <f aca="false">IFERROR(IF(ISBLANK(INDEX(Backlog[Priority],MATCH($A153,Backlog[Requirement ID],0))),"",INDEX(Backlog[Priority],MATCH($A153,Backlog[Requirement ID],0))),"")</f>
        <v/>
      </c>
      <c r="E153" s="1" t="str">
        <f aca="false">IFERROR(IF(ISBLANK(INDEX(Backlog[Status],MATCH($A153,Backlog[Requirement ID],0))),"",INDEX(Backlog[Status],MATCH($A153,Backlog[Requirement ID],0))),"")</f>
        <v/>
      </c>
      <c r="F153" s="23"/>
      <c r="G153" s="1" t="str">
        <f aca="false">IFERROR(IF(ISBLANK(INDEX(Backlog[HLE],MATCH($A153,Backlog[Requirement ID],0))),"",INDEX(Backlog[HLE],MATCH($A153,Backlog[Requirement ID],0))),"")</f>
        <v/>
      </c>
      <c r="H153" s="1" t="n">
        <f aca="false">IFERROR(VALUE(SUBSTITUTE($F153,"Sprint ","")),9999)</f>
        <v>9999</v>
      </c>
    </row>
    <row r="154" customFormat="false" ht="15" hidden="false" customHeight="true" outlineLevel="0" collapsed="false">
      <c r="A154" s="1" t="str">
        <f aca="false">Backlog!A154</f>
        <v/>
      </c>
      <c r="B154" s="1" t="str">
        <f aca="false">IFERROR(IF(ISBLANK(INDEX(Backlog[Requirement Name],MATCH($A154,Backlog[Requirement ID],0))),"",INDEX(Backlog[Requirement Name],MATCH($A154,Backlog[Requirement ID],0))),"")</f>
        <v/>
      </c>
      <c r="C154" s="1" t="str">
        <f aca="false">IFERROR(IF(ISBLANK(INDEX(Backlog[Stream],MATCH($A154,Backlog[Requirement ID],0))),"",INDEX(Backlog[Stream],MATCH($A154,Backlog[Requirement ID],0))),"")</f>
        <v/>
      </c>
      <c r="D154" s="1" t="str">
        <f aca="false">IFERROR(IF(ISBLANK(INDEX(Backlog[Priority],MATCH($A154,Backlog[Requirement ID],0))),"",INDEX(Backlog[Priority],MATCH($A154,Backlog[Requirement ID],0))),"")</f>
        <v/>
      </c>
      <c r="E154" s="1" t="str">
        <f aca="false">IFERROR(IF(ISBLANK(INDEX(Backlog[Status],MATCH($A154,Backlog[Requirement ID],0))),"",INDEX(Backlog[Status],MATCH($A154,Backlog[Requirement ID],0))),"")</f>
        <v/>
      </c>
      <c r="F154" s="23"/>
      <c r="G154" s="1" t="str">
        <f aca="false">IFERROR(IF(ISBLANK(INDEX(Backlog[HLE],MATCH($A154,Backlog[Requirement ID],0))),"",INDEX(Backlog[HLE],MATCH($A154,Backlog[Requirement ID],0))),"")</f>
        <v/>
      </c>
      <c r="H154" s="1" t="n">
        <f aca="false">IFERROR(VALUE(SUBSTITUTE($F154,"Sprint ","")),9999)</f>
        <v>9999</v>
      </c>
    </row>
    <row r="155" customFormat="false" ht="15" hidden="false" customHeight="true" outlineLevel="0" collapsed="false">
      <c r="A155" s="1" t="str">
        <f aca="false">Backlog!A155</f>
        <v/>
      </c>
      <c r="B155" s="1" t="str">
        <f aca="false">IFERROR(IF(ISBLANK(INDEX(Backlog[Requirement Name],MATCH($A155,Backlog[Requirement ID],0))),"",INDEX(Backlog[Requirement Name],MATCH($A155,Backlog[Requirement ID],0))),"")</f>
        <v/>
      </c>
      <c r="C155" s="1" t="str">
        <f aca="false">IFERROR(IF(ISBLANK(INDEX(Backlog[Stream],MATCH($A155,Backlog[Requirement ID],0))),"",INDEX(Backlog[Stream],MATCH($A155,Backlog[Requirement ID],0))),"")</f>
        <v/>
      </c>
      <c r="D155" s="1" t="str">
        <f aca="false">IFERROR(IF(ISBLANK(INDEX(Backlog[Priority],MATCH($A155,Backlog[Requirement ID],0))),"",INDEX(Backlog[Priority],MATCH($A155,Backlog[Requirement ID],0))),"")</f>
        <v/>
      </c>
      <c r="E155" s="1" t="str">
        <f aca="false">IFERROR(IF(ISBLANK(INDEX(Backlog[Status],MATCH($A155,Backlog[Requirement ID],0))),"",INDEX(Backlog[Status],MATCH($A155,Backlog[Requirement ID],0))),"")</f>
        <v/>
      </c>
      <c r="F155" s="23"/>
      <c r="G155" s="1" t="str">
        <f aca="false">IFERROR(IF(ISBLANK(INDEX(Backlog[HLE],MATCH($A155,Backlog[Requirement ID],0))),"",INDEX(Backlog[HLE],MATCH($A155,Backlog[Requirement ID],0))),"")</f>
        <v/>
      </c>
      <c r="H155" s="1" t="n">
        <f aca="false">IFERROR(VALUE(SUBSTITUTE($F155,"Sprint ","")),9999)</f>
        <v>9999</v>
      </c>
    </row>
    <row r="156" customFormat="false" ht="15" hidden="false" customHeight="true" outlineLevel="0" collapsed="false">
      <c r="A156" s="1" t="str">
        <f aca="false">Backlog!A156</f>
        <v/>
      </c>
      <c r="B156" s="1" t="str">
        <f aca="false">IFERROR(IF(ISBLANK(INDEX(Backlog[Requirement Name],MATCH($A156,Backlog[Requirement ID],0))),"",INDEX(Backlog[Requirement Name],MATCH($A156,Backlog[Requirement ID],0))),"")</f>
        <v/>
      </c>
      <c r="C156" s="1" t="str">
        <f aca="false">IFERROR(IF(ISBLANK(INDEX(Backlog[Stream],MATCH($A156,Backlog[Requirement ID],0))),"",INDEX(Backlog[Stream],MATCH($A156,Backlog[Requirement ID],0))),"")</f>
        <v/>
      </c>
      <c r="D156" s="1" t="str">
        <f aca="false">IFERROR(IF(ISBLANK(INDEX(Backlog[Priority],MATCH($A156,Backlog[Requirement ID],0))),"",INDEX(Backlog[Priority],MATCH($A156,Backlog[Requirement ID],0))),"")</f>
        <v/>
      </c>
      <c r="E156" s="1" t="str">
        <f aca="false">IFERROR(IF(ISBLANK(INDEX(Backlog[Status],MATCH($A156,Backlog[Requirement ID],0))),"",INDEX(Backlog[Status],MATCH($A156,Backlog[Requirement ID],0))),"")</f>
        <v/>
      </c>
      <c r="F156" s="23"/>
      <c r="G156" s="1" t="str">
        <f aca="false">IFERROR(IF(ISBLANK(INDEX(Backlog[HLE],MATCH($A156,Backlog[Requirement ID],0))),"",INDEX(Backlog[HLE],MATCH($A156,Backlog[Requirement ID],0))),"")</f>
        <v/>
      </c>
      <c r="H156" s="1" t="n">
        <f aca="false">IFERROR(VALUE(SUBSTITUTE($F156,"Sprint ","")),9999)</f>
        <v>9999</v>
      </c>
    </row>
    <row r="157" customFormat="false" ht="15" hidden="false" customHeight="true" outlineLevel="0" collapsed="false">
      <c r="A157" s="1" t="str">
        <f aca="false">Backlog!A157</f>
        <v/>
      </c>
      <c r="B157" s="1" t="str">
        <f aca="false">IFERROR(IF(ISBLANK(INDEX(Backlog[Requirement Name],MATCH($A157,Backlog[Requirement ID],0))),"",INDEX(Backlog[Requirement Name],MATCH($A157,Backlog[Requirement ID],0))),"")</f>
        <v/>
      </c>
      <c r="C157" s="1" t="str">
        <f aca="false">IFERROR(IF(ISBLANK(INDEX(Backlog[Stream],MATCH($A157,Backlog[Requirement ID],0))),"",INDEX(Backlog[Stream],MATCH($A157,Backlog[Requirement ID],0))),"")</f>
        <v/>
      </c>
      <c r="D157" s="1" t="str">
        <f aca="false">IFERROR(IF(ISBLANK(INDEX(Backlog[Priority],MATCH($A157,Backlog[Requirement ID],0))),"",INDEX(Backlog[Priority],MATCH($A157,Backlog[Requirement ID],0))),"")</f>
        <v/>
      </c>
      <c r="E157" s="1" t="str">
        <f aca="false">IFERROR(IF(ISBLANK(INDEX(Backlog[Status],MATCH($A157,Backlog[Requirement ID],0))),"",INDEX(Backlog[Status],MATCH($A157,Backlog[Requirement ID],0))),"")</f>
        <v/>
      </c>
      <c r="F157" s="23"/>
      <c r="G157" s="1" t="str">
        <f aca="false">IFERROR(IF(ISBLANK(INDEX(Backlog[HLE],MATCH($A157,Backlog[Requirement ID],0))),"",INDEX(Backlog[HLE],MATCH($A157,Backlog[Requirement ID],0))),"")</f>
        <v/>
      </c>
      <c r="H157" s="1" t="n">
        <f aca="false">IFERROR(VALUE(SUBSTITUTE($F157,"Sprint ","")),9999)</f>
        <v>9999</v>
      </c>
    </row>
    <row r="158" customFormat="false" ht="15" hidden="false" customHeight="true" outlineLevel="0" collapsed="false">
      <c r="A158" s="1" t="str">
        <f aca="false">Backlog!A158</f>
        <v/>
      </c>
      <c r="B158" s="1" t="str">
        <f aca="false">IFERROR(IF(ISBLANK(INDEX(Backlog[Requirement Name],MATCH($A158,Backlog[Requirement ID],0))),"",INDEX(Backlog[Requirement Name],MATCH($A158,Backlog[Requirement ID],0))),"")</f>
        <v/>
      </c>
      <c r="C158" s="1" t="str">
        <f aca="false">IFERROR(IF(ISBLANK(INDEX(Backlog[Stream],MATCH($A158,Backlog[Requirement ID],0))),"",INDEX(Backlog[Stream],MATCH($A158,Backlog[Requirement ID],0))),"")</f>
        <v/>
      </c>
      <c r="D158" s="1" t="str">
        <f aca="false">IFERROR(IF(ISBLANK(INDEX(Backlog[Priority],MATCH($A158,Backlog[Requirement ID],0))),"",INDEX(Backlog[Priority],MATCH($A158,Backlog[Requirement ID],0))),"")</f>
        <v/>
      </c>
      <c r="E158" s="1" t="str">
        <f aca="false">IFERROR(IF(ISBLANK(INDEX(Backlog[Status],MATCH($A158,Backlog[Requirement ID],0))),"",INDEX(Backlog[Status],MATCH($A158,Backlog[Requirement ID],0))),"")</f>
        <v/>
      </c>
      <c r="F158" s="23"/>
      <c r="G158" s="1" t="str">
        <f aca="false">IFERROR(IF(ISBLANK(INDEX(Backlog[HLE],MATCH($A158,Backlog[Requirement ID],0))),"",INDEX(Backlog[HLE],MATCH($A158,Backlog[Requirement ID],0))),"")</f>
        <v/>
      </c>
      <c r="H158" s="1" t="n">
        <f aca="false">IFERROR(VALUE(SUBSTITUTE($F158,"Sprint ","")),9999)</f>
        <v>9999</v>
      </c>
    </row>
    <row r="159" customFormat="false" ht="15" hidden="false" customHeight="true" outlineLevel="0" collapsed="false">
      <c r="A159" s="1" t="str">
        <f aca="false">Backlog!A159</f>
        <v/>
      </c>
      <c r="B159" s="1" t="str">
        <f aca="false">IFERROR(IF(ISBLANK(INDEX(Backlog[Requirement Name],MATCH($A159,Backlog[Requirement ID],0))),"",INDEX(Backlog[Requirement Name],MATCH($A159,Backlog[Requirement ID],0))),"")</f>
        <v/>
      </c>
      <c r="C159" s="1" t="str">
        <f aca="false">IFERROR(IF(ISBLANK(INDEX(Backlog[Stream],MATCH($A159,Backlog[Requirement ID],0))),"",INDEX(Backlog[Stream],MATCH($A159,Backlog[Requirement ID],0))),"")</f>
        <v/>
      </c>
      <c r="D159" s="1" t="str">
        <f aca="false">IFERROR(IF(ISBLANK(INDEX(Backlog[Priority],MATCH($A159,Backlog[Requirement ID],0))),"",INDEX(Backlog[Priority],MATCH($A159,Backlog[Requirement ID],0))),"")</f>
        <v/>
      </c>
      <c r="E159" s="1" t="str">
        <f aca="false">IFERROR(IF(ISBLANK(INDEX(Backlog[Status],MATCH($A159,Backlog[Requirement ID],0))),"",INDEX(Backlog[Status],MATCH($A159,Backlog[Requirement ID],0))),"")</f>
        <v/>
      </c>
      <c r="F159" s="23"/>
      <c r="G159" s="1" t="str">
        <f aca="false">IFERROR(IF(ISBLANK(INDEX(Backlog[HLE],MATCH($A159,Backlog[Requirement ID],0))),"",INDEX(Backlog[HLE],MATCH($A159,Backlog[Requirement ID],0))),"")</f>
        <v/>
      </c>
      <c r="H159" s="1" t="n">
        <f aca="false">IFERROR(VALUE(SUBSTITUTE($F159,"Sprint ","")),9999)</f>
        <v>9999</v>
      </c>
    </row>
    <row r="160" customFormat="false" ht="15" hidden="false" customHeight="true" outlineLevel="0" collapsed="false">
      <c r="A160" s="1" t="str">
        <f aca="false">Backlog!A160</f>
        <v/>
      </c>
      <c r="B160" s="1" t="str">
        <f aca="false">IFERROR(IF(ISBLANK(INDEX(Backlog[Requirement Name],MATCH($A160,Backlog[Requirement ID],0))),"",INDEX(Backlog[Requirement Name],MATCH($A160,Backlog[Requirement ID],0))),"")</f>
        <v/>
      </c>
      <c r="C160" s="1" t="str">
        <f aca="false">IFERROR(IF(ISBLANK(INDEX(Backlog[Stream],MATCH($A160,Backlog[Requirement ID],0))),"",INDEX(Backlog[Stream],MATCH($A160,Backlog[Requirement ID],0))),"")</f>
        <v/>
      </c>
      <c r="D160" s="1" t="str">
        <f aca="false">IFERROR(IF(ISBLANK(INDEX(Backlog[Priority],MATCH($A160,Backlog[Requirement ID],0))),"",INDEX(Backlog[Priority],MATCH($A160,Backlog[Requirement ID],0))),"")</f>
        <v/>
      </c>
      <c r="E160" s="1" t="str">
        <f aca="false">IFERROR(IF(ISBLANK(INDEX(Backlog[Status],MATCH($A160,Backlog[Requirement ID],0))),"",INDEX(Backlog[Status],MATCH($A160,Backlog[Requirement ID],0))),"")</f>
        <v/>
      </c>
      <c r="F160" s="23"/>
      <c r="G160" s="1" t="str">
        <f aca="false">IFERROR(IF(ISBLANK(INDEX(Backlog[HLE],MATCH($A160,Backlog[Requirement ID],0))),"",INDEX(Backlog[HLE],MATCH($A160,Backlog[Requirement ID],0))),"")</f>
        <v/>
      </c>
      <c r="H160" s="1" t="n">
        <f aca="false">IFERROR(VALUE(SUBSTITUTE($F160,"Sprint ","")),9999)</f>
        <v>9999</v>
      </c>
    </row>
    <row r="161" customFormat="false" ht="15" hidden="false" customHeight="true" outlineLevel="0" collapsed="false">
      <c r="A161" s="1" t="str">
        <f aca="false">Backlog!A161</f>
        <v/>
      </c>
      <c r="B161" s="1" t="str">
        <f aca="false">IFERROR(IF(ISBLANK(INDEX(Backlog[Requirement Name],MATCH($A161,Backlog[Requirement ID],0))),"",INDEX(Backlog[Requirement Name],MATCH($A161,Backlog[Requirement ID],0))),"")</f>
        <v/>
      </c>
      <c r="C161" s="1" t="str">
        <f aca="false">IFERROR(IF(ISBLANK(INDEX(Backlog[Stream],MATCH($A161,Backlog[Requirement ID],0))),"",INDEX(Backlog[Stream],MATCH($A161,Backlog[Requirement ID],0))),"")</f>
        <v/>
      </c>
      <c r="D161" s="1" t="str">
        <f aca="false">IFERROR(IF(ISBLANK(INDEX(Backlog[Priority],MATCH($A161,Backlog[Requirement ID],0))),"",INDEX(Backlog[Priority],MATCH($A161,Backlog[Requirement ID],0))),"")</f>
        <v/>
      </c>
      <c r="E161" s="1" t="str">
        <f aca="false">IFERROR(IF(ISBLANK(INDEX(Backlog[Status],MATCH($A161,Backlog[Requirement ID],0))),"",INDEX(Backlog[Status],MATCH($A161,Backlog[Requirement ID],0))),"")</f>
        <v/>
      </c>
      <c r="F161" s="23"/>
      <c r="G161" s="1" t="str">
        <f aca="false">IFERROR(IF(ISBLANK(INDEX(Backlog[HLE],MATCH($A161,Backlog[Requirement ID],0))),"",INDEX(Backlog[HLE],MATCH($A161,Backlog[Requirement ID],0))),"")</f>
        <v/>
      </c>
      <c r="H161" s="1" t="n">
        <f aca="false">IFERROR(VALUE(SUBSTITUTE($F161,"Sprint ","")),9999)</f>
        <v>9999</v>
      </c>
    </row>
    <row r="162" customFormat="false" ht="15" hidden="false" customHeight="true" outlineLevel="0" collapsed="false">
      <c r="A162" s="1" t="str">
        <f aca="false">Backlog!A162</f>
        <v/>
      </c>
      <c r="B162" s="1" t="str">
        <f aca="false">IFERROR(IF(ISBLANK(INDEX(Backlog[Requirement Name],MATCH($A162,Backlog[Requirement ID],0))),"",INDEX(Backlog[Requirement Name],MATCH($A162,Backlog[Requirement ID],0))),"")</f>
        <v/>
      </c>
      <c r="C162" s="1" t="str">
        <f aca="false">IFERROR(IF(ISBLANK(INDEX(Backlog[Stream],MATCH($A162,Backlog[Requirement ID],0))),"",INDEX(Backlog[Stream],MATCH($A162,Backlog[Requirement ID],0))),"")</f>
        <v/>
      </c>
      <c r="D162" s="1" t="str">
        <f aca="false">IFERROR(IF(ISBLANK(INDEX(Backlog[Priority],MATCH($A162,Backlog[Requirement ID],0))),"",INDEX(Backlog[Priority],MATCH($A162,Backlog[Requirement ID],0))),"")</f>
        <v/>
      </c>
      <c r="E162" s="1" t="str">
        <f aca="false">IFERROR(IF(ISBLANK(INDEX(Backlog[Status],MATCH($A162,Backlog[Requirement ID],0))),"",INDEX(Backlog[Status],MATCH($A162,Backlog[Requirement ID],0))),"")</f>
        <v/>
      </c>
      <c r="F162" s="23"/>
      <c r="G162" s="1" t="str">
        <f aca="false">IFERROR(IF(ISBLANK(INDEX(Backlog[HLE],MATCH($A162,Backlog[Requirement ID],0))),"",INDEX(Backlog[HLE],MATCH($A162,Backlog[Requirement ID],0))),"")</f>
        <v/>
      </c>
      <c r="H162" s="1" t="n">
        <f aca="false">IFERROR(VALUE(SUBSTITUTE($F162,"Sprint ","")),9999)</f>
        <v>9999</v>
      </c>
    </row>
    <row r="163" customFormat="false" ht="15" hidden="false" customHeight="true" outlineLevel="0" collapsed="false">
      <c r="A163" s="1" t="str">
        <f aca="false">Backlog!A163</f>
        <v/>
      </c>
      <c r="B163" s="1" t="str">
        <f aca="false">IFERROR(IF(ISBLANK(INDEX(Backlog[Requirement Name],MATCH($A163,Backlog[Requirement ID],0))),"",INDEX(Backlog[Requirement Name],MATCH($A163,Backlog[Requirement ID],0))),"")</f>
        <v/>
      </c>
      <c r="C163" s="1" t="str">
        <f aca="false">IFERROR(IF(ISBLANK(INDEX(Backlog[Stream],MATCH($A163,Backlog[Requirement ID],0))),"",INDEX(Backlog[Stream],MATCH($A163,Backlog[Requirement ID],0))),"")</f>
        <v/>
      </c>
      <c r="D163" s="1" t="str">
        <f aca="false">IFERROR(IF(ISBLANK(INDEX(Backlog[Priority],MATCH($A163,Backlog[Requirement ID],0))),"",INDEX(Backlog[Priority],MATCH($A163,Backlog[Requirement ID],0))),"")</f>
        <v/>
      </c>
      <c r="E163" s="1" t="str">
        <f aca="false">IFERROR(IF(ISBLANK(INDEX(Backlog[Status],MATCH($A163,Backlog[Requirement ID],0))),"",INDEX(Backlog[Status],MATCH($A163,Backlog[Requirement ID],0))),"")</f>
        <v/>
      </c>
      <c r="F163" s="23"/>
      <c r="G163" s="1" t="str">
        <f aca="false">IFERROR(IF(ISBLANK(INDEX(Backlog[HLE],MATCH($A163,Backlog[Requirement ID],0))),"",INDEX(Backlog[HLE],MATCH($A163,Backlog[Requirement ID],0))),"")</f>
        <v/>
      </c>
      <c r="H163" s="1" t="n">
        <f aca="false">IFERROR(VALUE(SUBSTITUTE($F163,"Sprint ","")),9999)</f>
        <v>9999</v>
      </c>
    </row>
    <row r="164" customFormat="false" ht="15" hidden="false" customHeight="true" outlineLevel="0" collapsed="false">
      <c r="A164" s="1" t="str">
        <f aca="false">Backlog!A164</f>
        <v/>
      </c>
      <c r="B164" s="1" t="str">
        <f aca="false">IFERROR(IF(ISBLANK(INDEX(Backlog[Requirement Name],MATCH($A164,Backlog[Requirement ID],0))),"",INDEX(Backlog[Requirement Name],MATCH($A164,Backlog[Requirement ID],0))),"")</f>
        <v/>
      </c>
      <c r="C164" s="1" t="str">
        <f aca="false">IFERROR(IF(ISBLANK(INDEX(Backlog[Stream],MATCH($A164,Backlog[Requirement ID],0))),"",INDEX(Backlog[Stream],MATCH($A164,Backlog[Requirement ID],0))),"")</f>
        <v/>
      </c>
      <c r="D164" s="1" t="str">
        <f aca="false">IFERROR(IF(ISBLANK(INDEX(Backlog[Priority],MATCH($A164,Backlog[Requirement ID],0))),"",INDEX(Backlog[Priority],MATCH($A164,Backlog[Requirement ID],0))),"")</f>
        <v/>
      </c>
      <c r="E164" s="1" t="str">
        <f aca="false">IFERROR(IF(ISBLANK(INDEX(Backlog[Status],MATCH($A164,Backlog[Requirement ID],0))),"",INDEX(Backlog[Status],MATCH($A164,Backlog[Requirement ID],0))),"")</f>
        <v/>
      </c>
      <c r="F164" s="23"/>
      <c r="G164" s="1" t="str">
        <f aca="false">IFERROR(IF(ISBLANK(INDEX(Backlog[HLE],MATCH($A164,Backlog[Requirement ID],0))),"",INDEX(Backlog[HLE],MATCH($A164,Backlog[Requirement ID],0))),"")</f>
        <v/>
      </c>
      <c r="H164" s="1" t="n">
        <f aca="false">IFERROR(VALUE(SUBSTITUTE($F164,"Sprint ","")),9999)</f>
        <v>9999</v>
      </c>
    </row>
    <row r="165" customFormat="false" ht="15" hidden="false" customHeight="true" outlineLevel="0" collapsed="false">
      <c r="A165" s="1" t="str">
        <f aca="false">Backlog!A165</f>
        <v/>
      </c>
      <c r="B165" s="1" t="str">
        <f aca="false">IFERROR(IF(ISBLANK(INDEX(Backlog[Requirement Name],MATCH($A165,Backlog[Requirement ID],0))),"",INDEX(Backlog[Requirement Name],MATCH($A165,Backlog[Requirement ID],0))),"")</f>
        <v/>
      </c>
      <c r="C165" s="1" t="str">
        <f aca="false">IFERROR(IF(ISBLANK(INDEX(Backlog[Stream],MATCH($A165,Backlog[Requirement ID],0))),"",INDEX(Backlog[Stream],MATCH($A165,Backlog[Requirement ID],0))),"")</f>
        <v/>
      </c>
      <c r="D165" s="1" t="str">
        <f aca="false">IFERROR(IF(ISBLANK(INDEX(Backlog[Priority],MATCH($A165,Backlog[Requirement ID],0))),"",INDEX(Backlog[Priority],MATCH($A165,Backlog[Requirement ID],0))),"")</f>
        <v/>
      </c>
      <c r="E165" s="1" t="str">
        <f aca="false">IFERROR(IF(ISBLANK(INDEX(Backlog[Status],MATCH($A165,Backlog[Requirement ID],0))),"",INDEX(Backlog[Status],MATCH($A165,Backlog[Requirement ID],0))),"")</f>
        <v/>
      </c>
      <c r="F165" s="23"/>
      <c r="G165" s="1" t="str">
        <f aca="false">IFERROR(IF(ISBLANK(INDEX(Backlog[HLE],MATCH($A165,Backlog[Requirement ID],0))),"",INDEX(Backlog[HLE],MATCH($A165,Backlog[Requirement ID],0))),"")</f>
        <v/>
      </c>
      <c r="H165" s="1" t="n">
        <f aca="false">IFERROR(VALUE(SUBSTITUTE($F165,"Sprint ","")),9999)</f>
        <v>9999</v>
      </c>
    </row>
    <row r="166" customFormat="false" ht="15" hidden="false" customHeight="true" outlineLevel="0" collapsed="false">
      <c r="A166" s="1" t="str">
        <f aca="false">Backlog!A166</f>
        <v/>
      </c>
      <c r="B166" s="1" t="str">
        <f aca="false">IFERROR(IF(ISBLANK(INDEX(Backlog[Requirement Name],MATCH($A166,Backlog[Requirement ID],0))),"",INDEX(Backlog[Requirement Name],MATCH($A166,Backlog[Requirement ID],0))),"")</f>
        <v/>
      </c>
      <c r="C166" s="1" t="str">
        <f aca="false">IFERROR(IF(ISBLANK(INDEX(Backlog[Stream],MATCH($A166,Backlog[Requirement ID],0))),"",INDEX(Backlog[Stream],MATCH($A166,Backlog[Requirement ID],0))),"")</f>
        <v/>
      </c>
      <c r="D166" s="1" t="str">
        <f aca="false">IFERROR(IF(ISBLANK(INDEX(Backlog[Priority],MATCH($A166,Backlog[Requirement ID],0))),"",INDEX(Backlog[Priority],MATCH($A166,Backlog[Requirement ID],0))),"")</f>
        <v/>
      </c>
      <c r="E166" s="1" t="str">
        <f aca="false">IFERROR(IF(ISBLANK(INDEX(Backlog[Status],MATCH($A166,Backlog[Requirement ID],0))),"",INDEX(Backlog[Status],MATCH($A166,Backlog[Requirement ID],0))),"")</f>
        <v/>
      </c>
      <c r="F166" s="23"/>
      <c r="G166" s="1" t="str">
        <f aca="false">IFERROR(IF(ISBLANK(INDEX(Backlog[HLE],MATCH($A166,Backlog[Requirement ID],0))),"",INDEX(Backlog[HLE],MATCH($A166,Backlog[Requirement ID],0))),"")</f>
        <v/>
      </c>
      <c r="H166" s="1" t="n">
        <f aca="false">IFERROR(VALUE(SUBSTITUTE($F166,"Sprint ","")),9999)</f>
        <v>9999</v>
      </c>
    </row>
    <row r="167" customFormat="false" ht="15" hidden="false" customHeight="true" outlineLevel="0" collapsed="false">
      <c r="A167" s="1" t="str">
        <f aca="false">Backlog!A167</f>
        <v/>
      </c>
      <c r="B167" s="1" t="str">
        <f aca="false">IFERROR(IF(ISBLANK(INDEX(Backlog[Requirement Name],MATCH($A167,Backlog[Requirement ID],0))),"",INDEX(Backlog[Requirement Name],MATCH($A167,Backlog[Requirement ID],0))),"")</f>
        <v/>
      </c>
      <c r="C167" s="1" t="str">
        <f aca="false">IFERROR(IF(ISBLANK(INDEX(Backlog[Stream],MATCH($A167,Backlog[Requirement ID],0))),"",INDEX(Backlog[Stream],MATCH($A167,Backlog[Requirement ID],0))),"")</f>
        <v/>
      </c>
      <c r="D167" s="1" t="str">
        <f aca="false">IFERROR(IF(ISBLANK(INDEX(Backlog[Priority],MATCH($A167,Backlog[Requirement ID],0))),"",INDEX(Backlog[Priority],MATCH($A167,Backlog[Requirement ID],0))),"")</f>
        <v/>
      </c>
      <c r="E167" s="1" t="str">
        <f aca="false">IFERROR(IF(ISBLANK(INDEX(Backlog[Status],MATCH($A167,Backlog[Requirement ID],0))),"",INDEX(Backlog[Status],MATCH($A167,Backlog[Requirement ID],0))),"")</f>
        <v/>
      </c>
      <c r="F167" s="23"/>
      <c r="G167" s="1" t="str">
        <f aca="false">IFERROR(IF(ISBLANK(INDEX(Backlog[HLE],MATCH($A167,Backlog[Requirement ID],0))),"",INDEX(Backlog[HLE],MATCH($A167,Backlog[Requirement ID],0))),"")</f>
        <v/>
      </c>
      <c r="H167" s="1" t="n">
        <f aca="false">IFERROR(VALUE(SUBSTITUTE($F167,"Sprint ","")),9999)</f>
        <v>9999</v>
      </c>
    </row>
    <row r="168" customFormat="false" ht="15" hidden="false" customHeight="true" outlineLevel="0" collapsed="false">
      <c r="A168" s="1" t="str">
        <f aca="false">Backlog!A168</f>
        <v/>
      </c>
      <c r="B168" s="1" t="str">
        <f aca="false">IFERROR(IF(ISBLANK(INDEX(Backlog[Requirement Name],MATCH($A168,Backlog[Requirement ID],0))),"",INDEX(Backlog[Requirement Name],MATCH($A168,Backlog[Requirement ID],0))),"")</f>
        <v/>
      </c>
      <c r="C168" s="1" t="str">
        <f aca="false">IFERROR(IF(ISBLANK(INDEX(Backlog[Stream],MATCH($A168,Backlog[Requirement ID],0))),"",INDEX(Backlog[Stream],MATCH($A168,Backlog[Requirement ID],0))),"")</f>
        <v/>
      </c>
      <c r="D168" s="1" t="str">
        <f aca="false">IFERROR(IF(ISBLANK(INDEX(Backlog[Priority],MATCH($A168,Backlog[Requirement ID],0))),"",INDEX(Backlog[Priority],MATCH($A168,Backlog[Requirement ID],0))),"")</f>
        <v/>
      </c>
      <c r="E168" s="1" t="str">
        <f aca="false">IFERROR(IF(ISBLANK(INDEX(Backlog[Status],MATCH($A168,Backlog[Requirement ID],0))),"",INDEX(Backlog[Status],MATCH($A168,Backlog[Requirement ID],0))),"")</f>
        <v/>
      </c>
      <c r="F168" s="23"/>
      <c r="G168" s="1" t="str">
        <f aca="false">IFERROR(IF(ISBLANK(INDEX(Backlog[HLE],MATCH($A168,Backlog[Requirement ID],0))),"",INDEX(Backlog[HLE],MATCH($A168,Backlog[Requirement ID],0))),"")</f>
        <v/>
      </c>
      <c r="H168" s="1" t="n">
        <f aca="false">IFERROR(VALUE(SUBSTITUTE($F168,"Sprint ","")),9999)</f>
        <v>9999</v>
      </c>
    </row>
    <row r="169" customFormat="false" ht="15" hidden="false" customHeight="true" outlineLevel="0" collapsed="false">
      <c r="A169" s="1" t="str">
        <f aca="false">Backlog!A169</f>
        <v/>
      </c>
      <c r="B169" s="1" t="str">
        <f aca="false">IFERROR(IF(ISBLANK(INDEX(Backlog[Requirement Name],MATCH($A169,Backlog[Requirement ID],0))),"",INDEX(Backlog[Requirement Name],MATCH($A169,Backlog[Requirement ID],0))),"")</f>
        <v/>
      </c>
      <c r="C169" s="1" t="str">
        <f aca="false">IFERROR(IF(ISBLANK(INDEX(Backlog[Stream],MATCH($A169,Backlog[Requirement ID],0))),"",INDEX(Backlog[Stream],MATCH($A169,Backlog[Requirement ID],0))),"")</f>
        <v/>
      </c>
      <c r="D169" s="1" t="str">
        <f aca="false">IFERROR(IF(ISBLANK(INDEX(Backlog[Priority],MATCH($A169,Backlog[Requirement ID],0))),"",INDEX(Backlog[Priority],MATCH($A169,Backlog[Requirement ID],0))),"")</f>
        <v/>
      </c>
      <c r="E169" s="1" t="str">
        <f aca="false">IFERROR(IF(ISBLANK(INDEX(Backlog[Status],MATCH($A169,Backlog[Requirement ID],0))),"",INDEX(Backlog[Status],MATCH($A169,Backlog[Requirement ID],0))),"")</f>
        <v/>
      </c>
      <c r="F169" s="23"/>
      <c r="G169" s="1" t="str">
        <f aca="false">IFERROR(IF(ISBLANK(INDEX(Backlog[HLE],MATCH($A169,Backlog[Requirement ID],0))),"",INDEX(Backlog[HLE],MATCH($A169,Backlog[Requirement ID],0))),"")</f>
        <v/>
      </c>
      <c r="H169" s="1" t="n">
        <f aca="false">IFERROR(VALUE(SUBSTITUTE($F169,"Sprint ","")),9999)</f>
        <v>9999</v>
      </c>
    </row>
    <row r="170" customFormat="false" ht="15" hidden="false" customHeight="true" outlineLevel="0" collapsed="false">
      <c r="A170" s="1" t="str">
        <f aca="false">Backlog!A170</f>
        <v/>
      </c>
      <c r="B170" s="1" t="str">
        <f aca="false">IFERROR(IF(ISBLANK(INDEX(Backlog[Requirement Name],MATCH($A170,Backlog[Requirement ID],0))),"",INDEX(Backlog[Requirement Name],MATCH($A170,Backlog[Requirement ID],0))),"")</f>
        <v/>
      </c>
      <c r="C170" s="1" t="str">
        <f aca="false">IFERROR(IF(ISBLANK(INDEX(Backlog[Stream],MATCH($A170,Backlog[Requirement ID],0))),"",INDEX(Backlog[Stream],MATCH($A170,Backlog[Requirement ID],0))),"")</f>
        <v/>
      </c>
      <c r="D170" s="1" t="str">
        <f aca="false">IFERROR(IF(ISBLANK(INDEX(Backlog[Priority],MATCH($A170,Backlog[Requirement ID],0))),"",INDEX(Backlog[Priority],MATCH($A170,Backlog[Requirement ID],0))),"")</f>
        <v/>
      </c>
      <c r="E170" s="1" t="str">
        <f aca="false">IFERROR(IF(ISBLANK(INDEX(Backlog[Status],MATCH($A170,Backlog[Requirement ID],0))),"",INDEX(Backlog[Status],MATCH($A170,Backlog[Requirement ID],0))),"")</f>
        <v/>
      </c>
      <c r="F170" s="23"/>
      <c r="G170" s="1" t="str">
        <f aca="false">IFERROR(IF(ISBLANK(INDEX(Backlog[HLE],MATCH($A170,Backlog[Requirement ID],0))),"",INDEX(Backlog[HLE],MATCH($A170,Backlog[Requirement ID],0))),"")</f>
        <v/>
      </c>
      <c r="H170" s="1" t="n">
        <f aca="false">IFERROR(VALUE(SUBSTITUTE($F170,"Sprint ","")),9999)</f>
        <v>9999</v>
      </c>
    </row>
    <row r="171" customFormat="false" ht="15" hidden="false" customHeight="true" outlineLevel="0" collapsed="false">
      <c r="A171" s="1" t="str">
        <f aca="false">Backlog!A171</f>
        <v/>
      </c>
      <c r="B171" s="1" t="str">
        <f aca="false">IFERROR(IF(ISBLANK(INDEX(Backlog[Requirement Name],MATCH($A171,Backlog[Requirement ID],0))),"",INDEX(Backlog[Requirement Name],MATCH($A171,Backlog[Requirement ID],0))),"")</f>
        <v/>
      </c>
      <c r="C171" s="1" t="str">
        <f aca="false">IFERROR(IF(ISBLANK(INDEX(Backlog[Stream],MATCH($A171,Backlog[Requirement ID],0))),"",INDEX(Backlog[Stream],MATCH($A171,Backlog[Requirement ID],0))),"")</f>
        <v/>
      </c>
      <c r="D171" s="1" t="str">
        <f aca="false">IFERROR(IF(ISBLANK(INDEX(Backlog[Priority],MATCH($A171,Backlog[Requirement ID],0))),"",INDEX(Backlog[Priority],MATCH($A171,Backlog[Requirement ID],0))),"")</f>
        <v/>
      </c>
      <c r="E171" s="1" t="str">
        <f aca="false">IFERROR(IF(ISBLANK(INDEX(Backlog[Status],MATCH($A171,Backlog[Requirement ID],0))),"",INDEX(Backlog[Status],MATCH($A171,Backlog[Requirement ID],0))),"")</f>
        <v/>
      </c>
      <c r="F171" s="23"/>
      <c r="G171" s="1" t="str">
        <f aca="false">IFERROR(IF(ISBLANK(INDEX(Backlog[HLE],MATCH($A171,Backlog[Requirement ID],0))),"",INDEX(Backlog[HLE],MATCH($A171,Backlog[Requirement ID],0))),"")</f>
        <v/>
      </c>
      <c r="H171" s="1" t="n">
        <f aca="false">IFERROR(VALUE(SUBSTITUTE($F171,"Sprint ","")),9999)</f>
        <v>9999</v>
      </c>
    </row>
    <row r="172" customFormat="false" ht="15" hidden="false" customHeight="true" outlineLevel="0" collapsed="false">
      <c r="A172" s="1" t="str">
        <f aca="false">Backlog!A172</f>
        <v/>
      </c>
      <c r="B172" s="1" t="str">
        <f aca="false">IFERROR(IF(ISBLANK(INDEX(Backlog[Requirement Name],MATCH($A172,Backlog[Requirement ID],0))),"",INDEX(Backlog[Requirement Name],MATCH($A172,Backlog[Requirement ID],0))),"")</f>
        <v/>
      </c>
      <c r="C172" s="1" t="str">
        <f aca="false">IFERROR(IF(ISBLANK(INDEX(Backlog[Stream],MATCH($A172,Backlog[Requirement ID],0))),"",INDEX(Backlog[Stream],MATCH($A172,Backlog[Requirement ID],0))),"")</f>
        <v/>
      </c>
      <c r="D172" s="1" t="str">
        <f aca="false">IFERROR(IF(ISBLANK(INDEX(Backlog[Priority],MATCH($A172,Backlog[Requirement ID],0))),"",INDEX(Backlog[Priority],MATCH($A172,Backlog[Requirement ID],0))),"")</f>
        <v/>
      </c>
      <c r="E172" s="1" t="str">
        <f aca="false">IFERROR(IF(ISBLANK(INDEX(Backlog[Status],MATCH($A172,Backlog[Requirement ID],0))),"",INDEX(Backlog[Status],MATCH($A172,Backlog[Requirement ID],0))),"")</f>
        <v/>
      </c>
      <c r="F172" s="23"/>
      <c r="G172" s="1" t="str">
        <f aca="false">IFERROR(IF(ISBLANK(INDEX(Backlog[HLE],MATCH($A172,Backlog[Requirement ID],0))),"",INDEX(Backlog[HLE],MATCH($A172,Backlog[Requirement ID],0))),"")</f>
        <v/>
      </c>
      <c r="H172" s="1" t="n">
        <f aca="false">IFERROR(VALUE(SUBSTITUTE($F172,"Sprint ","")),9999)</f>
        <v>9999</v>
      </c>
    </row>
    <row r="173" customFormat="false" ht="15" hidden="false" customHeight="true" outlineLevel="0" collapsed="false">
      <c r="A173" s="1" t="str">
        <f aca="false">Backlog!A173</f>
        <v/>
      </c>
      <c r="B173" s="1" t="str">
        <f aca="false">IFERROR(IF(ISBLANK(INDEX(Backlog[Requirement Name],MATCH($A173,Backlog[Requirement ID],0))),"",INDEX(Backlog[Requirement Name],MATCH($A173,Backlog[Requirement ID],0))),"")</f>
        <v/>
      </c>
      <c r="C173" s="1" t="str">
        <f aca="false">IFERROR(IF(ISBLANK(INDEX(Backlog[Stream],MATCH($A173,Backlog[Requirement ID],0))),"",INDEX(Backlog[Stream],MATCH($A173,Backlog[Requirement ID],0))),"")</f>
        <v/>
      </c>
      <c r="D173" s="1" t="str">
        <f aca="false">IFERROR(IF(ISBLANK(INDEX(Backlog[Priority],MATCH($A173,Backlog[Requirement ID],0))),"",INDEX(Backlog[Priority],MATCH($A173,Backlog[Requirement ID],0))),"")</f>
        <v/>
      </c>
      <c r="E173" s="1" t="str">
        <f aca="false">IFERROR(IF(ISBLANK(INDEX(Backlog[Status],MATCH($A173,Backlog[Requirement ID],0))),"",INDEX(Backlog[Status],MATCH($A173,Backlog[Requirement ID],0))),"")</f>
        <v/>
      </c>
      <c r="F173" s="23"/>
      <c r="G173" s="1" t="str">
        <f aca="false">IFERROR(IF(ISBLANK(INDEX(Backlog[HLE],MATCH($A173,Backlog[Requirement ID],0))),"",INDEX(Backlog[HLE],MATCH($A173,Backlog[Requirement ID],0))),"")</f>
        <v/>
      </c>
      <c r="H173" s="1" t="n">
        <f aca="false">IFERROR(VALUE(SUBSTITUTE($F173,"Sprint ","")),9999)</f>
        <v>9999</v>
      </c>
    </row>
    <row r="174" customFormat="false" ht="15" hidden="false" customHeight="true" outlineLevel="0" collapsed="false">
      <c r="A174" s="1" t="str">
        <f aca="false">Backlog!A174</f>
        <v/>
      </c>
      <c r="B174" s="1" t="str">
        <f aca="false">IFERROR(IF(ISBLANK(INDEX(Backlog[Requirement Name],MATCH($A174,Backlog[Requirement ID],0))),"",INDEX(Backlog[Requirement Name],MATCH($A174,Backlog[Requirement ID],0))),"")</f>
        <v/>
      </c>
      <c r="C174" s="1" t="str">
        <f aca="false">IFERROR(IF(ISBLANK(INDEX(Backlog[Stream],MATCH($A174,Backlog[Requirement ID],0))),"",INDEX(Backlog[Stream],MATCH($A174,Backlog[Requirement ID],0))),"")</f>
        <v/>
      </c>
      <c r="D174" s="1" t="str">
        <f aca="false">IFERROR(IF(ISBLANK(INDEX(Backlog[Priority],MATCH($A174,Backlog[Requirement ID],0))),"",INDEX(Backlog[Priority],MATCH($A174,Backlog[Requirement ID],0))),"")</f>
        <v/>
      </c>
      <c r="E174" s="1" t="str">
        <f aca="false">IFERROR(IF(ISBLANK(INDEX(Backlog[Status],MATCH($A174,Backlog[Requirement ID],0))),"",INDEX(Backlog[Status],MATCH($A174,Backlog[Requirement ID],0))),"")</f>
        <v/>
      </c>
      <c r="F174" s="23"/>
      <c r="G174" s="1" t="str">
        <f aca="false">IFERROR(IF(ISBLANK(INDEX(Backlog[HLE],MATCH($A174,Backlog[Requirement ID],0))),"",INDEX(Backlog[HLE],MATCH($A174,Backlog[Requirement ID],0))),"")</f>
        <v/>
      </c>
      <c r="H174" s="1" t="n">
        <f aca="false">IFERROR(VALUE(SUBSTITUTE($F174,"Sprint ","")),9999)</f>
        <v>9999</v>
      </c>
    </row>
    <row r="175" customFormat="false" ht="15" hidden="false" customHeight="true" outlineLevel="0" collapsed="false">
      <c r="A175" s="1" t="str">
        <f aca="false">Backlog!A175</f>
        <v/>
      </c>
      <c r="B175" s="1" t="str">
        <f aca="false">IFERROR(IF(ISBLANK(INDEX(Backlog[Requirement Name],MATCH($A175,Backlog[Requirement ID],0))),"",INDEX(Backlog[Requirement Name],MATCH($A175,Backlog[Requirement ID],0))),"")</f>
        <v/>
      </c>
      <c r="C175" s="1" t="str">
        <f aca="false">IFERROR(IF(ISBLANK(INDEX(Backlog[Stream],MATCH($A175,Backlog[Requirement ID],0))),"",INDEX(Backlog[Stream],MATCH($A175,Backlog[Requirement ID],0))),"")</f>
        <v/>
      </c>
      <c r="D175" s="1" t="str">
        <f aca="false">IFERROR(IF(ISBLANK(INDEX(Backlog[Priority],MATCH($A175,Backlog[Requirement ID],0))),"",INDEX(Backlog[Priority],MATCH($A175,Backlog[Requirement ID],0))),"")</f>
        <v/>
      </c>
      <c r="E175" s="1" t="str">
        <f aca="false">IFERROR(IF(ISBLANK(INDEX(Backlog[Status],MATCH($A175,Backlog[Requirement ID],0))),"",INDEX(Backlog[Status],MATCH($A175,Backlog[Requirement ID],0))),"")</f>
        <v/>
      </c>
      <c r="F175" s="23"/>
      <c r="G175" s="1" t="str">
        <f aca="false">IFERROR(IF(ISBLANK(INDEX(Backlog[HLE],MATCH($A175,Backlog[Requirement ID],0))),"",INDEX(Backlog[HLE],MATCH($A175,Backlog[Requirement ID],0))),"")</f>
        <v/>
      </c>
      <c r="H175" s="1" t="n">
        <f aca="false">IFERROR(VALUE(SUBSTITUTE($F175,"Sprint ","")),9999)</f>
        <v>9999</v>
      </c>
    </row>
    <row r="176" customFormat="false" ht="15" hidden="false" customHeight="true" outlineLevel="0" collapsed="false">
      <c r="A176" s="1" t="str">
        <f aca="false">Backlog!A176</f>
        <v/>
      </c>
      <c r="B176" s="1" t="str">
        <f aca="false">IFERROR(IF(ISBLANK(INDEX(Backlog[Requirement Name],MATCH($A176,Backlog[Requirement ID],0))),"",INDEX(Backlog[Requirement Name],MATCH($A176,Backlog[Requirement ID],0))),"")</f>
        <v/>
      </c>
      <c r="C176" s="1" t="str">
        <f aca="false">IFERROR(IF(ISBLANK(INDEX(Backlog[Stream],MATCH($A176,Backlog[Requirement ID],0))),"",INDEX(Backlog[Stream],MATCH($A176,Backlog[Requirement ID],0))),"")</f>
        <v/>
      </c>
      <c r="D176" s="1" t="str">
        <f aca="false">IFERROR(IF(ISBLANK(INDEX(Backlog[Priority],MATCH($A176,Backlog[Requirement ID],0))),"",INDEX(Backlog[Priority],MATCH($A176,Backlog[Requirement ID],0))),"")</f>
        <v/>
      </c>
      <c r="E176" s="1" t="str">
        <f aca="false">IFERROR(IF(ISBLANK(INDEX(Backlog[Status],MATCH($A176,Backlog[Requirement ID],0))),"",INDEX(Backlog[Status],MATCH($A176,Backlog[Requirement ID],0))),"")</f>
        <v/>
      </c>
      <c r="F176" s="23"/>
      <c r="G176" s="1" t="str">
        <f aca="false">IFERROR(IF(ISBLANK(INDEX(Backlog[HLE],MATCH($A176,Backlog[Requirement ID],0))),"",INDEX(Backlog[HLE],MATCH($A176,Backlog[Requirement ID],0))),"")</f>
        <v/>
      </c>
      <c r="H176" s="1" t="n">
        <f aca="false">IFERROR(VALUE(SUBSTITUTE($F176,"Sprint ","")),9999)</f>
        <v>9999</v>
      </c>
    </row>
    <row r="177" customFormat="false" ht="15" hidden="false" customHeight="true" outlineLevel="0" collapsed="false">
      <c r="A177" s="1" t="str">
        <f aca="false">Backlog!A177</f>
        <v/>
      </c>
      <c r="B177" s="1" t="str">
        <f aca="false">IFERROR(IF(ISBLANK(INDEX(Backlog[Requirement Name],MATCH($A177,Backlog[Requirement ID],0))),"",INDEX(Backlog[Requirement Name],MATCH($A177,Backlog[Requirement ID],0))),"")</f>
        <v/>
      </c>
      <c r="C177" s="1" t="str">
        <f aca="false">IFERROR(IF(ISBLANK(INDEX(Backlog[Stream],MATCH($A177,Backlog[Requirement ID],0))),"",INDEX(Backlog[Stream],MATCH($A177,Backlog[Requirement ID],0))),"")</f>
        <v/>
      </c>
      <c r="D177" s="1" t="str">
        <f aca="false">IFERROR(IF(ISBLANK(INDEX(Backlog[Priority],MATCH($A177,Backlog[Requirement ID],0))),"",INDEX(Backlog[Priority],MATCH($A177,Backlog[Requirement ID],0))),"")</f>
        <v/>
      </c>
      <c r="E177" s="1" t="str">
        <f aca="false">IFERROR(IF(ISBLANK(INDEX(Backlog[Status],MATCH($A177,Backlog[Requirement ID],0))),"",INDEX(Backlog[Status],MATCH($A177,Backlog[Requirement ID],0))),"")</f>
        <v/>
      </c>
      <c r="F177" s="23"/>
      <c r="G177" s="1" t="str">
        <f aca="false">IFERROR(IF(ISBLANK(INDEX(Backlog[HLE],MATCH($A177,Backlog[Requirement ID],0))),"",INDEX(Backlog[HLE],MATCH($A177,Backlog[Requirement ID],0))),"")</f>
        <v/>
      </c>
      <c r="H177" s="1" t="n">
        <f aca="false">IFERROR(VALUE(SUBSTITUTE($F177,"Sprint ","")),9999)</f>
        <v>9999</v>
      </c>
    </row>
    <row r="178" customFormat="false" ht="15" hidden="false" customHeight="true" outlineLevel="0" collapsed="false">
      <c r="A178" s="1" t="str">
        <f aca="false">Backlog!A178</f>
        <v/>
      </c>
      <c r="B178" s="1" t="str">
        <f aca="false">IFERROR(IF(ISBLANK(INDEX(Backlog[Requirement Name],MATCH($A178,Backlog[Requirement ID],0))),"",INDEX(Backlog[Requirement Name],MATCH($A178,Backlog[Requirement ID],0))),"")</f>
        <v/>
      </c>
      <c r="C178" s="1" t="str">
        <f aca="false">IFERROR(IF(ISBLANK(INDEX(Backlog[Stream],MATCH($A178,Backlog[Requirement ID],0))),"",INDEX(Backlog[Stream],MATCH($A178,Backlog[Requirement ID],0))),"")</f>
        <v/>
      </c>
      <c r="D178" s="1" t="str">
        <f aca="false">IFERROR(IF(ISBLANK(INDEX(Backlog[Priority],MATCH($A178,Backlog[Requirement ID],0))),"",INDEX(Backlog[Priority],MATCH($A178,Backlog[Requirement ID],0))),"")</f>
        <v/>
      </c>
      <c r="E178" s="1" t="str">
        <f aca="false">IFERROR(IF(ISBLANK(INDEX(Backlog[Status],MATCH($A178,Backlog[Requirement ID],0))),"",INDEX(Backlog[Status],MATCH($A178,Backlog[Requirement ID],0))),"")</f>
        <v/>
      </c>
      <c r="F178" s="23"/>
      <c r="G178" s="1" t="str">
        <f aca="false">IFERROR(IF(ISBLANK(INDEX(Backlog[HLE],MATCH($A178,Backlog[Requirement ID],0))),"",INDEX(Backlog[HLE],MATCH($A178,Backlog[Requirement ID],0))),"")</f>
        <v/>
      </c>
      <c r="H178" s="1" t="n">
        <f aca="false">IFERROR(VALUE(SUBSTITUTE($F178,"Sprint ","")),9999)</f>
        <v>9999</v>
      </c>
    </row>
    <row r="179" customFormat="false" ht="15" hidden="false" customHeight="true" outlineLevel="0" collapsed="false">
      <c r="A179" s="1" t="str">
        <f aca="false">Backlog!A179</f>
        <v/>
      </c>
      <c r="B179" s="1" t="str">
        <f aca="false">IFERROR(IF(ISBLANK(INDEX(Backlog[Requirement Name],MATCH($A179,Backlog[Requirement ID],0))),"",INDEX(Backlog[Requirement Name],MATCH($A179,Backlog[Requirement ID],0))),"")</f>
        <v/>
      </c>
      <c r="C179" s="1" t="str">
        <f aca="false">IFERROR(IF(ISBLANK(INDEX(Backlog[Stream],MATCH($A179,Backlog[Requirement ID],0))),"",INDEX(Backlog[Stream],MATCH($A179,Backlog[Requirement ID],0))),"")</f>
        <v/>
      </c>
      <c r="D179" s="1" t="str">
        <f aca="false">IFERROR(IF(ISBLANK(INDEX(Backlog[Priority],MATCH($A179,Backlog[Requirement ID],0))),"",INDEX(Backlog[Priority],MATCH($A179,Backlog[Requirement ID],0))),"")</f>
        <v/>
      </c>
      <c r="E179" s="1" t="str">
        <f aca="false">IFERROR(IF(ISBLANK(INDEX(Backlog[Status],MATCH($A179,Backlog[Requirement ID],0))),"",INDEX(Backlog[Status],MATCH($A179,Backlog[Requirement ID],0))),"")</f>
        <v/>
      </c>
      <c r="F179" s="23"/>
      <c r="G179" s="1" t="str">
        <f aca="false">IFERROR(IF(ISBLANK(INDEX(Backlog[HLE],MATCH($A179,Backlog[Requirement ID],0))),"",INDEX(Backlog[HLE],MATCH($A179,Backlog[Requirement ID],0))),"")</f>
        <v/>
      </c>
      <c r="H179" s="1" t="n">
        <f aca="false">IFERROR(VALUE(SUBSTITUTE($F179,"Sprint ","")),9999)</f>
        <v>9999</v>
      </c>
    </row>
    <row r="180" customFormat="false" ht="15" hidden="false" customHeight="true" outlineLevel="0" collapsed="false">
      <c r="A180" s="1" t="str">
        <f aca="false">Backlog!A180</f>
        <v/>
      </c>
      <c r="B180" s="1" t="str">
        <f aca="false">IFERROR(IF(ISBLANK(INDEX(Backlog[Requirement Name],MATCH($A180,Backlog[Requirement ID],0))),"",INDEX(Backlog[Requirement Name],MATCH($A180,Backlog[Requirement ID],0))),"")</f>
        <v/>
      </c>
      <c r="C180" s="1" t="str">
        <f aca="false">IFERROR(IF(ISBLANK(INDEX(Backlog[Stream],MATCH($A180,Backlog[Requirement ID],0))),"",INDEX(Backlog[Stream],MATCH($A180,Backlog[Requirement ID],0))),"")</f>
        <v/>
      </c>
      <c r="D180" s="1" t="str">
        <f aca="false">IFERROR(IF(ISBLANK(INDEX(Backlog[Priority],MATCH($A180,Backlog[Requirement ID],0))),"",INDEX(Backlog[Priority],MATCH($A180,Backlog[Requirement ID],0))),"")</f>
        <v/>
      </c>
      <c r="E180" s="1" t="str">
        <f aca="false">IFERROR(IF(ISBLANK(INDEX(Backlog[Status],MATCH($A180,Backlog[Requirement ID],0))),"",INDEX(Backlog[Status],MATCH($A180,Backlog[Requirement ID],0))),"")</f>
        <v/>
      </c>
      <c r="F180" s="23"/>
      <c r="G180" s="1" t="str">
        <f aca="false">IFERROR(IF(ISBLANK(INDEX(Backlog[HLE],MATCH($A180,Backlog[Requirement ID],0))),"",INDEX(Backlog[HLE],MATCH($A180,Backlog[Requirement ID],0))),"")</f>
        <v/>
      </c>
      <c r="H180" s="1" t="n">
        <f aca="false">IFERROR(VALUE(SUBSTITUTE($F180,"Sprint ","")),9999)</f>
        <v>9999</v>
      </c>
    </row>
    <row r="181" customFormat="false" ht="15" hidden="false" customHeight="true" outlineLevel="0" collapsed="false">
      <c r="A181" s="1" t="str">
        <f aca="false">Backlog!A181</f>
        <v/>
      </c>
      <c r="B181" s="1" t="str">
        <f aca="false">IFERROR(IF(ISBLANK(INDEX(Backlog[Requirement Name],MATCH($A181,Backlog[Requirement ID],0))),"",INDEX(Backlog[Requirement Name],MATCH($A181,Backlog[Requirement ID],0))),"")</f>
        <v/>
      </c>
      <c r="C181" s="1" t="str">
        <f aca="false">IFERROR(IF(ISBLANK(INDEX(Backlog[Stream],MATCH($A181,Backlog[Requirement ID],0))),"",INDEX(Backlog[Stream],MATCH($A181,Backlog[Requirement ID],0))),"")</f>
        <v/>
      </c>
      <c r="D181" s="1" t="str">
        <f aca="false">IFERROR(IF(ISBLANK(INDEX(Backlog[Priority],MATCH($A181,Backlog[Requirement ID],0))),"",INDEX(Backlog[Priority],MATCH($A181,Backlog[Requirement ID],0))),"")</f>
        <v/>
      </c>
      <c r="E181" s="1" t="str">
        <f aca="false">IFERROR(IF(ISBLANK(INDEX(Backlog[Status],MATCH($A181,Backlog[Requirement ID],0))),"",INDEX(Backlog[Status],MATCH($A181,Backlog[Requirement ID],0))),"")</f>
        <v/>
      </c>
      <c r="F181" s="23"/>
      <c r="G181" s="1" t="str">
        <f aca="false">IFERROR(IF(ISBLANK(INDEX(Backlog[HLE],MATCH($A181,Backlog[Requirement ID],0))),"",INDEX(Backlog[HLE],MATCH($A181,Backlog[Requirement ID],0))),"")</f>
        <v/>
      </c>
      <c r="H181" s="1" t="n">
        <f aca="false">IFERROR(VALUE(SUBSTITUTE($F181,"Sprint ","")),9999)</f>
        <v>9999</v>
      </c>
    </row>
    <row r="182" customFormat="false" ht="15" hidden="false" customHeight="true" outlineLevel="0" collapsed="false">
      <c r="A182" s="1" t="str">
        <f aca="false">Backlog!A182</f>
        <v/>
      </c>
      <c r="B182" s="1" t="str">
        <f aca="false">IFERROR(IF(ISBLANK(INDEX(Backlog[Requirement Name],MATCH($A182,Backlog[Requirement ID],0))),"",INDEX(Backlog[Requirement Name],MATCH($A182,Backlog[Requirement ID],0))),"")</f>
        <v/>
      </c>
      <c r="C182" s="1" t="str">
        <f aca="false">IFERROR(IF(ISBLANK(INDEX(Backlog[Stream],MATCH($A182,Backlog[Requirement ID],0))),"",INDEX(Backlog[Stream],MATCH($A182,Backlog[Requirement ID],0))),"")</f>
        <v/>
      </c>
      <c r="D182" s="1" t="str">
        <f aca="false">IFERROR(IF(ISBLANK(INDEX(Backlog[Priority],MATCH($A182,Backlog[Requirement ID],0))),"",INDEX(Backlog[Priority],MATCH($A182,Backlog[Requirement ID],0))),"")</f>
        <v/>
      </c>
      <c r="E182" s="1" t="str">
        <f aca="false">IFERROR(IF(ISBLANK(INDEX(Backlog[Status],MATCH($A182,Backlog[Requirement ID],0))),"",INDEX(Backlog[Status],MATCH($A182,Backlog[Requirement ID],0))),"")</f>
        <v/>
      </c>
      <c r="F182" s="23"/>
      <c r="G182" s="1" t="str">
        <f aca="false">IFERROR(IF(ISBLANK(INDEX(Backlog[HLE],MATCH($A182,Backlog[Requirement ID],0))),"",INDEX(Backlog[HLE],MATCH($A182,Backlog[Requirement ID],0))),"")</f>
        <v/>
      </c>
      <c r="H182" s="1" t="n">
        <f aca="false">IFERROR(VALUE(SUBSTITUTE($F182,"Sprint ","")),9999)</f>
        <v>9999</v>
      </c>
    </row>
    <row r="183" customFormat="false" ht="15" hidden="false" customHeight="true" outlineLevel="0" collapsed="false">
      <c r="A183" s="1" t="str">
        <f aca="false">Backlog!A183</f>
        <v/>
      </c>
      <c r="B183" s="1" t="str">
        <f aca="false">IFERROR(IF(ISBLANK(INDEX(Backlog[Requirement Name],MATCH($A183,Backlog[Requirement ID],0))),"",INDEX(Backlog[Requirement Name],MATCH($A183,Backlog[Requirement ID],0))),"")</f>
        <v/>
      </c>
      <c r="C183" s="1" t="str">
        <f aca="false">IFERROR(IF(ISBLANK(INDEX(Backlog[Stream],MATCH($A183,Backlog[Requirement ID],0))),"",INDEX(Backlog[Stream],MATCH($A183,Backlog[Requirement ID],0))),"")</f>
        <v/>
      </c>
      <c r="D183" s="1" t="str">
        <f aca="false">IFERROR(IF(ISBLANK(INDEX(Backlog[Priority],MATCH($A183,Backlog[Requirement ID],0))),"",INDEX(Backlog[Priority],MATCH($A183,Backlog[Requirement ID],0))),"")</f>
        <v/>
      </c>
      <c r="E183" s="1" t="str">
        <f aca="false">IFERROR(IF(ISBLANK(INDEX(Backlog[Status],MATCH($A183,Backlog[Requirement ID],0))),"",INDEX(Backlog[Status],MATCH($A183,Backlog[Requirement ID],0))),"")</f>
        <v/>
      </c>
      <c r="F183" s="23"/>
      <c r="G183" s="1" t="str">
        <f aca="false">IFERROR(IF(ISBLANK(INDEX(Backlog[HLE],MATCH($A183,Backlog[Requirement ID],0))),"",INDEX(Backlog[HLE],MATCH($A183,Backlog[Requirement ID],0))),"")</f>
        <v/>
      </c>
      <c r="H183" s="1" t="n">
        <f aca="false">IFERROR(VALUE(SUBSTITUTE($F183,"Sprint ","")),9999)</f>
        <v>9999</v>
      </c>
    </row>
    <row r="184" customFormat="false" ht="15" hidden="false" customHeight="true" outlineLevel="0" collapsed="false">
      <c r="A184" s="1" t="str">
        <f aca="false">Backlog!A184</f>
        <v/>
      </c>
      <c r="B184" s="1" t="str">
        <f aca="false">IFERROR(IF(ISBLANK(INDEX(Backlog[Requirement Name],MATCH($A184,Backlog[Requirement ID],0))),"",INDEX(Backlog[Requirement Name],MATCH($A184,Backlog[Requirement ID],0))),"")</f>
        <v/>
      </c>
      <c r="C184" s="1" t="str">
        <f aca="false">IFERROR(IF(ISBLANK(INDEX(Backlog[Stream],MATCH($A184,Backlog[Requirement ID],0))),"",INDEX(Backlog[Stream],MATCH($A184,Backlog[Requirement ID],0))),"")</f>
        <v/>
      </c>
      <c r="D184" s="1" t="str">
        <f aca="false">IFERROR(IF(ISBLANK(INDEX(Backlog[Priority],MATCH($A184,Backlog[Requirement ID],0))),"",INDEX(Backlog[Priority],MATCH($A184,Backlog[Requirement ID],0))),"")</f>
        <v/>
      </c>
      <c r="E184" s="1" t="str">
        <f aca="false">IFERROR(IF(ISBLANK(INDEX(Backlog[Status],MATCH($A184,Backlog[Requirement ID],0))),"",INDEX(Backlog[Status],MATCH($A184,Backlog[Requirement ID],0))),"")</f>
        <v/>
      </c>
      <c r="F184" s="23"/>
      <c r="G184" s="1" t="str">
        <f aca="false">IFERROR(IF(ISBLANK(INDEX(Backlog[HLE],MATCH($A184,Backlog[Requirement ID],0))),"",INDEX(Backlog[HLE],MATCH($A184,Backlog[Requirement ID],0))),"")</f>
        <v/>
      </c>
      <c r="H184" s="1" t="n">
        <f aca="false">IFERROR(VALUE(SUBSTITUTE($F184,"Sprint ","")),9999)</f>
        <v>9999</v>
      </c>
    </row>
    <row r="185" customFormat="false" ht="15" hidden="false" customHeight="true" outlineLevel="0" collapsed="false">
      <c r="A185" s="1" t="str">
        <f aca="false">Backlog!A185</f>
        <v/>
      </c>
      <c r="B185" s="1" t="str">
        <f aca="false">IFERROR(IF(ISBLANK(INDEX(Backlog[Requirement Name],MATCH($A185,Backlog[Requirement ID],0))),"",INDEX(Backlog[Requirement Name],MATCH($A185,Backlog[Requirement ID],0))),"")</f>
        <v/>
      </c>
      <c r="C185" s="1" t="str">
        <f aca="false">IFERROR(IF(ISBLANK(INDEX(Backlog[Stream],MATCH($A185,Backlog[Requirement ID],0))),"",INDEX(Backlog[Stream],MATCH($A185,Backlog[Requirement ID],0))),"")</f>
        <v/>
      </c>
      <c r="D185" s="1" t="str">
        <f aca="false">IFERROR(IF(ISBLANK(INDEX(Backlog[Priority],MATCH($A185,Backlog[Requirement ID],0))),"",INDEX(Backlog[Priority],MATCH($A185,Backlog[Requirement ID],0))),"")</f>
        <v/>
      </c>
      <c r="E185" s="1" t="str">
        <f aca="false">IFERROR(IF(ISBLANK(INDEX(Backlog[Status],MATCH($A185,Backlog[Requirement ID],0))),"",INDEX(Backlog[Status],MATCH($A185,Backlog[Requirement ID],0))),"")</f>
        <v/>
      </c>
      <c r="F185" s="23"/>
      <c r="G185" s="1" t="str">
        <f aca="false">IFERROR(IF(ISBLANK(INDEX(Backlog[HLE],MATCH($A185,Backlog[Requirement ID],0))),"",INDEX(Backlog[HLE],MATCH($A185,Backlog[Requirement ID],0))),"")</f>
        <v/>
      </c>
      <c r="H185" s="1" t="n">
        <f aca="false">IFERROR(VALUE(SUBSTITUTE($F185,"Sprint ","")),9999)</f>
        <v>9999</v>
      </c>
    </row>
    <row r="186" customFormat="false" ht="15" hidden="false" customHeight="true" outlineLevel="0" collapsed="false">
      <c r="A186" s="1" t="str">
        <f aca="false">Backlog!A186</f>
        <v/>
      </c>
      <c r="B186" s="1" t="str">
        <f aca="false">IFERROR(IF(ISBLANK(INDEX(Backlog[Requirement Name],MATCH($A186,Backlog[Requirement ID],0))),"",INDEX(Backlog[Requirement Name],MATCH($A186,Backlog[Requirement ID],0))),"")</f>
        <v/>
      </c>
      <c r="C186" s="1" t="str">
        <f aca="false">IFERROR(IF(ISBLANK(INDEX(Backlog[Stream],MATCH($A186,Backlog[Requirement ID],0))),"",INDEX(Backlog[Stream],MATCH($A186,Backlog[Requirement ID],0))),"")</f>
        <v/>
      </c>
      <c r="D186" s="1" t="str">
        <f aca="false">IFERROR(IF(ISBLANK(INDEX(Backlog[Priority],MATCH($A186,Backlog[Requirement ID],0))),"",INDEX(Backlog[Priority],MATCH($A186,Backlog[Requirement ID],0))),"")</f>
        <v/>
      </c>
      <c r="E186" s="1" t="str">
        <f aca="false">IFERROR(IF(ISBLANK(INDEX(Backlog[Status],MATCH($A186,Backlog[Requirement ID],0))),"",INDEX(Backlog[Status],MATCH($A186,Backlog[Requirement ID],0))),"")</f>
        <v/>
      </c>
      <c r="F186" s="23"/>
      <c r="G186" s="1" t="str">
        <f aca="false">IFERROR(IF(ISBLANK(INDEX(Backlog[HLE],MATCH($A186,Backlog[Requirement ID],0))),"",INDEX(Backlog[HLE],MATCH($A186,Backlog[Requirement ID],0))),"")</f>
        <v/>
      </c>
      <c r="H186" s="1" t="n">
        <f aca="false">IFERROR(VALUE(SUBSTITUTE($F186,"Sprint ","")),9999)</f>
        <v>9999</v>
      </c>
    </row>
    <row r="187" customFormat="false" ht="15" hidden="false" customHeight="true" outlineLevel="0" collapsed="false">
      <c r="A187" s="1" t="str">
        <f aca="false">Backlog!A187</f>
        <v/>
      </c>
      <c r="B187" s="1" t="str">
        <f aca="false">IFERROR(IF(ISBLANK(INDEX(Backlog[Requirement Name],MATCH($A187,Backlog[Requirement ID],0))),"",INDEX(Backlog[Requirement Name],MATCH($A187,Backlog[Requirement ID],0))),"")</f>
        <v/>
      </c>
      <c r="C187" s="1" t="str">
        <f aca="false">IFERROR(IF(ISBLANK(INDEX(Backlog[Stream],MATCH($A187,Backlog[Requirement ID],0))),"",INDEX(Backlog[Stream],MATCH($A187,Backlog[Requirement ID],0))),"")</f>
        <v/>
      </c>
      <c r="D187" s="1" t="str">
        <f aca="false">IFERROR(IF(ISBLANK(INDEX(Backlog[Priority],MATCH($A187,Backlog[Requirement ID],0))),"",INDEX(Backlog[Priority],MATCH($A187,Backlog[Requirement ID],0))),"")</f>
        <v/>
      </c>
      <c r="E187" s="1" t="str">
        <f aca="false">IFERROR(IF(ISBLANK(INDEX(Backlog[Status],MATCH($A187,Backlog[Requirement ID],0))),"",INDEX(Backlog[Status],MATCH($A187,Backlog[Requirement ID],0))),"")</f>
        <v/>
      </c>
      <c r="F187" s="23"/>
      <c r="G187" s="1" t="str">
        <f aca="false">IFERROR(IF(ISBLANK(INDEX(Backlog[HLE],MATCH($A187,Backlog[Requirement ID],0))),"",INDEX(Backlog[HLE],MATCH($A187,Backlog[Requirement ID],0))),"")</f>
        <v/>
      </c>
      <c r="H187" s="1" t="n">
        <f aca="false">IFERROR(VALUE(SUBSTITUTE($F187,"Sprint ","")),9999)</f>
        <v>9999</v>
      </c>
    </row>
    <row r="188" customFormat="false" ht="15" hidden="false" customHeight="true" outlineLevel="0" collapsed="false">
      <c r="A188" s="1" t="str">
        <f aca="false">Backlog!A188</f>
        <v/>
      </c>
      <c r="B188" s="1" t="str">
        <f aca="false">IFERROR(IF(ISBLANK(INDEX(Backlog[Requirement Name],MATCH($A188,Backlog[Requirement ID],0))),"",INDEX(Backlog[Requirement Name],MATCH($A188,Backlog[Requirement ID],0))),"")</f>
        <v/>
      </c>
      <c r="C188" s="1" t="str">
        <f aca="false">IFERROR(IF(ISBLANK(INDEX(Backlog[Stream],MATCH($A188,Backlog[Requirement ID],0))),"",INDEX(Backlog[Stream],MATCH($A188,Backlog[Requirement ID],0))),"")</f>
        <v/>
      </c>
      <c r="D188" s="1" t="str">
        <f aca="false">IFERROR(IF(ISBLANK(INDEX(Backlog[Priority],MATCH($A188,Backlog[Requirement ID],0))),"",INDEX(Backlog[Priority],MATCH($A188,Backlog[Requirement ID],0))),"")</f>
        <v/>
      </c>
      <c r="E188" s="1" t="str">
        <f aca="false">IFERROR(IF(ISBLANK(INDEX(Backlog[Status],MATCH($A188,Backlog[Requirement ID],0))),"",INDEX(Backlog[Status],MATCH($A188,Backlog[Requirement ID],0))),"")</f>
        <v/>
      </c>
      <c r="F188" s="23"/>
      <c r="G188" s="1" t="str">
        <f aca="false">IFERROR(IF(ISBLANK(INDEX(Backlog[HLE],MATCH($A188,Backlog[Requirement ID],0))),"",INDEX(Backlog[HLE],MATCH($A188,Backlog[Requirement ID],0))),"")</f>
        <v/>
      </c>
      <c r="H188" s="1" t="n">
        <f aca="false">IFERROR(VALUE(SUBSTITUTE($F188,"Sprint ","")),9999)</f>
        <v>9999</v>
      </c>
    </row>
    <row r="189" customFormat="false" ht="15" hidden="false" customHeight="true" outlineLevel="0" collapsed="false">
      <c r="A189" s="1" t="str">
        <f aca="false">Backlog!A189</f>
        <v/>
      </c>
      <c r="B189" s="1" t="str">
        <f aca="false">IFERROR(IF(ISBLANK(INDEX(Backlog[Requirement Name],MATCH($A189,Backlog[Requirement ID],0))),"",INDEX(Backlog[Requirement Name],MATCH($A189,Backlog[Requirement ID],0))),"")</f>
        <v/>
      </c>
      <c r="C189" s="1" t="str">
        <f aca="false">IFERROR(IF(ISBLANK(INDEX(Backlog[Stream],MATCH($A189,Backlog[Requirement ID],0))),"",INDEX(Backlog[Stream],MATCH($A189,Backlog[Requirement ID],0))),"")</f>
        <v/>
      </c>
      <c r="D189" s="1" t="str">
        <f aca="false">IFERROR(IF(ISBLANK(INDEX(Backlog[Priority],MATCH($A189,Backlog[Requirement ID],0))),"",INDEX(Backlog[Priority],MATCH($A189,Backlog[Requirement ID],0))),"")</f>
        <v/>
      </c>
      <c r="E189" s="1" t="str">
        <f aca="false">IFERROR(IF(ISBLANK(INDEX(Backlog[Status],MATCH($A189,Backlog[Requirement ID],0))),"",INDEX(Backlog[Status],MATCH($A189,Backlog[Requirement ID],0))),"")</f>
        <v/>
      </c>
      <c r="F189" s="23"/>
      <c r="G189" s="1" t="str">
        <f aca="false">IFERROR(IF(ISBLANK(INDEX(Backlog[HLE],MATCH($A189,Backlog[Requirement ID],0))),"",INDEX(Backlog[HLE],MATCH($A189,Backlog[Requirement ID],0))),"")</f>
        <v/>
      </c>
      <c r="H189" s="1" t="n">
        <f aca="false">IFERROR(VALUE(SUBSTITUTE($F189,"Sprint ","")),9999)</f>
        <v>9999</v>
      </c>
    </row>
    <row r="190" customFormat="false" ht="15" hidden="false" customHeight="true" outlineLevel="0" collapsed="false">
      <c r="A190" s="1" t="str">
        <f aca="false">Backlog!A190</f>
        <v/>
      </c>
      <c r="B190" s="1" t="str">
        <f aca="false">IFERROR(IF(ISBLANK(INDEX(Backlog[Requirement Name],MATCH($A190,Backlog[Requirement ID],0))),"",INDEX(Backlog[Requirement Name],MATCH($A190,Backlog[Requirement ID],0))),"")</f>
        <v/>
      </c>
      <c r="C190" s="1" t="str">
        <f aca="false">IFERROR(IF(ISBLANK(INDEX(Backlog[Stream],MATCH($A190,Backlog[Requirement ID],0))),"",INDEX(Backlog[Stream],MATCH($A190,Backlog[Requirement ID],0))),"")</f>
        <v/>
      </c>
      <c r="D190" s="1" t="str">
        <f aca="false">IFERROR(IF(ISBLANK(INDEX(Backlog[Priority],MATCH($A190,Backlog[Requirement ID],0))),"",INDEX(Backlog[Priority],MATCH($A190,Backlog[Requirement ID],0))),"")</f>
        <v/>
      </c>
      <c r="E190" s="1" t="str">
        <f aca="false">IFERROR(IF(ISBLANK(INDEX(Backlog[Status],MATCH($A190,Backlog[Requirement ID],0))),"",INDEX(Backlog[Status],MATCH($A190,Backlog[Requirement ID],0))),"")</f>
        <v/>
      </c>
      <c r="F190" s="23"/>
      <c r="G190" s="1" t="str">
        <f aca="false">IFERROR(IF(ISBLANK(INDEX(Backlog[HLE],MATCH($A190,Backlog[Requirement ID],0))),"",INDEX(Backlog[HLE],MATCH($A190,Backlog[Requirement ID],0))),"")</f>
        <v/>
      </c>
      <c r="H190" s="1" t="n">
        <f aca="false">IFERROR(VALUE(SUBSTITUTE($F190,"Sprint ","")),9999)</f>
        <v>9999</v>
      </c>
    </row>
    <row r="191" customFormat="false" ht="15" hidden="false" customHeight="true" outlineLevel="0" collapsed="false">
      <c r="A191" s="1" t="str">
        <f aca="false">Backlog!A191</f>
        <v/>
      </c>
      <c r="B191" s="1" t="str">
        <f aca="false">IFERROR(IF(ISBLANK(INDEX(Backlog[Requirement Name],MATCH($A191,Backlog[Requirement ID],0))),"",INDEX(Backlog[Requirement Name],MATCH($A191,Backlog[Requirement ID],0))),"")</f>
        <v/>
      </c>
      <c r="C191" s="1" t="str">
        <f aca="false">IFERROR(IF(ISBLANK(INDEX(Backlog[Stream],MATCH($A191,Backlog[Requirement ID],0))),"",INDEX(Backlog[Stream],MATCH($A191,Backlog[Requirement ID],0))),"")</f>
        <v/>
      </c>
      <c r="D191" s="1" t="str">
        <f aca="false">IFERROR(IF(ISBLANK(INDEX(Backlog[Priority],MATCH($A191,Backlog[Requirement ID],0))),"",INDEX(Backlog[Priority],MATCH($A191,Backlog[Requirement ID],0))),"")</f>
        <v/>
      </c>
      <c r="E191" s="1" t="str">
        <f aca="false">IFERROR(IF(ISBLANK(INDEX(Backlog[Status],MATCH($A191,Backlog[Requirement ID],0))),"",INDEX(Backlog[Status],MATCH($A191,Backlog[Requirement ID],0))),"")</f>
        <v/>
      </c>
      <c r="F191" s="23"/>
      <c r="G191" s="1" t="str">
        <f aca="false">IFERROR(IF(ISBLANK(INDEX(Backlog[HLE],MATCH($A191,Backlog[Requirement ID],0))),"",INDEX(Backlog[HLE],MATCH($A191,Backlog[Requirement ID],0))),"")</f>
        <v/>
      </c>
      <c r="H191" s="1" t="n">
        <f aca="false">IFERROR(VALUE(SUBSTITUTE($F191,"Sprint ","")),9999)</f>
        <v>9999</v>
      </c>
    </row>
    <row r="192" customFormat="false" ht="15" hidden="false" customHeight="true" outlineLevel="0" collapsed="false">
      <c r="A192" s="1" t="str">
        <f aca="false">Backlog!A192</f>
        <v/>
      </c>
      <c r="B192" s="1" t="str">
        <f aca="false">IFERROR(IF(ISBLANK(INDEX(Backlog[Requirement Name],MATCH($A192,Backlog[Requirement ID],0))),"",INDEX(Backlog[Requirement Name],MATCH($A192,Backlog[Requirement ID],0))),"")</f>
        <v/>
      </c>
      <c r="C192" s="1" t="str">
        <f aca="false">IFERROR(IF(ISBLANK(INDEX(Backlog[Stream],MATCH($A192,Backlog[Requirement ID],0))),"",INDEX(Backlog[Stream],MATCH($A192,Backlog[Requirement ID],0))),"")</f>
        <v/>
      </c>
      <c r="D192" s="1" t="str">
        <f aca="false">IFERROR(IF(ISBLANK(INDEX(Backlog[Priority],MATCH($A192,Backlog[Requirement ID],0))),"",INDEX(Backlog[Priority],MATCH($A192,Backlog[Requirement ID],0))),"")</f>
        <v/>
      </c>
      <c r="E192" s="1" t="str">
        <f aca="false">IFERROR(IF(ISBLANK(INDEX(Backlog[Status],MATCH($A192,Backlog[Requirement ID],0))),"",INDEX(Backlog[Status],MATCH($A192,Backlog[Requirement ID],0))),"")</f>
        <v/>
      </c>
      <c r="F192" s="23"/>
      <c r="G192" s="1" t="str">
        <f aca="false">IFERROR(IF(ISBLANK(INDEX(Backlog[HLE],MATCH($A192,Backlog[Requirement ID],0))),"",INDEX(Backlog[HLE],MATCH($A192,Backlog[Requirement ID],0))),"")</f>
        <v/>
      </c>
      <c r="H192" s="1" t="n">
        <f aca="false">IFERROR(VALUE(SUBSTITUTE($F192,"Sprint ","")),9999)</f>
        <v>9999</v>
      </c>
    </row>
    <row r="193" customFormat="false" ht="15" hidden="false" customHeight="true" outlineLevel="0" collapsed="false">
      <c r="A193" s="1" t="str">
        <f aca="false">Backlog!A193</f>
        <v/>
      </c>
      <c r="B193" s="1" t="str">
        <f aca="false">IFERROR(IF(ISBLANK(INDEX(Backlog[Requirement Name],MATCH($A193,Backlog[Requirement ID],0))),"",INDEX(Backlog[Requirement Name],MATCH($A193,Backlog[Requirement ID],0))),"")</f>
        <v/>
      </c>
      <c r="C193" s="1" t="str">
        <f aca="false">IFERROR(IF(ISBLANK(INDEX(Backlog[Stream],MATCH($A193,Backlog[Requirement ID],0))),"",INDEX(Backlog[Stream],MATCH($A193,Backlog[Requirement ID],0))),"")</f>
        <v/>
      </c>
      <c r="D193" s="1" t="str">
        <f aca="false">IFERROR(IF(ISBLANK(INDEX(Backlog[Priority],MATCH($A193,Backlog[Requirement ID],0))),"",INDEX(Backlog[Priority],MATCH($A193,Backlog[Requirement ID],0))),"")</f>
        <v/>
      </c>
      <c r="E193" s="1" t="str">
        <f aca="false">IFERROR(IF(ISBLANK(INDEX(Backlog[Status],MATCH($A193,Backlog[Requirement ID],0))),"",INDEX(Backlog[Status],MATCH($A193,Backlog[Requirement ID],0))),"")</f>
        <v/>
      </c>
      <c r="F193" s="23"/>
      <c r="G193" s="1" t="str">
        <f aca="false">IFERROR(IF(ISBLANK(INDEX(Backlog[HLE],MATCH($A193,Backlog[Requirement ID],0))),"",INDEX(Backlog[HLE],MATCH($A193,Backlog[Requirement ID],0))),"")</f>
        <v/>
      </c>
      <c r="H193" s="1" t="n">
        <f aca="false">IFERROR(VALUE(SUBSTITUTE($F193,"Sprint ","")),9999)</f>
        <v>9999</v>
      </c>
    </row>
    <row r="194" customFormat="false" ht="15" hidden="false" customHeight="true" outlineLevel="0" collapsed="false">
      <c r="A194" s="1" t="str">
        <f aca="false">Backlog!A194</f>
        <v/>
      </c>
      <c r="B194" s="1" t="str">
        <f aca="false">IFERROR(IF(ISBLANK(INDEX(Backlog[Requirement Name],MATCH($A194,Backlog[Requirement ID],0))),"",INDEX(Backlog[Requirement Name],MATCH($A194,Backlog[Requirement ID],0))),"")</f>
        <v/>
      </c>
      <c r="C194" s="1" t="str">
        <f aca="false">IFERROR(IF(ISBLANK(INDEX(Backlog[Stream],MATCH($A194,Backlog[Requirement ID],0))),"",INDEX(Backlog[Stream],MATCH($A194,Backlog[Requirement ID],0))),"")</f>
        <v/>
      </c>
      <c r="D194" s="1" t="str">
        <f aca="false">IFERROR(IF(ISBLANK(INDEX(Backlog[Priority],MATCH($A194,Backlog[Requirement ID],0))),"",INDEX(Backlog[Priority],MATCH($A194,Backlog[Requirement ID],0))),"")</f>
        <v/>
      </c>
      <c r="E194" s="1" t="str">
        <f aca="false">IFERROR(IF(ISBLANK(INDEX(Backlog[Status],MATCH($A194,Backlog[Requirement ID],0))),"",INDEX(Backlog[Status],MATCH($A194,Backlog[Requirement ID],0))),"")</f>
        <v/>
      </c>
      <c r="F194" s="23"/>
      <c r="G194" s="1" t="str">
        <f aca="false">IFERROR(IF(ISBLANK(INDEX(Backlog[HLE],MATCH($A194,Backlog[Requirement ID],0))),"",INDEX(Backlog[HLE],MATCH($A194,Backlog[Requirement ID],0))),"")</f>
        <v/>
      </c>
      <c r="H194" s="1" t="n">
        <f aca="false">IFERROR(VALUE(SUBSTITUTE($F194,"Sprint ","")),9999)</f>
        <v>9999</v>
      </c>
    </row>
    <row r="195" customFormat="false" ht="15" hidden="false" customHeight="true" outlineLevel="0" collapsed="false">
      <c r="A195" s="1" t="str">
        <f aca="false">Backlog!A195</f>
        <v/>
      </c>
      <c r="B195" s="1" t="str">
        <f aca="false">IFERROR(IF(ISBLANK(INDEX(Backlog[Requirement Name],MATCH($A195,Backlog[Requirement ID],0))),"",INDEX(Backlog[Requirement Name],MATCH($A195,Backlog[Requirement ID],0))),"")</f>
        <v/>
      </c>
      <c r="C195" s="1" t="str">
        <f aca="false">IFERROR(IF(ISBLANK(INDEX(Backlog[Stream],MATCH($A195,Backlog[Requirement ID],0))),"",INDEX(Backlog[Stream],MATCH($A195,Backlog[Requirement ID],0))),"")</f>
        <v/>
      </c>
      <c r="D195" s="1" t="str">
        <f aca="false">IFERROR(IF(ISBLANK(INDEX(Backlog[Priority],MATCH($A195,Backlog[Requirement ID],0))),"",INDEX(Backlog[Priority],MATCH($A195,Backlog[Requirement ID],0))),"")</f>
        <v/>
      </c>
      <c r="E195" s="1" t="str">
        <f aca="false">IFERROR(IF(ISBLANK(INDEX(Backlog[Status],MATCH($A195,Backlog[Requirement ID],0))),"",INDEX(Backlog[Status],MATCH($A195,Backlog[Requirement ID],0))),"")</f>
        <v/>
      </c>
      <c r="F195" s="23"/>
      <c r="G195" s="1" t="str">
        <f aca="false">IFERROR(IF(ISBLANK(INDEX(Backlog[HLE],MATCH($A195,Backlog[Requirement ID],0))),"",INDEX(Backlog[HLE],MATCH($A195,Backlog[Requirement ID],0))),"")</f>
        <v/>
      </c>
      <c r="H195" s="1" t="n">
        <f aca="false">IFERROR(VALUE(SUBSTITUTE($F195,"Sprint ","")),9999)</f>
        <v>9999</v>
      </c>
    </row>
    <row r="196" customFormat="false" ht="15" hidden="false" customHeight="true" outlineLevel="0" collapsed="false">
      <c r="A196" s="1" t="str">
        <f aca="false">Backlog!A196</f>
        <v/>
      </c>
      <c r="B196" s="1" t="str">
        <f aca="false">IFERROR(IF(ISBLANK(INDEX(Backlog[Requirement Name],MATCH($A196,Backlog[Requirement ID],0))),"",INDEX(Backlog[Requirement Name],MATCH($A196,Backlog[Requirement ID],0))),"")</f>
        <v/>
      </c>
      <c r="C196" s="1" t="str">
        <f aca="false">IFERROR(IF(ISBLANK(INDEX(Backlog[Stream],MATCH($A196,Backlog[Requirement ID],0))),"",INDEX(Backlog[Stream],MATCH($A196,Backlog[Requirement ID],0))),"")</f>
        <v/>
      </c>
      <c r="D196" s="1" t="str">
        <f aca="false">IFERROR(IF(ISBLANK(INDEX(Backlog[Priority],MATCH($A196,Backlog[Requirement ID],0))),"",INDEX(Backlog[Priority],MATCH($A196,Backlog[Requirement ID],0))),"")</f>
        <v/>
      </c>
      <c r="E196" s="1" t="str">
        <f aca="false">IFERROR(IF(ISBLANK(INDEX(Backlog[Status],MATCH($A196,Backlog[Requirement ID],0))),"",INDEX(Backlog[Status],MATCH($A196,Backlog[Requirement ID],0))),"")</f>
        <v/>
      </c>
      <c r="F196" s="23"/>
      <c r="G196" s="1" t="str">
        <f aca="false">IFERROR(IF(ISBLANK(INDEX(Backlog[HLE],MATCH($A196,Backlog[Requirement ID],0))),"",INDEX(Backlog[HLE],MATCH($A196,Backlog[Requirement ID],0))),"")</f>
        <v/>
      </c>
      <c r="H196" s="1" t="n">
        <f aca="false">IFERROR(VALUE(SUBSTITUTE($F196,"Sprint ","")),9999)</f>
        <v>9999</v>
      </c>
    </row>
    <row r="197" customFormat="false" ht="15" hidden="false" customHeight="true" outlineLevel="0" collapsed="false">
      <c r="A197" s="1" t="str">
        <f aca="false">Backlog!A197</f>
        <v/>
      </c>
      <c r="B197" s="1" t="str">
        <f aca="false">IFERROR(IF(ISBLANK(INDEX(Backlog[Requirement Name],MATCH($A197,Backlog[Requirement ID],0))),"",INDEX(Backlog[Requirement Name],MATCH($A197,Backlog[Requirement ID],0))),"")</f>
        <v/>
      </c>
      <c r="C197" s="1" t="str">
        <f aca="false">IFERROR(IF(ISBLANK(INDEX(Backlog[Stream],MATCH($A197,Backlog[Requirement ID],0))),"",INDEX(Backlog[Stream],MATCH($A197,Backlog[Requirement ID],0))),"")</f>
        <v/>
      </c>
      <c r="D197" s="1" t="str">
        <f aca="false">IFERROR(IF(ISBLANK(INDEX(Backlog[Priority],MATCH($A197,Backlog[Requirement ID],0))),"",INDEX(Backlog[Priority],MATCH($A197,Backlog[Requirement ID],0))),"")</f>
        <v/>
      </c>
      <c r="E197" s="1" t="str">
        <f aca="false">IFERROR(IF(ISBLANK(INDEX(Backlog[Status],MATCH($A197,Backlog[Requirement ID],0))),"",INDEX(Backlog[Status],MATCH($A197,Backlog[Requirement ID],0))),"")</f>
        <v/>
      </c>
      <c r="F197" s="23"/>
      <c r="G197" s="1" t="str">
        <f aca="false">IFERROR(IF(ISBLANK(INDEX(Backlog[HLE],MATCH($A197,Backlog[Requirement ID],0))),"",INDEX(Backlog[HLE],MATCH($A197,Backlog[Requirement ID],0))),"")</f>
        <v/>
      </c>
      <c r="H197" s="1" t="n">
        <f aca="false">IFERROR(VALUE(SUBSTITUTE($F197,"Sprint ","")),9999)</f>
        <v>9999</v>
      </c>
    </row>
    <row r="198" customFormat="false" ht="15" hidden="false" customHeight="true" outlineLevel="0" collapsed="false">
      <c r="A198" s="1" t="str">
        <f aca="false">Backlog!A198</f>
        <v/>
      </c>
      <c r="B198" s="1" t="str">
        <f aca="false">IFERROR(IF(ISBLANK(INDEX(Backlog[Requirement Name],MATCH($A198,Backlog[Requirement ID],0))),"",INDEX(Backlog[Requirement Name],MATCH($A198,Backlog[Requirement ID],0))),"")</f>
        <v/>
      </c>
      <c r="C198" s="1" t="str">
        <f aca="false">IFERROR(IF(ISBLANK(INDEX(Backlog[Stream],MATCH($A198,Backlog[Requirement ID],0))),"",INDEX(Backlog[Stream],MATCH($A198,Backlog[Requirement ID],0))),"")</f>
        <v/>
      </c>
      <c r="D198" s="1" t="str">
        <f aca="false">IFERROR(IF(ISBLANK(INDEX(Backlog[Priority],MATCH($A198,Backlog[Requirement ID],0))),"",INDEX(Backlog[Priority],MATCH($A198,Backlog[Requirement ID],0))),"")</f>
        <v/>
      </c>
      <c r="E198" s="1" t="str">
        <f aca="false">IFERROR(IF(ISBLANK(INDEX(Backlog[Status],MATCH($A198,Backlog[Requirement ID],0))),"",INDEX(Backlog[Status],MATCH($A198,Backlog[Requirement ID],0))),"")</f>
        <v/>
      </c>
      <c r="F198" s="23"/>
      <c r="G198" s="1" t="str">
        <f aca="false">IFERROR(IF(ISBLANK(INDEX(Backlog[HLE],MATCH($A198,Backlog[Requirement ID],0))),"",INDEX(Backlog[HLE],MATCH($A198,Backlog[Requirement ID],0))),"")</f>
        <v/>
      </c>
      <c r="H198" s="1" t="n">
        <f aca="false">IFERROR(VALUE(SUBSTITUTE($F198,"Sprint ","")),9999)</f>
        <v>9999</v>
      </c>
    </row>
    <row r="199" customFormat="false" ht="15" hidden="false" customHeight="true" outlineLevel="0" collapsed="false">
      <c r="A199" s="1" t="str">
        <f aca="false">Backlog!A199</f>
        <v/>
      </c>
      <c r="B199" s="1" t="str">
        <f aca="false">IFERROR(IF(ISBLANK(INDEX(Backlog[Requirement Name],MATCH($A199,Backlog[Requirement ID],0))),"",INDEX(Backlog[Requirement Name],MATCH($A199,Backlog[Requirement ID],0))),"")</f>
        <v/>
      </c>
      <c r="C199" s="1" t="str">
        <f aca="false">IFERROR(IF(ISBLANK(INDEX(Backlog[Stream],MATCH($A199,Backlog[Requirement ID],0))),"",INDEX(Backlog[Stream],MATCH($A199,Backlog[Requirement ID],0))),"")</f>
        <v/>
      </c>
      <c r="D199" s="1" t="str">
        <f aca="false">IFERROR(IF(ISBLANK(INDEX(Backlog[Priority],MATCH($A199,Backlog[Requirement ID],0))),"",INDEX(Backlog[Priority],MATCH($A199,Backlog[Requirement ID],0))),"")</f>
        <v/>
      </c>
      <c r="E199" s="1" t="str">
        <f aca="false">IFERROR(IF(ISBLANK(INDEX(Backlog[Status],MATCH($A199,Backlog[Requirement ID],0))),"",INDEX(Backlog[Status],MATCH($A199,Backlog[Requirement ID],0))),"")</f>
        <v/>
      </c>
      <c r="F199" s="23"/>
      <c r="G199" s="1" t="str">
        <f aca="false">IFERROR(IF(ISBLANK(INDEX(Backlog[HLE],MATCH($A199,Backlog[Requirement ID],0))),"",INDEX(Backlog[HLE],MATCH($A199,Backlog[Requirement ID],0))),"")</f>
        <v/>
      </c>
      <c r="H199" s="1" t="n">
        <f aca="false">IFERROR(VALUE(SUBSTITUTE($F199,"Sprint ","")),9999)</f>
        <v>9999</v>
      </c>
    </row>
    <row r="200" customFormat="false" ht="15" hidden="false" customHeight="true" outlineLevel="0" collapsed="false">
      <c r="A200" s="1" t="str">
        <f aca="false">Backlog!A200</f>
        <v/>
      </c>
      <c r="B200" s="1" t="str">
        <f aca="false">IFERROR(IF(ISBLANK(INDEX(Backlog[Requirement Name],MATCH($A200,Backlog[Requirement ID],0))),"",INDEX(Backlog[Requirement Name],MATCH($A200,Backlog[Requirement ID],0))),"")</f>
        <v/>
      </c>
      <c r="C200" s="1" t="str">
        <f aca="false">IFERROR(IF(ISBLANK(INDEX(Backlog[Stream],MATCH($A200,Backlog[Requirement ID],0))),"",INDEX(Backlog[Stream],MATCH($A200,Backlog[Requirement ID],0))),"")</f>
        <v/>
      </c>
      <c r="D200" s="1" t="str">
        <f aca="false">IFERROR(IF(ISBLANK(INDEX(Backlog[Priority],MATCH($A200,Backlog[Requirement ID],0))),"",INDEX(Backlog[Priority],MATCH($A200,Backlog[Requirement ID],0))),"")</f>
        <v/>
      </c>
      <c r="E200" s="1" t="str">
        <f aca="false">IFERROR(IF(ISBLANK(INDEX(Backlog[Status],MATCH($A200,Backlog[Requirement ID],0))),"",INDEX(Backlog[Status],MATCH($A200,Backlog[Requirement ID],0))),"")</f>
        <v/>
      </c>
      <c r="F200" s="23"/>
      <c r="G200" s="1" t="str">
        <f aca="false">IFERROR(IF(ISBLANK(INDEX(Backlog[HLE],MATCH($A200,Backlog[Requirement ID],0))),"",INDEX(Backlog[HLE],MATCH($A200,Backlog[Requirement ID],0))),"")</f>
        <v/>
      </c>
      <c r="H200" s="1" t="n">
        <f aca="false">IFERROR(VALUE(SUBSTITUTE($F200,"Sprint ","")),9999)</f>
        <v>9999</v>
      </c>
    </row>
    <row r="201" customFormat="false" ht="15" hidden="false" customHeight="true" outlineLevel="0" collapsed="false">
      <c r="A201" s="1" t="str">
        <f aca="false">Backlog!A201</f>
        <v/>
      </c>
      <c r="B201" s="1" t="str">
        <f aca="false">IFERROR(IF(ISBLANK(INDEX(Backlog[Requirement Name],MATCH($A201,Backlog[Requirement ID],0))),"",INDEX(Backlog[Requirement Name],MATCH($A201,Backlog[Requirement ID],0))),"")</f>
        <v/>
      </c>
      <c r="C201" s="1" t="str">
        <f aca="false">IFERROR(IF(ISBLANK(INDEX(Backlog[Stream],MATCH($A201,Backlog[Requirement ID],0))),"",INDEX(Backlog[Stream],MATCH($A201,Backlog[Requirement ID],0))),"")</f>
        <v/>
      </c>
      <c r="D201" s="1" t="str">
        <f aca="false">IFERROR(IF(ISBLANK(INDEX(Backlog[Priority],MATCH($A201,Backlog[Requirement ID],0))),"",INDEX(Backlog[Priority],MATCH($A201,Backlog[Requirement ID],0))),"")</f>
        <v/>
      </c>
      <c r="E201" s="1" t="str">
        <f aca="false">IFERROR(IF(ISBLANK(INDEX(Backlog[Status],MATCH($A201,Backlog[Requirement ID],0))),"",INDEX(Backlog[Status],MATCH($A201,Backlog[Requirement ID],0))),"")</f>
        <v/>
      </c>
      <c r="F201" s="23"/>
      <c r="G201" s="1" t="str">
        <f aca="false">IFERROR(IF(ISBLANK(INDEX(Backlog[HLE],MATCH($A201,Backlog[Requirement ID],0))),"",INDEX(Backlog[HLE],MATCH($A201,Backlog[Requirement ID],0))),"")</f>
        <v/>
      </c>
      <c r="H201" s="1" t="n">
        <f aca="false">IFERROR(VALUE(SUBSTITUTE($F201,"Sprint ","")),9999)</f>
        <v>9999</v>
      </c>
    </row>
    <row r="202" customFormat="false" ht="15" hidden="false" customHeight="true" outlineLevel="0" collapsed="false">
      <c r="A202" s="1" t="str">
        <f aca="false">Backlog!A202</f>
        <v/>
      </c>
      <c r="B202" s="1" t="str">
        <f aca="false">IFERROR(IF(ISBLANK(INDEX(Backlog[Requirement Name],MATCH($A202,Backlog[Requirement ID],0))),"",INDEX(Backlog[Requirement Name],MATCH($A202,Backlog[Requirement ID],0))),"")</f>
        <v/>
      </c>
      <c r="C202" s="1" t="str">
        <f aca="false">IFERROR(IF(ISBLANK(INDEX(Backlog[Stream],MATCH($A202,Backlog[Requirement ID],0))),"",INDEX(Backlog[Stream],MATCH($A202,Backlog[Requirement ID],0))),"")</f>
        <v/>
      </c>
      <c r="D202" s="1" t="str">
        <f aca="false">IFERROR(IF(ISBLANK(INDEX(Backlog[Priority],MATCH($A202,Backlog[Requirement ID],0))),"",INDEX(Backlog[Priority],MATCH($A202,Backlog[Requirement ID],0))),"")</f>
        <v/>
      </c>
      <c r="E202" s="1" t="str">
        <f aca="false">IFERROR(IF(ISBLANK(INDEX(Backlog[Status],MATCH($A202,Backlog[Requirement ID],0))),"",INDEX(Backlog[Status],MATCH($A202,Backlog[Requirement ID],0))),"")</f>
        <v/>
      </c>
      <c r="F202" s="23"/>
      <c r="G202" s="1" t="str">
        <f aca="false">IFERROR(IF(ISBLANK(INDEX(Backlog[HLE],MATCH($A202,Backlog[Requirement ID],0))),"",INDEX(Backlog[HLE],MATCH($A202,Backlog[Requirement ID],0))),"")</f>
        <v/>
      </c>
      <c r="H202" s="1" t="n">
        <f aca="false">IFERROR(VALUE(SUBSTITUTE($F202,"Sprint ","")),9999)</f>
        <v>9999</v>
      </c>
    </row>
    <row r="203" customFormat="false" ht="15" hidden="false" customHeight="true" outlineLevel="0" collapsed="false">
      <c r="A203" s="1" t="str">
        <f aca="false">Backlog!A203</f>
        <v/>
      </c>
      <c r="B203" s="1" t="str">
        <f aca="false">IFERROR(IF(ISBLANK(INDEX(Backlog[Requirement Name],MATCH($A203,Backlog[Requirement ID],0))),"",INDEX(Backlog[Requirement Name],MATCH($A203,Backlog[Requirement ID],0))),"")</f>
        <v/>
      </c>
      <c r="C203" s="1" t="str">
        <f aca="false">IFERROR(IF(ISBLANK(INDEX(Backlog[Stream],MATCH($A203,Backlog[Requirement ID],0))),"",INDEX(Backlog[Stream],MATCH($A203,Backlog[Requirement ID],0))),"")</f>
        <v/>
      </c>
      <c r="D203" s="1" t="str">
        <f aca="false">IFERROR(IF(ISBLANK(INDEX(Backlog[Priority],MATCH($A203,Backlog[Requirement ID],0))),"",INDEX(Backlog[Priority],MATCH($A203,Backlog[Requirement ID],0))),"")</f>
        <v/>
      </c>
      <c r="E203" s="1" t="str">
        <f aca="false">IFERROR(IF(ISBLANK(INDEX(Backlog[Status],MATCH($A203,Backlog[Requirement ID],0))),"",INDEX(Backlog[Status],MATCH($A203,Backlog[Requirement ID],0))),"")</f>
        <v/>
      </c>
      <c r="F203" s="23"/>
      <c r="G203" s="1" t="str">
        <f aca="false">IFERROR(IF(ISBLANK(INDEX(Backlog[HLE],MATCH($A203,Backlog[Requirement ID],0))),"",INDEX(Backlog[HLE],MATCH($A203,Backlog[Requirement ID],0))),"")</f>
        <v/>
      </c>
      <c r="H203" s="1" t="n">
        <f aca="false">IFERROR(VALUE(SUBSTITUTE($F203,"Sprint ","")),9999)</f>
        <v>9999</v>
      </c>
    </row>
    <row r="204" customFormat="false" ht="15" hidden="false" customHeight="true" outlineLevel="0" collapsed="false">
      <c r="A204" s="1" t="str">
        <f aca="false">Backlog!A204</f>
        <v/>
      </c>
      <c r="B204" s="1" t="str">
        <f aca="false">IFERROR(IF(ISBLANK(INDEX(Backlog[Requirement Name],MATCH($A204,Backlog[Requirement ID],0))),"",INDEX(Backlog[Requirement Name],MATCH($A204,Backlog[Requirement ID],0))),"")</f>
        <v/>
      </c>
      <c r="C204" s="1" t="str">
        <f aca="false">IFERROR(IF(ISBLANK(INDEX(Backlog[Stream],MATCH($A204,Backlog[Requirement ID],0))),"",INDEX(Backlog[Stream],MATCH($A204,Backlog[Requirement ID],0))),"")</f>
        <v/>
      </c>
      <c r="D204" s="1" t="str">
        <f aca="false">IFERROR(IF(ISBLANK(INDEX(Backlog[Priority],MATCH($A204,Backlog[Requirement ID],0))),"",INDEX(Backlog[Priority],MATCH($A204,Backlog[Requirement ID],0))),"")</f>
        <v/>
      </c>
      <c r="E204" s="1" t="str">
        <f aca="false">IFERROR(IF(ISBLANK(INDEX(Backlog[Status],MATCH($A204,Backlog[Requirement ID],0))),"",INDEX(Backlog[Status],MATCH($A204,Backlog[Requirement ID],0))),"")</f>
        <v/>
      </c>
      <c r="F204" s="23"/>
      <c r="G204" s="1" t="str">
        <f aca="false">IFERROR(IF(ISBLANK(INDEX(Backlog[HLE],MATCH($A204,Backlog[Requirement ID],0))),"",INDEX(Backlog[HLE],MATCH($A204,Backlog[Requirement ID],0))),"")</f>
        <v/>
      </c>
      <c r="H204" s="1" t="n">
        <f aca="false">IFERROR(VALUE(SUBSTITUTE($F204,"Sprint ","")),9999)</f>
        <v>9999</v>
      </c>
    </row>
    <row r="205" customFormat="false" ht="15" hidden="false" customHeight="true" outlineLevel="0" collapsed="false">
      <c r="A205" s="1" t="str">
        <f aca="false">Backlog!A205</f>
        <v/>
      </c>
      <c r="B205" s="1" t="str">
        <f aca="false">IFERROR(IF(ISBLANK(INDEX(Backlog[Requirement Name],MATCH($A205,Backlog[Requirement ID],0))),"",INDEX(Backlog[Requirement Name],MATCH($A205,Backlog[Requirement ID],0))),"")</f>
        <v/>
      </c>
      <c r="C205" s="1" t="str">
        <f aca="false">IFERROR(IF(ISBLANK(INDEX(Backlog[Stream],MATCH($A205,Backlog[Requirement ID],0))),"",INDEX(Backlog[Stream],MATCH($A205,Backlog[Requirement ID],0))),"")</f>
        <v/>
      </c>
      <c r="D205" s="1" t="str">
        <f aca="false">IFERROR(IF(ISBLANK(INDEX(Backlog[Priority],MATCH($A205,Backlog[Requirement ID],0))),"",INDEX(Backlog[Priority],MATCH($A205,Backlog[Requirement ID],0))),"")</f>
        <v/>
      </c>
      <c r="E205" s="1" t="str">
        <f aca="false">IFERROR(IF(ISBLANK(INDEX(Backlog[Status],MATCH($A205,Backlog[Requirement ID],0))),"",INDEX(Backlog[Status],MATCH($A205,Backlog[Requirement ID],0))),"")</f>
        <v/>
      </c>
      <c r="F205" s="23"/>
      <c r="G205" s="1" t="str">
        <f aca="false">IFERROR(IF(ISBLANK(INDEX(Backlog[HLE],MATCH($A205,Backlog[Requirement ID],0))),"",INDEX(Backlog[HLE],MATCH($A205,Backlog[Requirement ID],0))),"")</f>
        <v/>
      </c>
      <c r="H205" s="1" t="n">
        <f aca="false">IFERROR(VALUE(SUBSTITUTE($F205,"Sprint ","")),9999)</f>
        <v>9999</v>
      </c>
    </row>
    <row r="206" customFormat="false" ht="23.25" hidden="false" customHeight="true" outlineLevel="0" collapsed="false">
      <c r="A206" s="1" t="str">
        <f aca="false">Backlog!A206</f>
        <v/>
      </c>
      <c r="B206" s="1" t="str">
        <f aca="false">IFERROR(IF(ISBLANK(INDEX(Backlog[Requirement Name],MATCH($A206,Backlog[Requirement ID],0))),"",INDEX(Backlog[Requirement Name],MATCH($A206,Backlog[Requirement ID],0))),"")</f>
        <v/>
      </c>
      <c r="C206" s="1" t="str">
        <f aca="false">IFERROR(IF(ISBLANK(INDEX(Backlog[Stream],MATCH($A206,Backlog[Requirement ID],0))),"",INDEX(Backlog[Stream],MATCH($A206,Backlog[Requirement ID],0))),"")</f>
        <v/>
      </c>
      <c r="D206" s="1" t="str">
        <f aca="false">IFERROR(IF(ISBLANK(INDEX(Backlog[Priority],MATCH($A206,Backlog[Requirement ID],0))),"",INDEX(Backlog[Priority],MATCH($A206,Backlog[Requirement ID],0))),"")</f>
        <v/>
      </c>
      <c r="E206" s="1" t="str">
        <f aca="false">IFERROR(IF(ISBLANK(INDEX(Backlog[Status],MATCH($A206,Backlog[Requirement ID],0))),"",INDEX(Backlog[Status],MATCH($A206,Backlog[Requirement ID],0))),"")</f>
        <v/>
      </c>
      <c r="F206" s="23"/>
      <c r="G206" s="1" t="str">
        <f aca="false">IFERROR(IF(ISBLANK(INDEX(Backlog[HLE],MATCH($A206,Backlog[Requirement ID],0))),"",INDEX(Backlog[HLE],MATCH($A206,Backlog[Requirement ID],0))),"")</f>
        <v/>
      </c>
      <c r="H206" s="1" t="n">
        <f aca="false">IFERROR(VALUE(SUBSTITUTE($F206,"Sprint ","")),9999)</f>
        <v>9999</v>
      </c>
    </row>
    <row r="207" customFormat="false" ht="15" hidden="false" customHeight="true" outlineLevel="0" collapsed="false">
      <c r="A207" s="1" t="str">
        <f aca="false">Backlog!A207</f>
        <v/>
      </c>
      <c r="B207" s="1" t="str">
        <f aca="false">IFERROR(IF(ISBLANK(INDEX(Backlog[Requirement Name],MATCH($A207,Backlog[Requirement ID],0))),"",INDEX(Backlog[Requirement Name],MATCH($A207,Backlog[Requirement ID],0))),"")</f>
        <v/>
      </c>
      <c r="C207" s="1" t="str">
        <f aca="false">IFERROR(IF(ISBLANK(INDEX(Backlog[Stream],MATCH($A207,Backlog[Requirement ID],0))),"",INDEX(Backlog[Stream],MATCH($A207,Backlog[Requirement ID],0))),"")</f>
        <v/>
      </c>
      <c r="D207" s="1" t="str">
        <f aca="false">IFERROR(IF(ISBLANK(INDEX(Backlog[Priority],MATCH($A207,Backlog[Requirement ID],0))),"",INDEX(Backlog[Priority],MATCH($A207,Backlog[Requirement ID],0))),"")</f>
        <v/>
      </c>
      <c r="E207" s="1" t="str">
        <f aca="false">IFERROR(IF(ISBLANK(INDEX(Backlog[Status],MATCH($A207,Backlog[Requirement ID],0))),"",INDEX(Backlog[Status],MATCH($A207,Backlog[Requirement ID],0))),"")</f>
        <v/>
      </c>
      <c r="F207" s="23"/>
      <c r="G207" s="1" t="str">
        <f aca="false">IFERROR(IF(ISBLANK(INDEX(Backlog[HLE],MATCH($A207,Backlog[Requirement ID],0))),"",INDEX(Backlog[HLE],MATCH($A207,Backlog[Requirement ID],0))),"")</f>
        <v/>
      </c>
      <c r="H207" s="1" t="n">
        <f aca="false">IFERROR(VALUE(SUBSTITUTE($F207,"Sprint ","")),9999)</f>
        <v>9999</v>
      </c>
    </row>
    <row r="208" customFormat="false" ht="15" hidden="false" customHeight="true" outlineLevel="0" collapsed="false">
      <c r="A208" s="1" t="str">
        <f aca="false">Backlog!A208</f>
        <v/>
      </c>
      <c r="B208" s="1" t="str">
        <f aca="false">IFERROR(IF(ISBLANK(INDEX(Backlog[Requirement Name],MATCH($A208,Backlog[Requirement ID],0))),"",INDEX(Backlog[Requirement Name],MATCH($A208,Backlog[Requirement ID],0))),"")</f>
        <v/>
      </c>
      <c r="C208" s="1" t="str">
        <f aca="false">IFERROR(IF(ISBLANK(INDEX(Backlog[Stream],MATCH($A208,Backlog[Requirement ID],0))),"",INDEX(Backlog[Stream],MATCH($A208,Backlog[Requirement ID],0))),"")</f>
        <v/>
      </c>
      <c r="D208" s="1" t="str">
        <f aca="false">IFERROR(IF(ISBLANK(INDEX(Backlog[Priority],MATCH($A208,Backlog[Requirement ID],0))),"",INDEX(Backlog[Priority],MATCH($A208,Backlog[Requirement ID],0))),"")</f>
        <v/>
      </c>
      <c r="E208" s="1" t="str">
        <f aca="false">IFERROR(IF(ISBLANK(INDEX(Backlog[Status],MATCH($A208,Backlog[Requirement ID],0))),"",INDEX(Backlog[Status],MATCH($A208,Backlog[Requirement ID],0))),"")</f>
        <v/>
      </c>
      <c r="F208" s="23"/>
      <c r="G208" s="1" t="str">
        <f aca="false">IFERROR(IF(ISBLANK(INDEX(Backlog[HLE],MATCH($A208,Backlog[Requirement ID],0))),"",INDEX(Backlog[HLE],MATCH($A208,Backlog[Requirement ID],0))),"")</f>
        <v/>
      </c>
      <c r="H208" s="1" t="n">
        <f aca="false">IFERROR(VALUE(SUBSTITUTE($F208,"Sprint ","")),9999)</f>
        <v>9999</v>
      </c>
    </row>
    <row r="209" customFormat="false" ht="15" hidden="false" customHeight="true" outlineLevel="0" collapsed="false">
      <c r="A209" s="1" t="str">
        <f aca="false">Backlog!A209</f>
        <v/>
      </c>
      <c r="B209" s="1" t="str">
        <f aca="false">IFERROR(IF(ISBLANK(INDEX(Backlog[Requirement Name],MATCH($A209,Backlog[Requirement ID],0))),"",INDEX(Backlog[Requirement Name],MATCH($A209,Backlog[Requirement ID],0))),"")</f>
        <v/>
      </c>
      <c r="C209" s="1" t="str">
        <f aca="false">IFERROR(IF(ISBLANK(INDEX(Backlog[Stream],MATCH($A209,Backlog[Requirement ID],0))),"",INDEX(Backlog[Stream],MATCH($A209,Backlog[Requirement ID],0))),"")</f>
        <v/>
      </c>
      <c r="D209" s="1" t="str">
        <f aca="false">IFERROR(IF(ISBLANK(INDEX(Backlog[Priority],MATCH($A209,Backlog[Requirement ID],0))),"",INDEX(Backlog[Priority],MATCH($A209,Backlog[Requirement ID],0))),"")</f>
        <v/>
      </c>
      <c r="E209" s="1" t="str">
        <f aca="false">IFERROR(IF(ISBLANK(INDEX(Backlog[Status],MATCH($A209,Backlog[Requirement ID],0))),"",INDEX(Backlog[Status],MATCH($A209,Backlog[Requirement ID],0))),"")</f>
        <v/>
      </c>
      <c r="F209" s="23"/>
      <c r="G209" s="1" t="str">
        <f aca="false">IFERROR(IF(ISBLANK(INDEX(Backlog[HLE],MATCH($A209,Backlog[Requirement ID],0))),"",INDEX(Backlog[HLE],MATCH($A209,Backlog[Requirement ID],0))),"")</f>
        <v/>
      </c>
      <c r="H209" s="1" t="n">
        <f aca="false">IFERROR(VALUE(SUBSTITUTE($F209,"Sprint ","")),9999)</f>
        <v>9999</v>
      </c>
    </row>
    <row r="210" customFormat="false" ht="15" hidden="false" customHeight="true" outlineLevel="0" collapsed="false">
      <c r="A210" s="1" t="str">
        <f aca="false">Backlog!A210</f>
        <v/>
      </c>
      <c r="B210" s="1" t="str">
        <f aca="false">IFERROR(IF(ISBLANK(INDEX(Backlog[Requirement Name],MATCH($A210,Backlog[Requirement ID],0))),"",INDEX(Backlog[Requirement Name],MATCH($A210,Backlog[Requirement ID],0))),"")</f>
        <v/>
      </c>
      <c r="C210" s="1" t="str">
        <f aca="false">IFERROR(IF(ISBLANK(INDEX(Backlog[Stream],MATCH($A210,Backlog[Requirement ID],0))),"",INDEX(Backlog[Stream],MATCH($A210,Backlog[Requirement ID],0))),"")</f>
        <v/>
      </c>
      <c r="D210" s="1" t="str">
        <f aca="false">IFERROR(IF(ISBLANK(INDEX(Backlog[Priority],MATCH($A210,Backlog[Requirement ID],0))),"",INDEX(Backlog[Priority],MATCH($A210,Backlog[Requirement ID],0))),"")</f>
        <v/>
      </c>
      <c r="E210" s="1" t="str">
        <f aca="false">IFERROR(IF(ISBLANK(INDEX(Backlog[Status],MATCH($A210,Backlog[Requirement ID],0))),"",INDEX(Backlog[Status],MATCH($A210,Backlog[Requirement ID],0))),"")</f>
        <v/>
      </c>
      <c r="F210" s="23"/>
      <c r="G210" s="1" t="str">
        <f aca="false">IFERROR(IF(ISBLANK(INDEX(Backlog[HLE],MATCH($A210,Backlog[Requirement ID],0))),"",INDEX(Backlog[HLE],MATCH($A210,Backlog[Requirement ID],0))),"")</f>
        <v/>
      </c>
      <c r="H210" s="1" t="n">
        <f aca="false">IFERROR(VALUE(SUBSTITUTE($F210,"Sprint ","")),9999)</f>
        <v>9999</v>
      </c>
    </row>
    <row r="211" customFormat="false" ht="15" hidden="false" customHeight="true" outlineLevel="0" collapsed="false">
      <c r="A211" s="1" t="str">
        <f aca="false">Backlog!A211</f>
        <v/>
      </c>
      <c r="B211" s="1" t="str">
        <f aca="false">IFERROR(IF(ISBLANK(INDEX(Backlog[Requirement Name],MATCH($A211,Backlog[Requirement ID],0))),"",INDEX(Backlog[Requirement Name],MATCH($A211,Backlog[Requirement ID],0))),"")</f>
        <v/>
      </c>
      <c r="C211" s="1" t="str">
        <f aca="false">IFERROR(IF(ISBLANK(INDEX(Backlog[Stream],MATCH($A211,Backlog[Requirement ID],0))),"",INDEX(Backlog[Stream],MATCH($A211,Backlog[Requirement ID],0))),"")</f>
        <v/>
      </c>
      <c r="D211" s="1" t="str">
        <f aca="false">IFERROR(IF(ISBLANK(INDEX(Backlog[Priority],MATCH($A211,Backlog[Requirement ID],0))),"",INDEX(Backlog[Priority],MATCH($A211,Backlog[Requirement ID],0))),"")</f>
        <v/>
      </c>
      <c r="E211" s="1" t="str">
        <f aca="false">IFERROR(IF(ISBLANK(INDEX(Backlog[Status],MATCH($A211,Backlog[Requirement ID],0))),"",INDEX(Backlog[Status],MATCH($A211,Backlog[Requirement ID],0))),"")</f>
        <v/>
      </c>
      <c r="F211" s="23"/>
      <c r="G211" s="1" t="str">
        <f aca="false">IFERROR(IF(ISBLANK(INDEX(Backlog[HLE],MATCH($A211,Backlog[Requirement ID],0))),"",INDEX(Backlog[HLE],MATCH($A211,Backlog[Requirement ID],0))),"")</f>
        <v/>
      </c>
      <c r="H211" s="1" t="n">
        <f aca="false">IFERROR(VALUE(SUBSTITUTE($F211,"Sprint ","")),9999)</f>
        <v>9999</v>
      </c>
    </row>
    <row r="212" customFormat="false" ht="15" hidden="false" customHeight="true" outlineLevel="0" collapsed="false">
      <c r="A212" s="1" t="str">
        <f aca="false">Backlog!A212</f>
        <v/>
      </c>
      <c r="B212" s="1" t="str">
        <f aca="false">IFERROR(IF(ISBLANK(INDEX(Backlog[Requirement Name],MATCH($A212,Backlog[Requirement ID],0))),"",INDEX(Backlog[Requirement Name],MATCH($A212,Backlog[Requirement ID],0))),"")</f>
        <v/>
      </c>
      <c r="C212" s="1" t="str">
        <f aca="false">IFERROR(IF(ISBLANK(INDEX(Backlog[Stream],MATCH($A212,Backlog[Requirement ID],0))),"",INDEX(Backlog[Stream],MATCH($A212,Backlog[Requirement ID],0))),"")</f>
        <v/>
      </c>
      <c r="D212" s="1" t="str">
        <f aca="false">IFERROR(IF(ISBLANK(INDEX(Backlog[Priority],MATCH($A212,Backlog[Requirement ID],0))),"",INDEX(Backlog[Priority],MATCH($A212,Backlog[Requirement ID],0))),"")</f>
        <v/>
      </c>
      <c r="E212" s="1" t="str">
        <f aca="false">IFERROR(IF(ISBLANK(INDEX(Backlog[Status],MATCH($A212,Backlog[Requirement ID],0))),"",INDEX(Backlog[Status],MATCH($A212,Backlog[Requirement ID],0))),"")</f>
        <v/>
      </c>
      <c r="F212" s="23"/>
      <c r="G212" s="1" t="str">
        <f aca="false">IFERROR(IF(ISBLANK(INDEX(Backlog[HLE],MATCH($A212,Backlog[Requirement ID],0))),"",INDEX(Backlog[HLE],MATCH($A212,Backlog[Requirement ID],0))),"")</f>
        <v/>
      </c>
      <c r="H212" s="1" t="n">
        <f aca="false">IFERROR(VALUE(SUBSTITUTE($F212,"Sprint ","")),9999)</f>
        <v>9999</v>
      </c>
    </row>
    <row r="213" customFormat="false" ht="15" hidden="false" customHeight="true" outlineLevel="0" collapsed="false">
      <c r="A213" s="1" t="str">
        <f aca="false">Backlog!A213</f>
        <v/>
      </c>
      <c r="B213" s="1" t="str">
        <f aca="false">IFERROR(IF(ISBLANK(INDEX(Backlog[Requirement Name],MATCH($A213,Backlog[Requirement ID],0))),"",INDEX(Backlog[Requirement Name],MATCH($A213,Backlog[Requirement ID],0))),"")</f>
        <v/>
      </c>
      <c r="C213" s="1" t="str">
        <f aca="false">IFERROR(IF(ISBLANK(INDEX(Backlog[Stream],MATCH($A213,Backlog[Requirement ID],0))),"",INDEX(Backlog[Stream],MATCH($A213,Backlog[Requirement ID],0))),"")</f>
        <v/>
      </c>
      <c r="D213" s="1" t="str">
        <f aca="false">IFERROR(IF(ISBLANK(INDEX(Backlog[Priority],MATCH($A213,Backlog[Requirement ID],0))),"",INDEX(Backlog[Priority],MATCH($A213,Backlog[Requirement ID],0))),"")</f>
        <v/>
      </c>
      <c r="E213" s="1" t="str">
        <f aca="false">IFERROR(IF(ISBLANK(INDEX(Backlog[Status],MATCH($A213,Backlog[Requirement ID],0))),"",INDEX(Backlog[Status],MATCH($A213,Backlog[Requirement ID],0))),"")</f>
        <v/>
      </c>
      <c r="F213" s="23"/>
      <c r="G213" s="1" t="str">
        <f aca="false">IFERROR(IF(ISBLANK(INDEX(Backlog[HLE],MATCH($A213,Backlog[Requirement ID],0))),"",INDEX(Backlog[HLE],MATCH($A213,Backlog[Requirement ID],0))),"")</f>
        <v/>
      </c>
      <c r="H213" s="1" t="n">
        <f aca="false">IFERROR(VALUE(SUBSTITUTE($F213,"Sprint ","")),9999)</f>
        <v>9999</v>
      </c>
    </row>
    <row r="214" customFormat="false" ht="15" hidden="false" customHeight="true" outlineLevel="0" collapsed="false">
      <c r="A214" s="1" t="str">
        <f aca="false">Backlog!A214</f>
        <v/>
      </c>
      <c r="B214" s="1" t="str">
        <f aca="false">IFERROR(IF(ISBLANK(INDEX(Backlog[Requirement Name],MATCH($A214,Backlog[Requirement ID],0))),"",INDEX(Backlog[Requirement Name],MATCH($A214,Backlog[Requirement ID],0))),"")</f>
        <v/>
      </c>
      <c r="C214" s="1" t="str">
        <f aca="false">IFERROR(IF(ISBLANK(INDEX(Backlog[Stream],MATCH($A214,Backlog[Requirement ID],0))),"",INDEX(Backlog[Stream],MATCH($A214,Backlog[Requirement ID],0))),"")</f>
        <v/>
      </c>
      <c r="D214" s="1" t="str">
        <f aca="false">IFERROR(IF(ISBLANK(INDEX(Backlog[Priority],MATCH($A214,Backlog[Requirement ID],0))),"",INDEX(Backlog[Priority],MATCH($A214,Backlog[Requirement ID],0))),"")</f>
        <v/>
      </c>
      <c r="E214" s="1" t="str">
        <f aca="false">IFERROR(IF(ISBLANK(INDEX(Backlog[Status],MATCH($A214,Backlog[Requirement ID],0))),"",INDEX(Backlog[Status],MATCH($A214,Backlog[Requirement ID],0))),"")</f>
        <v/>
      </c>
      <c r="F214" s="23"/>
      <c r="G214" s="1" t="str">
        <f aca="false">IFERROR(IF(ISBLANK(INDEX(Backlog[HLE],MATCH($A214,Backlog[Requirement ID],0))),"",INDEX(Backlog[HLE],MATCH($A214,Backlog[Requirement ID],0))),"")</f>
        <v/>
      </c>
      <c r="H214" s="1" t="n">
        <f aca="false">IFERROR(VALUE(SUBSTITUTE($F214,"Sprint ","")),9999)</f>
        <v>9999</v>
      </c>
    </row>
    <row r="215" customFormat="false" ht="15" hidden="false" customHeight="true" outlineLevel="0" collapsed="false">
      <c r="A215" s="1" t="str">
        <f aca="false">Backlog!A215</f>
        <v/>
      </c>
      <c r="B215" s="1" t="str">
        <f aca="false">IFERROR(IF(ISBLANK(INDEX(Backlog[Requirement Name],MATCH($A215,Backlog[Requirement ID],0))),"",INDEX(Backlog[Requirement Name],MATCH($A215,Backlog[Requirement ID],0))),"")</f>
        <v/>
      </c>
      <c r="C215" s="1" t="str">
        <f aca="false">IFERROR(IF(ISBLANK(INDEX(Backlog[Stream],MATCH($A215,Backlog[Requirement ID],0))),"",INDEX(Backlog[Stream],MATCH($A215,Backlog[Requirement ID],0))),"")</f>
        <v/>
      </c>
      <c r="D215" s="1" t="str">
        <f aca="false">IFERROR(IF(ISBLANK(INDEX(Backlog[Priority],MATCH($A215,Backlog[Requirement ID],0))),"",INDEX(Backlog[Priority],MATCH($A215,Backlog[Requirement ID],0))),"")</f>
        <v/>
      </c>
      <c r="E215" s="1" t="str">
        <f aca="false">IFERROR(IF(ISBLANK(INDEX(Backlog[Status],MATCH($A215,Backlog[Requirement ID],0))),"",INDEX(Backlog[Status],MATCH($A215,Backlog[Requirement ID],0))),"")</f>
        <v/>
      </c>
      <c r="F215" s="23"/>
      <c r="G215" s="1" t="str">
        <f aca="false">IFERROR(IF(ISBLANK(INDEX(Backlog[HLE],MATCH($A215,Backlog[Requirement ID],0))),"",INDEX(Backlog[HLE],MATCH($A215,Backlog[Requirement ID],0))),"")</f>
        <v/>
      </c>
      <c r="H215" s="1" t="n">
        <f aca="false">IFERROR(VALUE(SUBSTITUTE($F215,"Sprint ","")),9999)</f>
        <v>9999</v>
      </c>
    </row>
    <row r="216" customFormat="false" ht="15" hidden="false" customHeight="true" outlineLevel="0" collapsed="false">
      <c r="A216" s="1" t="str">
        <f aca="false">Backlog!A216</f>
        <v/>
      </c>
      <c r="B216" s="1" t="str">
        <f aca="false">IFERROR(IF(ISBLANK(INDEX(Backlog[Requirement Name],MATCH($A216,Backlog[Requirement ID],0))),"",INDEX(Backlog[Requirement Name],MATCH($A216,Backlog[Requirement ID],0))),"")</f>
        <v/>
      </c>
      <c r="C216" s="1" t="str">
        <f aca="false">IFERROR(IF(ISBLANK(INDEX(Backlog[Stream],MATCH($A216,Backlog[Requirement ID],0))),"",INDEX(Backlog[Stream],MATCH($A216,Backlog[Requirement ID],0))),"")</f>
        <v/>
      </c>
      <c r="D216" s="1" t="str">
        <f aca="false">IFERROR(IF(ISBLANK(INDEX(Backlog[Priority],MATCH($A216,Backlog[Requirement ID],0))),"",INDEX(Backlog[Priority],MATCH($A216,Backlog[Requirement ID],0))),"")</f>
        <v/>
      </c>
      <c r="E216" s="1" t="str">
        <f aca="false">IFERROR(IF(ISBLANK(INDEX(Backlog[Status],MATCH($A216,Backlog[Requirement ID],0))),"",INDEX(Backlog[Status],MATCH($A216,Backlog[Requirement ID],0))),"")</f>
        <v/>
      </c>
      <c r="F216" s="23"/>
      <c r="G216" s="1" t="str">
        <f aca="false">IFERROR(IF(ISBLANK(INDEX(Backlog[HLE],MATCH($A216,Backlog[Requirement ID],0))),"",INDEX(Backlog[HLE],MATCH($A216,Backlog[Requirement ID],0))),"")</f>
        <v/>
      </c>
      <c r="H216" s="1" t="n">
        <f aca="false">IFERROR(VALUE(SUBSTITUTE($F216,"Sprint ","")),9999)</f>
        <v>9999</v>
      </c>
    </row>
    <row r="217" customFormat="false" ht="15" hidden="false" customHeight="true" outlineLevel="0" collapsed="false">
      <c r="A217" s="1" t="str">
        <f aca="false">Backlog!A217</f>
        <v/>
      </c>
      <c r="B217" s="1" t="str">
        <f aca="false">IFERROR(IF(ISBLANK(INDEX(Backlog[Requirement Name],MATCH($A217,Backlog[Requirement ID],0))),"",INDEX(Backlog[Requirement Name],MATCH($A217,Backlog[Requirement ID],0))),"")</f>
        <v/>
      </c>
      <c r="C217" s="1" t="str">
        <f aca="false">IFERROR(IF(ISBLANK(INDEX(Backlog[Stream],MATCH($A217,Backlog[Requirement ID],0))),"",INDEX(Backlog[Stream],MATCH($A217,Backlog[Requirement ID],0))),"")</f>
        <v/>
      </c>
      <c r="D217" s="1" t="str">
        <f aca="false">IFERROR(IF(ISBLANK(INDEX(Backlog[Priority],MATCH($A217,Backlog[Requirement ID],0))),"",INDEX(Backlog[Priority],MATCH($A217,Backlog[Requirement ID],0))),"")</f>
        <v/>
      </c>
      <c r="E217" s="1" t="str">
        <f aca="false">IFERROR(IF(ISBLANK(INDEX(Backlog[Status],MATCH($A217,Backlog[Requirement ID],0))),"",INDEX(Backlog[Status],MATCH($A217,Backlog[Requirement ID],0))),"")</f>
        <v/>
      </c>
      <c r="F217" s="23"/>
      <c r="G217" s="1" t="str">
        <f aca="false">IFERROR(IF(ISBLANK(INDEX(Backlog[HLE],MATCH($A217,Backlog[Requirement ID],0))),"",INDEX(Backlog[HLE],MATCH($A217,Backlog[Requirement ID],0))),"")</f>
        <v/>
      </c>
      <c r="H217" s="1" t="n">
        <f aca="false">IFERROR(VALUE(SUBSTITUTE($F217,"Sprint ","")),9999)</f>
        <v>9999</v>
      </c>
    </row>
    <row r="218" customFormat="false" ht="15" hidden="false" customHeight="true" outlineLevel="0" collapsed="false">
      <c r="A218" s="1" t="str">
        <f aca="false">Backlog!A218</f>
        <v/>
      </c>
      <c r="B218" s="1" t="str">
        <f aca="false">IFERROR(IF(ISBLANK(INDEX(Backlog[Requirement Name],MATCH($A218,Backlog[Requirement ID],0))),"",INDEX(Backlog[Requirement Name],MATCH($A218,Backlog[Requirement ID],0))),"")</f>
        <v/>
      </c>
      <c r="C218" s="1" t="str">
        <f aca="false">IFERROR(IF(ISBLANK(INDEX(Backlog[Stream],MATCH($A218,Backlog[Requirement ID],0))),"",INDEX(Backlog[Stream],MATCH($A218,Backlog[Requirement ID],0))),"")</f>
        <v/>
      </c>
      <c r="D218" s="1" t="str">
        <f aca="false">IFERROR(IF(ISBLANK(INDEX(Backlog[Priority],MATCH($A218,Backlog[Requirement ID],0))),"",INDEX(Backlog[Priority],MATCH($A218,Backlog[Requirement ID],0))),"")</f>
        <v/>
      </c>
      <c r="E218" s="1" t="str">
        <f aca="false">IFERROR(IF(ISBLANK(INDEX(Backlog[Status],MATCH($A218,Backlog[Requirement ID],0))),"",INDEX(Backlog[Status],MATCH($A218,Backlog[Requirement ID],0))),"")</f>
        <v/>
      </c>
      <c r="F218" s="23"/>
      <c r="G218" s="1" t="str">
        <f aca="false">IFERROR(IF(ISBLANK(INDEX(Backlog[HLE],MATCH($A218,Backlog[Requirement ID],0))),"",INDEX(Backlog[HLE],MATCH($A218,Backlog[Requirement ID],0))),"")</f>
        <v/>
      </c>
      <c r="H218" s="1" t="n">
        <f aca="false">IFERROR(VALUE(SUBSTITUTE($F218,"Sprint ","")),9999)</f>
        <v>9999</v>
      </c>
    </row>
    <row r="219" customFormat="false" ht="15" hidden="false" customHeight="true" outlineLevel="0" collapsed="false">
      <c r="A219" s="1" t="str">
        <f aca="false">Backlog!A219</f>
        <v/>
      </c>
      <c r="B219" s="1" t="str">
        <f aca="false">IFERROR(IF(ISBLANK(INDEX(Backlog[Requirement Name],MATCH($A219,Backlog[Requirement ID],0))),"",INDEX(Backlog[Requirement Name],MATCH($A219,Backlog[Requirement ID],0))),"")</f>
        <v/>
      </c>
      <c r="C219" s="1" t="str">
        <f aca="false">IFERROR(IF(ISBLANK(INDEX(Backlog[Stream],MATCH($A219,Backlog[Requirement ID],0))),"",INDEX(Backlog[Stream],MATCH($A219,Backlog[Requirement ID],0))),"")</f>
        <v/>
      </c>
      <c r="D219" s="1" t="str">
        <f aca="false">IFERROR(IF(ISBLANK(INDEX(Backlog[Priority],MATCH($A219,Backlog[Requirement ID],0))),"",INDEX(Backlog[Priority],MATCH($A219,Backlog[Requirement ID],0))),"")</f>
        <v/>
      </c>
      <c r="E219" s="1" t="str">
        <f aca="false">IFERROR(IF(ISBLANK(INDEX(Backlog[Status],MATCH($A219,Backlog[Requirement ID],0))),"",INDEX(Backlog[Status],MATCH($A219,Backlog[Requirement ID],0))),"")</f>
        <v/>
      </c>
      <c r="F219" s="23"/>
      <c r="G219" s="1" t="str">
        <f aca="false">IFERROR(IF(ISBLANK(INDEX(Backlog[HLE],MATCH($A219,Backlog[Requirement ID],0))),"",INDEX(Backlog[HLE],MATCH($A219,Backlog[Requirement ID],0))),"")</f>
        <v/>
      </c>
      <c r="H219" s="1" t="n">
        <f aca="false">IFERROR(VALUE(SUBSTITUTE($F219,"Sprint ","")),9999)</f>
        <v>9999</v>
      </c>
    </row>
    <row r="220" customFormat="false" ht="15" hidden="false" customHeight="true" outlineLevel="0" collapsed="false">
      <c r="A220" s="1" t="str">
        <f aca="false">Backlog!A220</f>
        <v/>
      </c>
      <c r="B220" s="1" t="str">
        <f aca="false">IFERROR(IF(ISBLANK(INDEX(Backlog[Requirement Name],MATCH($A220,Backlog[Requirement ID],0))),"",INDEX(Backlog[Requirement Name],MATCH($A220,Backlog[Requirement ID],0))),"")</f>
        <v/>
      </c>
      <c r="C220" s="1" t="str">
        <f aca="false">IFERROR(IF(ISBLANK(INDEX(Backlog[Stream],MATCH($A220,Backlog[Requirement ID],0))),"",INDEX(Backlog[Stream],MATCH($A220,Backlog[Requirement ID],0))),"")</f>
        <v/>
      </c>
      <c r="D220" s="1" t="str">
        <f aca="false">IFERROR(IF(ISBLANK(INDEX(Backlog[Priority],MATCH($A220,Backlog[Requirement ID],0))),"",INDEX(Backlog[Priority],MATCH($A220,Backlog[Requirement ID],0))),"")</f>
        <v/>
      </c>
      <c r="E220" s="1" t="str">
        <f aca="false">IFERROR(IF(ISBLANK(INDEX(Backlog[Status],MATCH($A220,Backlog[Requirement ID],0))),"",INDEX(Backlog[Status],MATCH($A220,Backlog[Requirement ID],0))),"")</f>
        <v/>
      </c>
      <c r="F220" s="23"/>
      <c r="G220" s="1" t="str">
        <f aca="false">IFERROR(IF(ISBLANK(INDEX(Backlog[HLE],MATCH($A220,Backlog[Requirement ID],0))),"",INDEX(Backlog[HLE],MATCH($A220,Backlog[Requirement ID],0))),"")</f>
        <v/>
      </c>
      <c r="H220" s="1" t="n">
        <f aca="false">IFERROR(VALUE(SUBSTITUTE($F220,"Sprint ","")),9999)</f>
        <v>9999</v>
      </c>
    </row>
    <row r="221" customFormat="false" ht="15" hidden="false" customHeight="true" outlineLevel="0" collapsed="false">
      <c r="A221" s="1" t="str">
        <f aca="false">Backlog!A221</f>
        <v/>
      </c>
      <c r="B221" s="1" t="str">
        <f aca="false">IFERROR(IF(ISBLANK(INDEX(Backlog[Requirement Name],MATCH($A221,Backlog[Requirement ID],0))),"",INDEX(Backlog[Requirement Name],MATCH($A221,Backlog[Requirement ID],0))),"")</f>
        <v/>
      </c>
      <c r="C221" s="1" t="str">
        <f aca="false">IFERROR(IF(ISBLANK(INDEX(Backlog[Stream],MATCH($A221,Backlog[Requirement ID],0))),"",INDEX(Backlog[Stream],MATCH($A221,Backlog[Requirement ID],0))),"")</f>
        <v/>
      </c>
      <c r="D221" s="1" t="str">
        <f aca="false">IFERROR(IF(ISBLANK(INDEX(Backlog[Priority],MATCH($A221,Backlog[Requirement ID],0))),"",INDEX(Backlog[Priority],MATCH($A221,Backlog[Requirement ID],0))),"")</f>
        <v/>
      </c>
      <c r="E221" s="1" t="str">
        <f aca="false">IFERROR(IF(ISBLANK(INDEX(Backlog[Status],MATCH($A221,Backlog[Requirement ID],0))),"",INDEX(Backlog[Status],MATCH($A221,Backlog[Requirement ID],0))),"")</f>
        <v/>
      </c>
      <c r="F221" s="23"/>
      <c r="G221" s="1" t="str">
        <f aca="false">IFERROR(IF(ISBLANK(INDEX(Backlog[HLE],MATCH($A221,Backlog[Requirement ID],0))),"",INDEX(Backlog[HLE],MATCH($A221,Backlog[Requirement ID],0))),"")</f>
        <v/>
      </c>
      <c r="H221" s="1" t="n">
        <f aca="false">IFERROR(VALUE(SUBSTITUTE($F221,"Sprint ","")),9999)</f>
        <v>9999</v>
      </c>
    </row>
    <row r="222" customFormat="false" ht="15" hidden="false" customHeight="true" outlineLevel="0" collapsed="false">
      <c r="A222" s="1" t="str">
        <f aca="false">Backlog!A222</f>
        <v/>
      </c>
      <c r="B222" s="1" t="str">
        <f aca="false">IFERROR(IF(ISBLANK(INDEX(Backlog[Requirement Name],MATCH($A222,Backlog[Requirement ID],0))),"",INDEX(Backlog[Requirement Name],MATCH($A222,Backlog[Requirement ID],0))),"")</f>
        <v/>
      </c>
      <c r="C222" s="1" t="str">
        <f aca="false">IFERROR(IF(ISBLANK(INDEX(Backlog[Stream],MATCH($A222,Backlog[Requirement ID],0))),"",INDEX(Backlog[Stream],MATCH($A222,Backlog[Requirement ID],0))),"")</f>
        <v/>
      </c>
      <c r="D222" s="1" t="str">
        <f aca="false">IFERROR(IF(ISBLANK(INDEX(Backlog[Priority],MATCH($A222,Backlog[Requirement ID],0))),"",INDEX(Backlog[Priority],MATCH($A222,Backlog[Requirement ID],0))),"")</f>
        <v/>
      </c>
      <c r="E222" s="1" t="str">
        <f aca="false">IFERROR(IF(ISBLANK(INDEX(Backlog[Status],MATCH($A222,Backlog[Requirement ID],0))),"",INDEX(Backlog[Status],MATCH($A222,Backlog[Requirement ID],0))),"")</f>
        <v/>
      </c>
      <c r="F222" s="23"/>
      <c r="G222" s="1" t="str">
        <f aca="false">IFERROR(IF(ISBLANK(INDEX(Backlog[HLE],MATCH($A222,Backlog[Requirement ID],0))),"",INDEX(Backlog[HLE],MATCH($A222,Backlog[Requirement ID],0))),"")</f>
        <v/>
      </c>
      <c r="H222" s="1" t="n">
        <f aca="false">IFERROR(VALUE(SUBSTITUTE($F222,"Sprint ","")),9999)</f>
        <v>9999</v>
      </c>
    </row>
    <row r="223" customFormat="false" ht="15" hidden="false" customHeight="true" outlineLevel="0" collapsed="false">
      <c r="A223" s="1" t="str">
        <f aca="false">Backlog!A223</f>
        <v/>
      </c>
      <c r="B223" s="1" t="str">
        <f aca="false">IFERROR(IF(ISBLANK(INDEX(Backlog[Requirement Name],MATCH($A223,Backlog[Requirement ID],0))),"",INDEX(Backlog[Requirement Name],MATCH($A223,Backlog[Requirement ID],0))),"")</f>
        <v/>
      </c>
      <c r="C223" s="1" t="str">
        <f aca="false">IFERROR(IF(ISBLANK(INDEX(Backlog[Stream],MATCH($A223,Backlog[Requirement ID],0))),"",INDEX(Backlog[Stream],MATCH($A223,Backlog[Requirement ID],0))),"")</f>
        <v/>
      </c>
      <c r="D223" s="1" t="str">
        <f aca="false">IFERROR(IF(ISBLANK(INDEX(Backlog[Priority],MATCH($A223,Backlog[Requirement ID],0))),"",INDEX(Backlog[Priority],MATCH($A223,Backlog[Requirement ID],0))),"")</f>
        <v/>
      </c>
      <c r="E223" s="1" t="str">
        <f aca="false">IFERROR(IF(ISBLANK(INDEX(Backlog[Status],MATCH($A223,Backlog[Requirement ID],0))),"",INDEX(Backlog[Status],MATCH($A223,Backlog[Requirement ID],0))),"")</f>
        <v/>
      </c>
      <c r="F223" s="23"/>
      <c r="G223" s="1" t="str">
        <f aca="false">IFERROR(IF(ISBLANK(INDEX(Backlog[HLE],MATCH($A223,Backlog[Requirement ID],0))),"",INDEX(Backlog[HLE],MATCH($A223,Backlog[Requirement ID],0))),"")</f>
        <v/>
      </c>
      <c r="H223" s="1" t="n">
        <f aca="false">IFERROR(VALUE(SUBSTITUTE($F223,"Sprint ","")),9999)</f>
        <v>9999</v>
      </c>
    </row>
    <row r="224" customFormat="false" ht="15" hidden="false" customHeight="true" outlineLevel="0" collapsed="false">
      <c r="A224" s="1" t="str">
        <f aca="false">Backlog!A224</f>
        <v/>
      </c>
      <c r="B224" s="1" t="str">
        <f aca="false">IFERROR(IF(ISBLANK(INDEX(Backlog[Requirement Name],MATCH($A224,Backlog[Requirement ID],0))),"",INDEX(Backlog[Requirement Name],MATCH($A224,Backlog[Requirement ID],0))),"")</f>
        <v/>
      </c>
      <c r="C224" s="1" t="str">
        <f aca="false">IFERROR(IF(ISBLANK(INDEX(Backlog[Stream],MATCH($A224,Backlog[Requirement ID],0))),"",INDEX(Backlog[Stream],MATCH($A224,Backlog[Requirement ID],0))),"")</f>
        <v/>
      </c>
      <c r="D224" s="1" t="str">
        <f aca="false">IFERROR(IF(ISBLANK(INDEX(Backlog[Priority],MATCH($A224,Backlog[Requirement ID],0))),"",INDEX(Backlog[Priority],MATCH($A224,Backlog[Requirement ID],0))),"")</f>
        <v/>
      </c>
      <c r="E224" s="1" t="str">
        <f aca="false">IFERROR(IF(ISBLANK(INDEX(Backlog[Status],MATCH($A224,Backlog[Requirement ID],0))),"",INDEX(Backlog[Status],MATCH($A224,Backlog[Requirement ID],0))),"")</f>
        <v/>
      </c>
      <c r="F224" s="23"/>
      <c r="G224" s="1" t="str">
        <f aca="false">IFERROR(IF(ISBLANK(INDEX(Backlog[HLE],MATCH($A224,Backlog[Requirement ID],0))),"",INDEX(Backlog[HLE],MATCH($A224,Backlog[Requirement ID],0))),"")</f>
        <v/>
      </c>
      <c r="H224" s="1" t="n">
        <f aca="false">IFERROR(VALUE(SUBSTITUTE($F224,"Sprint ","")),9999)</f>
        <v>9999</v>
      </c>
    </row>
    <row r="225" customFormat="false" ht="15" hidden="false" customHeight="true" outlineLevel="0" collapsed="false">
      <c r="A225" s="1" t="str">
        <f aca="false">Backlog!A225</f>
        <v/>
      </c>
      <c r="B225" s="1" t="str">
        <f aca="false">IFERROR(IF(ISBLANK(INDEX(Backlog[Requirement Name],MATCH($A225,Backlog[Requirement ID],0))),"",INDEX(Backlog[Requirement Name],MATCH($A225,Backlog[Requirement ID],0))),"")</f>
        <v/>
      </c>
      <c r="C225" s="1" t="str">
        <f aca="false">IFERROR(IF(ISBLANK(INDEX(Backlog[Stream],MATCH($A225,Backlog[Requirement ID],0))),"",INDEX(Backlog[Stream],MATCH($A225,Backlog[Requirement ID],0))),"")</f>
        <v/>
      </c>
      <c r="D225" s="1" t="str">
        <f aca="false">IFERROR(IF(ISBLANK(INDEX(Backlog[Priority],MATCH($A225,Backlog[Requirement ID],0))),"",INDEX(Backlog[Priority],MATCH($A225,Backlog[Requirement ID],0))),"")</f>
        <v/>
      </c>
      <c r="E225" s="1" t="str">
        <f aca="false">IFERROR(IF(ISBLANK(INDEX(Backlog[Status],MATCH($A225,Backlog[Requirement ID],0))),"",INDEX(Backlog[Status],MATCH($A225,Backlog[Requirement ID],0))),"")</f>
        <v/>
      </c>
      <c r="F225" s="23"/>
      <c r="G225" s="1" t="str">
        <f aca="false">IFERROR(IF(ISBLANK(INDEX(Backlog[HLE],MATCH($A225,Backlog[Requirement ID],0))),"",INDEX(Backlog[HLE],MATCH($A225,Backlog[Requirement ID],0))),"")</f>
        <v/>
      </c>
      <c r="H225" s="1" t="n">
        <f aca="false">IFERROR(VALUE(SUBSTITUTE($F225,"Sprint ","")),9999)</f>
        <v>9999</v>
      </c>
    </row>
    <row r="226" customFormat="false" ht="23.25" hidden="false" customHeight="true" outlineLevel="0" collapsed="false">
      <c r="A226" s="1" t="str">
        <f aca="false">Backlog!A226</f>
        <v/>
      </c>
      <c r="B226" s="1" t="str">
        <f aca="false">IFERROR(IF(ISBLANK(INDEX(Backlog[Requirement Name],MATCH($A226,Backlog[Requirement ID],0))),"",INDEX(Backlog[Requirement Name],MATCH($A226,Backlog[Requirement ID],0))),"")</f>
        <v/>
      </c>
      <c r="C226" s="1" t="str">
        <f aca="false">IFERROR(IF(ISBLANK(INDEX(Backlog[Stream],MATCH($A226,Backlog[Requirement ID],0))),"",INDEX(Backlog[Stream],MATCH($A226,Backlog[Requirement ID],0))),"")</f>
        <v/>
      </c>
      <c r="D226" s="1" t="str">
        <f aca="false">IFERROR(IF(ISBLANK(INDEX(Backlog[Priority],MATCH($A226,Backlog[Requirement ID],0))),"",INDEX(Backlog[Priority],MATCH($A226,Backlog[Requirement ID],0))),"")</f>
        <v/>
      </c>
      <c r="E226" s="1" t="str">
        <f aca="false">IFERROR(IF(ISBLANK(INDEX(Backlog[Status],MATCH($A226,Backlog[Requirement ID],0))),"",INDEX(Backlog[Status],MATCH($A226,Backlog[Requirement ID],0))),"")</f>
        <v/>
      </c>
      <c r="F226" s="23"/>
      <c r="G226" s="1" t="str">
        <f aca="false">IFERROR(IF(ISBLANK(INDEX(Backlog[HLE],MATCH($A226,Backlog[Requirement ID],0))),"",INDEX(Backlog[HLE],MATCH($A226,Backlog[Requirement ID],0))),"")</f>
        <v/>
      </c>
      <c r="H226" s="1" t="n">
        <f aca="false">IFERROR(VALUE(SUBSTITUTE($F226,"Sprint ","")),9999)</f>
        <v>9999</v>
      </c>
    </row>
    <row r="227" customFormat="false" ht="15" hidden="false" customHeight="true" outlineLevel="0" collapsed="false">
      <c r="A227" s="1" t="str">
        <f aca="false">Backlog!A227</f>
        <v/>
      </c>
      <c r="B227" s="1" t="str">
        <f aca="false">IFERROR(IF(ISBLANK(INDEX(Backlog[Requirement Name],MATCH($A227,Backlog[Requirement ID],0))),"",INDEX(Backlog[Requirement Name],MATCH($A227,Backlog[Requirement ID],0))),"")</f>
        <v/>
      </c>
      <c r="C227" s="1" t="str">
        <f aca="false">IFERROR(IF(ISBLANK(INDEX(Backlog[Stream],MATCH($A227,Backlog[Requirement ID],0))),"",INDEX(Backlog[Stream],MATCH($A227,Backlog[Requirement ID],0))),"")</f>
        <v/>
      </c>
      <c r="D227" s="1" t="str">
        <f aca="false">IFERROR(IF(ISBLANK(INDEX(Backlog[Priority],MATCH($A227,Backlog[Requirement ID],0))),"",INDEX(Backlog[Priority],MATCH($A227,Backlog[Requirement ID],0))),"")</f>
        <v/>
      </c>
      <c r="E227" s="1" t="str">
        <f aca="false">IFERROR(IF(ISBLANK(INDEX(Backlog[Status],MATCH($A227,Backlog[Requirement ID],0))),"",INDEX(Backlog[Status],MATCH($A227,Backlog[Requirement ID],0))),"")</f>
        <v/>
      </c>
      <c r="F227" s="23"/>
      <c r="G227" s="1" t="str">
        <f aca="false">IFERROR(IF(ISBLANK(INDEX(Backlog[HLE],MATCH($A227,Backlog[Requirement ID],0))),"",INDEX(Backlog[HLE],MATCH($A227,Backlog[Requirement ID],0))),"")</f>
        <v/>
      </c>
      <c r="H227" s="1" t="n">
        <f aca="false">IFERROR(VALUE(SUBSTITUTE($F227,"Sprint ","")),9999)</f>
        <v>9999</v>
      </c>
    </row>
    <row r="228" customFormat="false" ht="15" hidden="false" customHeight="true" outlineLevel="0" collapsed="false">
      <c r="A228" s="1" t="str">
        <f aca="false">Backlog!A228</f>
        <v/>
      </c>
      <c r="B228" s="1" t="str">
        <f aca="false">IFERROR(IF(ISBLANK(INDEX(Backlog[Requirement Name],MATCH($A228,Backlog[Requirement ID],0))),"",INDEX(Backlog[Requirement Name],MATCH($A228,Backlog[Requirement ID],0))),"")</f>
        <v/>
      </c>
      <c r="C228" s="1" t="str">
        <f aca="false">IFERROR(IF(ISBLANK(INDEX(Backlog[Stream],MATCH($A228,Backlog[Requirement ID],0))),"",INDEX(Backlog[Stream],MATCH($A228,Backlog[Requirement ID],0))),"")</f>
        <v/>
      </c>
      <c r="D228" s="1" t="str">
        <f aca="false">IFERROR(IF(ISBLANK(INDEX(Backlog[Priority],MATCH($A228,Backlog[Requirement ID],0))),"",INDEX(Backlog[Priority],MATCH($A228,Backlog[Requirement ID],0))),"")</f>
        <v/>
      </c>
      <c r="E228" s="1" t="str">
        <f aca="false">IFERROR(IF(ISBLANK(INDEX(Backlog[Status],MATCH($A228,Backlog[Requirement ID],0))),"",INDEX(Backlog[Status],MATCH($A228,Backlog[Requirement ID],0))),"")</f>
        <v/>
      </c>
      <c r="F228" s="23"/>
      <c r="G228" s="1" t="str">
        <f aca="false">IFERROR(IF(ISBLANK(INDEX(Backlog[HLE],MATCH($A228,Backlog[Requirement ID],0))),"",INDEX(Backlog[HLE],MATCH($A228,Backlog[Requirement ID],0))),"")</f>
        <v/>
      </c>
      <c r="H228" s="1" t="n">
        <f aca="false">IFERROR(VALUE(SUBSTITUTE($F228,"Sprint ","")),9999)</f>
        <v>9999</v>
      </c>
    </row>
    <row r="229" customFormat="false" ht="15" hidden="false" customHeight="true" outlineLevel="0" collapsed="false">
      <c r="A229" s="1" t="str">
        <f aca="false">Backlog!A229</f>
        <v/>
      </c>
      <c r="B229" s="1" t="str">
        <f aca="false">IFERROR(IF(ISBLANK(INDEX(Backlog[Requirement Name],MATCH($A229,Backlog[Requirement ID],0))),"",INDEX(Backlog[Requirement Name],MATCH($A229,Backlog[Requirement ID],0))),"")</f>
        <v/>
      </c>
      <c r="C229" s="1" t="str">
        <f aca="false">IFERROR(IF(ISBLANK(INDEX(Backlog[Stream],MATCH($A229,Backlog[Requirement ID],0))),"",INDEX(Backlog[Stream],MATCH($A229,Backlog[Requirement ID],0))),"")</f>
        <v/>
      </c>
      <c r="D229" s="1" t="str">
        <f aca="false">IFERROR(IF(ISBLANK(INDEX(Backlog[Priority],MATCH($A229,Backlog[Requirement ID],0))),"",INDEX(Backlog[Priority],MATCH($A229,Backlog[Requirement ID],0))),"")</f>
        <v/>
      </c>
      <c r="E229" s="1" t="str">
        <f aca="false">IFERROR(IF(ISBLANK(INDEX(Backlog[Status],MATCH($A229,Backlog[Requirement ID],0))),"",INDEX(Backlog[Status],MATCH($A229,Backlog[Requirement ID],0))),"")</f>
        <v/>
      </c>
      <c r="F229" s="23"/>
      <c r="G229" s="1" t="str">
        <f aca="false">IFERROR(IF(ISBLANK(INDEX(Backlog[HLE],MATCH($A229,Backlog[Requirement ID],0))),"",INDEX(Backlog[HLE],MATCH($A229,Backlog[Requirement ID],0))),"")</f>
        <v/>
      </c>
      <c r="H229" s="1" t="n">
        <f aca="false">IFERROR(VALUE(SUBSTITUTE($F229,"Sprint ","")),9999)</f>
        <v>9999</v>
      </c>
    </row>
    <row r="230" customFormat="false" ht="15" hidden="false" customHeight="true" outlineLevel="0" collapsed="false">
      <c r="A230" s="1" t="str">
        <f aca="false">Backlog!A230</f>
        <v/>
      </c>
      <c r="B230" s="1" t="str">
        <f aca="false">IFERROR(IF(ISBLANK(INDEX(Backlog[Requirement Name],MATCH($A230,Backlog[Requirement ID],0))),"",INDEX(Backlog[Requirement Name],MATCH($A230,Backlog[Requirement ID],0))),"")</f>
        <v/>
      </c>
      <c r="C230" s="1" t="str">
        <f aca="false">IFERROR(IF(ISBLANK(INDEX(Backlog[Stream],MATCH($A230,Backlog[Requirement ID],0))),"",INDEX(Backlog[Stream],MATCH($A230,Backlog[Requirement ID],0))),"")</f>
        <v/>
      </c>
      <c r="D230" s="1" t="str">
        <f aca="false">IFERROR(IF(ISBLANK(INDEX(Backlog[Priority],MATCH($A230,Backlog[Requirement ID],0))),"",INDEX(Backlog[Priority],MATCH($A230,Backlog[Requirement ID],0))),"")</f>
        <v/>
      </c>
      <c r="E230" s="1" t="str">
        <f aca="false">IFERROR(IF(ISBLANK(INDEX(Backlog[Status],MATCH($A230,Backlog[Requirement ID],0))),"",INDEX(Backlog[Status],MATCH($A230,Backlog[Requirement ID],0))),"")</f>
        <v/>
      </c>
      <c r="F230" s="23"/>
      <c r="G230" s="1" t="str">
        <f aca="false">IFERROR(IF(ISBLANK(INDEX(Backlog[HLE],MATCH($A230,Backlog[Requirement ID],0))),"",INDEX(Backlog[HLE],MATCH($A230,Backlog[Requirement ID],0))),"")</f>
        <v/>
      </c>
      <c r="H230" s="1" t="n">
        <f aca="false">IFERROR(VALUE(SUBSTITUTE($F230,"Sprint ","")),9999)</f>
        <v>9999</v>
      </c>
    </row>
    <row r="231" customFormat="false" ht="15" hidden="false" customHeight="true" outlineLevel="0" collapsed="false">
      <c r="A231" s="1" t="str">
        <f aca="false">Backlog!A231</f>
        <v/>
      </c>
      <c r="B231" s="1" t="str">
        <f aca="false">IFERROR(IF(ISBLANK(INDEX(Backlog[Requirement Name],MATCH($A231,Backlog[Requirement ID],0))),"",INDEX(Backlog[Requirement Name],MATCH($A231,Backlog[Requirement ID],0))),"")</f>
        <v/>
      </c>
      <c r="C231" s="1" t="str">
        <f aca="false">IFERROR(IF(ISBLANK(INDEX(Backlog[Stream],MATCH($A231,Backlog[Requirement ID],0))),"",INDEX(Backlog[Stream],MATCH($A231,Backlog[Requirement ID],0))),"")</f>
        <v/>
      </c>
      <c r="D231" s="1" t="str">
        <f aca="false">IFERROR(IF(ISBLANK(INDEX(Backlog[Priority],MATCH($A231,Backlog[Requirement ID],0))),"",INDEX(Backlog[Priority],MATCH($A231,Backlog[Requirement ID],0))),"")</f>
        <v/>
      </c>
      <c r="E231" s="1" t="str">
        <f aca="false">IFERROR(IF(ISBLANK(INDEX(Backlog[Status],MATCH($A231,Backlog[Requirement ID],0))),"",INDEX(Backlog[Status],MATCH($A231,Backlog[Requirement ID],0))),"")</f>
        <v/>
      </c>
      <c r="F231" s="23"/>
      <c r="G231" s="1" t="str">
        <f aca="false">IFERROR(IF(ISBLANK(INDEX(Backlog[HLE],MATCH($A231,Backlog[Requirement ID],0))),"",INDEX(Backlog[HLE],MATCH($A231,Backlog[Requirement ID],0))),"")</f>
        <v/>
      </c>
      <c r="H231" s="1" t="n">
        <f aca="false">IFERROR(VALUE(SUBSTITUTE($F231,"Sprint ","")),9999)</f>
        <v>9999</v>
      </c>
    </row>
    <row r="232" customFormat="false" ht="15" hidden="false" customHeight="true" outlineLevel="0" collapsed="false">
      <c r="A232" s="1" t="str">
        <f aca="false">Backlog!A232</f>
        <v/>
      </c>
      <c r="B232" s="1" t="str">
        <f aca="false">IFERROR(IF(ISBLANK(INDEX(Backlog[Requirement Name],MATCH($A232,Backlog[Requirement ID],0))),"",INDEX(Backlog[Requirement Name],MATCH($A232,Backlog[Requirement ID],0))),"")</f>
        <v/>
      </c>
      <c r="C232" s="1" t="str">
        <f aca="false">IFERROR(IF(ISBLANK(INDEX(Backlog[Stream],MATCH($A232,Backlog[Requirement ID],0))),"",INDEX(Backlog[Stream],MATCH($A232,Backlog[Requirement ID],0))),"")</f>
        <v/>
      </c>
      <c r="D232" s="1" t="str">
        <f aca="false">IFERROR(IF(ISBLANK(INDEX(Backlog[Priority],MATCH($A232,Backlog[Requirement ID],0))),"",INDEX(Backlog[Priority],MATCH($A232,Backlog[Requirement ID],0))),"")</f>
        <v/>
      </c>
      <c r="E232" s="1" t="str">
        <f aca="false">IFERROR(IF(ISBLANK(INDEX(Backlog[Status],MATCH($A232,Backlog[Requirement ID],0))),"",INDEX(Backlog[Status],MATCH($A232,Backlog[Requirement ID],0))),"")</f>
        <v/>
      </c>
      <c r="F232" s="23"/>
      <c r="G232" s="1" t="str">
        <f aca="false">IFERROR(IF(ISBLANK(INDEX(Backlog[HLE],MATCH($A232,Backlog[Requirement ID],0))),"",INDEX(Backlog[HLE],MATCH($A232,Backlog[Requirement ID],0))),"")</f>
        <v/>
      </c>
      <c r="H232" s="1" t="n">
        <f aca="false">IFERROR(VALUE(SUBSTITUTE($F232,"Sprint ","")),9999)</f>
        <v>9999</v>
      </c>
    </row>
    <row r="233" customFormat="false" ht="15" hidden="false" customHeight="true" outlineLevel="0" collapsed="false">
      <c r="A233" s="1" t="str">
        <f aca="false">Backlog!A233</f>
        <v/>
      </c>
      <c r="B233" s="1" t="str">
        <f aca="false">IFERROR(IF(ISBLANK(INDEX(Backlog[Requirement Name],MATCH($A233,Backlog[Requirement ID],0))),"",INDEX(Backlog[Requirement Name],MATCH($A233,Backlog[Requirement ID],0))),"")</f>
        <v/>
      </c>
      <c r="C233" s="1" t="str">
        <f aca="false">IFERROR(IF(ISBLANK(INDEX(Backlog[Stream],MATCH($A233,Backlog[Requirement ID],0))),"",INDEX(Backlog[Stream],MATCH($A233,Backlog[Requirement ID],0))),"")</f>
        <v/>
      </c>
      <c r="D233" s="1" t="str">
        <f aca="false">IFERROR(IF(ISBLANK(INDEX(Backlog[Priority],MATCH($A233,Backlog[Requirement ID],0))),"",INDEX(Backlog[Priority],MATCH($A233,Backlog[Requirement ID],0))),"")</f>
        <v/>
      </c>
      <c r="E233" s="1" t="str">
        <f aca="false">IFERROR(IF(ISBLANK(INDEX(Backlog[Status],MATCH($A233,Backlog[Requirement ID],0))),"",INDEX(Backlog[Status],MATCH($A233,Backlog[Requirement ID],0))),"")</f>
        <v/>
      </c>
      <c r="F233" s="23"/>
      <c r="G233" s="1" t="str">
        <f aca="false">IFERROR(IF(ISBLANK(INDEX(Backlog[HLE],MATCH($A233,Backlog[Requirement ID],0))),"",INDEX(Backlog[HLE],MATCH($A233,Backlog[Requirement ID],0))),"")</f>
        <v/>
      </c>
      <c r="H233" s="1" t="n">
        <f aca="false">IFERROR(VALUE(SUBSTITUTE($F233,"Sprint ","")),9999)</f>
        <v>9999</v>
      </c>
    </row>
    <row r="234" customFormat="false" ht="15" hidden="false" customHeight="true" outlineLevel="0" collapsed="false">
      <c r="A234" s="1" t="str">
        <f aca="false">Backlog!A234</f>
        <v/>
      </c>
      <c r="B234" s="1" t="str">
        <f aca="false">IFERROR(IF(ISBLANK(INDEX(Backlog[Requirement Name],MATCH($A234,Backlog[Requirement ID],0))),"",INDEX(Backlog[Requirement Name],MATCH($A234,Backlog[Requirement ID],0))),"")</f>
        <v/>
      </c>
      <c r="C234" s="1" t="str">
        <f aca="false">IFERROR(IF(ISBLANK(INDEX(Backlog[Stream],MATCH($A234,Backlog[Requirement ID],0))),"",INDEX(Backlog[Stream],MATCH($A234,Backlog[Requirement ID],0))),"")</f>
        <v/>
      </c>
      <c r="D234" s="1" t="str">
        <f aca="false">IFERROR(IF(ISBLANK(INDEX(Backlog[Priority],MATCH($A234,Backlog[Requirement ID],0))),"",INDEX(Backlog[Priority],MATCH($A234,Backlog[Requirement ID],0))),"")</f>
        <v/>
      </c>
      <c r="E234" s="1" t="str">
        <f aca="false">IFERROR(IF(ISBLANK(INDEX(Backlog[Status],MATCH($A234,Backlog[Requirement ID],0))),"",INDEX(Backlog[Status],MATCH($A234,Backlog[Requirement ID],0))),"")</f>
        <v/>
      </c>
      <c r="F234" s="23"/>
      <c r="G234" s="1" t="str">
        <f aca="false">IFERROR(IF(ISBLANK(INDEX(Backlog[HLE],MATCH($A234,Backlog[Requirement ID],0))),"",INDEX(Backlog[HLE],MATCH($A234,Backlog[Requirement ID],0))),"")</f>
        <v/>
      </c>
      <c r="H234" s="1" t="n">
        <f aca="false">IFERROR(VALUE(SUBSTITUTE($F234,"Sprint ","")),9999)</f>
        <v>9999</v>
      </c>
    </row>
    <row r="235" customFormat="false" ht="15" hidden="false" customHeight="true" outlineLevel="0" collapsed="false">
      <c r="A235" s="1" t="str">
        <f aca="false">Backlog!A235</f>
        <v/>
      </c>
      <c r="B235" s="1" t="str">
        <f aca="false">IFERROR(IF(ISBLANK(INDEX(Backlog[Requirement Name],MATCH($A235,Backlog[Requirement ID],0))),"",INDEX(Backlog[Requirement Name],MATCH($A235,Backlog[Requirement ID],0))),"")</f>
        <v/>
      </c>
      <c r="C235" s="1" t="str">
        <f aca="false">IFERROR(IF(ISBLANK(INDEX(Backlog[Stream],MATCH($A235,Backlog[Requirement ID],0))),"",INDEX(Backlog[Stream],MATCH($A235,Backlog[Requirement ID],0))),"")</f>
        <v/>
      </c>
      <c r="D235" s="1" t="str">
        <f aca="false">IFERROR(IF(ISBLANK(INDEX(Backlog[Priority],MATCH($A235,Backlog[Requirement ID],0))),"",INDEX(Backlog[Priority],MATCH($A235,Backlog[Requirement ID],0))),"")</f>
        <v/>
      </c>
      <c r="E235" s="1" t="str">
        <f aca="false">IFERROR(IF(ISBLANK(INDEX(Backlog[Status],MATCH($A235,Backlog[Requirement ID],0))),"",INDEX(Backlog[Status],MATCH($A235,Backlog[Requirement ID],0))),"")</f>
        <v/>
      </c>
      <c r="F235" s="23"/>
      <c r="G235" s="1" t="str">
        <f aca="false">IFERROR(IF(ISBLANK(INDEX(Backlog[HLE],MATCH($A235,Backlog[Requirement ID],0))),"",INDEX(Backlog[HLE],MATCH($A235,Backlog[Requirement ID],0))),"")</f>
        <v/>
      </c>
      <c r="H235" s="1" t="n">
        <f aca="false">IFERROR(VALUE(SUBSTITUTE($F235,"Sprint ","")),9999)</f>
        <v>9999</v>
      </c>
    </row>
    <row r="236" customFormat="false" ht="15" hidden="false" customHeight="true" outlineLevel="0" collapsed="false">
      <c r="A236" s="1" t="str">
        <f aca="false">Backlog!A236</f>
        <v/>
      </c>
      <c r="B236" s="1" t="str">
        <f aca="false">IFERROR(IF(ISBLANK(INDEX(Backlog[Requirement Name],MATCH($A236,Backlog[Requirement ID],0))),"",INDEX(Backlog[Requirement Name],MATCH($A236,Backlog[Requirement ID],0))),"")</f>
        <v/>
      </c>
      <c r="C236" s="1" t="str">
        <f aca="false">IFERROR(IF(ISBLANK(INDEX(Backlog[Stream],MATCH($A236,Backlog[Requirement ID],0))),"",INDEX(Backlog[Stream],MATCH($A236,Backlog[Requirement ID],0))),"")</f>
        <v/>
      </c>
      <c r="D236" s="1" t="str">
        <f aca="false">IFERROR(IF(ISBLANK(INDEX(Backlog[Priority],MATCH($A236,Backlog[Requirement ID],0))),"",INDEX(Backlog[Priority],MATCH($A236,Backlog[Requirement ID],0))),"")</f>
        <v/>
      </c>
      <c r="E236" s="1" t="str">
        <f aca="false">IFERROR(IF(ISBLANK(INDEX(Backlog[Status],MATCH($A236,Backlog[Requirement ID],0))),"",INDEX(Backlog[Status],MATCH($A236,Backlog[Requirement ID],0))),"")</f>
        <v/>
      </c>
      <c r="F236" s="23"/>
      <c r="G236" s="1" t="str">
        <f aca="false">IFERROR(IF(ISBLANK(INDEX(Backlog[HLE],MATCH($A236,Backlog[Requirement ID],0))),"",INDEX(Backlog[HLE],MATCH($A236,Backlog[Requirement ID],0))),"")</f>
        <v/>
      </c>
      <c r="H236" s="1" t="n">
        <f aca="false">IFERROR(VALUE(SUBSTITUTE($F236,"Sprint ","")),9999)</f>
        <v>9999</v>
      </c>
    </row>
    <row r="237" customFormat="false" ht="15" hidden="false" customHeight="true" outlineLevel="0" collapsed="false">
      <c r="A237" s="1" t="str">
        <f aca="false">Backlog!A237</f>
        <v/>
      </c>
      <c r="B237" s="1" t="str">
        <f aca="false">IFERROR(IF(ISBLANK(INDEX(Backlog[Requirement Name],MATCH($A237,Backlog[Requirement ID],0))),"",INDEX(Backlog[Requirement Name],MATCH($A237,Backlog[Requirement ID],0))),"")</f>
        <v/>
      </c>
      <c r="C237" s="1" t="str">
        <f aca="false">IFERROR(IF(ISBLANK(INDEX(Backlog[Stream],MATCH($A237,Backlog[Requirement ID],0))),"",INDEX(Backlog[Stream],MATCH($A237,Backlog[Requirement ID],0))),"")</f>
        <v/>
      </c>
      <c r="D237" s="1" t="str">
        <f aca="false">IFERROR(IF(ISBLANK(INDEX(Backlog[Priority],MATCH($A237,Backlog[Requirement ID],0))),"",INDEX(Backlog[Priority],MATCH($A237,Backlog[Requirement ID],0))),"")</f>
        <v/>
      </c>
      <c r="E237" s="1" t="str">
        <f aca="false">IFERROR(IF(ISBLANK(INDEX(Backlog[Status],MATCH($A237,Backlog[Requirement ID],0))),"",INDEX(Backlog[Status],MATCH($A237,Backlog[Requirement ID],0))),"")</f>
        <v/>
      </c>
      <c r="F237" s="23"/>
      <c r="G237" s="1" t="str">
        <f aca="false">IFERROR(IF(ISBLANK(INDEX(Backlog[HLE],MATCH($A237,Backlog[Requirement ID],0))),"",INDEX(Backlog[HLE],MATCH($A237,Backlog[Requirement ID],0))),"")</f>
        <v/>
      </c>
      <c r="H237" s="1" t="n">
        <f aca="false">IFERROR(VALUE(SUBSTITUTE($F237,"Sprint ","")),9999)</f>
        <v>9999</v>
      </c>
    </row>
    <row r="238" customFormat="false" ht="15" hidden="false" customHeight="true" outlineLevel="0" collapsed="false">
      <c r="A238" s="1" t="str">
        <f aca="false">Backlog!A238</f>
        <v/>
      </c>
      <c r="B238" s="1" t="str">
        <f aca="false">IFERROR(IF(ISBLANK(INDEX(Backlog[Requirement Name],MATCH($A238,Backlog[Requirement ID],0))),"",INDEX(Backlog[Requirement Name],MATCH($A238,Backlog[Requirement ID],0))),"")</f>
        <v/>
      </c>
      <c r="C238" s="1" t="str">
        <f aca="false">IFERROR(IF(ISBLANK(INDEX(Backlog[Stream],MATCH($A238,Backlog[Requirement ID],0))),"",INDEX(Backlog[Stream],MATCH($A238,Backlog[Requirement ID],0))),"")</f>
        <v/>
      </c>
      <c r="D238" s="1" t="str">
        <f aca="false">IFERROR(IF(ISBLANK(INDEX(Backlog[Priority],MATCH($A238,Backlog[Requirement ID],0))),"",INDEX(Backlog[Priority],MATCH($A238,Backlog[Requirement ID],0))),"")</f>
        <v/>
      </c>
      <c r="E238" s="1" t="str">
        <f aca="false">IFERROR(IF(ISBLANK(INDEX(Backlog[Status],MATCH($A238,Backlog[Requirement ID],0))),"",INDEX(Backlog[Status],MATCH($A238,Backlog[Requirement ID],0))),"")</f>
        <v/>
      </c>
      <c r="F238" s="23"/>
      <c r="G238" s="1" t="str">
        <f aca="false">IFERROR(IF(ISBLANK(INDEX(Backlog[HLE],MATCH($A238,Backlog[Requirement ID],0))),"",INDEX(Backlog[HLE],MATCH($A238,Backlog[Requirement ID],0))),"")</f>
        <v/>
      </c>
      <c r="H238" s="1" t="n">
        <f aca="false">IFERROR(VALUE(SUBSTITUTE($F238,"Sprint ","")),9999)</f>
        <v>9999</v>
      </c>
    </row>
    <row r="239" customFormat="false" ht="15" hidden="false" customHeight="true" outlineLevel="0" collapsed="false">
      <c r="A239" s="1" t="str">
        <f aca="false">Backlog!A239</f>
        <v/>
      </c>
      <c r="B239" s="1" t="str">
        <f aca="false">IFERROR(IF(ISBLANK(INDEX(Backlog[Requirement Name],MATCH($A239,Backlog[Requirement ID],0))),"",INDEX(Backlog[Requirement Name],MATCH($A239,Backlog[Requirement ID],0))),"")</f>
        <v/>
      </c>
      <c r="C239" s="1" t="str">
        <f aca="false">IFERROR(IF(ISBLANK(INDEX(Backlog[Stream],MATCH($A239,Backlog[Requirement ID],0))),"",INDEX(Backlog[Stream],MATCH($A239,Backlog[Requirement ID],0))),"")</f>
        <v/>
      </c>
      <c r="D239" s="1" t="str">
        <f aca="false">IFERROR(IF(ISBLANK(INDEX(Backlog[Priority],MATCH($A239,Backlog[Requirement ID],0))),"",INDEX(Backlog[Priority],MATCH($A239,Backlog[Requirement ID],0))),"")</f>
        <v/>
      </c>
      <c r="E239" s="1" t="str">
        <f aca="false">IFERROR(IF(ISBLANK(INDEX(Backlog[Status],MATCH($A239,Backlog[Requirement ID],0))),"",INDEX(Backlog[Status],MATCH($A239,Backlog[Requirement ID],0))),"")</f>
        <v/>
      </c>
      <c r="F239" s="23"/>
      <c r="G239" s="1" t="str">
        <f aca="false">IFERROR(IF(ISBLANK(INDEX(Backlog[HLE],MATCH($A239,Backlog[Requirement ID],0))),"",INDEX(Backlog[HLE],MATCH($A239,Backlog[Requirement ID],0))),"")</f>
        <v/>
      </c>
      <c r="H239" s="1" t="n">
        <f aca="false">IFERROR(VALUE(SUBSTITUTE($F239,"Sprint ","")),9999)</f>
        <v>9999</v>
      </c>
    </row>
    <row r="240" customFormat="false" ht="15" hidden="false" customHeight="true" outlineLevel="0" collapsed="false">
      <c r="A240" s="1" t="str">
        <f aca="false">Backlog!A240</f>
        <v/>
      </c>
      <c r="B240" s="1" t="str">
        <f aca="false">IFERROR(IF(ISBLANK(INDEX(Backlog[Requirement Name],MATCH($A240,Backlog[Requirement ID],0))),"",INDEX(Backlog[Requirement Name],MATCH($A240,Backlog[Requirement ID],0))),"")</f>
        <v/>
      </c>
      <c r="C240" s="1" t="str">
        <f aca="false">IFERROR(IF(ISBLANK(INDEX(Backlog[Stream],MATCH($A240,Backlog[Requirement ID],0))),"",INDEX(Backlog[Stream],MATCH($A240,Backlog[Requirement ID],0))),"")</f>
        <v/>
      </c>
      <c r="D240" s="1" t="str">
        <f aca="false">IFERROR(IF(ISBLANK(INDEX(Backlog[Priority],MATCH($A240,Backlog[Requirement ID],0))),"",INDEX(Backlog[Priority],MATCH($A240,Backlog[Requirement ID],0))),"")</f>
        <v/>
      </c>
      <c r="E240" s="1" t="str">
        <f aca="false">IFERROR(IF(ISBLANK(INDEX(Backlog[Status],MATCH($A240,Backlog[Requirement ID],0))),"",INDEX(Backlog[Status],MATCH($A240,Backlog[Requirement ID],0))),"")</f>
        <v/>
      </c>
      <c r="F240" s="23"/>
      <c r="G240" s="1" t="str">
        <f aca="false">IFERROR(IF(ISBLANK(INDEX(Backlog[HLE],MATCH($A240,Backlog[Requirement ID],0))),"",INDEX(Backlog[HLE],MATCH($A240,Backlog[Requirement ID],0))),"")</f>
        <v/>
      </c>
      <c r="H240" s="1" t="n">
        <f aca="false">IFERROR(VALUE(SUBSTITUTE($F240,"Sprint ","")),9999)</f>
        <v>9999</v>
      </c>
    </row>
    <row r="241" customFormat="false" ht="15" hidden="false" customHeight="true" outlineLevel="0" collapsed="false">
      <c r="A241" s="1" t="str">
        <f aca="false">Backlog!A241</f>
        <v/>
      </c>
      <c r="B241" s="1" t="str">
        <f aca="false">IFERROR(IF(ISBLANK(INDEX(Backlog[Requirement Name],MATCH($A241,Backlog[Requirement ID],0))),"",INDEX(Backlog[Requirement Name],MATCH($A241,Backlog[Requirement ID],0))),"")</f>
        <v/>
      </c>
      <c r="C241" s="1" t="str">
        <f aca="false">IFERROR(IF(ISBLANK(INDEX(Backlog[Stream],MATCH($A241,Backlog[Requirement ID],0))),"",INDEX(Backlog[Stream],MATCH($A241,Backlog[Requirement ID],0))),"")</f>
        <v/>
      </c>
      <c r="D241" s="1" t="str">
        <f aca="false">IFERROR(IF(ISBLANK(INDEX(Backlog[Priority],MATCH($A241,Backlog[Requirement ID],0))),"",INDEX(Backlog[Priority],MATCH($A241,Backlog[Requirement ID],0))),"")</f>
        <v/>
      </c>
      <c r="E241" s="1" t="str">
        <f aca="false">IFERROR(IF(ISBLANK(INDEX(Backlog[Status],MATCH($A241,Backlog[Requirement ID],0))),"",INDEX(Backlog[Status],MATCH($A241,Backlog[Requirement ID],0))),"")</f>
        <v/>
      </c>
      <c r="F241" s="23"/>
      <c r="G241" s="1" t="str">
        <f aca="false">IFERROR(IF(ISBLANK(INDEX(Backlog[HLE],MATCH($A241,Backlog[Requirement ID],0))),"",INDEX(Backlog[HLE],MATCH($A241,Backlog[Requirement ID],0))),"")</f>
        <v/>
      </c>
      <c r="H241" s="1" t="n">
        <f aca="false">IFERROR(VALUE(SUBSTITUTE($F241,"Sprint ","")),9999)</f>
        <v>9999</v>
      </c>
    </row>
    <row r="242" customFormat="false" ht="15" hidden="false" customHeight="true" outlineLevel="0" collapsed="false">
      <c r="A242" s="1" t="str">
        <f aca="false">Backlog!A242</f>
        <v/>
      </c>
      <c r="B242" s="1" t="str">
        <f aca="false">IFERROR(IF(ISBLANK(INDEX(Backlog[Requirement Name],MATCH($A242,Backlog[Requirement ID],0))),"",INDEX(Backlog[Requirement Name],MATCH($A242,Backlog[Requirement ID],0))),"")</f>
        <v/>
      </c>
      <c r="C242" s="1" t="str">
        <f aca="false">IFERROR(IF(ISBLANK(INDEX(Backlog[Stream],MATCH($A242,Backlog[Requirement ID],0))),"",INDEX(Backlog[Stream],MATCH($A242,Backlog[Requirement ID],0))),"")</f>
        <v/>
      </c>
      <c r="D242" s="1" t="str">
        <f aca="false">IFERROR(IF(ISBLANK(INDEX(Backlog[Priority],MATCH($A242,Backlog[Requirement ID],0))),"",INDEX(Backlog[Priority],MATCH($A242,Backlog[Requirement ID],0))),"")</f>
        <v/>
      </c>
      <c r="E242" s="1" t="str">
        <f aca="false">IFERROR(IF(ISBLANK(INDEX(Backlog[Status],MATCH($A242,Backlog[Requirement ID],0))),"",INDEX(Backlog[Status],MATCH($A242,Backlog[Requirement ID],0))),"")</f>
        <v/>
      </c>
      <c r="F242" s="23"/>
      <c r="G242" s="1" t="str">
        <f aca="false">IFERROR(IF(ISBLANK(INDEX(Backlog[HLE],MATCH($A242,Backlog[Requirement ID],0))),"",INDEX(Backlog[HLE],MATCH($A242,Backlog[Requirement ID],0))),"")</f>
        <v/>
      </c>
      <c r="H242" s="1" t="n">
        <f aca="false">IFERROR(VALUE(SUBSTITUTE($F242,"Sprint ","")),9999)</f>
        <v>9999</v>
      </c>
    </row>
    <row r="243" customFormat="false" ht="15" hidden="false" customHeight="true" outlineLevel="0" collapsed="false">
      <c r="A243" s="1" t="str">
        <f aca="false">Backlog!A243</f>
        <v/>
      </c>
      <c r="B243" s="1" t="str">
        <f aca="false">IFERROR(IF(ISBLANK(INDEX(Backlog[Requirement Name],MATCH($A243,Backlog[Requirement ID],0))),"",INDEX(Backlog[Requirement Name],MATCH($A243,Backlog[Requirement ID],0))),"")</f>
        <v/>
      </c>
      <c r="C243" s="1" t="str">
        <f aca="false">IFERROR(IF(ISBLANK(INDEX(Backlog[Stream],MATCH($A243,Backlog[Requirement ID],0))),"",INDEX(Backlog[Stream],MATCH($A243,Backlog[Requirement ID],0))),"")</f>
        <v/>
      </c>
      <c r="D243" s="1" t="str">
        <f aca="false">IFERROR(IF(ISBLANK(INDEX(Backlog[Priority],MATCH($A243,Backlog[Requirement ID],0))),"",INDEX(Backlog[Priority],MATCH($A243,Backlog[Requirement ID],0))),"")</f>
        <v/>
      </c>
      <c r="E243" s="1" t="str">
        <f aca="false">IFERROR(IF(ISBLANK(INDEX(Backlog[Status],MATCH($A243,Backlog[Requirement ID],0))),"",INDEX(Backlog[Status],MATCH($A243,Backlog[Requirement ID],0))),"")</f>
        <v/>
      </c>
      <c r="F243" s="23"/>
      <c r="G243" s="1" t="str">
        <f aca="false">IFERROR(IF(ISBLANK(INDEX(Backlog[HLE],MATCH($A243,Backlog[Requirement ID],0))),"",INDEX(Backlog[HLE],MATCH($A243,Backlog[Requirement ID],0))),"")</f>
        <v/>
      </c>
      <c r="H243" s="1" t="n">
        <f aca="false">IFERROR(VALUE(SUBSTITUTE($F243,"Sprint ","")),9999)</f>
        <v>9999</v>
      </c>
    </row>
    <row r="244" customFormat="false" ht="15" hidden="false" customHeight="true" outlineLevel="0" collapsed="false">
      <c r="A244" s="1" t="str">
        <f aca="false">Backlog!A244</f>
        <v/>
      </c>
      <c r="B244" s="1" t="str">
        <f aca="false">IFERROR(IF(ISBLANK(INDEX(Backlog[Requirement Name],MATCH($A244,Backlog[Requirement ID],0))),"",INDEX(Backlog[Requirement Name],MATCH($A244,Backlog[Requirement ID],0))),"")</f>
        <v/>
      </c>
      <c r="C244" s="1" t="str">
        <f aca="false">IFERROR(IF(ISBLANK(INDEX(Backlog[Stream],MATCH($A244,Backlog[Requirement ID],0))),"",INDEX(Backlog[Stream],MATCH($A244,Backlog[Requirement ID],0))),"")</f>
        <v/>
      </c>
      <c r="D244" s="1" t="str">
        <f aca="false">IFERROR(IF(ISBLANK(INDEX(Backlog[Priority],MATCH($A244,Backlog[Requirement ID],0))),"",INDEX(Backlog[Priority],MATCH($A244,Backlog[Requirement ID],0))),"")</f>
        <v/>
      </c>
      <c r="E244" s="1" t="str">
        <f aca="false">IFERROR(IF(ISBLANK(INDEX(Backlog[Status],MATCH($A244,Backlog[Requirement ID],0))),"",INDEX(Backlog[Status],MATCH($A244,Backlog[Requirement ID],0))),"")</f>
        <v/>
      </c>
      <c r="F244" s="23"/>
      <c r="G244" s="1" t="str">
        <f aca="false">IFERROR(IF(ISBLANK(INDEX(Backlog[HLE],MATCH($A244,Backlog[Requirement ID],0))),"",INDEX(Backlog[HLE],MATCH($A244,Backlog[Requirement ID],0))),"")</f>
        <v/>
      </c>
      <c r="H244" s="1" t="n">
        <f aca="false">IFERROR(VALUE(SUBSTITUTE($F244,"Sprint ","")),9999)</f>
        <v>9999</v>
      </c>
    </row>
    <row r="245" customFormat="false" ht="15" hidden="false" customHeight="true" outlineLevel="0" collapsed="false">
      <c r="A245" s="1" t="str">
        <f aca="false">Backlog!A245</f>
        <v/>
      </c>
      <c r="B245" s="1" t="str">
        <f aca="false">IFERROR(IF(ISBLANK(INDEX(Backlog[Requirement Name],MATCH($A245,Backlog[Requirement ID],0))),"",INDEX(Backlog[Requirement Name],MATCH($A245,Backlog[Requirement ID],0))),"")</f>
        <v/>
      </c>
      <c r="C245" s="1" t="str">
        <f aca="false">IFERROR(IF(ISBLANK(INDEX(Backlog[Stream],MATCH($A245,Backlog[Requirement ID],0))),"",INDEX(Backlog[Stream],MATCH($A245,Backlog[Requirement ID],0))),"")</f>
        <v/>
      </c>
      <c r="D245" s="1" t="str">
        <f aca="false">IFERROR(IF(ISBLANK(INDEX(Backlog[Priority],MATCH($A245,Backlog[Requirement ID],0))),"",INDEX(Backlog[Priority],MATCH($A245,Backlog[Requirement ID],0))),"")</f>
        <v/>
      </c>
      <c r="E245" s="1" t="str">
        <f aca="false">IFERROR(IF(ISBLANK(INDEX(Backlog[Status],MATCH($A245,Backlog[Requirement ID],0))),"",INDEX(Backlog[Status],MATCH($A245,Backlog[Requirement ID],0))),"")</f>
        <v/>
      </c>
      <c r="F245" s="23"/>
      <c r="G245" s="1" t="str">
        <f aca="false">IFERROR(IF(ISBLANK(INDEX(Backlog[HLE],MATCH($A245,Backlog[Requirement ID],0))),"",INDEX(Backlog[HLE],MATCH($A245,Backlog[Requirement ID],0))),"")</f>
        <v/>
      </c>
      <c r="H245" s="1" t="n">
        <f aca="false">IFERROR(VALUE(SUBSTITUTE($F245,"Sprint ","")),9999)</f>
        <v>9999</v>
      </c>
    </row>
    <row r="246" customFormat="false" ht="15" hidden="false" customHeight="true" outlineLevel="0" collapsed="false">
      <c r="A246" s="1" t="str">
        <f aca="false">Backlog!A246</f>
        <v/>
      </c>
      <c r="B246" s="1" t="str">
        <f aca="false">IFERROR(IF(ISBLANK(INDEX(Backlog[Requirement Name],MATCH($A246,Backlog[Requirement ID],0))),"",INDEX(Backlog[Requirement Name],MATCH($A246,Backlog[Requirement ID],0))),"")</f>
        <v/>
      </c>
      <c r="C246" s="1" t="str">
        <f aca="false">IFERROR(IF(ISBLANK(INDEX(Backlog[Stream],MATCH($A246,Backlog[Requirement ID],0))),"",INDEX(Backlog[Stream],MATCH($A246,Backlog[Requirement ID],0))),"")</f>
        <v/>
      </c>
      <c r="D246" s="1" t="str">
        <f aca="false">IFERROR(IF(ISBLANK(INDEX(Backlog[Priority],MATCH($A246,Backlog[Requirement ID],0))),"",INDEX(Backlog[Priority],MATCH($A246,Backlog[Requirement ID],0))),"")</f>
        <v/>
      </c>
      <c r="E246" s="1" t="str">
        <f aca="false">IFERROR(IF(ISBLANK(INDEX(Backlog[Status],MATCH($A246,Backlog[Requirement ID],0))),"",INDEX(Backlog[Status],MATCH($A246,Backlog[Requirement ID],0))),"")</f>
        <v/>
      </c>
      <c r="F246" s="23"/>
      <c r="G246" s="1" t="str">
        <f aca="false">IFERROR(IF(ISBLANK(INDEX(Backlog[HLE],MATCH($A246,Backlog[Requirement ID],0))),"",INDEX(Backlog[HLE],MATCH($A246,Backlog[Requirement ID],0))),"")</f>
        <v/>
      </c>
      <c r="H246" s="1" t="n">
        <f aca="false">IFERROR(VALUE(SUBSTITUTE($F246,"Sprint ","")),9999)</f>
        <v>9999</v>
      </c>
    </row>
    <row r="247" customFormat="false" ht="15" hidden="false" customHeight="true" outlineLevel="0" collapsed="false">
      <c r="A247" s="1" t="str">
        <f aca="false">Backlog!A247</f>
        <v/>
      </c>
      <c r="B247" s="1" t="str">
        <f aca="false">IFERROR(IF(ISBLANK(INDEX(Backlog[Requirement Name],MATCH($A247,Backlog[Requirement ID],0))),"",INDEX(Backlog[Requirement Name],MATCH($A247,Backlog[Requirement ID],0))),"")</f>
        <v/>
      </c>
      <c r="C247" s="1" t="str">
        <f aca="false">IFERROR(IF(ISBLANK(INDEX(Backlog[Stream],MATCH($A247,Backlog[Requirement ID],0))),"",INDEX(Backlog[Stream],MATCH($A247,Backlog[Requirement ID],0))),"")</f>
        <v/>
      </c>
      <c r="D247" s="1" t="str">
        <f aca="false">IFERROR(IF(ISBLANK(INDEX(Backlog[Priority],MATCH($A247,Backlog[Requirement ID],0))),"",INDEX(Backlog[Priority],MATCH($A247,Backlog[Requirement ID],0))),"")</f>
        <v/>
      </c>
      <c r="E247" s="1" t="str">
        <f aca="false">IFERROR(IF(ISBLANK(INDEX(Backlog[Status],MATCH($A247,Backlog[Requirement ID],0))),"",INDEX(Backlog[Status],MATCH($A247,Backlog[Requirement ID],0))),"")</f>
        <v/>
      </c>
      <c r="F247" s="23"/>
      <c r="G247" s="1" t="str">
        <f aca="false">IFERROR(IF(ISBLANK(INDEX(Backlog[HLE],MATCH($A247,Backlog[Requirement ID],0))),"",INDEX(Backlog[HLE],MATCH($A247,Backlog[Requirement ID],0))),"")</f>
        <v/>
      </c>
      <c r="H247" s="1" t="n">
        <f aca="false">IFERROR(VALUE(SUBSTITUTE($F247,"Sprint ","")),9999)</f>
        <v>9999</v>
      </c>
    </row>
    <row r="248" customFormat="false" ht="15" hidden="false" customHeight="true" outlineLevel="0" collapsed="false">
      <c r="A248" s="1" t="str">
        <f aca="false">Backlog!A248</f>
        <v/>
      </c>
      <c r="B248" s="1" t="str">
        <f aca="false">IFERROR(IF(ISBLANK(INDEX(Backlog[Requirement Name],MATCH($A248,Backlog[Requirement ID],0))),"",INDEX(Backlog[Requirement Name],MATCH($A248,Backlog[Requirement ID],0))),"")</f>
        <v/>
      </c>
      <c r="C248" s="1" t="str">
        <f aca="false">IFERROR(IF(ISBLANK(INDEX(Backlog[Stream],MATCH($A248,Backlog[Requirement ID],0))),"",INDEX(Backlog[Stream],MATCH($A248,Backlog[Requirement ID],0))),"")</f>
        <v/>
      </c>
      <c r="D248" s="1" t="str">
        <f aca="false">IFERROR(IF(ISBLANK(INDEX(Backlog[Priority],MATCH($A248,Backlog[Requirement ID],0))),"",INDEX(Backlog[Priority],MATCH($A248,Backlog[Requirement ID],0))),"")</f>
        <v/>
      </c>
      <c r="E248" s="1" t="str">
        <f aca="false">IFERROR(IF(ISBLANK(INDEX(Backlog[Status],MATCH($A248,Backlog[Requirement ID],0))),"",INDEX(Backlog[Status],MATCH($A248,Backlog[Requirement ID],0))),"")</f>
        <v/>
      </c>
      <c r="F248" s="23"/>
      <c r="G248" s="1" t="str">
        <f aca="false">IFERROR(IF(ISBLANK(INDEX(Backlog[HLE],MATCH($A248,Backlog[Requirement ID],0))),"",INDEX(Backlog[HLE],MATCH($A248,Backlog[Requirement ID],0))),"")</f>
        <v/>
      </c>
      <c r="H248" s="1" t="n">
        <f aca="false">IFERROR(VALUE(SUBSTITUTE($F248,"Sprint ","")),9999)</f>
        <v>9999</v>
      </c>
    </row>
    <row r="249" customFormat="false" ht="15" hidden="false" customHeight="true" outlineLevel="0" collapsed="false">
      <c r="A249" s="1" t="str">
        <f aca="false">Backlog!A249</f>
        <v/>
      </c>
      <c r="B249" s="1" t="str">
        <f aca="false">IFERROR(IF(ISBLANK(INDEX(Backlog[Requirement Name],MATCH($A249,Backlog[Requirement ID],0))),"",INDEX(Backlog[Requirement Name],MATCH($A249,Backlog[Requirement ID],0))),"")</f>
        <v/>
      </c>
      <c r="C249" s="1" t="str">
        <f aca="false">IFERROR(IF(ISBLANK(INDEX(Backlog[Stream],MATCH($A249,Backlog[Requirement ID],0))),"",INDEX(Backlog[Stream],MATCH($A249,Backlog[Requirement ID],0))),"")</f>
        <v/>
      </c>
      <c r="D249" s="1" t="str">
        <f aca="false">IFERROR(IF(ISBLANK(INDEX(Backlog[Priority],MATCH($A249,Backlog[Requirement ID],0))),"",INDEX(Backlog[Priority],MATCH($A249,Backlog[Requirement ID],0))),"")</f>
        <v/>
      </c>
      <c r="E249" s="1" t="str">
        <f aca="false">IFERROR(IF(ISBLANK(INDEX(Backlog[Status],MATCH($A249,Backlog[Requirement ID],0))),"",INDEX(Backlog[Status],MATCH($A249,Backlog[Requirement ID],0))),"")</f>
        <v/>
      </c>
      <c r="F249" s="23"/>
      <c r="G249" s="1" t="str">
        <f aca="false">IFERROR(IF(ISBLANK(INDEX(Backlog[HLE],MATCH($A249,Backlog[Requirement ID],0))),"",INDEX(Backlog[HLE],MATCH($A249,Backlog[Requirement ID],0))),"")</f>
        <v/>
      </c>
      <c r="H249" s="1" t="n">
        <f aca="false">IFERROR(VALUE(SUBSTITUTE($F249,"Sprint ","")),9999)</f>
        <v>9999</v>
      </c>
    </row>
    <row r="250" customFormat="false" ht="15" hidden="false" customHeight="true" outlineLevel="0" collapsed="false">
      <c r="A250" s="1" t="str">
        <f aca="false">Backlog!A250</f>
        <v/>
      </c>
      <c r="B250" s="1" t="str">
        <f aca="false">IFERROR(IF(ISBLANK(INDEX(Backlog[Requirement Name],MATCH($A250,Backlog[Requirement ID],0))),"",INDEX(Backlog[Requirement Name],MATCH($A250,Backlog[Requirement ID],0))),"")</f>
        <v/>
      </c>
      <c r="C250" s="1" t="str">
        <f aca="false">IFERROR(IF(ISBLANK(INDEX(Backlog[Stream],MATCH($A250,Backlog[Requirement ID],0))),"",INDEX(Backlog[Stream],MATCH($A250,Backlog[Requirement ID],0))),"")</f>
        <v/>
      </c>
      <c r="D250" s="1" t="str">
        <f aca="false">IFERROR(IF(ISBLANK(INDEX(Backlog[Priority],MATCH($A250,Backlog[Requirement ID],0))),"",INDEX(Backlog[Priority],MATCH($A250,Backlog[Requirement ID],0))),"")</f>
        <v/>
      </c>
      <c r="E250" s="1" t="str">
        <f aca="false">IFERROR(IF(ISBLANK(INDEX(Backlog[Status],MATCH($A250,Backlog[Requirement ID],0))),"",INDEX(Backlog[Status],MATCH($A250,Backlog[Requirement ID],0))),"")</f>
        <v/>
      </c>
      <c r="F250" s="23"/>
      <c r="G250" s="1" t="str">
        <f aca="false">IFERROR(IF(ISBLANK(INDEX(Backlog[HLE],MATCH($A250,Backlog[Requirement ID],0))),"",INDEX(Backlog[HLE],MATCH($A250,Backlog[Requirement ID],0))),"")</f>
        <v/>
      </c>
      <c r="H250" s="1" t="n">
        <f aca="false">IFERROR(VALUE(SUBSTITUTE($F250,"Sprint ","")),9999)</f>
        <v>9999</v>
      </c>
    </row>
    <row r="251" customFormat="false" ht="15" hidden="false" customHeight="true" outlineLevel="0" collapsed="false">
      <c r="A251" s="1" t="str">
        <f aca="false">Backlog!A251</f>
        <v/>
      </c>
      <c r="B251" s="1" t="str">
        <f aca="false">IFERROR(IF(ISBLANK(INDEX(Backlog[Requirement Name],MATCH($A251,Backlog[Requirement ID],0))),"",INDEX(Backlog[Requirement Name],MATCH($A251,Backlog[Requirement ID],0))),"")</f>
        <v/>
      </c>
      <c r="C251" s="1" t="str">
        <f aca="false">IFERROR(IF(ISBLANK(INDEX(Backlog[Stream],MATCH($A251,Backlog[Requirement ID],0))),"",INDEX(Backlog[Stream],MATCH($A251,Backlog[Requirement ID],0))),"")</f>
        <v/>
      </c>
      <c r="D251" s="1" t="str">
        <f aca="false">IFERROR(IF(ISBLANK(INDEX(Backlog[Priority],MATCH($A251,Backlog[Requirement ID],0))),"",INDEX(Backlog[Priority],MATCH($A251,Backlog[Requirement ID],0))),"")</f>
        <v/>
      </c>
      <c r="E251" s="1" t="str">
        <f aca="false">IFERROR(IF(ISBLANK(INDEX(Backlog[Status],MATCH($A251,Backlog[Requirement ID],0))),"",INDEX(Backlog[Status],MATCH($A251,Backlog[Requirement ID],0))),"")</f>
        <v/>
      </c>
      <c r="F251" s="23"/>
      <c r="G251" s="1" t="str">
        <f aca="false">IFERROR(IF(ISBLANK(INDEX(Backlog[HLE],MATCH($A251,Backlog[Requirement ID],0))),"",INDEX(Backlog[HLE],MATCH($A251,Backlog[Requirement ID],0))),"")</f>
        <v/>
      </c>
      <c r="H251" s="1" t="n">
        <f aca="false">IFERROR(VALUE(SUBSTITUTE($F251,"Sprint ","")),9999)</f>
        <v>9999</v>
      </c>
    </row>
    <row r="252" customFormat="false" ht="15" hidden="false" customHeight="true" outlineLevel="0" collapsed="false">
      <c r="A252" s="1" t="str">
        <f aca="false">Backlog!A252</f>
        <v/>
      </c>
      <c r="B252" s="1" t="str">
        <f aca="false">IFERROR(IF(ISBLANK(INDEX(Backlog[Requirement Name],MATCH($A252,Backlog[Requirement ID],0))),"",INDEX(Backlog[Requirement Name],MATCH($A252,Backlog[Requirement ID],0))),"")</f>
        <v/>
      </c>
      <c r="C252" s="1" t="str">
        <f aca="false">IFERROR(IF(ISBLANK(INDEX(Backlog[Stream],MATCH($A252,Backlog[Requirement ID],0))),"",INDEX(Backlog[Stream],MATCH($A252,Backlog[Requirement ID],0))),"")</f>
        <v/>
      </c>
      <c r="D252" s="1" t="str">
        <f aca="false">IFERROR(IF(ISBLANK(INDEX(Backlog[Priority],MATCH($A252,Backlog[Requirement ID],0))),"",INDEX(Backlog[Priority],MATCH($A252,Backlog[Requirement ID],0))),"")</f>
        <v/>
      </c>
      <c r="E252" s="1" t="str">
        <f aca="false">IFERROR(IF(ISBLANK(INDEX(Backlog[Status],MATCH($A252,Backlog[Requirement ID],0))),"",INDEX(Backlog[Status],MATCH($A252,Backlog[Requirement ID],0))),"")</f>
        <v/>
      </c>
      <c r="F252" s="23"/>
      <c r="G252" s="1" t="str">
        <f aca="false">IFERROR(IF(ISBLANK(INDEX(Backlog[HLE],MATCH($A252,Backlog[Requirement ID],0))),"",INDEX(Backlog[HLE],MATCH($A252,Backlog[Requirement ID],0))),"")</f>
        <v/>
      </c>
      <c r="H252" s="1" t="n">
        <f aca="false">IFERROR(VALUE(SUBSTITUTE($F252,"Sprint ","")),9999)</f>
        <v>9999</v>
      </c>
    </row>
    <row r="253" customFormat="false" ht="15" hidden="false" customHeight="true" outlineLevel="0" collapsed="false">
      <c r="A253" s="1" t="str">
        <f aca="false">Backlog!A253</f>
        <v/>
      </c>
      <c r="B253" s="1" t="str">
        <f aca="false">IFERROR(IF(ISBLANK(INDEX(Backlog[Requirement Name],MATCH($A253,Backlog[Requirement ID],0))),"",INDEX(Backlog[Requirement Name],MATCH($A253,Backlog[Requirement ID],0))),"")</f>
        <v/>
      </c>
      <c r="C253" s="1" t="str">
        <f aca="false">IFERROR(IF(ISBLANK(INDEX(Backlog[Stream],MATCH($A253,Backlog[Requirement ID],0))),"",INDEX(Backlog[Stream],MATCH($A253,Backlog[Requirement ID],0))),"")</f>
        <v/>
      </c>
      <c r="D253" s="1" t="str">
        <f aca="false">IFERROR(IF(ISBLANK(INDEX(Backlog[Priority],MATCH($A253,Backlog[Requirement ID],0))),"",INDEX(Backlog[Priority],MATCH($A253,Backlog[Requirement ID],0))),"")</f>
        <v/>
      </c>
      <c r="E253" s="1" t="str">
        <f aca="false">IFERROR(IF(ISBLANK(INDEX(Backlog[Status],MATCH($A253,Backlog[Requirement ID],0))),"",INDEX(Backlog[Status],MATCH($A253,Backlog[Requirement ID],0))),"")</f>
        <v/>
      </c>
      <c r="F253" s="23"/>
      <c r="G253" s="1" t="str">
        <f aca="false">IFERROR(IF(ISBLANK(INDEX(Backlog[HLE],MATCH($A253,Backlog[Requirement ID],0))),"",INDEX(Backlog[HLE],MATCH($A253,Backlog[Requirement ID],0))),"")</f>
        <v/>
      </c>
      <c r="H253" s="1" t="n">
        <f aca="false">IFERROR(VALUE(SUBSTITUTE($F253,"Sprint ","")),9999)</f>
        <v>9999</v>
      </c>
    </row>
    <row r="254" customFormat="false" ht="15" hidden="false" customHeight="true" outlineLevel="0" collapsed="false">
      <c r="A254" s="1" t="str">
        <f aca="false">Backlog!A254</f>
        <v/>
      </c>
      <c r="B254" s="1" t="str">
        <f aca="false">IFERROR(IF(ISBLANK(INDEX(Backlog[Requirement Name],MATCH($A254,Backlog[Requirement ID],0))),"",INDEX(Backlog[Requirement Name],MATCH($A254,Backlog[Requirement ID],0))),"")</f>
        <v/>
      </c>
      <c r="C254" s="1" t="str">
        <f aca="false">IFERROR(IF(ISBLANK(INDEX(Backlog[Stream],MATCH($A254,Backlog[Requirement ID],0))),"",INDEX(Backlog[Stream],MATCH($A254,Backlog[Requirement ID],0))),"")</f>
        <v/>
      </c>
      <c r="D254" s="1" t="str">
        <f aca="false">IFERROR(IF(ISBLANK(INDEX(Backlog[Priority],MATCH($A254,Backlog[Requirement ID],0))),"",INDEX(Backlog[Priority],MATCH($A254,Backlog[Requirement ID],0))),"")</f>
        <v/>
      </c>
      <c r="E254" s="1" t="str">
        <f aca="false">IFERROR(IF(ISBLANK(INDEX(Backlog[Status],MATCH($A254,Backlog[Requirement ID],0))),"",INDEX(Backlog[Status],MATCH($A254,Backlog[Requirement ID],0))),"")</f>
        <v/>
      </c>
      <c r="F254" s="23"/>
      <c r="G254" s="1" t="str">
        <f aca="false">IFERROR(IF(ISBLANK(INDEX(Backlog[HLE],MATCH($A254,Backlog[Requirement ID],0))),"",INDEX(Backlog[HLE],MATCH($A254,Backlog[Requirement ID],0))),"")</f>
        <v/>
      </c>
      <c r="H254" s="1" t="n">
        <f aca="false">IFERROR(VALUE(SUBSTITUTE($F254,"Sprint ","")),9999)</f>
        <v>9999</v>
      </c>
    </row>
    <row r="255" customFormat="false" ht="15" hidden="false" customHeight="true" outlineLevel="0" collapsed="false">
      <c r="A255" s="1" t="str">
        <f aca="false">Backlog!A255</f>
        <v/>
      </c>
      <c r="B255" s="1" t="str">
        <f aca="false">IFERROR(IF(ISBLANK(INDEX(Backlog[Requirement Name],MATCH($A255,Backlog[Requirement ID],0))),"",INDEX(Backlog[Requirement Name],MATCH($A255,Backlog[Requirement ID],0))),"")</f>
        <v/>
      </c>
      <c r="C255" s="1" t="str">
        <f aca="false">IFERROR(IF(ISBLANK(INDEX(Backlog[Stream],MATCH($A255,Backlog[Requirement ID],0))),"",INDEX(Backlog[Stream],MATCH($A255,Backlog[Requirement ID],0))),"")</f>
        <v/>
      </c>
      <c r="D255" s="1" t="str">
        <f aca="false">IFERROR(IF(ISBLANK(INDEX(Backlog[Priority],MATCH($A255,Backlog[Requirement ID],0))),"",INDEX(Backlog[Priority],MATCH($A255,Backlog[Requirement ID],0))),"")</f>
        <v/>
      </c>
      <c r="E255" s="1" t="str">
        <f aca="false">IFERROR(IF(ISBLANK(INDEX(Backlog[Status],MATCH($A255,Backlog[Requirement ID],0))),"",INDEX(Backlog[Status],MATCH($A255,Backlog[Requirement ID],0))),"")</f>
        <v/>
      </c>
      <c r="F255" s="23"/>
      <c r="G255" s="1" t="str">
        <f aca="false">IFERROR(IF(ISBLANK(INDEX(Backlog[HLE],MATCH($A255,Backlog[Requirement ID],0))),"",INDEX(Backlog[HLE],MATCH($A255,Backlog[Requirement ID],0))),"")</f>
        <v/>
      </c>
      <c r="H255" s="1" t="n">
        <f aca="false">IFERROR(VALUE(SUBSTITUTE($F255,"Sprint ","")),9999)</f>
        <v>9999</v>
      </c>
    </row>
    <row r="256" customFormat="false" ht="15" hidden="false" customHeight="true" outlineLevel="0" collapsed="false">
      <c r="A256" s="1" t="str">
        <f aca="false">Backlog!A256</f>
        <v/>
      </c>
      <c r="B256" s="1" t="str">
        <f aca="false">IFERROR(IF(ISBLANK(INDEX(Backlog[Requirement Name],MATCH($A256,Backlog[Requirement ID],0))),"",INDEX(Backlog[Requirement Name],MATCH($A256,Backlog[Requirement ID],0))),"")</f>
        <v/>
      </c>
      <c r="C256" s="1" t="str">
        <f aca="false">IFERROR(IF(ISBLANK(INDEX(Backlog[Stream],MATCH($A256,Backlog[Requirement ID],0))),"",INDEX(Backlog[Stream],MATCH($A256,Backlog[Requirement ID],0))),"")</f>
        <v/>
      </c>
      <c r="D256" s="1" t="str">
        <f aca="false">IFERROR(IF(ISBLANK(INDEX(Backlog[Priority],MATCH($A256,Backlog[Requirement ID],0))),"",INDEX(Backlog[Priority],MATCH($A256,Backlog[Requirement ID],0))),"")</f>
        <v/>
      </c>
      <c r="E256" s="1" t="str">
        <f aca="false">IFERROR(IF(ISBLANK(INDEX(Backlog[Status],MATCH($A256,Backlog[Requirement ID],0))),"",INDEX(Backlog[Status],MATCH($A256,Backlog[Requirement ID],0))),"")</f>
        <v/>
      </c>
      <c r="F256" s="23"/>
      <c r="G256" s="1" t="str">
        <f aca="false">IFERROR(IF(ISBLANK(INDEX(Backlog[HLE],MATCH($A256,Backlog[Requirement ID],0))),"",INDEX(Backlog[HLE],MATCH($A256,Backlog[Requirement ID],0))),"")</f>
        <v/>
      </c>
      <c r="H256" s="1" t="n">
        <f aca="false">IFERROR(VALUE(SUBSTITUTE($F256,"Sprint ","")),9999)</f>
        <v>9999</v>
      </c>
    </row>
    <row r="257" customFormat="false" ht="15" hidden="false" customHeight="true" outlineLevel="0" collapsed="false">
      <c r="A257" s="1" t="str">
        <f aca="false">Backlog!A257</f>
        <v/>
      </c>
      <c r="B257" s="1" t="str">
        <f aca="false">IFERROR(IF(ISBLANK(INDEX(Backlog[Requirement Name],MATCH($A257,Backlog[Requirement ID],0))),"",INDEX(Backlog[Requirement Name],MATCH($A257,Backlog[Requirement ID],0))),"")</f>
        <v/>
      </c>
      <c r="C257" s="1" t="str">
        <f aca="false">IFERROR(IF(ISBLANK(INDEX(Backlog[Stream],MATCH($A257,Backlog[Requirement ID],0))),"",INDEX(Backlog[Stream],MATCH($A257,Backlog[Requirement ID],0))),"")</f>
        <v/>
      </c>
      <c r="D257" s="1" t="str">
        <f aca="false">IFERROR(IF(ISBLANK(INDEX(Backlog[Priority],MATCH($A257,Backlog[Requirement ID],0))),"",INDEX(Backlog[Priority],MATCH($A257,Backlog[Requirement ID],0))),"")</f>
        <v/>
      </c>
      <c r="E257" s="1" t="str">
        <f aca="false">IFERROR(IF(ISBLANK(INDEX(Backlog[Status],MATCH($A257,Backlog[Requirement ID],0))),"",INDEX(Backlog[Status],MATCH($A257,Backlog[Requirement ID],0))),"")</f>
        <v/>
      </c>
      <c r="F257" s="23"/>
      <c r="G257" s="1" t="str">
        <f aca="false">IFERROR(IF(ISBLANK(INDEX(Backlog[HLE],MATCH($A257,Backlog[Requirement ID],0))),"",INDEX(Backlog[HLE],MATCH($A257,Backlog[Requirement ID],0))),"")</f>
        <v/>
      </c>
      <c r="H257" s="1" t="n">
        <f aca="false">IFERROR(VALUE(SUBSTITUTE($F257,"Sprint ","")),9999)</f>
        <v>9999</v>
      </c>
    </row>
    <row r="258" customFormat="false" ht="15" hidden="false" customHeight="true" outlineLevel="0" collapsed="false">
      <c r="A258" s="1" t="str">
        <f aca="false">Backlog!A258</f>
        <v/>
      </c>
      <c r="B258" s="1" t="str">
        <f aca="false">IFERROR(IF(ISBLANK(INDEX(Backlog[Requirement Name],MATCH($A258,Backlog[Requirement ID],0))),"",INDEX(Backlog[Requirement Name],MATCH($A258,Backlog[Requirement ID],0))),"")</f>
        <v/>
      </c>
      <c r="C258" s="1" t="str">
        <f aca="false">IFERROR(IF(ISBLANK(INDEX(Backlog[Stream],MATCH($A258,Backlog[Requirement ID],0))),"",INDEX(Backlog[Stream],MATCH($A258,Backlog[Requirement ID],0))),"")</f>
        <v/>
      </c>
      <c r="D258" s="1" t="str">
        <f aca="false">IFERROR(IF(ISBLANK(INDEX(Backlog[Priority],MATCH($A258,Backlog[Requirement ID],0))),"",INDEX(Backlog[Priority],MATCH($A258,Backlog[Requirement ID],0))),"")</f>
        <v/>
      </c>
      <c r="E258" s="1" t="str">
        <f aca="false">IFERROR(IF(ISBLANK(INDEX(Backlog[Status],MATCH($A258,Backlog[Requirement ID],0))),"",INDEX(Backlog[Status],MATCH($A258,Backlog[Requirement ID],0))),"")</f>
        <v/>
      </c>
      <c r="F258" s="23"/>
      <c r="G258" s="1" t="str">
        <f aca="false">IFERROR(IF(ISBLANK(INDEX(Backlog[HLE],MATCH($A258,Backlog[Requirement ID],0))),"",INDEX(Backlog[HLE],MATCH($A258,Backlog[Requirement ID],0))),"")</f>
        <v/>
      </c>
      <c r="H258" s="1" t="n">
        <f aca="false">IFERROR(VALUE(SUBSTITUTE($F258,"Sprint ","")),9999)</f>
        <v>9999</v>
      </c>
    </row>
    <row r="259" customFormat="false" ht="15" hidden="false" customHeight="true" outlineLevel="0" collapsed="false">
      <c r="A259" s="1" t="str">
        <f aca="false">Backlog!A259</f>
        <v/>
      </c>
      <c r="B259" s="1" t="str">
        <f aca="false">IFERROR(IF(ISBLANK(INDEX(Backlog[Requirement Name],MATCH($A259,Backlog[Requirement ID],0))),"",INDEX(Backlog[Requirement Name],MATCH($A259,Backlog[Requirement ID],0))),"")</f>
        <v/>
      </c>
      <c r="C259" s="1" t="str">
        <f aca="false">IFERROR(IF(ISBLANK(INDEX(Backlog[Stream],MATCH($A259,Backlog[Requirement ID],0))),"",INDEX(Backlog[Stream],MATCH($A259,Backlog[Requirement ID],0))),"")</f>
        <v/>
      </c>
      <c r="D259" s="1" t="str">
        <f aca="false">IFERROR(IF(ISBLANK(INDEX(Backlog[Priority],MATCH($A259,Backlog[Requirement ID],0))),"",INDEX(Backlog[Priority],MATCH($A259,Backlog[Requirement ID],0))),"")</f>
        <v/>
      </c>
      <c r="E259" s="1" t="str">
        <f aca="false">IFERROR(IF(ISBLANK(INDEX(Backlog[Status],MATCH($A259,Backlog[Requirement ID],0))),"",INDEX(Backlog[Status],MATCH($A259,Backlog[Requirement ID],0))),"")</f>
        <v/>
      </c>
      <c r="F259" s="23"/>
      <c r="G259" s="1" t="str">
        <f aca="false">IFERROR(IF(ISBLANK(INDEX(Backlog[HLE],MATCH($A259,Backlog[Requirement ID],0))),"",INDEX(Backlog[HLE],MATCH($A259,Backlog[Requirement ID],0))),"")</f>
        <v/>
      </c>
      <c r="H259" s="1" t="n">
        <f aca="false">IFERROR(VALUE(SUBSTITUTE($F259,"Sprint ","")),9999)</f>
        <v>9999</v>
      </c>
    </row>
    <row r="260" customFormat="false" ht="15" hidden="false" customHeight="true" outlineLevel="0" collapsed="false">
      <c r="A260" s="1" t="str">
        <f aca="false">Backlog!A260</f>
        <v/>
      </c>
      <c r="B260" s="1" t="str">
        <f aca="false">IFERROR(IF(ISBLANK(INDEX(Backlog[Requirement Name],MATCH($A260,Backlog[Requirement ID],0))),"",INDEX(Backlog[Requirement Name],MATCH($A260,Backlog[Requirement ID],0))),"")</f>
        <v/>
      </c>
      <c r="C260" s="1" t="str">
        <f aca="false">IFERROR(IF(ISBLANK(INDEX(Backlog[Stream],MATCH($A260,Backlog[Requirement ID],0))),"",INDEX(Backlog[Stream],MATCH($A260,Backlog[Requirement ID],0))),"")</f>
        <v/>
      </c>
      <c r="D260" s="1" t="str">
        <f aca="false">IFERROR(IF(ISBLANK(INDEX(Backlog[Priority],MATCH($A260,Backlog[Requirement ID],0))),"",INDEX(Backlog[Priority],MATCH($A260,Backlog[Requirement ID],0))),"")</f>
        <v/>
      </c>
      <c r="E260" s="1" t="str">
        <f aca="false">IFERROR(IF(ISBLANK(INDEX(Backlog[Status],MATCH($A260,Backlog[Requirement ID],0))),"",INDEX(Backlog[Status],MATCH($A260,Backlog[Requirement ID],0))),"")</f>
        <v/>
      </c>
      <c r="F260" s="23"/>
      <c r="G260" s="1" t="str">
        <f aca="false">IFERROR(IF(ISBLANK(INDEX(Backlog[HLE],MATCH($A260,Backlog[Requirement ID],0))),"",INDEX(Backlog[HLE],MATCH($A260,Backlog[Requirement ID],0))),"")</f>
        <v/>
      </c>
      <c r="H260" s="1" t="n">
        <f aca="false">IFERROR(VALUE(SUBSTITUTE($F260,"Sprint ","")),9999)</f>
        <v>9999</v>
      </c>
    </row>
    <row r="261" customFormat="false" ht="15" hidden="false" customHeight="true" outlineLevel="0" collapsed="false">
      <c r="A261" s="1" t="str">
        <f aca="false">Backlog!A261</f>
        <v/>
      </c>
      <c r="B261" s="1" t="str">
        <f aca="false">IFERROR(IF(ISBLANK(INDEX(Backlog[Requirement Name],MATCH($A261,Backlog[Requirement ID],0))),"",INDEX(Backlog[Requirement Name],MATCH($A261,Backlog[Requirement ID],0))),"")</f>
        <v/>
      </c>
      <c r="C261" s="1" t="str">
        <f aca="false">IFERROR(IF(ISBLANK(INDEX(Backlog[Stream],MATCH($A261,Backlog[Requirement ID],0))),"",INDEX(Backlog[Stream],MATCH($A261,Backlog[Requirement ID],0))),"")</f>
        <v/>
      </c>
      <c r="D261" s="1" t="str">
        <f aca="false">IFERROR(IF(ISBLANK(INDEX(Backlog[Priority],MATCH($A261,Backlog[Requirement ID],0))),"",INDEX(Backlog[Priority],MATCH($A261,Backlog[Requirement ID],0))),"")</f>
        <v/>
      </c>
      <c r="E261" s="1" t="str">
        <f aca="false">IFERROR(IF(ISBLANK(INDEX(Backlog[Status],MATCH($A261,Backlog[Requirement ID],0))),"",INDEX(Backlog[Status],MATCH($A261,Backlog[Requirement ID],0))),"")</f>
        <v/>
      </c>
      <c r="F261" s="23"/>
      <c r="G261" s="1" t="str">
        <f aca="false">IFERROR(IF(ISBLANK(INDEX(Backlog[HLE],MATCH($A261,Backlog[Requirement ID],0))),"",INDEX(Backlog[HLE],MATCH($A261,Backlog[Requirement ID],0))),"")</f>
        <v/>
      </c>
      <c r="H261" s="1" t="n">
        <f aca="false">IFERROR(VALUE(SUBSTITUTE($F261,"Sprint ","")),9999)</f>
        <v>9999</v>
      </c>
    </row>
    <row r="262" customFormat="false" ht="15" hidden="false" customHeight="true" outlineLevel="0" collapsed="false">
      <c r="A262" s="1" t="str">
        <f aca="false">Backlog!A262</f>
        <v/>
      </c>
      <c r="B262" s="1" t="str">
        <f aca="false">IFERROR(IF(ISBLANK(INDEX(Backlog[Requirement Name],MATCH($A262,Backlog[Requirement ID],0))),"",INDEX(Backlog[Requirement Name],MATCH($A262,Backlog[Requirement ID],0))),"")</f>
        <v/>
      </c>
      <c r="C262" s="1" t="str">
        <f aca="false">IFERROR(IF(ISBLANK(INDEX(Backlog[Stream],MATCH($A262,Backlog[Requirement ID],0))),"",INDEX(Backlog[Stream],MATCH($A262,Backlog[Requirement ID],0))),"")</f>
        <v/>
      </c>
      <c r="D262" s="1" t="str">
        <f aca="false">IFERROR(IF(ISBLANK(INDEX(Backlog[Priority],MATCH($A262,Backlog[Requirement ID],0))),"",INDEX(Backlog[Priority],MATCH($A262,Backlog[Requirement ID],0))),"")</f>
        <v/>
      </c>
      <c r="E262" s="1" t="str">
        <f aca="false">IFERROR(IF(ISBLANK(INDEX(Backlog[Status],MATCH($A262,Backlog[Requirement ID],0))),"",INDEX(Backlog[Status],MATCH($A262,Backlog[Requirement ID],0))),"")</f>
        <v/>
      </c>
      <c r="F262" s="23"/>
      <c r="G262" s="1" t="str">
        <f aca="false">IFERROR(IF(ISBLANK(INDEX(Backlog[HLE],MATCH($A262,Backlog[Requirement ID],0))),"",INDEX(Backlog[HLE],MATCH($A262,Backlog[Requirement ID],0))),"")</f>
        <v/>
      </c>
      <c r="H262" s="1" t="n">
        <f aca="false">IFERROR(VALUE(SUBSTITUTE($F262,"Sprint ","")),9999)</f>
        <v>9999</v>
      </c>
    </row>
    <row r="263" customFormat="false" ht="15" hidden="false" customHeight="true" outlineLevel="0" collapsed="false">
      <c r="A263" s="1" t="str">
        <f aca="false">Backlog!A263</f>
        <v/>
      </c>
      <c r="B263" s="1" t="str">
        <f aca="false">IFERROR(IF(ISBLANK(INDEX(Backlog[Requirement Name],MATCH($A263,Backlog[Requirement ID],0))),"",INDEX(Backlog[Requirement Name],MATCH($A263,Backlog[Requirement ID],0))),"")</f>
        <v/>
      </c>
      <c r="C263" s="1" t="str">
        <f aca="false">IFERROR(IF(ISBLANK(INDEX(Backlog[Stream],MATCH($A263,Backlog[Requirement ID],0))),"",INDEX(Backlog[Stream],MATCH($A263,Backlog[Requirement ID],0))),"")</f>
        <v/>
      </c>
      <c r="D263" s="1" t="str">
        <f aca="false">IFERROR(IF(ISBLANK(INDEX(Backlog[Priority],MATCH($A263,Backlog[Requirement ID],0))),"",INDEX(Backlog[Priority],MATCH($A263,Backlog[Requirement ID],0))),"")</f>
        <v/>
      </c>
      <c r="E263" s="1" t="str">
        <f aca="false">IFERROR(IF(ISBLANK(INDEX(Backlog[Status],MATCH($A263,Backlog[Requirement ID],0))),"",INDEX(Backlog[Status],MATCH($A263,Backlog[Requirement ID],0))),"")</f>
        <v/>
      </c>
      <c r="F263" s="23"/>
      <c r="G263" s="1" t="str">
        <f aca="false">IFERROR(IF(ISBLANK(INDEX(Backlog[HLE],MATCH($A263,Backlog[Requirement ID],0))),"",INDEX(Backlog[HLE],MATCH($A263,Backlog[Requirement ID],0))),"")</f>
        <v/>
      </c>
      <c r="H263" s="1" t="n">
        <f aca="false">IFERROR(VALUE(SUBSTITUTE($F263,"Sprint ","")),9999)</f>
        <v>9999</v>
      </c>
    </row>
    <row r="264" customFormat="false" ht="15" hidden="false" customHeight="true" outlineLevel="0" collapsed="false">
      <c r="A264" s="1" t="str">
        <f aca="false">Backlog!A264</f>
        <v/>
      </c>
      <c r="B264" s="1" t="str">
        <f aca="false">IFERROR(IF(ISBLANK(INDEX(Backlog[Requirement Name],MATCH($A264,Backlog[Requirement ID],0))),"",INDEX(Backlog[Requirement Name],MATCH($A264,Backlog[Requirement ID],0))),"")</f>
        <v/>
      </c>
      <c r="C264" s="1" t="str">
        <f aca="false">IFERROR(IF(ISBLANK(INDEX(Backlog[Stream],MATCH($A264,Backlog[Requirement ID],0))),"",INDEX(Backlog[Stream],MATCH($A264,Backlog[Requirement ID],0))),"")</f>
        <v/>
      </c>
      <c r="D264" s="1" t="str">
        <f aca="false">IFERROR(IF(ISBLANK(INDEX(Backlog[Priority],MATCH($A264,Backlog[Requirement ID],0))),"",INDEX(Backlog[Priority],MATCH($A264,Backlog[Requirement ID],0))),"")</f>
        <v/>
      </c>
      <c r="E264" s="1" t="str">
        <f aca="false">IFERROR(IF(ISBLANK(INDEX(Backlog[Status],MATCH($A264,Backlog[Requirement ID],0))),"",INDEX(Backlog[Status],MATCH($A264,Backlog[Requirement ID],0))),"")</f>
        <v/>
      </c>
      <c r="F264" s="23"/>
      <c r="G264" s="1" t="str">
        <f aca="false">IFERROR(IF(ISBLANK(INDEX(Backlog[HLE],MATCH($A264,Backlog[Requirement ID],0))),"",INDEX(Backlog[HLE],MATCH($A264,Backlog[Requirement ID],0))),"")</f>
        <v/>
      </c>
      <c r="H264" s="1" t="n">
        <f aca="false">IFERROR(VALUE(SUBSTITUTE($F264,"Sprint ","")),9999)</f>
        <v>9999</v>
      </c>
    </row>
    <row r="265" customFormat="false" ht="15" hidden="false" customHeight="true" outlineLevel="0" collapsed="false">
      <c r="A265" s="1" t="str">
        <f aca="false">Backlog!A265</f>
        <v/>
      </c>
      <c r="B265" s="1" t="str">
        <f aca="false">IFERROR(IF(ISBLANK(INDEX(Backlog[Requirement Name],MATCH($A265,Backlog[Requirement ID],0))),"",INDEX(Backlog[Requirement Name],MATCH($A265,Backlog[Requirement ID],0))),"")</f>
        <v/>
      </c>
      <c r="C265" s="1" t="str">
        <f aca="false">IFERROR(IF(ISBLANK(INDEX(Backlog[Stream],MATCH($A265,Backlog[Requirement ID],0))),"",INDEX(Backlog[Stream],MATCH($A265,Backlog[Requirement ID],0))),"")</f>
        <v/>
      </c>
      <c r="D265" s="1" t="str">
        <f aca="false">IFERROR(IF(ISBLANK(INDEX(Backlog[Priority],MATCH($A265,Backlog[Requirement ID],0))),"",INDEX(Backlog[Priority],MATCH($A265,Backlog[Requirement ID],0))),"")</f>
        <v/>
      </c>
      <c r="E265" s="1" t="str">
        <f aca="false">IFERROR(IF(ISBLANK(INDEX(Backlog[Status],MATCH($A265,Backlog[Requirement ID],0))),"",INDEX(Backlog[Status],MATCH($A265,Backlog[Requirement ID],0))),"")</f>
        <v/>
      </c>
      <c r="F265" s="23"/>
      <c r="G265" s="1" t="str">
        <f aca="false">IFERROR(IF(ISBLANK(INDEX(Backlog[HLE],MATCH($A265,Backlog[Requirement ID],0))),"",INDEX(Backlog[HLE],MATCH($A265,Backlog[Requirement ID],0))),"")</f>
        <v/>
      </c>
      <c r="H265" s="1" t="n">
        <f aca="false">IFERROR(VALUE(SUBSTITUTE($F265,"Sprint ","")),9999)</f>
        <v>9999</v>
      </c>
    </row>
    <row r="266" customFormat="false" ht="15" hidden="false" customHeight="true" outlineLevel="0" collapsed="false">
      <c r="A266" s="1" t="str">
        <f aca="false">Backlog!A266</f>
        <v/>
      </c>
      <c r="B266" s="1" t="str">
        <f aca="false">IFERROR(IF(ISBLANK(INDEX(Backlog[Requirement Name],MATCH($A266,Backlog[Requirement ID],0))),"",INDEX(Backlog[Requirement Name],MATCH($A266,Backlog[Requirement ID],0))),"")</f>
        <v/>
      </c>
      <c r="C266" s="1" t="str">
        <f aca="false">IFERROR(IF(ISBLANK(INDEX(Backlog[Stream],MATCH($A266,Backlog[Requirement ID],0))),"",INDEX(Backlog[Stream],MATCH($A266,Backlog[Requirement ID],0))),"")</f>
        <v/>
      </c>
      <c r="D266" s="1" t="str">
        <f aca="false">IFERROR(IF(ISBLANK(INDEX(Backlog[Priority],MATCH($A266,Backlog[Requirement ID],0))),"",INDEX(Backlog[Priority],MATCH($A266,Backlog[Requirement ID],0))),"")</f>
        <v/>
      </c>
      <c r="E266" s="1" t="str">
        <f aca="false">IFERROR(IF(ISBLANK(INDEX(Backlog[Status],MATCH($A266,Backlog[Requirement ID],0))),"",INDEX(Backlog[Status],MATCH($A266,Backlog[Requirement ID],0))),"")</f>
        <v/>
      </c>
      <c r="F266" s="23"/>
      <c r="G266" s="1" t="str">
        <f aca="false">IFERROR(IF(ISBLANK(INDEX(Backlog[HLE],MATCH($A266,Backlog[Requirement ID],0))),"",INDEX(Backlog[HLE],MATCH($A266,Backlog[Requirement ID],0))),"")</f>
        <v/>
      </c>
      <c r="H266" s="1" t="n">
        <f aca="false">IFERROR(VALUE(SUBSTITUTE($F266,"Sprint ","")),9999)</f>
        <v>9999</v>
      </c>
    </row>
    <row r="267" customFormat="false" ht="15" hidden="false" customHeight="true" outlineLevel="0" collapsed="false">
      <c r="A267" s="1" t="str">
        <f aca="false">Backlog!A267</f>
        <v/>
      </c>
      <c r="B267" s="1" t="str">
        <f aca="false">IFERROR(IF(ISBLANK(INDEX(Backlog[Requirement Name],MATCH($A267,Backlog[Requirement ID],0))),"",INDEX(Backlog[Requirement Name],MATCH($A267,Backlog[Requirement ID],0))),"")</f>
        <v/>
      </c>
      <c r="C267" s="1" t="str">
        <f aca="false">IFERROR(IF(ISBLANK(INDEX(Backlog[Stream],MATCH($A267,Backlog[Requirement ID],0))),"",INDEX(Backlog[Stream],MATCH($A267,Backlog[Requirement ID],0))),"")</f>
        <v/>
      </c>
      <c r="D267" s="1" t="str">
        <f aca="false">IFERROR(IF(ISBLANK(INDEX(Backlog[Priority],MATCH($A267,Backlog[Requirement ID],0))),"",INDEX(Backlog[Priority],MATCH($A267,Backlog[Requirement ID],0))),"")</f>
        <v/>
      </c>
      <c r="E267" s="1" t="str">
        <f aca="false">IFERROR(IF(ISBLANK(INDEX(Backlog[Status],MATCH($A267,Backlog[Requirement ID],0))),"",INDEX(Backlog[Status],MATCH($A267,Backlog[Requirement ID],0))),"")</f>
        <v/>
      </c>
      <c r="F267" s="23"/>
      <c r="G267" s="1" t="str">
        <f aca="false">IFERROR(IF(ISBLANK(INDEX(Backlog[HLE],MATCH($A267,Backlog[Requirement ID],0))),"",INDEX(Backlog[HLE],MATCH($A267,Backlog[Requirement ID],0))),"")</f>
        <v/>
      </c>
      <c r="H267" s="1" t="n">
        <f aca="false">IFERROR(VALUE(SUBSTITUTE($F267,"Sprint ","")),9999)</f>
        <v>9999</v>
      </c>
    </row>
    <row r="268" customFormat="false" ht="15" hidden="false" customHeight="true" outlineLevel="0" collapsed="false">
      <c r="A268" s="1" t="str">
        <f aca="false">Backlog!A268</f>
        <v/>
      </c>
      <c r="B268" s="1" t="str">
        <f aca="false">IFERROR(IF(ISBLANK(INDEX(Backlog[Requirement Name],MATCH($A268,Backlog[Requirement ID],0))),"",INDEX(Backlog[Requirement Name],MATCH($A268,Backlog[Requirement ID],0))),"")</f>
        <v/>
      </c>
      <c r="C268" s="1" t="str">
        <f aca="false">IFERROR(IF(ISBLANK(INDEX(Backlog[Stream],MATCH($A268,Backlog[Requirement ID],0))),"",INDEX(Backlog[Stream],MATCH($A268,Backlog[Requirement ID],0))),"")</f>
        <v/>
      </c>
      <c r="D268" s="1" t="str">
        <f aca="false">IFERROR(IF(ISBLANK(INDEX(Backlog[Priority],MATCH($A268,Backlog[Requirement ID],0))),"",INDEX(Backlog[Priority],MATCH($A268,Backlog[Requirement ID],0))),"")</f>
        <v/>
      </c>
      <c r="E268" s="1" t="str">
        <f aca="false">IFERROR(IF(ISBLANK(INDEX(Backlog[Status],MATCH($A268,Backlog[Requirement ID],0))),"",INDEX(Backlog[Status],MATCH($A268,Backlog[Requirement ID],0))),"")</f>
        <v/>
      </c>
      <c r="F268" s="23"/>
      <c r="G268" s="1" t="str">
        <f aca="false">IFERROR(IF(ISBLANK(INDEX(Backlog[HLE],MATCH($A268,Backlog[Requirement ID],0))),"",INDEX(Backlog[HLE],MATCH($A268,Backlog[Requirement ID],0))),"")</f>
        <v/>
      </c>
      <c r="H268" s="1" t="n">
        <f aca="false">IFERROR(VALUE(SUBSTITUTE($F268,"Sprint ","")),9999)</f>
        <v>9999</v>
      </c>
    </row>
    <row r="269" customFormat="false" ht="15" hidden="false" customHeight="true" outlineLevel="0" collapsed="false">
      <c r="A269" s="1" t="str">
        <f aca="false">Backlog!A269</f>
        <v/>
      </c>
      <c r="B269" s="1" t="str">
        <f aca="false">IFERROR(IF(ISBLANK(INDEX(Backlog[Requirement Name],MATCH($A269,Backlog[Requirement ID],0))),"",INDEX(Backlog[Requirement Name],MATCH($A269,Backlog[Requirement ID],0))),"")</f>
        <v/>
      </c>
      <c r="C269" s="1" t="str">
        <f aca="false">IFERROR(IF(ISBLANK(INDEX(Backlog[Stream],MATCH($A269,Backlog[Requirement ID],0))),"",INDEX(Backlog[Stream],MATCH($A269,Backlog[Requirement ID],0))),"")</f>
        <v/>
      </c>
      <c r="D269" s="1" t="str">
        <f aca="false">IFERROR(IF(ISBLANK(INDEX(Backlog[Priority],MATCH($A269,Backlog[Requirement ID],0))),"",INDEX(Backlog[Priority],MATCH($A269,Backlog[Requirement ID],0))),"")</f>
        <v/>
      </c>
      <c r="E269" s="1" t="str">
        <f aca="false">IFERROR(IF(ISBLANK(INDEX(Backlog[Status],MATCH($A269,Backlog[Requirement ID],0))),"",INDEX(Backlog[Status],MATCH($A269,Backlog[Requirement ID],0))),"")</f>
        <v/>
      </c>
      <c r="F269" s="23"/>
      <c r="G269" s="1" t="str">
        <f aca="false">IFERROR(IF(ISBLANK(INDEX(Backlog[HLE],MATCH($A269,Backlog[Requirement ID],0))),"",INDEX(Backlog[HLE],MATCH($A269,Backlog[Requirement ID],0))),"")</f>
        <v/>
      </c>
      <c r="H269" s="1" t="n">
        <f aca="false">IFERROR(VALUE(SUBSTITUTE($F269,"Sprint ","")),9999)</f>
        <v>9999</v>
      </c>
    </row>
    <row r="270" customFormat="false" ht="15" hidden="false" customHeight="true" outlineLevel="0" collapsed="false">
      <c r="A270" s="1" t="str">
        <f aca="false">Backlog!A270</f>
        <v/>
      </c>
      <c r="B270" s="1" t="str">
        <f aca="false">IFERROR(IF(ISBLANK(INDEX(Backlog[Requirement Name],MATCH($A270,Backlog[Requirement ID],0))),"",INDEX(Backlog[Requirement Name],MATCH($A270,Backlog[Requirement ID],0))),"")</f>
        <v/>
      </c>
      <c r="C270" s="1" t="str">
        <f aca="false">IFERROR(IF(ISBLANK(INDEX(Backlog[Stream],MATCH($A270,Backlog[Requirement ID],0))),"",INDEX(Backlog[Stream],MATCH($A270,Backlog[Requirement ID],0))),"")</f>
        <v/>
      </c>
      <c r="D270" s="1" t="str">
        <f aca="false">IFERROR(IF(ISBLANK(INDEX(Backlog[Priority],MATCH($A270,Backlog[Requirement ID],0))),"",INDEX(Backlog[Priority],MATCH($A270,Backlog[Requirement ID],0))),"")</f>
        <v/>
      </c>
      <c r="E270" s="1" t="str">
        <f aca="false">IFERROR(IF(ISBLANK(INDEX(Backlog[Status],MATCH($A270,Backlog[Requirement ID],0))),"",INDEX(Backlog[Status],MATCH($A270,Backlog[Requirement ID],0))),"")</f>
        <v/>
      </c>
      <c r="F270" s="23"/>
      <c r="G270" s="1" t="str">
        <f aca="false">IFERROR(IF(ISBLANK(INDEX(Backlog[HLE],MATCH($A270,Backlog[Requirement ID],0))),"",INDEX(Backlog[HLE],MATCH($A270,Backlog[Requirement ID],0))),"")</f>
        <v/>
      </c>
      <c r="H270" s="1" t="n">
        <f aca="false">IFERROR(VALUE(SUBSTITUTE($F270,"Sprint ","")),9999)</f>
        <v>9999</v>
      </c>
    </row>
    <row r="271" customFormat="false" ht="15" hidden="false" customHeight="true" outlineLevel="0" collapsed="false">
      <c r="A271" s="1" t="str">
        <f aca="false">Backlog!A271</f>
        <v/>
      </c>
      <c r="B271" s="1" t="str">
        <f aca="false">IFERROR(IF(ISBLANK(INDEX(Backlog[Requirement Name],MATCH($A271,Backlog[Requirement ID],0))),"",INDEX(Backlog[Requirement Name],MATCH($A271,Backlog[Requirement ID],0))),"")</f>
        <v/>
      </c>
      <c r="C271" s="1" t="str">
        <f aca="false">IFERROR(IF(ISBLANK(INDEX(Backlog[Stream],MATCH($A271,Backlog[Requirement ID],0))),"",INDEX(Backlog[Stream],MATCH($A271,Backlog[Requirement ID],0))),"")</f>
        <v/>
      </c>
      <c r="D271" s="1" t="str">
        <f aca="false">IFERROR(IF(ISBLANK(INDEX(Backlog[Priority],MATCH($A271,Backlog[Requirement ID],0))),"",INDEX(Backlog[Priority],MATCH($A271,Backlog[Requirement ID],0))),"")</f>
        <v/>
      </c>
      <c r="E271" s="1" t="str">
        <f aca="false">IFERROR(IF(ISBLANK(INDEX(Backlog[Status],MATCH($A271,Backlog[Requirement ID],0))),"",INDEX(Backlog[Status],MATCH($A271,Backlog[Requirement ID],0))),"")</f>
        <v/>
      </c>
      <c r="F271" s="23"/>
      <c r="G271" s="1" t="str">
        <f aca="false">IFERROR(IF(ISBLANK(INDEX(Backlog[HLE],MATCH($A271,Backlog[Requirement ID],0))),"",INDEX(Backlog[HLE],MATCH($A271,Backlog[Requirement ID],0))),"")</f>
        <v/>
      </c>
      <c r="H271" s="1" t="n">
        <f aca="false">IFERROR(VALUE(SUBSTITUTE($F271,"Sprint ","")),9999)</f>
        <v>9999</v>
      </c>
    </row>
    <row r="272" customFormat="false" ht="15" hidden="false" customHeight="true" outlineLevel="0" collapsed="false">
      <c r="A272" s="1" t="str">
        <f aca="false">Backlog!A272</f>
        <v/>
      </c>
      <c r="B272" s="1" t="str">
        <f aca="false">IFERROR(IF(ISBLANK(INDEX(Backlog[Requirement Name],MATCH($A272,Backlog[Requirement ID],0))),"",INDEX(Backlog[Requirement Name],MATCH($A272,Backlog[Requirement ID],0))),"")</f>
        <v/>
      </c>
      <c r="C272" s="1" t="str">
        <f aca="false">IFERROR(IF(ISBLANK(INDEX(Backlog[Stream],MATCH($A272,Backlog[Requirement ID],0))),"",INDEX(Backlog[Stream],MATCH($A272,Backlog[Requirement ID],0))),"")</f>
        <v/>
      </c>
      <c r="D272" s="1" t="str">
        <f aca="false">IFERROR(IF(ISBLANK(INDEX(Backlog[Priority],MATCH($A272,Backlog[Requirement ID],0))),"",INDEX(Backlog[Priority],MATCH($A272,Backlog[Requirement ID],0))),"")</f>
        <v/>
      </c>
      <c r="E272" s="1" t="str">
        <f aca="false">IFERROR(IF(ISBLANK(INDEX(Backlog[Status],MATCH($A272,Backlog[Requirement ID],0))),"",INDEX(Backlog[Status],MATCH($A272,Backlog[Requirement ID],0))),"")</f>
        <v/>
      </c>
      <c r="F272" s="23"/>
      <c r="G272" s="1" t="str">
        <f aca="false">IFERROR(IF(ISBLANK(INDEX(Backlog[HLE],MATCH($A272,Backlog[Requirement ID],0))),"",INDEX(Backlog[HLE],MATCH($A272,Backlog[Requirement ID],0))),"")</f>
        <v/>
      </c>
      <c r="H272" s="1" t="n">
        <f aca="false">IFERROR(VALUE(SUBSTITUTE($F272,"Sprint ","")),9999)</f>
        <v>9999</v>
      </c>
    </row>
    <row r="273" customFormat="false" ht="15" hidden="false" customHeight="true" outlineLevel="0" collapsed="false">
      <c r="A273" s="1" t="str">
        <f aca="false">Backlog!A273</f>
        <v/>
      </c>
      <c r="B273" s="1" t="str">
        <f aca="false">IFERROR(IF(ISBLANK(INDEX(Backlog[Requirement Name],MATCH($A273,Backlog[Requirement ID],0))),"",INDEX(Backlog[Requirement Name],MATCH($A273,Backlog[Requirement ID],0))),"")</f>
        <v/>
      </c>
      <c r="C273" s="1" t="str">
        <f aca="false">IFERROR(IF(ISBLANK(INDEX(Backlog[Stream],MATCH($A273,Backlog[Requirement ID],0))),"",INDEX(Backlog[Stream],MATCH($A273,Backlog[Requirement ID],0))),"")</f>
        <v/>
      </c>
      <c r="D273" s="1" t="str">
        <f aca="false">IFERROR(IF(ISBLANK(INDEX(Backlog[Priority],MATCH($A273,Backlog[Requirement ID],0))),"",INDEX(Backlog[Priority],MATCH($A273,Backlog[Requirement ID],0))),"")</f>
        <v/>
      </c>
      <c r="E273" s="1" t="str">
        <f aca="false">IFERROR(IF(ISBLANK(INDEX(Backlog[Status],MATCH($A273,Backlog[Requirement ID],0))),"",INDEX(Backlog[Status],MATCH($A273,Backlog[Requirement ID],0))),"")</f>
        <v/>
      </c>
      <c r="F273" s="23"/>
      <c r="G273" s="1" t="str">
        <f aca="false">IFERROR(IF(ISBLANK(INDEX(Backlog[HLE],MATCH($A273,Backlog[Requirement ID],0))),"",INDEX(Backlog[HLE],MATCH($A273,Backlog[Requirement ID],0))),"")</f>
        <v/>
      </c>
      <c r="H273" s="1" t="n">
        <f aca="false">IFERROR(VALUE(SUBSTITUTE($F273,"Sprint ","")),9999)</f>
        <v>9999</v>
      </c>
    </row>
    <row r="274" customFormat="false" ht="15" hidden="false" customHeight="true" outlineLevel="0" collapsed="false">
      <c r="A274" s="1" t="str">
        <f aca="false">Backlog!A274</f>
        <v/>
      </c>
      <c r="B274" s="1" t="str">
        <f aca="false">IFERROR(IF(ISBLANK(INDEX(Backlog[Requirement Name],MATCH($A274,Backlog[Requirement ID],0))),"",INDEX(Backlog[Requirement Name],MATCH($A274,Backlog[Requirement ID],0))),"")</f>
        <v/>
      </c>
      <c r="C274" s="1" t="str">
        <f aca="false">IFERROR(IF(ISBLANK(INDEX(Backlog[Stream],MATCH($A274,Backlog[Requirement ID],0))),"",INDEX(Backlog[Stream],MATCH($A274,Backlog[Requirement ID],0))),"")</f>
        <v/>
      </c>
      <c r="D274" s="1" t="str">
        <f aca="false">IFERROR(IF(ISBLANK(INDEX(Backlog[Priority],MATCH($A274,Backlog[Requirement ID],0))),"",INDEX(Backlog[Priority],MATCH($A274,Backlog[Requirement ID],0))),"")</f>
        <v/>
      </c>
      <c r="E274" s="1" t="str">
        <f aca="false">IFERROR(IF(ISBLANK(INDEX(Backlog[Status],MATCH($A274,Backlog[Requirement ID],0))),"",INDEX(Backlog[Status],MATCH($A274,Backlog[Requirement ID],0))),"")</f>
        <v/>
      </c>
      <c r="F274" s="23"/>
      <c r="G274" s="1" t="str">
        <f aca="false">IFERROR(IF(ISBLANK(INDEX(Backlog[HLE],MATCH($A274,Backlog[Requirement ID],0))),"",INDEX(Backlog[HLE],MATCH($A274,Backlog[Requirement ID],0))),"")</f>
        <v/>
      </c>
      <c r="H274" s="1" t="n">
        <f aca="false">IFERROR(VALUE(SUBSTITUTE($F274,"Sprint ","")),9999)</f>
        <v>9999</v>
      </c>
    </row>
    <row r="275" customFormat="false" ht="15" hidden="false" customHeight="true" outlineLevel="0" collapsed="false">
      <c r="A275" s="1" t="str">
        <f aca="false">Backlog!A275</f>
        <v/>
      </c>
      <c r="B275" s="1" t="str">
        <f aca="false">IFERROR(IF(ISBLANK(INDEX(Backlog[Requirement Name],MATCH($A275,Backlog[Requirement ID],0))),"",INDEX(Backlog[Requirement Name],MATCH($A275,Backlog[Requirement ID],0))),"")</f>
        <v/>
      </c>
      <c r="C275" s="1" t="str">
        <f aca="false">IFERROR(IF(ISBLANK(INDEX(Backlog[Stream],MATCH($A275,Backlog[Requirement ID],0))),"",INDEX(Backlog[Stream],MATCH($A275,Backlog[Requirement ID],0))),"")</f>
        <v/>
      </c>
      <c r="D275" s="1" t="str">
        <f aca="false">IFERROR(IF(ISBLANK(INDEX(Backlog[Priority],MATCH($A275,Backlog[Requirement ID],0))),"",INDEX(Backlog[Priority],MATCH($A275,Backlog[Requirement ID],0))),"")</f>
        <v/>
      </c>
      <c r="E275" s="1" t="str">
        <f aca="false">IFERROR(IF(ISBLANK(INDEX(Backlog[Status],MATCH($A275,Backlog[Requirement ID],0))),"",INDEX(Backlog[Status],MATCH($A275,Backlog[Requirement ID],0))),"")</f>
        <v/>
      </c>
      <c r="F275" s="23"/>
      <c r="G275" s="1" t="str">
        <f aca="false">IFERROR(IF(ISBLANK(INDEX(Backlog[HLE],MATCH($A275,Backlog[Requirement ID],0))),"",INDEX(Backlog[HLE],MATCH($A275,Backlog[Requirement ID],0))),"")</f>
        <v/>
      </c>
      <c r="H275" s="1" t="n">
        <f aca="false">IFERROR(VALUE(SUBSTITUTE($F275,"Sprint ","")),9999)</f>
        <v>9999</v>
      </c>
    </row>
    <row r="276" customFormat="false" ht="15" hidden="false" customHeight="true" outlineLevel="0" collapsed="false">
      <c r="A276" s="1" t="str">
        <f aca="false">Backlog!A276</f>
        <v/>
      </c>
      <c r="B276" s="1" t="str">
        <f aca="false">IFERROR(IF(ISBLANK(INDEX(Backlog[Requirement Name],MATCH($A276,Backlog[Requirement ID],0))),"",INDEX(Backlog[Requirement Name],MATCH($A276,Backlog[Requirement ID],0))),"")</f>
        <v/>
      </c>
      <c r="C276" s="1" t="str">
        <f aca="false">IFERROR(IF(ISBLANK(INDEX(Backlog[Stream],MATCH($A276,Backlog[Requirement ID],0))),"",INDEX(Backlog[Stream],MATCH($A276,Backlog[Requirement ID],0))),"")</f>
        <v/>
      </c>
      <c r="D276" s="1" t="str">
        <f aca="false">IFERROR(IF(ISBLANK(INDEX(Backlog[Priority],MATCH($A276,Backlog[Requirement ID],0))),"",INDEX(Backlog[Priority],MATCH($A276,Backlog[Requirement ID],0))),"")</f>
        <v/>
      </c>
      <c r="E276" s="1" t="str">
        <f aca="false">IFERROR(IF(ISBLANK(INDEX(Backlog[Status],MATCH($A276,Backlog[Requirement ID],0))),"",INDEX(Backlog[Status],MATCH($A276,Backlog[Requirement ID],0))),"")</f>
        <v/>
      </c>
      <c r="F276" s="23"/>
      <c r="G276" s="1" t="str">
        <f aca="false">IFERROR(IF(ISBLANK(INDEX(Backlog[HLE],MATCH($A276,Backlog[Requirement ID],0))),"",INDEX(Backlog[HLE],MATCH($A276,Backlog[Requirement ID],0))),"")</f>
        <v/>
      </c>
      <c r="H276" s="1" t="n">
        <f aca="false">IFERROR(VALUE(SUBSTITUTE($F276,"Sprint ","")),9999)</f>
        <v>9999</v>
      </c>
    </row>
    <row r="277" customFormat="false" ht="15" hidden="false" customHeight="true" outlineLevel="0" collapsed="false">
      <c r="A277" s="1" t="str">
        <f aca="false">Backlog!A277</f>
        <v/>
      </c>
      <c r="B277" s="1" t="str">
        <f aca="false">IFERROR(IF(ISBLANK(INDEX(Backlog[Requirement Name],MATCH($A277,Backlog[Requirement ID],0))),"",INDEX(Backlog[Requirement Name],MATCH($A277,Backlog[Requirement ID],0))),"")</f>
        <v/>
      </c>
      <c r="C277" s="1" t="str">
        <f aca="false">IFERROR(IF(ISBLANK(INDEX(Backlog[Stream],MATCH($A277,Backlog[Requirement ID],0))),"",INDEX(Backlog[Stream],MATCH($A277,Backlog[Requirement ID],0))),"")</f>
        <v/>
      </c>
      <c r="D277" s="1" t="str">
        <f aca="false">IFERROR(IF(ISBLANK(INDEX(Backlog[Priority],MATCH($A277,Backlog[Requirement ID],0))),"",INDEX(Backlog[Priority],MATCH($A277,Backlog[Requirement ID],0))),"")</f>
        <v/>
      </c>
      <c r="E277" s="1" t="str">
        <f aca="false">IFERROR(IF(ISBLANK(INDEX(Backlog[Status],MATCH($A277,Backlog[Requirement ID],0))),"",INDEX(Backlog[Status],MATCH($A277,Backlog[Requirement ID],0))),"")</f>
        <v/>
      </c>
      <c r="F277" s="23"/>
      <c r="G277" s="1" t="str">
        <f aca="false">IFERROR(IF(ISBLANK(INDEX(Backlog[HLE],MATCH($A277,Backlog[Requirement ID],0))),"",INDEX(Backlog[HLE],MATCH($A277,Backlog[Requirement ID],0))),"")</f>
        <v/>
      </c>
      <c r="H277" s="1" t="n">
        <f aca="false">IFERROR(VALUE(SUBSTITUTE($F277,"Sprint ","")),9999)</f>
        <v>9999</v>
      </c>
    </row>
    <row r="278" customFormat="false" ht="15" hidden="false" customHeight="true" outlineLevel="0" collapsed="false">
      <c r="A278" s="1" t="str">
        <f aca="false">Backlog!A278</f>
        <v/>
      </c>
      <c r="B278" s="1" t="str">
        <f aca="false">IFERROR(IF(ISBLANK(INDEX(Backlog[Requirement Name],MATCH($A278,Backlog[Requirement ID],0))),"",INDEX(Backlog[Requirement Name],MATCH($A278,Backlog[Requirement ID],0))),"")</f>
        <v/>
      </c>
      <c r="C278" s="1" t="str">
        <f aca="false">IFERROR(IF(ISBLANK(INDEX(Backlog[Stream],MATCH($A278,Backlog[Requirement ID],0))),"",INDEX(Backlog[Stream],MATCH($A278,Backlog[Requirement ID],0))),"")</f>
        <v/>
      </c>
      <c r="D278" s="1" t="str">
        <f aca="false">IFERROR(IF(ISBLANK(INDEX(Backlog[Priority],MATCH($A278,Backlog[Requirement ID],0))),"",INDEX(Backlog[Priority],MATCH($A278,Backlog[Requirement ID],0))),"")</f>
        <v/>
      </c>
      <c r="E278" s="1" t="str">
        <f aca="false">IFERROR(IF(ISBLANK(INDEX(Backlog[Status],MATCH($A278,Backlog[Requirement ID],0))),"",INDEX(Backlog[Status],MATCH($A278,Backlog[Requirement ID],0))),"")</f>
        <v/>
      </c>
      <c r="F278" s="23"/>
      <c r="G278" s="1" t="str">
        <f aca="false">IFERROR(IF(ISBLANK(INDEX(Backlog[HLE],MATCH($A278,Backlog[Requirement ID],0))),"",INDEX(Backlog[HLE],MATCH($A278,Backlog[Requirement ID],0))),"")</f>
        <v/>
      </c>
      <c r="H278" s="1" t="n">
        <f aca="false">IFERROR(VALUE(SUBSTITUTE($F278,"Sprint ","")),9999)</f>
        <v>9999</v>
      </c>
    </row>
    <row r="279" customFormat="false" ht="15" hidden="false" customHeight="true" outlineLevel="0" collapsed="false">
      <c r="A279" s="1" t="str">
        <f aca="false">Backlog!A279</f>
        <v/>
      </c>
      <c r="B279" s="1" t="str">
        <f aca="false">IFERROR(IF(ISBLANK(INDEX(Backlog[Requirement Name],MATCH($A279,Backlog[Requirement ID],0))),"",INDEX(Backlog[Requirement Name],MATCH($A279,Backlog[Requirement ID],0))),"")</f>
        <v/>
      </c>
      <c r="C279" s="1" t="str">
        <f aca="false">IFERROR(IF(ISBLANK(INDEX(Backlog[Stream],MATCH($A279,Backlog[Requirement ID],0))),"",INDEX(Backlog[Stream],MATCH($A279,Backlog[Requirement ID],0))),"")</f>
        <v/>
      </c>
      <c r="D279" s="1" t="str">
        <f aca="false">IFERROR(IF(ISBLANK(INDEX(Backlog[Priority],MATCH($A279,Backlog[Requirement ID],0))),"",INDEX(Backlog[Priority],MATCH($A279,Backlog[Requirement ID],0))),"")</f>
        <v/>
      </c>
      <c r="E279" s="1" t="str">
        <f aca="false">IFERROR(IF(ISBLANK(INDEX(Backlog[Status],MATCH($A279,Backlog[Requirement ID],0))),"",INDEX(Backlog[Status],MATCH($A279,Backlog[Requirement ID],0))),"")</f>
        <v/>
      </c>
      <c r="F279" s="23"/>
      <c r="G279" s="1" t="str">
        <f aca="false">IFERROR(IF(ISBLANK(INDEX(Backlog[HLE],MATCH($A279,Backlog[Requirement ID],0))),"",INDEX(Backlog[HLE],MATCH($A279,Backlog[Requirement ID],0))),"")</f>
        <v/>
      </c>
      <c r="H279" s="1" t="n">
        <f aca="false">IFERROR(VALUE(SUBSTITUTE($F279,"Sprint ","")),9999)</f>
        <v>9999</v>
      </c>
    </row>
    <row r="280" customFormat="false" ht="15" hidden="false" customHeight="true" outlineLevel="0" collapsed="false">
      <c r="A280" s="1" t="str">
        <f aca="false">Backlog!A280</f>
        <v/>
      </c>
      <c r="B280" s="1" t="str">
        <f aca="false">IFERROR(IF(ISBLANK(INDEX(Backlog[Requirement Name],MATCH($A280,Backlog[Requirement ID],0))),"",INDEX(Backlog[Requirement Name],MATCH($A280,Backlog[Requirement ID],0))),"")</f>
        <v/>
      </c>
      <c r="C280" s="1" t="str">
        <f aca="false">IFERROR(IF(ISBLANK(INDEX(Backlog[Stream],MATCH($A280,Backlog[Requirement ID],0))),"",INDEX(Backlog[Stream],MATCH($A280,Backlog[Requirement ID],0))),"")</f>
        <v/>
      </c>
      <c r="D280" s="1" t="str">
        <f aca="false">IFERROR(IF(ISBLANK(INDEX(Backlog[Priority],MATCH($A280,Backlog[Requirement ID],0))),"",INDEX(Backlog[Priority],MATCH($A280,Backlog[Requirement ID],0))),"")</f>
        <v/>
      </c>
      <c r="E280" s="1" t="str">
        <f aca="false">IFERROR(IF(ISBLANK(INDEX(Backlog[Status],MATCH($A280,Backlog[Requirement ID],0))),"",INDEX(Backlog[Status],MATCH($A280,Backlog[Requirement ID],0))),"")</f>
        <v/>
      </c>
      <c r="F280" s="23"/>
      <c r="G280" s="1" t="str">
        <f aca="false">IFERROR(IF(ISBLANK(INDEX(Backlog[HLE],MATCH($A280,Backlog[Requirement ID],0))),"",INDEX(Backlog[HLE],MATCH($A280,Backlog[Requirement ID],0))),"")</f>
        <v/>
      </c>
      <c r="H280" s="1" t="n">
        <f aca="false">IFERROR(VALUE(SUBSTITUTE($F280,"Sprint ","")),9999)</f>
        <v>9999</v>
      </c>
    </row>
    <row r="281" customFormat="false" ht="15" hidden="false" customHeight="true" outlineLevel="0" collapsed="false">
      <c r="A281" s="1" t="str">
        <f aca="false">Backlog!A281</f>
        <v/>
      </c>
      <c r="B281" s="1" t="str">
        <f aca="false">IFERROR(IF(ISBLANK(INDEX(Backlog[Requirement Name],MATCH($A281,Backlog[Requirement ID],0))),"",INDEX(Backlog[Requirement Name],MATCH($A281,Backlog[Requirement ID],0))),"")</f>
        <v/>
      </c>
      <c r="C281" s="1" t="str">
        <f aca="false">IFERROR(IF(ISBLANK(INDEX(Backlog[Stream],MATCH($A281,Backlog[Requirement ID],0))),"",INDEX(Backlog[Stream],MATCH($A281,Backlog[Requirement ID],0))),"")</f>
        <v/>
      </c>
      <c r="D281" s="1" t="str">
        <f aca="false">IFERROR(IF(ISBLANK(INDEX(Backlog[Priority],MATCH($A281,Backlog[Requirement ID],0))),"",INDEX(Backlog[Priority],MATCH($A281,Backlog[Requirement ID],0))),"")</f>
        <v/>
      </c>
      <c r="E281" s="1" t="str">
        <f aca="false">IFERROR(IF(ISBLANK(INDEX(Backlog[Status],MATCH($A281,Backlog[Requirement ID],0))),"",INDEX(Backlog[Status],MATCH($A281,Backlog[Requirement ID],0))),"")</f>
        <v/>
      </c>
      <c r="F281" s="23"/>
      <c r="G281" s="1" t="str">
        <f aca="false">IFERROR(IF(ISBLANK(INDEX(Backlog[HLE],MATCH($A281,Backlog[Requirement ID],0))),"",INDEX(Backlog[HLE],MATCH($A281,Backlog[Requirement ID],0))),"")</f>
        <v/>
      </c>
      <c r="H281" s="1" t="n">
        <f aca="false">IFERROR(VALUE(SUBSTITUTE($F281,"Sprint ","")),9999)</f>
        <v>9999</v>
      </c>
    </row>
    <row r="282" customFormat="false" ht="15" hidden="false" customHeight="true" outlineLevel="0" collapsed="false">
      <c r="A282" s="1" t="str">
        <f aca="false">Backlog!A282</f>
        <v/>
      </c>
      <c r="B282" s="1" t="str">
        <f aca="false">IFERROR(IF(ISBLANK(INDEX(Backlog[Requirement Name],MATCH($A282,Backlog[Requirement ID],0))),"",INDEX(Backlog[Requirement Name],MATCH($A282,Backlog[Requirement ID],0))),"")</f>
        <v/>
      </c>
      <c r="C282" s="1" t="str">
        <f aca="false">IFERROR(IF(ISBLANK(INDEX(Backlog[Stream],MATCH($A282,Backlog[Requirement ID],0))),"",INDEX(Backlog[Stream],MATCH($A282,Backlog[Requirement ID],0))),"")</f>
        <v/>
      </c>
      <c r="D282" s="1" t="str">
        <f aca="false">IFERROR(IF(ISBLANK(INDEX(Backlog[Priority],MATCH($A282,Backlog[Requirement ID],0))),"",INDEX(Backlog[Priority],MATCH($A282,Backlog[Requirement ID],0))),"")</f>
        <v/>
      </c>
      <c r="E282" s="1" t="str">
        <f aca="false">IFERROR(IF(ISBLANK(INDEX(Backlog[Status],MATCH($A282,Backlog[Requirement ID],0))),"",INDEX(Backlog[Status],MATCH($A282,Backlog[Requirement ID],0))),"")</f>
        <v/>
      </c>
      <c r="F282" s="23"/>
      <c r="G282" s="1" t="str">
        <f aca="false">IFERROR(IF(ISBLANK(INDEX(Backlog[HLE],MATCH($A282,Backlog[Requirement ID],0))),"",INDEX(Backlog[HLE],MATCH($A282,Backlog[Requirement ID],0))),"")</f>
        <v/>
      </c>
      <c r="H282" s="1" t="n">
        <f aca="false">IFERROR(VALUE(SUBSTITUTE($F282,"Sprint ","")),9999)</f>
        <v>9999</v>
      </c>
    </row>
    <row r="283" customFormat="false" ht="15" hidden="false" customHeight="true" outlineLevel="0" collapsed="false">
      <c r="A283" s="1" t="str">
        <f aca="false">Backlog!A283</f>
        <v/>
      </c>
      <c r="B283" s="1" t="str">
        <f aca="false">IFERROR(IF(ISBLANK(INDEX(Backlog[Requirement Name],MATCH($A283,Backlog[Requirement ID],0))),"",INDEX(Backlog[Requirement Name],MATCH($A283,Backlog[Requirement ID],0))),"")</f>
        <v/>
      </c>
      <c r="C283" s="1" t="str">
        <f aca="false">IFERROR(IF(ISBLANK(INDEX(Backlog[Stream],MATCH($A283,Backlog[Requirement ID],0))),"",INDEX(Backlog[Stream],MATCH($A283,Backlog[Requirement ID],0))),"")</f>
        <v/>
      </c>
      <c r="D283" s="1" t="str">
        <f aca="false">IFERROR(IF(ISBLANK(INDEX(Backlog[Priority],MATCH($A283,Backlog[Requirement ID],0))),"",INDEX(Backlog[Priority],MATCH($A283,Backlog[Requirement ID],0))),"")</f>
        <v/>
      </c>
      <c r="E283" s="1" t="str">
        <f aca="false">IFERROR(IF(ISBLANK(INDEX(Backlog[Status],MATCH($A283,Backlog[Requirement ID],0))),"",INDEX(Backlog[Status],MATCH($A283,Backlog[Requirement ID],0))),"")</f>
        <v/>
      </c>
      <c r="F283" s="23"/>
      <c r="G283" s="1" t="str">
        <f aca="false">IFERROR(IF(ISBLANK(INDEX(Backlog[HLE],MATCH($A283,Backlog[Requirement ID],0))),"",INDEX(Backlog[HLE],MATCH($A283,Backlog[Requirement ID],0))),"")</f>
        <v/>
      </c>
      <c r="H283" s="1" t="n">
        <f aca="false">IFERROR(VALUE(SUBSTITUTE($F283,"Sprint ","")),9999)</f>
        <v>9999</v>
      </c>
    </row>
    <row r="284" customFormat="false" ht="15" hidden="false" customHeight="true" outlineLevel="0" collapsed="false">
      <c r="A284" s="1" t="str">
        <f aca="false">Backlog!A284</f>
        <v/>
      </c>
      <c r="B284" s="1" t="str">
        <f aca="false">IFERROR(IF(ISBLANK(INDEX(Backlog[Requirement Name],MATCH($A284,Backlog[Requirement ID],0))),"",INDEX(Backlog[Requirement Name],MATCH($A284,Backlog[Requirement ID],0))),"")</f>
        <v/>
      </c>
      <c r="C284" s="1" t="str">
        <f aca="false">IFERROR(IF(ISBLANK(INDEX(Backlog[Stream],MATCH($A284,Backlog[Requirement ID],0))),"",INDEX(Backlog[Stream],MATCH($A284,Backlog[Requirement ID],0))),"")</f>
        <v/>
      </c>
      <c r="D284" s="1" t="str">
        <f aca="false">IFERROR(IF(ISBLANK(INDEX(Backlog[Priority],MATCH($A284,Backlog[Requirement ID],0))),"",INDEX(Backlog[Priority],MATCH($A284,Backlog[Requirement ID],0))),"")</f>
        <v/>
      </c>
      <c r="E284" s="1" t="str">
        <f aca="false">IFERROR(IF(ISBLANK(INDEX(Backlog[Status],MATCH($A284,Backlog[Requirement ID],0))),"",INDEX(Backlog[Status],MATCH($A284,Backlog[Requirement ID],0))),"")</f>
        <v/>
      </c>
      <c r="F284" s="23"/>
      <c r="G284" s="1" t="str">
        <f aca="false">IFERROR(IF(ISBLANK(INDEX(Backlog[HLE],MATCH($A284,Backlog[Requirement ID],0))),"",INDEX(Backlog[HLE],MATCH($A284,Backlog[Requirement ID],0))),"")</f>
        <v/>
      </c>
      <c r="H284" s="1" t="n">
        <f aca="false">IFERROR(VALUE(SUBSTITUTE($F284,"Sprint ","")),9999)</f>
        <v>9999</v>
      </c>
    </row>
    <row r="285" customFormat="false" ht="15" hidden="false" customHeight="true" outlineLevel="0" collapsed="false">
      <c r="A285" s="1" t="str">
        <f aca="false">Backlog!A285</f>
        <v/>
      </c>
      <c r="B285" s="1" t="str">
        <f aca="false">IFERROR(IF(ISBLANK(INDEX(Backlog[Requirement Name],MATCH($A285,Backlog[Requirement ID],0))),"",INDEX(Backlog[Requirement Name],MATCH($A285,Backlog[Requirement ID],0))),"")</f>
        <v/>
      </c>
      <c r="C285" s="1" t="str">
        <f aca="false">IFERROR(IF(ISBLANK(INDEX(Backlog[Stream],MATCH($A285,Backlog[Requirement ID],0))),"",INDEX(Backlog[Stream],MATCH($A285,Backlog[Requirement ID],0))),"")</f>
        <v/>
      </c>
      <c r="D285" s="1" t="str">
        <f aca="false">IFERROR(IF(ISBLANK(INDEX(Backlog[Priority],MATCH($A285,Backlog[Requirement ID],0))),"",INDEX(Backlog[Priority],MATCH($A285,Backlog[Requirement ID],0))),"")</f>
        <v/>
      </c>
      <c r="E285" s="1" t="str">
        <f aca="false">IFERROR(IF(ISBLANK(INDEX(Backlog[Status],MATCH($A285,Backlog[Requirement ID],0))),"",INDEX(Backlog[Status],MATCH($A285,Backlog[Requirement ID],0))),"")</f>
        <v/>
      </c>
      <c r="F285" s="23"/>
      <c r="G285" s="1" t="str">
        <f aca="false">IFERROR(IF(ISBLANK(INDEX(Backlog[HLE],MATCH($A285,Backlog[Requirement ID],0))),"",INDEX(Backlog[HLE],MATCH($A285,Backlog[Requirement ID],0))),"")</f>
        <v/>
      </c>
      <c r="H285" s="1" t="n">
        <f aca="false">IFERROR(VALUE(SUBSTITUTE($F285,"Sprint ","")),9999)</f>
        <v>9999</v>
      </c>
    </row>
    <row r="286" customFormat="false" ht="15" hidden="false" customHeight="true" outlineLevel="0" collapsed="false">
      <c r="A286" s="1" t="str">
        <f aca="false">Backlog!A286</f>
        <v/>
      </c>
      <c r="B286" s="1" t="str">
        <f aca="false">IFERROR(IF(ISBLANK(INDEX(Backlog[Requirement Name],MATCH($A286,Backlog[Requirement ID],0))),"",INDEX(Backlog[Requirement Name],MATCH($A286,Backlog[Requirement ID],0))),"")</f>
        <v/>
      </c>
      <c r="C286" s="1" t="str">
        <f aca="false">IFERROR(IF(ISBLANK(INDEX(Backlog[Stream],MATCH($A286,Backlog[Requirement ID],0))),"",INDEX(Backlog[Stream],MATCH($A286,Backlog[Requirement ID],0))),"")</f>
        <v/>
      </c>
      <c r="D286" s="1" t="str">
        <f aca="false">IFERROR(IF(ISBLANK(INDEX(Backlog[Priority],MATCH($A286,Backlog[Requirement ID],0))),"",INDEX(Backlog[Priority],MATCH($A286,Backlog[Requirement ID],0))),"")</f>
        <v/>
      </c>
      <c r="E286" s="1" t="str">
        <f aca="false">IFERROR(IF(ISBLANK(INDEX(Backlog[Status],MATCH($A286,Backlog[Requirement ID],0))),"",INDEX(Backlog[Status],MATCH($A286,Backlog[Requirement ID],0))),"")</f>
        <v/>
      </c>
      <c r="F286" s="23"/>
      <c r="G286" s="1" t="str">
        <f aca="false">IFERROR(IF(ISBLANK(INDEX(Backlog[HLE],MATCH($A286,Backlog[Requirement ID],0))),"",INDEX(Backlog[HLE],MATCH($A286,Backlog[Requirement ID],0))),"")</f>
        <v/>
      </c>
      <c r="H286" s="1" t="n">
        <f aca="false">IFERROR(VALUE(SUBSTITUTE($F286,"Sprint ","")),9999)</f>
        <v>9999</v>
      </c>
    </row>
    <row r="287" customFormat="false" ht="15" hidden="false" customHeight="true" outlineLevel="0" collapsed="false">
      <c r="A287" s="1" t="str">
        <f aca="false">Backlog!A287</f>
        <v/>
      </c>
      <c r="B287" s="1" t="str">
        <f aca="false">IFERROR(IF(ISBLANK(INDEX(Backlog[Requirement Name],MATCH($A287,Backlog[Requirement ID],0))),"",INDEX(Backlog[Requirement Name],MATCH($A287,Backlog[Requirement ID],0))),"")</f>
        <v/>
      </c>
      <c r="C287" s="1" t="str">
        <f aca="false">IFERROR(IF(ISBLANK(INDEX(Backlog[Stream],MATCH($A287,Backlog[Requirement ID],0))),"",INDEX(Backlog[Stream],MATCH($A287,Backlog[Requirement ID],0))),"")</f>
        <v/>
      </c>
      <c r="D287" s="1" t="str">
        <f aca="false">IFERROR(IF(ISBLANK(INDEX(Backlog[Priority],MATCH($A287,Backlog[Requirement ID],0))),"",INDEX(Backlog[Priority],MATCH($A287,Backlog[Requirement ID],0))),"")</f>
        <v/>
      </c>
      <c r="E287" s="1" t="str">
        <f aca="false">IFERROR(IF(ISBLANK(INDEX(Backlog[Status],MATCH($A287,Backlog[Requirement ID],0))),"",INDEX(Backlog[Status],MATCH($A287,Backlog[Requirement ID],0))),"")</f>
        <v/>
      </c>
      <c r="F287" s="23"/>
      <c r="G287" s="1" t="str">
        <f aca="false">IFERROR(IF(ISBLANK(INDEX(Backlog[HLE],MATCH($A287,Backlog[Requirement ID],0))),"",INDEX(Backlog[HLE],MATCH($A287,Backlog[Requirement ID],0))),"")</f>
        <v/>
      </c>
      <c r="H287" s="1" t="n">
        <f aca="false">IFERROR(VALUE(SUBSTITUTE($F287,"Sprint ","")),9999)</f>
        <v>9999</v>
      </c>
    </row>
    <row r="288" customFormat="false" ht="15" hidden="false" customHeight="true" outlineLevel="0" collapsed="false">
      <c r="A288" s="1" t="str">
        <f aca="false">Backlog!A288</f>
        <v/>
      </c>
      <c r="B288" s="1" t="str">
        <f aca="false">IFERROR(IF(ISBLANK(INDEX(Backlog[Requirement Name],MATCH($A288,Backlog[Requirement ID],0))),"",INDEX(Backlog[Requirement Name],MATCH($A288,Backlog[Requirement ID],0))),"")</f>
        <v/>
      </c>
      <c r="C288" s="1" t="str">
        <f aca="false">IFERROR(IF(ISBLANK(INDEX(Backlog[Stream],MATCH($A288,Backlog[Requirement ID],0))),"",INDEX(Backlog[Stream],MATCH($A288,Backlog[Requirement ID],0))),"")</f>
        <v/>
      </c>
      <c r="D288" s="1" t="str">
        <f aca="false">IFERROR(IF(ISBLANK(INDEX(Backlog[Priority],MATCH($A288,Backlog[Requirement ID],0))),"",INDEX(Backlog[Priority],MATCH($A288,Backlog[Requirement ID],0))),"")</f>
        <v/>
      </c>
      <c r="E288" s="1" t="str">
        <f aca="false">IFERROR(IF(ISBLANK(INDEX(Backlog[Status],MATCH($A288,Backlog[Requirement ID],0))),"",INDEX(Backlog[Status],MATCH($A288,Backlog[Requirement ID],0))),"")</f>
        <v/>
      </c>
      <c r="F288" s="23"/>
      <c r="G288" s="1" t="str">
        <f aca="false">IFERROR(IF(ISBLANK(INDEX(Backlog[HLE],MATCH($A288,Backlog[Requirement ID],0))),"",INDEX(Backlog[HLE],MATCH($A288,Backlog[Requirement ID],0))),"")</f>
        <v/>
      </c>
      <c r="H288" s="1" t="n">
        <f aca="false">IFERROR(VALUE(SUBSTITUTE($F288,"Sprint ","")),9999)</f>
        <v>9999</v>
      </c>
    </row>
    <row r="289" customFormat="false" ht="15" hidden="false" customHeight="true" outlineLevel="0" collapsed="false">
      <c r="A289" s="1" t="str">
        <f aca="false">Backlog!A289</f>
        <v/>
      </c>
      <c r="B289" s="1" t="str">
        <f aca="false">IFERROR(IF(ISBLANK(INDEX(Backlog[Requirement Name],MATCH($A289,Backlog[Requirement ID],0))),"",INDEX(Backlog[Requirement Name],MATCH($A289,Backlog[Requirement ID],0))),"")</f>
        <v/>
      </c>
      <c r="C289" s="1" t="str">
        <f aca="false">IFERROR(IF(ISBLANK(INDEX(Backlog[Stream],MATCH($A289,Backlog[Requirement ID],0))),"",INDEX(Backlog[Stream],MATCH($A289,Backlog[Requirement ID],0))),"")</f>
        <v/>
      </c>
      <c r="D289" s="1" t="str">
        <f aca="false">IFERROR(IF(ISBLANK(INDEX(Backlog[Priority],MATCH($A289,Backlog[Requirement ID],0))),"",INDEX(Backlog[Priority],MATCH($A289,Backlog[Requirement ID],0))),"")</f>
        <v/>
      </c>
      <c r="E289" s="1" t="str">
        <f aca="false">IFERROR(IF(ISBLANK(INDEX(Backlog[Status],MATCH($A289,Backlog[Requirement ID],0))),"",INDEX(Backlog[Status],MATCH($A289,Backlog[Requirement ID],0))),"")</f>
        <v/>
      </c>
      <c r="F289" s="23"/>
      <c r="G289" s="1" t="str">
        <f aca="false">IFERROR(IF(ISBLANK(INDEX(Backlog[HLE],MATCH($A289,Backlog[Requirement ID],0))),"",INDEX(Backlog[HLE],MATCH($A289,Backlog[Requirement ID],0))),"")</f>
        <v/>
      </c>
      <c r="H289" s="1" t="n">
        <f aca="false">IFERROR(VALUE(SUBSTITUTE($F289,"Sprint ","")),9999)</f>
        <v>9999</v>
      </c>
    </row>
    <row r="290" customFormat="false" ht="15" hidden="false" customHeight="true" outlineLevel="0" collapsed="false">
      <c r="A290" s="1" t="str">
        <f aca="false">Backlog!A290</f>
        <v/>
      </c>
      <c r="B290" s="1" t="str">
        <f aca="false">IFERROR(IF(ISBLANK(INDEX(Backlog[Requirement Name],MATCH($A290,Backlog[Requirement ID],0))),"",INDEX(Backlog[Requirement Name],MATCH($A290,Backlog[Requirement ID],0))),"")</f>
        <v/>
      </c>
      <c r="C290" s="1" t="str">
        <f aca="false">IFERROR(IF(ISBLANK(INDEX(Backlog[Stream],MATCH($A290,Backlog[Requirement ID],0))),"",INDEX(Backlog[Stream],MATCH($A290,Backlog[Requirement ID],0))),"")</f>
        <v/>
      </c>
      <c r="D290" s="1" t="str">
        <f aca="false">IFERROR(IF(ISBLANK(INDEX(Backlog[Priority],MATCH($A290,Backlog[Requirement ID],0))),"",INDEX(Backlog[Priority],MATCH($A290,Backlog[Requirement ID],0))),"")</f>
        <v/>
      </c>
      <c r="E290" s="1" t="str">
        <f aca="false">IFERROR(IF(ISBLANK(INDEX(Backlog[Status],MATCH($A290,Backlog[Requirement ID],0))),"",INDEX(Backlog[Status],MATCH($A290,Backlog[Requirement ID],0))),"")</f>
        <v/>
      </c>
      <c r="F290" s="23"/>
      <c r="G290" s="1" t="str">
        <f aca="false">IFERROR(IF(ISBLANK(INDEX(Backlog[HLE],MATCH($A290,Backlog[Requirement ID],0))),"",INDEX(Backlog[HLE],MATCH($A290,Backlog[Requirement ID],0))),"")</f>
        <v/>
      </c>
      <c r="H290" s="1" t="n">
        <f aca="false">IFERROR(VALUE(SUBSTITUTE($F290,"Sprint ","")),9999)</f>
        <v>9999</v>
      </c>
    </row>
    <row r="291" customFormat="false" ht="15" hidden="false" customHeight="true" outlineLevel="0" collapsed="false">
      <c r="A291" s="1" t="str">
        <f aca="false">Backlog!A291</f>
        <v/>
      </c>
      <c r="B291" s="1" t="str">
        <f aca="false">IFERROR(IF(ISBLANK(INDEX(Backlog[Requirement Name],MATCH($A291,Backlog[Requirement ID],0))),"",INDEX(Backlog[Requirement Name],MATCH($A291,Backlog[Requirement ID],0))),"")</f>
        <v/>
      </c>
      <c r="C291" s="1" t="str">
        <f aca="false">IFERROR(IF(ISBLANK(INDEX(Backlog[Stream],MATCH($A291,Backlog[Requirement ID],0))),"",INDEX(Backlog[Stream],MATCH($A291,Backlog[Requirement ID],0))),"")</f>
        <v/>
      </c>
      <c r="D291" s="1" t="str">
        <f aca="false">IFERROR(IF(ISBLANK(INDEX(Backlog[Priority],MATCH($A291,Backlog[Requirement ID],0))),"",INDEX(Backlog[Priority],MATCH($A291,Backlog[Requirement ID],0))),"")</f>
        <v/>
      </c>
      <c r="E291" s="1" t="str">
        <f aca="false">IFERROR(IF(ISBLANK(INDEX(Backlog[Status],MATCH($A291,Backlog[Requirement ID],0))),"",INDEX(Backlog[Status],MATCH($A291,Backlog[Requirement ID],0))),"")</f>
        <v/>
      </c>
      <c r="F291" s="23"/>
      <c r="G291" s="1" t="str">
        <f aca="false">IFERROR(IF(ISBLANK(INDEX(Backlog[HLE],MATCH($A291,Backlog[Requirement ID],0))),"",INDEX(Backlog[HLE],MATCH($A291,Backlog[Requirement ID],0))),"")</f>
        <v/>
      </c>
      <c r="H291" s="1" t="n">
        <f aca="false">IFERROR(VALUE(SUBSTITUTE($F291,"Sprint ","")),9999)</f>
        <v>9999</v>
      </c>
    </row>
    <row r="292" customFormat="false" ht="15" hidden="false" customHeight="true" outlineLevel="0" collapsed="false">
      <c r="A292" s="1" t="str">
        <f aca="false">Backlog!A292</f>
        <v/>
      </c>
      <c r="B292" s="1" t="str">
        <f aca="false">IFERROR(IF(ISBLANK(INDEX(Backlog[Requirement Name],MATCH($A292,Backlog[Requirement ID],0))),"",INDEX(Backlog[Requirement Name],MATCH($A292,Backlog[Requirement ID],0))),"")</f>
        <v/>
      </c>
      <c r="C292" s="1" t="str">
        <f aca="false">IFERROR(IF(ISBLANK(INDEX(Backlog[Stream],MATCH($A292,Backlog[Requirement ID],0))),"",INDEX(Backlog[Stream],MATCH($A292,Backlog[Requirement ID],0))),"")</f>
        <v/>
      </c>
      <c r="D292" s="1" t="str">
        <f aca="false">IFERROR(IF(ISBLANK(INDEX(Backlog[Priority],MATCH($A292,Backlog[Requirement ID],0))),"",INDEX(Backlog[Priority],MATCH($A292,Backlog[Requirement ID],0))),"")</f>
        <v/>
      </c>
      <c r="E292" s="1" t="str">
        <f aca="false">IFERROR(IF(ISBLANK(INDEX(Backlog[Status],MATCH($A292,Backlog[Requirement ID],0))),"",INDEX(Backlog[Status],MATCH($A292,Backlog[Requirement ID],0))),"")</f>
        <v/>
      </c>
      <c r="F292" s="23"/>
      <c r="G292" s="1" t="str">
        <f aca="false">IFERROR(IF(ISBLANK(INDEX(Backlog[HLE],MATCH($A292,Backlog[Requirement ID],0))),"",INDEX(Backlog[HLE],MATCH($A292,Backlog[Requirement ID],0))),"")</f>
        <v/>
      </c>
      <c r="H292" s="1" t="n">
        <f aca="false">IFERROR(VALUE(SUBSTITUTE($F292,"Sprint ","")),9999)</f>
        <v>9999</v>
      </c>
    </row>
    <row r="293" customFormat="false" ht="15" hidden="false" customHeight="true" outlineLevel="0" collapsed="false">
      <c r="A293" s="1" t="str">
        <f aca="false">Backlog!A293</f>
        <v/>
      </c>
      <c r="B293" s="1" t="str">
        <f aca="false">IFERROR(IF(ISBLANK(INDEX(Backlog[Requirement Name],MATCH($A293,Backlog[Requirement ID],0))),"",INDEX(Backlog[Requirement Name],MATCH($A293,Backlog[Requirement ID],0))),"")</f>
        <v/>
      </c>
      <c r="C293" s="1" t="str">
        <f aca="false">IFERROR(IF(ISBLANK(INDEX(Backlog[Stream],MATCH($A293,Backlog[Requirement ID],0))),"",INDEX(Backlog[Stream],MATCH($A293,Backlog[Requirement ID],0))),"")</f>
        <v/>
      </c>
      <c r="D293" s="1" t="str">
        <f aca="false">IFERROR(IF(ISBLANK(INDEX(Backlog[Priority],MATCH($A293,Backlog[Requirement ID],0))),"",INDEX(Backlog[Priority],MATCH($A293,Backlog[Requirement ID],0))),"")</f>
        <v/>
      </c>
      <c r="E293" s="1" t="str">
        <f aca="false">IFERROR(IF(ISBLANK(INDEX(Backlog[Status],MATCH($A293,Backlog[Requirement ID],0))),"",INDEX(Backlog[Status],MATCH($A293,Backlog[Requirement ID],0))),"")</f>
        <v/>
      </c>
      <c r="F293" s="23"/>
      <c r="G293" s="1" t="str">
        <f aca="false">IFERROR(IF(ISBLANK(INDEX(Backlog[HLE],MATCH($A293,Backlog[Requirement ID],0))),"",INDEX(Backlog[HLE],MATCH($A293,Backlog[Requirement ID],0))),"")</f>
        <v/>
      </c>
      <c r="H293" s="1" t="n">
        <f aca="false">IFERROR(VALUE(SUBSTITUTE($F293,"Sprint ","")),9999)</f>
        <v>9999</v>
      </c>
    </row>
    <row r="294" customFormat="false" ht="15" hidden="false" customHeight="true" outlineLevel="0" collapsed="false">
      <c r="A294" s="1" t="str">
        <f aca="false">Backlog!A294</f>
        <v/>
      </c>
      <c r="B294" s="1" t="str">
        <f aca="false">IFERROR(IF(ISBLANK(INDEX(Backlog[Requirement Name],MATCH($A294,Backlog[Requirement ID],0))),"",INDEX(Backlog[Requirement Name],MATCH($A294,Backlog[Requirement ID],0))),"")</f>
        <v/>
      </c>
      <c r="C294" s="1" t="str">
        <f aca="false">IFERROR(IF(ISBLANK(INDEX(Backlog[Stream],MATCH($A294,Backlog[Requirement ID],0))),"",INDEX(Backlog[Stream],MATCH($A294,Backlog[Requirement ID],0))),"")</f>
        <v/>
      </c>
      <c r="D294" s="1" t="str">
        <f aca="false">IFERROR(IF(ISBLANK(INDEX(Backlog[Priority],MATCH($A294,Backlog[Requirement ID],0))),"",INDEX(Backlog[Priority],MATCH($A294,Backlog[Requirement ID],0))),"")</f>
        <v/>
      </c>
      <c r="E294" s="1" t="str">
        <f aca="false">IFERROR(IF(ISBLANK(INDEX(Backlog[Status],MATCH($A294,Backlog[Requirement ID],0))),"",INDEX(Backlog[Status],MATCH($A294,Backlog[Requirement ID],0))),"")</f>
        <v/>
      </c>
      <c r="F294" s="23"/>
      <c r="G294" s="1" t="str">
        <f aca="false">IFERROR(IF(ISBLANK(INDEX(Backlog[HLE],MATCH($A294,Backlog[Requirement ID],0))),"",INDEX(Backlog[HLE],MATCH($A294,Backlog[Requirement ID],0))),"")</f>
        <v/>
      </c>
      <c r="H294" s="1" t="n">
        <f aca="false">IFERROR(VALUE(SUBSTITUTE($F294,"Sprint ","")),9999)</f>
        <v>9999</v>
      </c>
    </row>
    <row r="295" customFormat="false" ht="15" hidden="false" customHeight="true" outlineLevel="0" collapsed="false">
      <c r="A295" s="1" t="str">
        <f aca="false">Backlog!A295</f>
        <v/>
      </c>
      <c r="B295" s="1" t="str">
        <f aca="false">IFERROR(IF(ISBLANK(INDEX(Backlog[Requirement Name],MATCH($A295,Backlog[Requirement ID],0))),"",INDEX(Backlog[Requirement Name],MATCH($A295,Backlog[Requirement ID],0))),"")</f>
        <v/>
      </c>
      <c r="C295" s="1" t="str">
        <f aca="false">IFERROR(IF(ISBLANK(INDEX(Backlog[Stream],MATCH($A295,Backlog[Requirement ID],0))),"",INDEX(Backlog[Stream],MATCH($A295,Backlog[Requirement ID],0))),"")</f>
        <v/>
      </c>
      <c r="D295" s="1" t="str">
        <f aca="false">IFERROR(IF(ISBLANK(INDEX(Backlog[Priority],MATCH($A295,Backlog[Requirement ID],0))),"",INDEX(Backlog[Priority],MATCH($A295,Backlog[Requirement ID],0))),"")</f>
        <v/>
      </c>
      <c r="E295" s="1" t="str">
        <f aca="false">IFERROR(IF(ISBLANK(INDEX(Backlog[Status],MATCH($A295,Backlog[Requirement ID],0))),"",INDEX(Backlog[Status],MATCH($A295,Backlog[Requirement ID],0))),"")</f>
        <v/>
      </c>
      <c r="F295" s="23"/>
      <c r="G295" s="1" t="str">
        <f aca="false">IFERROR(IF(ISBLANK(INDEX(Backlog[HLE],MATCH($A295,Backlog[Requirement ID],0))),"",INDEX(Backlog[HLE],MATCH($A295,Backlog[Requirement ID],0))),"")</f>
        <v/>
      </c>
      <c r="H295" s="1" t="n">
        <f aca="false">IFERROR(VALUE(SUBSTITUTE($F295,"Sprint ","")),9999)</f>
        <v>9999</v>
      </c>
    </row>
    <row r="296" customFormat="false" ht="15" hidden="false" customHeight="true" outlineLevel="0" collapsed="false">
      <c r="A296" s="1" t="str">
        <f aca="false">Backlog!A296</f>
        <v/>
      </c>
      <c r="B296" s="1" t="str">
        <f aca="false">IFERROR(IF(ISBLANK(INDEX(Backlog[Requirement Name],MATCH($A296,Backlog[Requirement ID],0))),"",INDEX(Backlog[Requirement Name],MATCH($A296,Backlog[Requirement ID],0))),"")</f>
        <v/>
      </c>
      <c r="C296" s="1" t="str">
        <f aca="false">IFERROR(IF(ISBLANK(INDEX(Backlog[Stream],MATCH($A296,Backlog[Requirement ID],0))),"",INDEX(Backlog[Stream],MATCH($A296,Backlog[Requirement ID],0))),"")</f>
        <v/>
      </c>
      <c r="D296" s="1" t="str">
        <f aca="false">IFERROR(IF(ISBLANK(INDEX(Backlog[Priority],MATCH($A296,Backlog[Requirement ID],0))),"",INDEX(Backlog[Priority],MATCH($A296,Backlog[Requirement ID],0))),"")</f>
        <v/>
      </c>
      <c r="E296" s="1" t="str">
        <f aca="false">IFERROR(IF(ISBLANK(INDEX(Backlog[Status],MATCH($A296,Backlog[Requirement ID],0))),"",INDEX(Backlog[Status],MATCH($A296,Backlog[Requirement ID],0))),"")</f>
        <v/>
      </c>
      <c r="F296" s="23"/>
      <c r="G296" s="1" t="str">
        <f aca="false">IFERROR(IF(ISBLANK(INDEX(Backlog[HLE],MATCH($A296,Backlog[Requirement ID],0))),"",INDEX(Backlog[HLE],MATCH($A296,Backlog[Requirement ID],0))),"")</f>
        <v/>
      </c>
      <c r="H296" s="1" t="n">
        <f aca="false">IFERROR(VALUE(SUBSTITUTE($F296,"Sprint ","")),9999)</f>
        <v>9999</v>
      </c>
    </row>
    <row r="297" customFormat="false" ht="15" hidden="false" customHeight="true" outlineLevel="0" collapsed="false">
      <c r="A297" s="1" t="str">
        <f aca="false">Backlog!A297</f>
        <v/>
      </c>
      <c r="B297" s="1" t="str">
        <f aca="false">IFERROR(IF(ISBLANK(INDEX(Backlog[Requirement Name],MATCH($A297,Backlog[Requirement ID],0))),"",INDEX(Backlog[Requirement Name],MATCH($A297,Backlog[Requirement ID],0))),"")</f>
        <v/>
      </c>
      <c r="C297" s="1" t="str">
        <f aca="false">IFERROR(IF(ISBLANK(INDEX(Backlog[Stream],MATCH($A297,Backlog[Requirement ID],0))),"",INDEX(Backlog[Stream],MATCH($A297,Backlog[Requirement ID],0))),"")</f>
        <v/>
      </c>
      <c r="D297" s="1" t="str">
        <f aca="false">IFERROR(IF(ISBLANK(INDEX(Backlog[Priority],MATCH($A297,Backlog[Requirement ID],0))),"",INDEX(Backlog[Priority],MATCH($A297,Backlog[Requirement ID],0))),"")</f>
        <v/>
      </c>
      <c r="E297" s="1" t="str">
        <f aca="false">IFERROR(IF(ISBLANK(INDEX(Backlog[Status],MATCH($A297,Backlog[Requirement ID],0))),"",INDEX(Backlog[Status],MATCH($A297,Backlog[Requirement ID],0))),"")</f>
        <v/>
      </c>
      <c r="F297" s="23"/>
      <c r="G297" s="1" t="str">
        <f aca="false">IFERROR(IF(ISBLANK(INDEX(Backlog[HLE],MATCH($A297,Backlog[Requirement ID],0))),"",INDEX(Backlog[HLE],MATCH($A297,Backlog[Requirement ID],0))),"")</f>
        <v/>
      </c>
      <c r="H297" s="1" t="n">
        <f aca="false">IFERROR(VALUE(SUBSTITUTE($F297,"Sprint ","")),9999)</f>
        <v>9999</v>
      </c>
    </row>
    <row r="298" customFormat="false" ht="15" hidden="false" customHeight="true" outlineLevel="0" collapsed="false">
      <c r="A298" s="1" t="str">
        <f aca="false">Backlog!A298</f>
        <v/>
      </c>
      <c r="B298" s="1" t="str">
        <f aca="false">IFERROR(IF(ISBLANK(INDEX(Backlog[Requirement Name],MATCH($A298,Backlog[Requirement ID],0))),"",INDEX(Backlog[Requirement Name],MATCH($A298,Backlog[Requirement ID],0))),"")</f>
        <v/>
      </c>
      <c r="C298" s="1" t="str">
        <f aca="false">IFERROR(IF(ISBLANK(INDEX(Backlog[Stream],MATCH($A298,Backlog[Requirement ID],0))),"",INDEX(Backlog[Stream],MATCH($A298,Backlog[Requirement ID],0))),"")</f>
        <v/>
      </c>
      <c r="D298" s="1" t="str">
        <f aca="false">IFERROR(IF(ISBLANK(INDEX(Backlog[Priority],MATCH($A298,Backlog[Requirement ID],0))),"",INDEX(Backlog[Priority],MATCH($A298,Backlog[Requirement ID],0))),"")</f>
        <v/>
      </c>
      <c r="E298" s="1" t="str">
        <f aca="false">IFERROR(IF(ISBLANK(INDEX(Backlog[Status],MATCH($A298,Backlog[Requirement ID],0))),"",INDEX(Backlog[Status],MATCH($A298,Backlog[Requirement ID],0))),"")</f>
        <v/>
      </c>
      <c r="F298" s="23"/>
      <c r="G298" s="1" t="str">
        <f aca="false">IFERROR(IF(ISBLANK(INDEX(Backlog[HLE],MATCH($A298,Backlog[Requirement ID],0))),"",INDEX(Backlog[HLE],MATCH($A298,Backlog[Requirement ID],0))),"")</f>
        <v/>
      </c>
      <c r="H298" s="1" t="n">
        <f aca="false">IFERROR(VALUE(SUBSTITUTE($F298,"Sprint ","")),9999)</f>
        <v>9999</v>
      </c>
    </row>
    <row r="299" customFormat="false" ht="15" hidden="false" customHeight="true" outlineLevel="0" collapsed="false">
      <c r="A299" s="1" t="str">
        <f aca="false">Backlog!A299</f>
        <v/>
      </c>
      <c r="B299" s="1" t="str">
        <f aca="false">IFERROR(IF(ISBLANK(INDEX(Backlog[Requirement Name],MATCH($A299,Backlog[Requirement ID],0))),"",INDEX(Backlog[Requirement Name],MATCH($A299,Backlog[Requirement ID],0))),"")</f>
        <v/>
      </c>
      <c r="C299" s="1" t="str">
        <f aca="false">IFERROR(IF(ISBLANK(INDEX(Backlog[Stream],MATCH($A299,Backlog[Requirement ID],0))),"",INDEX(Backlog[Stream],MATCH($A299,Backlog[Requirement ID],0))),"")</f>
        <v/>
      </c>
      <c r="D299" s="1" t="str">
        <f aca="false">IFERROR(IF(ISBLANK(INDEX(Backlog[Priority],MATCH($A299,Backlog[Requirement ID],0))),"",INDEX(Backlog[Priority],MATCH($A299,Backlog[Requirement ID],0))),"")</f>
        <v/>
      </c>
      <c r="E299" s="1" t="str">
        <f aca="false">IFERROR(IF(ISBLANK(INDEX(Backlog[Status],MATCH($A299,Backlog[Requirement ID],0))),"",INDEX(Backlog[Status],MATCH($A299,Backlog[Requirement ID],0))),"")</f>
        <v/>
      </c>
      <c r="F299" s="23"/>
      <c r="G299" s="1" t="str">
        <f aca="false">IFERROR(IF(ISBLANK(INDEX(Backlog[HLE],MATCH($A299,Backlog[Requirement ID],0))),"",INDEX(Backlog[HLE],MATCH($A299,Backlog[Requirement ID],0))),"")</f>
        <v/>
      </c>
      <c r="H299" s="1" t="n">
        <f aca="false">IFERROR(VALUE(SUBSTITUTE($F299,"Sprint ","")),9999)</f>
        <v>9999</v>
      </c>
    </row>
    <row r="300" customFormat="false" ht="15" hidden="false" customHeight="true" outlineLevel="0" collapsed="false">
      <c r="A300" s="1" t="str">
        <f aca="false">Backlog!A300</f>
        <v/>
      </c>
      <c r="B300" s="1" t="str">
        <f aca="false">IFERROR(IF(ISBLANK(INDEX(Backlog[Requirement Name],MATCH($A300,Backlog[Requirement ID],0))),"",INDEX(Backlog[Requirement Name],MATCH($A300,Backlog[Requirement ID],0))),"")</f>
        <v/>
      </c>
      <c r="C300" s="1" t="str">
        <f aca="false">IFERROR(IF(ISBLANK(INDEX(Backlog[Stream],MATCH($A300,Backlog[Requirement ID],0))),"",INDEX(Backlog[Stream],MATCH($A300,Backlog[Requirement ID],0))),"")</f>
        <v/>
      </c>
      <c r="D300" s="1" t="str">
        <f aca="false">IFERROR(IF(ISBLANK(INDEX(Backlog[Priority],MATCH($A300,Backlog[Requirement ID],0))),"",INDEX(Backlog[Priority],MATCH($A300,Backlog[Requirement ID],0))),"")</f>
        <v/>
      </c>
      <c r="E300" s="1" t="str">
        <f aca="false">IFERROR(IF(ISBLANK(INDEX(Backlog[Status],MATCH($A300,Backlog[Requirement ID],0))),"",INDEX(Backlog[Status],MATCH($A300,Backlog[Requirement ID],0))),"")</f>
        <v/>
      </c>
      <c r="F300" s="23"/>
      <c r="G300" s="1" t="str">
        <f aca="false">IFERROR(IF(ISBLANK(INDEX(Backlog[HLE],MATCH($A300,Backlog[Requirement ID],0))),"",INDEX(Backlog[HLE],MATCH($A300,Backlog[Requirement ID],0))),"")</f>
        <v/>
      </c>
      <c r="H300" s="1" t="n">
        <f aca="false">IFERROR(VALUE(SUBSTITUTE($F300,"Sprint ","")),9999)</f>
        <v>9999</v>
      </c>
    </row>
    <row r="301" customFormat="false" ht="15" hidden="false" customHeight="true" outlineLevel="0" collapsed="false">
      <c r="A301" s="1" t="str">
        <f aca="false">Backlog!A301</f>
        <v/>
      </c>
      <c r="B301" s="1" t="str">
        <f aca="false">IFERROR(IF(ISBLANK(INDEX(Backlog[Requirement Name],MATCH($A301,Backlog[Requirement ID],0))),"",INDEX(Backlog[Requirement Name],MATCH($A301,Backlog[Requirement ID],0))),"")</f>
        <v/>
      </c>
      <c r="C301" s="1" t="str">
        <f aca="false">IFERROR(IF(ISBLANK(INDEX(Backlog[Stream],MATCH($A301,Backlog[Requirement ID],0))),"",INDEX(Backlog[Stream],MATCH($A301,Backlog[Requirement ID],0))),"")</f>
        <v/>
      </c>
      <c r="D301" s="1" t="str">
        <f aca="false">IFERROR(IF(ISBLANK(INDEX(Backlog[Priority],MATCH($A301,Backlog[Requirement ID],0))),"",INDEX(Backlog[Priority],MATCH($A301,Backlog[Requirement ID],0))),"")</f>
        <v/>
      </c>
      <c r="E301" s="1" t="str">
        <f aca="false">IFERROR(IF(ISBLANK(INDEX(Backlog[Status],MATCH($A301,Backlog[Requirement ID],0))),"",INDEX(Backlog[Status],MATCH($A301,Backlog[Requirement ID],0))),"")</f>
        <v/>
      </c>
      <c r="F301" s="23"/>
      <c r="G301" s="1" t="str">
        <f aca="false">IFERROR(IF(ISBLANK(INDEX(Backlog[HLE],MATCH($A301,Backlog[Requirement ID],0))),"",INDEX(Backlog[HLE],MATCH($A301,Backlog[Requirement ID],0))),"")</f>
        <v/>
      </c>
      <c r="H301" s="1" t="n">
        <f aca="false">IFERROR(VALUE(SUBSTITUTE($F301,"Sprint ","")),9999)</f>
        <v>9999</v>
      </c>
    </row>
    <row r="302" customFormat="false" ht="15" hidden="false" customHeight="true" outlineLevel="0" collapsed="false">
      <c r="A302" s="1" t="str">
        <f aca="false">Backlog!A302</f>
        <v/>
      </c>
      <c r="B302" s="1" t="str">
        <f aca="false">IFERROR(IF(ISBLANK(INDEX(Backlog[Requirement Name],MATCH($A302,Backlog[Requirement ID],0))),"",INDEX(Backlog[Requirement Name],MATCH($A302,Backlog[Requirement ID],0))),"")</f>
        <v/>
      </c>
      <c r="C302" s="1" t="str">
        <f aca="false">IFERROR(IF(ISBLANK(INDEX(Backlog[Stream],MATCH($A302,Backlog[Requirement ID],0))),"",INDEX(Backlog[Stream],MATCH($A302,Backlog[Requirement ID],0))),"")</f>
        <v/>
      </c>
      <c r="D302" s="1" t="str">
        <f aca="false">IFERROR(IF(ISBLANK(INDEX(Backlog[Priority],MATCH($A302,Backlog[Requirement ID],0))),"",INDEX(Backlog[Priority],MATCH($A302,Backlog[Requirement ID],0))),"")</f>
        <v/>
      </c>
      <c r="E302" s="1" t="str">
        <f aca="false">IFERROR(IF(ISBLANK(INDEX(Backlog[Status],MATCH($A302,Backlog[Requirement ID],0))),"",INDEX(Backlog[Status],MATCH($A302,Backlog[Requirement ID],0))),"")</f>
        <v/>
      </c>
      <c r="F302" s="23"/>
      <c r="G302" s="1" t="str">
        <f aca="false">IFERROR(IF(ISBLANK(INDEX(Backlog[HLE],MATCH($A302,Backlog[Requirement ID],0))),"",INDEX(Backlog[HLE],MATCH($A302,Backlog[Requirement ID],0))),"")</f>
        <v/>
      </c>
      <c r="H302" s="1" t="n">
        <f aca="false">IFERROR(VALUE(SUBSTITUTE($F302,"Sprint ","")),9999)</f>
        <v>9999</v>
      </c>
    </row>
    <row r="303" customFormat="false" ht="15" hidden="false" customHeight="true" outlineLevel="0" collapsed="false">
      <c r="A303" s="1" t="str">
        <f aca="false">Backlog!A303</f>
        <v/>
      </c>
      <c r="B303" s="1" t="str">
        <f aca="false">IFERROR(IF(ISBLANK(INDEX(Backlog[Requirement Name],MATCH($A303,Backlog[Requirement ID],0))),"",INDEX(Backlog[Requirement Name],MATCH($A303,Backlog[Requirement ID],0))),"")</f>
        <v/>
      </c>
      <c r="C303" s="1" t="str">
        <f aca="false">IFERROR(IF(ISBLANK(INDEX(Backlog[Stream],MATCH($A303,Backlog[Requirement ID],0))),"",INDEX(Backlog[Stream],MATCH($A303,Backlog[Requirement ID],0))),"")</f>
        <v/>
      </c>
      <c r="D303" s="1" t="str">
        <f aca="false">IFERROR(IF(ISBLANK(INDEX(Backlog[Priority],MATCH($A303,Backlog[Requirement ID],0))),"",INDEX(Backlog[Priority],MATCH($A303,Backlog[Requirement ID],0))),"")</f>
        <v/>
      </c>
      <c r="E303" s="1" t="str">
        <f aca="false">IFERROR(IF(ISBLANK(INDEX(Backlog[Status],MATCH($A303,Backlog[Requirement ID],0))),"",INDEX(Backlog[Status],MATCH($A303,Backlog[Requirement ID],0))),"")</f>
        <v/>
      </c>
      <c r="F303" s="23"/>
      <c r="G303" s="1" t="str">
        <f aca="false">IFERROR(IF(ISBLANK(INDEX(Backlog[HLE],MATCH($A303,Backlog[Requirement ID],0))),"",INDEX(Backlog[HLE],MATCH($A303,Backlog[Requirement ID],0))),"")</f>
        <v/>
      </c>
      <c r="H303" s="1" t="n">
        <f aca="false">IFERROR(VALUE(SUBSTITUTE($F303,"Sprint ","")),9999)</f>
        <v>9999</v>
      </c>
    </row>
    <row r="304" customFormat="false" ht="15" hidden="false" customHeight="true" outlineLevel="0" collapsed="false">
      <c r="A304" s="1" t="str">
        <f aca="false">Backlog!A304</f>
        <v/>
      </c>
      <c r="B304" s="1" t="str">
        <f aca="false">IFERROR(IF(ISBLANK(INDEX(Backlog[Requirement Name],MATCH($A304,Backlog[Requirement ID],0))),"",INDEX(Backlog[Requirement Name],MATCH($A304,Backlog[Requirement ID],0))),"")</f>
        <v/>
      </c>
      <c r="C304" s="1" t="str">
        <f aca="false">IFERROR(IF(ISBLANK(INDEX(Backlog[Stream],MATCH($A304,Backlog[Requirement ID],0))),"",INDEX(Backlog[Stream],MATCH($A304,Backlog[Requirement ID],0))),"")</f>
        <v/>
      </c>
      <c r="D304" s="1" t="str">
        <f aca="false">IFERROR(IF(ISBLANK(INDEX(Backlog[Priority],MATCH($A304,Backlog[Requirement ID],0))),"",INDEX(Backlog[Priority],MATCH($A304,Backlog[Requirement ID],0))),"")</f>
        <v/>
      </c>
      <c r="E304" s="1" t="str">
        <f aca="false">IFERROR(IF(ISBLANK(INDEX(Backlog[Status],MATCH($A304,Backlog[Requirement ID],0))),"",INDEX(Backlog[Status],MATCH($A304,Backlog[Requirement ID],0))),"")</f>
        <v/>
      </c>
      <c r="F304" s="23"/>
      <c r="G304" s="1" t="str">
        <f aca="false">IFERROR(IF(ISBLANK(INDEX(Backlog[HLE],MATCH($A304,Backlog[Requirement ID],0))),"",INDEX(Backlog[HLE],MATCH($A304,Backlog[Requirement ID],0))),"")</f>
        <v/>
      </c>
      <c r="H304" s="1" t="n">
        <f aca="false">IFERROR(VALUE(SUBSTITUTE($F304,"Sprint ","")),9999)</f>
        <v>9999</v>
      </c>
    </row>
    <row r="305" customFormat="false" ht="15" hidden="false" customHeight="true" outlineLevel="0" collapsed="false">
      <c r="A305" s="1" t="str">
        <f aca="false">Backlog!A305</f>
        <v/>
      </c>
      <c r="B305" s="1" t="str">
        <f aca="false">IFERROR(IF(ISBLANK(INDEX(Backlog[Requirement Name],MATCH($A305,Backlog[Requirement ID],0))),"",INDEX(Backlog[Requirement Name],MATCH($A305,Backlog[Requirement ID],0))),"")</f>
        <v/>
      </c>
      <c r="C305" s="1" t="str">
        <f aca="false">IFERROR(IF(ISBLANK(INDEX(Backlog[Stream],MATCH($A305,Backlog[Requirement ID],0))),"",INDEX(Backlog[Stream],MATCH($A305,Backlog[Requirement ID],0))),"")</f>
        <v/>
      </c>
      <c r="D305" s="1" t="str">
        <f aca="false">IFERROR(IF(ISBLANK(INDEX(Backlog[Priority],MATCH($A305,Backlog[Requirement ID],0))),"",INDEX(Backlog[Priority],MATCH($A305,Backlog[Requirement ID],0))),"")</f>
        <v/>
      </c>
      <c r="E305" s="1" t="str">
        <f aca="false">IFERROR(IF(ISBLANK(INDEX(Backlog[Status],MATCH($A305,Backlog[Requirement ID],0))),"",INDEX(Backlog[Status],MATCH($A305,Backlog[Requirement ID],0))),"")</f>
        <v/>
      </c>
      <c r="F305" s="23"/>
      <c r="G305" s="1" t="str">
        <f aca="false">IFERROR(IF(ISBLANK(INDEX(Backlog[HLE],MATCH($A305,Backlog[Requirement ID],0))),"",INDEX(Backlog[HLE],MATCH($A305,Backlog[Requirement ID],0))),"")</f>
        <v/>
      </c>
      <c r="H305" s="1" t="n">
        <f aca="false">IFERROR(VALUE(SUBSTITUTE($F305,"Sprint ","")),9999)</f>
        <v>9999</v>
      </c>
    </row>
    <row r="306" customFormat="false" ht="15" hidden="false" customHeight="true" outlineLevel="0" collapsed="false">
      <c r="A306" s="1" t="str">
        <f aca="false">Backlog!A306</f>
        <v/>
      </c>
      <c r="B306" s="1" t="str">
        <f aca="false">IFERROR(IF(ISBLANK(INDEX(Backlog[Requirement Name],MATCH($A306,Backlog[Requirement ID],0))),"",INDEX(Backlog[Requirement Name],MATCH($A306,Backlog[Requirement ID],0))),"")</f>
        <v/>
      </c>
      <c r="C306" s="1" t="str">
        <f aca="false">IFERROR(IF(ISBLANK(INDEX(Backlog[Stream],MATCH($A306,Backlog[Requirement ID],0))),"",INDEX(Backlog[Stream],MATCH($A306,Backlog[Requirement ID],0))),"")</f>
        <v/>
      </c>
      <c r="D306" s="1" t="str">
        <f aca="false">IFERROR(IF(ISBLANK(INDEX(Backlog[Priority],MATCH($A306,Backlog[Requirement ID],0))),"",INDEX(Backlog[Priority],MATCH($A306,Backlog[Requirement ID],0))),"")</f>
        <v/>
      </c>
      <c r="E306" s="1" t="str">
        <f aca="false">IFERROR(IF(ISBLANK(INDEX(Backlog[Status],MATCH($A306,Backlog[Requirement ID],0))),"",INDEX(Backlog[Status],MATCH($A306,Backlog[Requirement ID],0))),"")</f>
        <v/>
      </c>
      <c r="F306" s="23"/>
      <c r="G306" s="1" t="str">
        <f aca="false">IFERROR(IF(ISBLANK(INDEX(Backlog[HLE],MATCH($A306,Backlog[Requirement ID],0))),"",INDEX(Backlog[HLE],MATCH($A306,Backlog[Requirement ID],0))),"")</f>
        <v/>
      </c>
      <c r="H306" s="1" t="n">
        <f aca="false">IFERROR(VALUE(SUBSTITUTE($F306,"Sprint ","")),9999)</f>
        <v>9999</v>
      </c>
    </row>
    <row r="307" customFormat="false" ht="15" hidden="false" customHeight="true" outlineLevel="0" collapsed="false">
      <c r="A307" s="1" t="str">
        <f aca="false">Backlog!A307</f>
        <v/>
      </c>
      <c r="B307" s="1" t="str">
        <f aca="false">IFERROR(IF(ISBLANK(INDEX(Backlog[Requirement Name],MATCH($A307,Backlog[Requirement ID],0))),"",INDEX(Backlog[Requirement Name],MATCH($A307,Backlog[Requirement ID],0))),"")</f>
        <v/>
      </c>
      <c r="C307" s="1" t="str">
        <f aca="false">IFERROR(IF(ISBLANK(INDEX(Backlog[Stream],MATCH($A307,Backlog[Requirement ID],0))),"",INDEX(Backlog[Stream],MATCH($A307,Backlog[Requirement ID],0))),"")</f>
        <v/>
      </c>
      <c r="D307" s="1" t="str">
        <f aca="false">IFERROR(IF(ISBLANK(INDEX(Backlog[Priority],MATCH($A307,Backlog[Requirement ID],0))),"",INDEX(Backlog[Priority],MATCH($A307,Backlog[Requirement ID],0))),"")</f>
        <v/>
      </c>
      <c r="E307" s="1" t="str">
        <f aca="false">IFERROR(IF(ISBLANK(INDEX(Backlog[Status],MATCH($A307,Backlog[Requirement ID],0))),"",INDEX(Backlog[Status],MATCH($A307,Backlog[Requirement ID],0))),"")</f>
        <v/>
      </c>
      <c r="F307" s="23"/>
      <c r="G307" s="1" t="str">
        <f aca="false">IFERROR(IF(ISBLANK(INDEX(Backlog[HLE],MATCH($A307,Backlog[Requirement ID],0))),"",INDEX(Backlog[HLE],MATCH($A307,Backlog[Requirement ID],0))),"")</f>
        <v/>
      </c>
      <c r="H307" s="1" t="n">
        <f aca="false">IFERROR(VALUE(SUBSTITUTE($F307,"Sprint ","")),9999)</f>
        <v>9999</v>
      </c>
    </row>
    <row r="308" customFormat="false" ht="15" hidden="false" customHeight="true" outlineLevel="0" collapsed="false">
      <c r="A308" s="1" t="str">
        <f aca="false">Backlog!A308</f>
        <v/>
      </c>
      <c r="B308" s="1" t="str">
        <f aca="false">IFERROR(IF(ISBLANK(INDEX(Backlog[Requirement Name],MATCH($A308,Backlog[Requirement ID],0))),"",INDEX(Backlog[Requirement Name],MATCH($A308,Backlog[Requirement ID],0))),"")</f>
        <v/>
      </c>
      <c r="C308" s="1" t="str">
        <f aca="false">IFERROR(IF(ISBLANK(INDEX(Backlog[Stream],MATCH($A308,Backlog[Requirement ID],0))),"",INDEX(Backlog[Stream],MATCH($A308,Backlog[Requirement ID],0))),"")</f>
        <v/>
      </c>
      <c r="D308" s="1" t="str">
        <f aca="false">IFERROR(IF(ISBLANK(INDEX(Backlog[Priority],MATCH($A308,Backlog[Requirement ID],0))),"",INDEX(Backlog[Priority],MATCH($A308,Backlog[Requirement ID],0))),"")</f>
        <v/>
      </c>
      <c r="E308" s="1" t="str">
        <f aca="false">IFERROR(IF(ISBLANK(INDEX(Backlog[Status],MATCH($A308,Backlog[Requirement ID],0))),"",INDEX(Backlog[Status],MATCH($A308,Backlog[Requirement ID],0))),"")</f>
        <v/>
      </c>
      <c r="F308" s="23"/>
      <c r="G308" s="1" t="str">
        <f aca="false">IFERROR(IF(ISBLANK(INDEX(Backlog[HLE],MATCH($A308,Backlog[Requirement ID],0))),"",INDEX(Backlog[HLE],MATCH($A308,Backlog[Requirement ID],0))),"")</f>
        <v/>
      </c>
      <c r="H308" s="1" t="n">
        <f aca="false">IFERROR(VALUE(SUBSTITUTE($F308,"Sprint ","")),9999)</f>
        <v>9999</v>
      </c>
    </row>
    <row r="309" customFormat="false" ht="15" hidden="false" customHeight="true" outlineLevel="0" collapsed="false">
      <c r="A309" s="1" t="str">
        <f aca="false">Backlog!A309</f>
        <v/>
      </c>
      <c r="B309" s="1" t="str">
        <f aca="false">IFERROR(IF(ISBLANK(INDEX(Backlog[Requirement Name],MATCH($A309,Backlog[Requirement ID],0))),"",INDEX(Backlog[Requirement Name],MATCH($A309,Backlog[Requirement ID],0))),"")</f>
        <v/>
      </c>
      <c r="C309" s="1" t="str">
        <f aca="false">IFERROR(IF(ISBLANK(INDEX(Backlog[Stream],MATCH($A309,Backlog[Requirement ID],0))),"",INDEX(Backlog[Stream],MATCH($A309,Backlog[Requirement ID],0))),"")</f>
        <v/>
      </c>
      <c r="D309" s="1" t="str">
        <f aca="false">IFERROR(IF(ISBLANK(INDEX(Backlog[Priority],MATCH($A309,Backlog[Requirement ID],0))),"",INDEX(Backlog[Priority],MATCH($A309,Backlog[Requirement ID],0))),"")</f>
        <v/>
      </c>
      <c r="E309" s="1" t="str">
        <f aca="false">IFERROR(IF(ISBLANK(INDEX(Backlog[Status],MATCH($A309,Backlog[Requirement ID],0))),"",INDEX(Backlog[Status],MATCH($A309,Backlog[Requirement ID],0))),"")</f>
        <v/>
      </c>
      <c r="F309" s="23"/>
      <c r="G309" s="1" t="str">
        <f aca="false">IFERROR(IF(ISBLANK(INDEX(Backlog[HLE],MATCH($A309,Backlog[Requirement ID],0))),"",INDEX(Backlog[HLE],MATCH($A309,Backlog[Requirement ID],0))),"")</f>
        <v/>
      </c>
      <c r="H309" s="1" t="n">
        <f aca="false">IFERROR(VALUE(SUBSTITUTE($F309,"Sprint ","")),9999)</f>
        <v>9999</v>
      </c>
    </row>
    <row r="310" customFormat="false" ht="15" hidden="false" customHeight="true" outlineLevel="0" collapsed="false">
      <c r="A310" s="1" t="str">
        <f aca="false">Backlog!A310</f>
        <v/>
      </c>
      <c r="B310" s="1" t="str">
        <f aca="false">IFERROR(IF(ISBLANK(INDEX(Backlog[Requirement Name],MATCH($A310,Backlog[Requirement ID],0))),"",INDEX(Backlog[Requirement Name],MATCH($A310,Backlog[Requirement ID],0))),"")</f>
        <v/>
      </c>
      <c r="C310" s="1" t="str">
        <f aca="false">IFERROR(IF(ISBLANK(INDEX(Backlog[Stream],MATCH($A310,Backlog[Requirement ID],0))),"",INDEX(Backlog[Stream],MATCH($A310,Backlog[Requirement ID],0))),"")</f>
        <v/>
      </c>
      <c r="D310" s="1" t="str">
        <f aca="false">IFERROR(IF(ISBLANK(INDEX(Backlog[Priority],MATCH($A310,Backlog[Requirement ID],0))),"",INDEX(Backlog[Priority],MATCH($A310,Backlog[Requirement ID],0))),"")</f>
        <v/>
      </c>
      <c r="E310" s="1" t="str">
        <f aca="false">IFERROR(IF(ISBLANK(INDEX(Backlog[Status],MATCH($A310,Backlog[Requirement ID],0))),"",INDEX(Backlog[Status],MATCH($A310,Backlog[Requirement ID],0))),"")</f>
        <v/>
      </c>
      <c r="F310" s="23"/>
      <c r="G310" s="1" t="str">
        <f aca="false">IFERROR(IF(ISBLANK(INDEX(Backlog[HLE],MATCH($A310,Backlog[Requirement ID],0))),"",INDEX(Backlog[HLE],MATCH($A310,Backlog[Requirement ID],0))),"")</f>
        <v/>
      </c>
      <c r="H310" s="1" t="n">
        <f aca="false">IFERROR(VALUE(SUBSTITUTE($F310,"Sprint ","")),9999)</f>
        <v>9999</v>
      </c>
    </row>
    <row r="311" customFormat="false" ht="15" hidden="false" customHeight="true" outlineLevel="0" collapsed="false">
      <c r="A311" s="1" t="str">
        <f aca="false">Backlog!A311</f>
        <v/>
      </c>
      <c r="B311" s="1" t="str">
        <f aca="false">IFERROR(IF(ISBLANK(INDEX(Backlog[Requirement Name],MATCH($A311,Backlog[Requirement ID],0))),"",INDEX(Backlog[Requirement Name],MATCH($A311,Backlog[Requirement ID],0))),"")</f>
        <v/>
      </c>
      <c r="C311" s="1" t="str">
        <f aca="false">IFERROR(IF(ISBLANK(INDEX(Backlog[Stream],MATCH($A311,Backlog[Requirement ID],0))),"",INDEX(Backlog[Stream],MATCH($A311,Backlog[Requirement ID],0))),"")</f>
        <v/>
      </c>
      <c r="D311" s="1" t="str">
        <f aca="false">IFERROR(IF(ISBLANK(INDEX(Backlog[Priority],MATCH($A311,Backlog[Requirement ID],0))),"",INDEX(Backlog[Priority],MATCH($A311,Backlog[Requirement ID],0))),"")</f>
        <v/>
      </c>
      <c r="E311" s="1" t="str">
        <f aca="false">IFERROR(IF(ISBLANK(INDEX(Backlog[Status],MATCH($A311,Backlog[Requirement ID],0))),"",INDEX(Backlog[Status],MATCH($A311,Backlog[Requirement ID],0))),"")</f>
        <v/>
      </c>
      <c r="F311" s="23"/>
      <c r="G311" s="1" t="str">
        <f aca="false">IFERROR(IF(ISBLANK(INDEX(Backlog[HLE],MATCH($A311,Backlog[Requirement ID],0))),"",INDEX(Backlog[HLE],MATCH($A311,Backlog[Requirement ID],0))),"")</f>
        <v/>
      </c>
      <c r="H311" s="1" t="n">
        <f aca="false">IFERROR(VALUE(SUBSTITUTE($F311,"Sprint ","")),9999)</f>
        <v>9999</v>
      </c>
    </row>
    <row r="312" customFormat="false" ht="15" hidden="false" customHeight="true" outlineLevel="0" collapsed="false">
      <c r="A312" s="1" t="str">
        <f aca="false">Backlog!A312</f>
        <v/>
      </c>
      <c r="B312" s="1" t="str">
        <f aca="false">IFERROR(IF(ISBLANK(INDEX(Backlog[Requirement Name],MATCH($A312,Backlog[Requirement ID],0))),"",INDEX(Backlog[Requirement Name],MATCH($A312,Backlog[Requirement ID],0))),"")</f>
        <v/>
      </c>
      <c r="C312" s="1" t="str">
        <f aca="false">IFERROR(IF(ISBLANK(INDEX(Backlog[Stream],MATCH($A312,Backlog[Requirement ID],0))),"",INDEX(Backlog[Stream],MATCH($A312,Backlog[Requirement ID],0))),"")</f>
        <v/>
      </c>
      <c r="D312" s="1" t="str">
        <f aca="false">IFERROR(IF(ISBLANK(INDEX(Backlog[Priority],MATCH($A312,Backlog[Requirement ID],0))),"",INDEX(Backlog[Priority],MATCH($A312,Backlog[Requirement ID],0))),"")</f>
        <v/>
      </c>
      <c r="E312" s="1" t="str">
        <f aca="false">IFERROR(IF(ISBLANK(INDEX(Backlog[Status],MATCH($A312,Backlog[Requirement ID],0))),"",INDEX(Backlog[Status],MATCH($A312,Backlog[Requirement ID],0))),"")</f>
        <v/>
      </c>
      <c r="F312" s="23"/>
      <c r="G312" s="1" t="str">
        <f aca="false">IFERROR(IF(ISBLANK(INDEX(Backlog[HLE],MATCH($A312,Backlog[Requirement ID],0))),"",INDEX(Backlog[HLE],MATCH($A312,Backlog[Requirement ID],0))),"")</f>
        <v/>
      </c>
      <c r="H312" s="1" t="n">
        <f aca="false">IFERROR(VALUE(SUBSTITUTE($F312,"Sprint ","")),9999)</f>
        <v>9999</v>
      </c>
    </row>
    <row r="313" customFormat="false" ht="15" hidden="false" customHeight="true" outlineLevel="0" collapsed="false">
      <c r="A313" s="1" t="str">
        <f aca="false">Backlog!A313</f>
        <v/>
      </c>
      <c r="B313" s="1" t="str">
        <f aca="false">IFERROR(IF(ISBLANK(INDEX(Backlog[Requirement Name],MATCH($A313,Backlog[Requirement ID],0))),"",INDEX(Backlog[Requirement Name],MATCH($A313,Backlog[Requirement ID],0))),"")</f>
        <v/>
      </c>
      <c r="C313" s="1" t="str">
        <f aca="false">IFERROR(IF(ISBLANK(INDEX(Backlog[Stream],MATCH($A313,Backlog[Requirement ID],0))),"",INDEX(Backlog[Stream],MATCH($A313,Backlog[Requirement ID],0))),"")</f>
        <v/>
      </c>
      <c r="D313" s="1" t="str">
        <f aca="false">IFERROR(IF(ISBLANK(INDEX(Backlog[Priority],MATCH($A313,Backlog[Requirement ID],0))),"",INDEX(Backlog[Priority],MATCH($A313,Backlog[Requirement ID],0))),"")</f>
        <v/>
      </c>
      <c r="E313" s="1" t="str">
        <f aca="false">IFERROR(IF(ISBLANK(INDEX(Backlog[Status],MATCH($A313,Backlog[Requirement ID],0))),"",INDEX(Backlog[Status],MATCH($A313,Backlog[Requirement ID],0))),"")</f>
        <v/>
      </c>
      <c r="F313" s="23"/>
      <c r="G313" s="1" t="str">
        <f aca="false">IFERROR(IF(ISBLANK(INDEX(Backlog[HLE],MATCH($A313,Backlog[Requirement ID],0))),"",INDEX(Backlog[HLE],MATCH($A313,Backlog[Requirement ID],0))),"")</f>
        <v/>
      </c>
      <c r="H313" s="1" t="n">
        <f aca="false">IFERROR(VALUE(SUBSTITUTE($F313,"Sprint ","")),9999)</f>
        <v>9999</v>
      </c>
    </row>
    <row r="314" customFormat="false" ht="15" hidden="false" customHeight="true" outlineLevel="0" collapsed="false">
      <c r="A314" s="1" t="str">
        <f aca="false">Backlog!A314</f>
        <v/>
      </c>
      <c r="B314" s="1" t="str">
        <f aca="false">IFERROR(IF(ISBLANK(INDEX(Backlog[Requirement Name],MATCH($A314,Backlog[Requirement ID],0))),"",INDEX(Backlog[Requirement Name],MATCH($A314,Backlog[Requirement ID],0))),"")</f>
        <v/>
      </c>
      <c r="C314" s="1" t="str">
        <f aca="false">IFERROR(IF(ISBLANK(INDEX(Backlog[Stream],MATCH($A314,Backlog[Requirement ID],0))),"",INDEX(Backlog[Stream],MATCH($A314,Backlog[Requirement ID],0))),"")</f>
        <v/>
      </c>
      <c r="D314" s="1" t="str">
        <f aca="false">IFERROR(IF(ISBLANK(INDEX(Backlog[Priority],MATCH($A314,Backlog[Requirement ID],0))),"",INDEX(Backlog[Priority],MATCH($A314,Backlog[Requirement ID],0))),"")</f>
        <v/>
      </c>
      <c r="E314" s="1" t="str">
        <f aca="false">IFERROR(IF(ISBLANK(INDEX(Backlog[Status],MATCH($A314,Backlog[Requirement ID],0))),"",INDEX(Backlog[Status],MATCH($A314,Backlog[Requirement ID],0))),"")</f>
        <v/>
      </c>
      <c r="F314" s="23"/>
      <c r="G314" s="1" t="str">
        <f aca="false">IFERROR(IF(ISBLANK(INDEX(Backlog[HLE],MATCH($A314,Backlog[Requirement ID],0))),"",INDEX(Backlog[HLE],MATCH($A314,Backlog[Requirement ID],0))),"")</f>
        <v/>
      </c>
      <c r="H314" s="1" t="n">
        <f aca="false">IFERROR(VALUE(SUBSTITUTE($F314,"Sprint ","")),9999)</f>
        <v>9999</v>
      </c>
    </row>
    <row r="315" customFormat="false" ht="15" hidden="false" customHeight="true" outlineLevel="0" collapsed="false">
      <c r="A315" s="1" t="str">
        <f aca="false">Backlog!A315</f>
        <v/>
      </c>
      <c r="B315" s="1" t="str">
        <f aca="false">IFERROR(IF(ISBLANK(INDEX(Backlog[Requirement Name],MATCH($A315,Backlog[Requirement ID],0))),"",INDEX(Backlog[Requirement Name],MATCH($A315,Backlog[Requirement ID],0))),"")</f>
        <v/>
      </c>
      <c r="C315" s="1" t="str">
        <f aca="false">IFERROR(IF(ISBLANK(INDEX(Backlog[Stream],MATCH($A315,Backlog[Requirement ID],0))),"",INDEX(Backlog[Stream],MATCH($A315,Backlog[Requirement ID],0))),"")</f>
        <v/>
      </c>
      <c r="D315" s="1" t="str">
        <f aca="false">IFERROR(IF(ISBLANK(INDEX(Backlog[Priority],MATCH($A315,Backlog[Requirement ID],0))),"",INDEX(Backlog[Priority],MATCH($A315,Backlog[Requirement ID],0))),"")</f>
        <v/>
      </c>
      <c r="E315" s="1" t="str">
        <f aca="false">IFERROR(IF(ISBLANK(INDEX(Backlog[Status],MATCH($A315,Backlog[Requirement ID],0))),"",INDEX(Backlog[Status],MATCH($A315,Backlog[Requirement ID],0))),"")</f>
        <v/>
      </c>
      <c r="F315" s="23"/>
      <c r="G315" s="1" t="str">
        <f aca="false">IFERROR(IF(ISBLANK(INDEX(Backlog[HLE],MATCH($A315,Backlog[Requirement ID],0))),"",INDEX(Backlog[HLE],MATCH($A315,Backlog[Requirement ID],0))),"")</f>
        <v/>
      </c>
      <c r="H315" s="1" t="n">
        <f aca="false">IFERROR(VALUE(SUBSTITUTE($F315,"Sprint ","")),9999)</f>
        <v>9999</v>
      </c>
    </row>
    <row r="316" customFormat="false" ht="15" hidden="false" customHeight="true" outlineLevel="0" collapsed="false">
      <c r="A316" s="1" t="str">
        <f aca="false">Backlog!A316</f>
        <v/>
      </c>
      <c r="B316" s="1" t="str">
        <f aca="false">IFERROR(IF(ISBLANK(INDEX(Backlog[Requirement Name],MATCH($A316,Backlog[Requirement ID],0))),"",INDEX(Backlog[Requirement Name],MATCH($A316,Backlog[Requirement ID],0))),"")</f>
        <v/>
      </c>
      <c r="C316" s="1" t="str">
        <f aca="false">IFERROR(IF(ISBLANK(INDEX(Backlog[Stream],MATCH($A316,Backlog[Requirement ID],0))),"",INDEX(Backlog[Stream],MATCH($A316,Backlog[Requirement ID],0))),"")</f>
        <v/>
      </c>
      <c r="D316" s="1" t="str">
        <f aca="false">IFERROR(IF(ISBLANK(INDEX(Backlog[Priority],MATCH($A316,Backlog[Requirement ID],0))),"",INDEX(Backlog[Priority],MATCH($A316,Backlog[Requirement ID],0))),"")</f>
        <v/>
      </c>
      <c r="E316" s="1" t="str">
        <f aca="false">IFERROR(IF(ISBLANK(INDEX(Backlog[Status],MATCH($A316,Backlog[Requirement ID],0))),"",INDEX(Backlog[Status],MATCH($A316,Backlog[Requirement ID],0))),"")</f>
        <v/>
      </c>
      <c r="F316" s="23"/>
      <c r="G316" s="1" t="str">
        <f aca="false">IFERROR(IF(ISBLANK(INDEX(Backlog[HLE],MATCH($A316,Backlog[Requirement ID],0))),"",INDEX(Backlog[HLE],MATCH($A316,Backlog[Requirement ID],0))),"")</f>
        <v/>
      </c>
      <c r="H316" s="1" t="n">
        <f aca="false">IFERROR(VALUE(SUBSTITUTE($F316,"Sprint ","")),9999)</f>
        <v>9999</v>
      </c>
    </row>
    <row r="317" customFormat="false" ht="15" hidden="false" customHeight="true" outlineLevel="0" collapsed="false">
      <c r="A317" s="1" t="str">
        <f aca="false">Backlog!A317</f>
        <v/>
      </c>
      <c r="B317" s="1" t="str">
        <f aca="false">IFERROR(IF(ISBLANK(INDEX(Backlog[Requirement Name],MATCH($A317,Backlog[Requirement ID],0))),"",INDEX(Backlog[Requirement Name],MATCH($A317,Backlog[Requirement ID],0))),"")</f>
        <v/>
      </c>
      <c r="C317" s="1" t="str">
        <f aca="false">IFERROR(IF(ISBLANK(INDEX(Backlog[Stream],MATCH($A317,Backlog[Requirement ID],0))),"",INDEX(Backlog[Stream],MATCH($A317,Backlog[Requirement ID],0))),"")</f>
        <v/>
      </c>
      <c r="D317" s="1" t="str">
        <f aca="false">IFERROR(IF(ISBLANK(INDEX(Backlog[Priority],MATCH($A317,Backlog[Requirement ID],0))),"",INDEX(Backlog[Priority],MATCH($A317,Backlog[Requirement ID],0))),"")</f>
        <v/>
      </c>
      <c r="E317" s="1" t="str">
        <f aca="false">IFERROR(IF(ISBLANK(INDEX(Backlog[Status],MATCH($A317,Backlog[Requirement ID],0))),"",INDEX(Backlog[Status],MATCH($A317,Backlog[Requirement ID],0))),"")</f>
        <v/>
      </c>
      <c r="F317" s="23"/>
      <c r="G317" s="1" t="str">
        <f aca="false">IFERROR(IF(ISBLANK(INDEX(Backlog[HLE],MATCH($A317,Backlog[Requirement ID],0))),"",INDEX(Backlog[HLE],MATCH($A317,Backlog[Requirement ID],0))),"")</f>
        <v/>
      </c>
      <c r="H317" s="1" t="n">
        <f aca="false">IFERROR(VALUE(SUBSTITUTE($F317,"Sprint ","")),9999)</f>
        <v>9999</v>
      </c>
    </row>
    <row r="318" customFormat="false" ht="15" hidden="false" customHeight="true" outlineLevel="0" collapsed="false">
      <c r="A318" s="1" t="str">
        <f aca="false">Backlog!A318</f>
        <v/>
      </c>
      <c r="B318" s="1" t="str">
        <f aca="false">IFERROR(IF(ISBLANK(INDEX(Backlog[Requirement Name],MATCH($A318,Backlog[Requirement ID],0))),"",INDEX(Backlog[Requirement Name],MATCH($A318,Backlog[Requirement ID],0))),"")</f>
        <v/>
      </c>
      <c r="C318" s="1" t="str">
        <f aca="false">IFERROR(IF(ISBLANK(INDEX(Backlog[Stream],MATCH($A318,Backlog[Requirement ID],0))),"",INDEX(Backlog[Stream],MATCH($A318,Backlog[Requirement ID],0))),"")</f>
        <v/>
      </c>
      <c r="D318" s="1" t="str">
        <f aca="false">IFERROR(IF(ISBLANK(INDEX(Backlog[Priority],MATCH($A318,Backlog[Requirement ID],0))),"",INDEX(Backlog[Priority],MATCH($A318,Backlog[Requirement ID],0))),"")</f>
        <v/>
      </c>
      <c r="E318" s="1" t="str">
        <f aca="false">IFERROR(IF(ISBLANK(INDEX(Backlog[Status],MATCH($A318,Backlog[Requirement ID],0))),"",INDEX(Backlog[Status],MATCH($A318,Backlog[Requirement ID],0))),"")</f>
        <v/>
      </c>
      <c r="F318" s="23"/>
      <c r="G318" s="1" t="str">
        <f aca="false">IFERROR(IF(ISBLANK(INDEX(Backlog[HLE],MATCH($A318,Backlog[Requirement ID],0))),"",INDEX(Backlog[HLE],MATCH($A318,Backlog[Requirement ID],0))),"")</f>
        <v/>
      </c>
      <c r="H318" s="1" t="n">
        <f aca="false">IFERROR(VALUE(SUBSTITUTE($F318,"Sprint ","")),9999)</f>
        <v>9999</v>
      </c>
    </row>
    <row r="319" customFormat="false" ht="15" hidden="false" customHeight="true" outlineLevel="0" collapsed="false">
      <c r="A319" s="1" t="str">
        <f aca="false">Backlog!A319</f>
        <v/>
      </c>
      <c r="B319" s="1" t="str">
        <f aca="false">IFERROR(IF(ISBLANK(INDEX(Backlog[Requirement Name],MATCH($A319,Backlog[Requirement ID],0))),"",INDEX(Backlog[Requirement Name],MATCH($A319,Backlog[Requirement ID],0))),"")</f>
        <v/>
      </c>
      <c r="C319" s="1" t="str">
        <f aca="false">IFERROR(IF(ISBLANK(INDEX(Backlog[Stream],MATCH($A319,Backlog[Requirement ID],0))),"",INDEX(Backlog[Stream],MATCH($A319,Backlog[Requirement ID],0))),"")</f>
        <v/>
      </c>
      <c r="D319" s="1" t="str">
        <f aca="false">IFERROR(IF(ISBLANK(INDEX(Backlog[Priority],MATCH($A319,Backlog[Requirement ID],0))),"",INDEX(Backlog[Priority],MATCH($A319,Backlog[Requirement ID],0))),"")</f>
        <v/>
      </c>
      <c r="E319" s="1" t="str">
        <f aca="false">IFERROR(IF(ISBLANK(INDEX(Backlog[Status],MATCH($A319,Backlog[Requirement ID],0))),"",INDEX(Backlog[Status],MATCH($A319,Backlog[Requirement ID],0))),"")</f>
        <v/>
      </c>
      <c r="F319" s="23"/>
      <c r="G319" s="1" t="str">
        <f aca="false">IFERROR(IF(ISBLANK(INDEX(Backlog[HLE],MATCH($A319,Backlog[Requirement ID],0))),"",INDEX(Backlog[HLE],MATCH($A319,Backlog[Requirement ID],0))),"")</f>
        <v/>
      </c>
      <c r="H319" s="1" t="n">
        <f aca="false">IFERROR(VALUE(SUBSTITUTE($F319,"Sprint ","")),9999)</f>
        <v>9999</v>
      </c>
    </row>
    <row r="320" customFormat="false" ht="15" hidden="false" customHeight="true" outlineLevel="0" collapsed="false">
      <c r="A320" s="1" t="str">
        <f aca="false">Backlog!A320</f>
        <v/>
      </c>
      <c r="B320" s="1" t="str">
        <f aca="false">IFERROR(IF(ISBLANK(INDEX(Backlog[Requirement Name],MATCH($A320,Backlog[Requirement ID],0))),"",INDEX(Backlog[Requirement Name],MATCH($A320,Backlog[Requirement ID],0))),"")</f>
        <v/>
      </c>
      <c r="C320" s="1" t="str">
        <f aca="false">IFERROR(IF(ISBLANK(INDEX(Backlog[Stream],MATCH($A320,Backlog[Requirement ID],0))),"",INDEX(Backlog[Stream],MATCH($A320,Backlog[Requirement ID],0))),"")</f>
        <v/>
      </c>
      <c r="D320" s="1" t="str">
        <f aca="false">IFERROR(IF(ISBLANK(INDEX(Backlog[Priority],MATCH($A320,Backlog[Requirement ID],0))),"",INDEX(Backlog[Priority],MATCH($A320,Backlog[Requirement ID],0))),"")</f>
        <v/>
      </c>
      <c r="E320" s="1" t="str">
        <f aca="false">IFERROR(IF(ISBLANK(INDEX(Backlog[Status],MATCH($A320,Backlog[Requirement ID],0))),"",INDEX(Backlog[Status],MATCH($A320,Backlog[Requirement ID],0))),"")</f>
        <v/>
      </c>
      <c r="F320" s="23"/>
      <c r="G320" s="1" t="str">
        <f aca="false">IFERROR(IF(ISBLANK(INDEX(Backlog[HLE],MATCH($A320,Backlog[Requirement ID],0))),"",INDEX(Backlog[HLE],MATCH($A320,Backlog[Requirement ID],0))),"")</f>
        <v/>
      </c>
      <c r="H320" s="1" t="n">
        <f aca="false">IFERROR(VALUE(SUBSTITUTE($F320,"Sprint ","")),9999)</f>
        <v>9999</v>
      </c>
    </row>
    <row r="321" customFormat="false" ht="15" hidden="false" customHeight="true" outlineLevel="0" collapsed="false">
      <c r="A321" s="1" t="str">
        <f aca="false">Backlog!A321</f>
        <v/>
      </c>
      <c r="B321" s="1" t="str">
        <f aca="false">IFERROR(IF(ISBLANK(INDEX(Backlog[Requirement Name],MATCH($A321,Backlog[Requirement ID],0))),"",INDEX(Backlog[Requirement Name],MATCH($A321,Backlog[Requirement ID],0))),"")</f>
        <v/>
      </c>
      <c r="C321" s="1" t="str">
        <f aca="false">IFERROR(IF(ISBLANK(INDEX(Backlog[Stream],MATCH($A321,Backlog[Requirement ID],0))),"",INDEX(Backlog[Stream],MATCH($A321,Backlog[Requirement ID],0))),"")</f>
        <v/>
      </c>
      <c r="D321" s="1" t="str">
        <f aca="false">IFERROR(IF(ISBLANK(INDEX(Backlog[Priority],MATCH($A321,Backlog[Requirement ID],0))),"",INDEX(Backlog[Priority],MATCH($A321,Backlog[Requirement ID],0))),"")</f>
        <v/>
      </c>
      <c r="E321" s="1" t="str">
        <f aca="false">IFERROR(IF(ISBLANK(INDEX(Backlog[Status],MATCH($A321,Backlog[Requirement ID],0))),"",INDEX(Backlog[Status],MATCH($A321,Backlog[Requirement ID],0))),"")</f>
        <v/>
      </c>
      <c r="F321" s="23"/>
      <c r="G321" s="1" t="str">
        <f aca="false">IFERROR(IF(ISBLANK(INDEX(Backlog[HLE],MATCH($A321,Backlog[Requirement ID],0))),"",INDEX(Backlog[HLE],MATCH($A321,Backlog[Requirement ID],0))),"")</f>
        <v/>
      </c>
      <c r="H321" s="1" t="n">
        <f aca="false">IFERROR(VALUE(SUBSTITUTE($F321,"Sprint ","")),9999)</f>
        <v>9999</v>
      </c>
    </row>
    <row r="322" customFormat="false" ht="15" hidden="false" customHeight="true" outlineLevel="0" collapsed="false">
      <c r="A322" s="1" t="str">
        <f aca="false">Backlog!A322</f>
        <v/>
      </c>
      <c r="B322" s="1" t="str">
        <f aca="false">IFERROR(IF(ISBLANK(INDEX(Backlog[Requirement Name],MATCH($A322,Backlog[Requirement ID],0))),"",INDEX(Backlog[Requirement Name],MATCH($A322,Backlog[Requirement ID],0))),"")</f>
        <v/>
      </c>
      <c r="C322" s="1" t="str">
        <f aca="false">IFERROR(IF(ISBLANK(INDEX(Backlog[Stream],MATCH($A322,Backlog[Requirement ID],0))),"",INDEX(Backlog[Stream],MATCH($A322,Backlog[Requirement ID],0))),"")</f>
        <v/>
      </c>
      <c r="D322" s="1" t="str">
        <f aca="false">IFERROR(IF(ISBLANK(INDEX(Backlog[Priority],MATCH($A322,Backlog[Requirement ID],0))),"",INDEX(Backlog[Priority],MATCH($A322,Backlog[Requirement ID],0))),"")</f>
        <v/>
      </c>
      <c r="E322" s="1" t="str">
        <f aca="false">IFERROR(IF(ISBLANK(INDEX(Backlog[Status],MATCH($A322,Backlog[Requirement ID],0))),"",INDEX(Backlog[Status],MATCH($A322,Backlog[Requirement ID],0))),"")</f>
        <v/>
      </c>
      <c r="F322" s="23"/>
      <c r="G322" s="1" t="str">
        <f aca="false">IFERROR(IF(ISBLANK(INDEX(Backlog[HLE],MATCH($A322,Backlog[Requirement ID],0))),"",INDEX(Backlog[HLE],MATCH($A322,Backlog[Requirement ID],0))),"")</f>
        <v/>
      </c>
      <c r="H322" s="1" t="n">
        <f aca="false">IFERROR(VALUE(SUBSTITUTE($F322,"Sprint ","")),9999)</f>
        <v>9999</v>
      </c>
    </row>
    <row r="323" customFormat="false" ht="15" hidden="false" customHeight="true" outlineLevel="0" collapsed="false">
      <c r="A323" s="1" t="str">
        <f aca="false">Backlog!A323</f>
        <v/>
      </c>
      <c r="B323" s="1" t="str">
        <f aca="false">IFERROR(IF(ISBLANK(INDEX(Backlog[Requirement Name],MATCH($A323,Backlog[Requirement ID],0))),"",INDEX(Backlog[Requirement Name],MATCH($A323,Backlog[Requirement ID],0))),"")</f>
        <v/>
      </c>
      <c r="C323" s="1" t="str">
        <f aca="false">IFERROR(IF(ISBLANK(INDEX(Backlog[Stream],MATCH($A323,Backlog[Requirement ID],0))),"",INDEX(Backlog[Stream],MATCH($A323,Backlog[Requirement ID],0))),"")</f>
        <v/>
      </c>
      <c r="D323" s="1" t="str">
        <f aca="false">IFERROR(IF(ISBLANK(INDEX(Backlog[Priority],MATCH($A323,Backlog[Requirement ID],0))),"",INDEX(Backlog[Priority],MATCH($A323,Backlog[Requirement ID],0))),"")</f>
        <v/>
      </c>
      <c r="E323" s="1" t="str">
        <f aca="false">IFERROR(IF(ISBLANK(INDEX(Backlog[Status],MATCH($A323,Backlog[Requirement ID],0))),"",INDEX(Backlog[Status],MATCH($A323,Backlog[Requirement ID],0))),"")</f>
        <v/>
      </c>
      <c r="F323" s="23"/>
      <c r="G323" s="1" t="str">
        <f aca="false">IFERROR(IF(ISBLANK(INDEX(Backlog[HLE],MATCH($A323,Backlog[Requirement ID],0))),"",INDEX(Backlog[HLE],MATCH($A323,Backlog[Requirement ID],0))),"")</f>
        <v/>
      </c>
      <c r="H323" s="1" t="n">
        <f aca="false">IFERROR(VALUE(SUBSTITUTE($F323,"Sprint ","")),9999)</f>
        <v>9999</v>
      </c>
    </row>
    <row r="324" customFormat="false" ht="15" hidden="false" customHeight="true" outlineLevel="0" collapsed="false">
      <c r="A324" s="1" t="str">
        <f aca="false">Backlog!A324</f>
        <v/>
      </c>
      <c r="B324" s="1" t="str">
        <f aca="false">IFERROR(IF(ISBLANK(INDEX(Backlog[Requirement Name],MATCH($A324,Backlog[Requirement ID],0))),"",INDEX(Backlog[Requirement Name],MATCH($A324,Backlog[Requirement ID],0))),"")</f>
        <v/>
      </c>
      <c r="C324" s="1" t="str">
        <f aca="false">IFERROR(IF(ISBLANK(INDEX(Backlog[Stream],MATCH($A324,Backlog[Requirement ID],0))),"",INDEX(Backlog[Stream],MATCH($A324,Backlog[Requirement ID],0))),"")</f>
        <v/>
      </c>
      <c r="D324" s="1" t="str">
        <f aca="false">IFERROR(IF(ISBLANK(INDEX(Backlog[Priority],MATCH($A324,Backlog[Requirement ID],0))),"",INDEX(Backlog[Priority],MATCH($A324,Backlog[Requirement ID],0))),"")</f>
        <v/>
      </c>
      <c r="E324" s="1" t="str">
        <f aca="false">IFERROR(IF(ISBLANK(INDEX(Backlog[Status],MATCH($A324,Backlog[Requirement ID],0))),"",INDEX(Backlog[Status],MATCH($A324,Backlog[Requirement ID],0))),"")</f>
        <v/>
      </c>
      <c r="F324" s="23"/>
      <c r="G324" s="1" t="str">
        <f aca="false">IFERROR(IF(ISBLANK(INDEX(Backlog[HLE],MATCH($A324,Backlog[Requirement ID],0))),"",INDEX(Backlog[HLE],MATCH($A324,Backlog[Requirement ID],0))),"")</f>
        <v/>
      </c>
      <c r="H324" s="1" t="n">
        <f aca="false">IFERROR(VALUE(SUBSTITUTE($F324,"Sprint ","")),9999)</f>
        <v>9999</v>
      </c>
    </row>
    <row r="325" customFormat="false" ht="15" hidden="false" customHeight="true" outlineLevel="0" collapsed="false">
      <c r="F325" s="23"/>
    </row>
    <row r="326" customFormat="false" ht="15" hidden="false" customHeight="true" outlineLevel="0" collapsed="false">
      <c r="F326" s="23"/>
    </row>
    <row r="327" customFormat="false" ht="15" hidden="false" customHeight="true" outlineLevel="0" collapsed="false">
      <c r="F327" s="23"/>
    </row>
    <row r="328" customFormat="false" ht="15" hidden="false" customHeight="true" outlineLevel="0" collapsed="false">
      <c r="F328" s="23"/>
    </row>
    <row r="329" customFormat="false" ht="15" hidden="false" customHeight="true" outlineLevel="0" collapsed="false">
      <c r="F329" s="23"/>
    </row>
    <row r="330" customFormat="false" ht="15" hidden="false" customHeight="true" outlineLevel="0" collapsed="false">
      <c r="F330" s="23"/>
    </row>
    <row r="331" customFormat="false" ht="15" hidden="false" customHeight="true" outlineLevel="0" collapsed="false">
      <c r="F331" s="23"/>
    </row>
    <row r="332" customFormat="false" ht="15" hidden="false" customHeight="true" outlineLevel="0" collapsed="false">
      <c r="F332" s="23"/>
    </row>
    <row r="333" customFormat="false" ht="15" hidden="false" customHeight="true" outlineLevel="0" collapsed="false">
      <c r="F333" s="23"/>
    </row>
    <row r="334" customFormat="false" ht="15" hidden="false" customHeight="true" outlineLevel="0" collapsed="false">
      <c r="F334" s="23"/>
    </row>
    <row r="335" customFormat="false" ht="15" hidden="false" customHeight="true" outlineLevel="0" collapsed="false">
      <c r="F335" s="23"/>
    </row>
    <row r="336" customFormat="false" ht="15" hidden="false" customHeight="true" outlineLevel="0" collapsed="false">
      <c r="F336" s="23"/>
    </row>
    <row r="337" customFormat="false" ht="15" hidden="false" customHeight="true" outlineLevel="0" collapsed="false">
      <c r="F337" s="23"/>
    </row>
    <row r="338" customFormat="false" ht="15" hidden="false" customHeight="true" outlineLevel="0" collapsed="false">
      <c r="F338" s="23"/>
    </row>
    <row r="339" customFormat="false" ht="15" hidden="false" customHeight="true" outlineLevel="0" collapsed="false">
      <c r="F339" s="23"/>
    </row>
    <row r="340" customFormat="false" ht="15" hidden="false" customHeight="true" outlineLevel="0" collapsed="false">
      <c r="F340" s="23"/>
    </row>
    <row r="341" customFormat="false" ht="15" hidden="false" customHeight="true" outlineLevel="0" collapsed="false">
      <c r="F341" s="23"/>
    </row>
    <row r="342" customFormat="false" ht="15" hidden="false" customHeight="true" outlineLevel="0" collapsed="false">
      <c r="F342" s="23"/>
    </row>
    <row r="343" customFormat="false" ht="15" hidden="false" customHeight="true" outlineLevel="0" collapsed="false">
      <c r="F343" s="23"/>
    </row>
    <row r="344" customFormat="false" ht="15" hidden="false" customHeight="true" outlineLevel="0" collapsed="false">
      <c r="F344" s="23"/>
    </row>
    <row r="345" customFormat="false" ht="15" hidden="false" customHeight="true" outlineLevel="0" collapsed="false">
      <c r="F345" s="23"/>
    </row>
    <row r="346" customFormat="false" ht="15" hidden="false" customHeight="true" outlineLevel="0" collapsed="false">
      <c r="F346" s="23"/>
    </row>
    <row r="347" customFormat="false" ht="15" hidden="false" customHeight="true" outlineLevel="0" collapsed="false">
      <c r="F347" s="23"/>
    </row>
    <row r="348" customFormat="false" ht="15" hidden="false" customHeight="true" outlineLevel="0" collapsed="false">
      <c r="F348" s="23"/>
    </row>
    <row r="349" customFormat="false" ht="15" hidden="false" customHeight="true" outlineLevel="0" collapsed="false">
      <c r="F349" s="23"/>
    </row>
    <row r="350" customFormat="false" ht="15" hidden="false" customHeight="true" outlineLevel="0" collapsed="false">
      <c r="F350" s="23"/>
    </row>
    <row r="351" customFormat="false" ht="15" hidden="false" customHeight="true" outlineLevel="0" collapsed="false">
      <c r="F351" s="23"/>
    </row>
    <row r="352" customFormat="false" ht="15" hidden="false" customHeight="true" outlineLevel="0" collapsed="false">
      <c r="F352" s="23"/>
    </row>
    <row r="353" customFormat="false" ht="15" hidden="false" customHeight="true" outlineLevel="0" collapsed="false">
      <c r="F353" s="23"/>
    </row>
    <row r="354" customFormat="false" ht="15" hidden="false" customHeight="true" outlineLevel="0" collapsed="false">
      <c r="F354" s="23"/>
    </row>
    <row r="355" customFormat="false" ht="15" hidden="false" customHeight="true" outlineLevel="0" collapsed="false">
      <c r="F355" s="23"/>
    </row>
    <row r="356" customFormat="false" ht="15" hidden="false" customHeight="true" outlineLevel="0" collapsed="false">
      <c r="F356" s="23"/>
    </row>
    <row r="357" customFormat="false" ht="15" hidden="false" customHeight="true" outlineLevel="0" collapsed="false">
      <c r="F357" s="23"/>
    </row>
    <row r="358" customFormat="false" ht="15" hidden="false" customHeight="true" outlineLevel="0" collapsed="false">
      <c r="F358" s="23"/>
    </row>
    <row r="359" customFormat="false" ht="15" hidden="false" customHeight="true" outlineLevel="0" collapsed="false">
      <c r="F359" s="23"/>
    </row>
    <row r="360" customFormat="false" ht="15" hidden="false" customHeight="true" outlineLevel="0" collapsed="false">
      <c r="F360" s="23"/>
    </row>
    <row r="361" customFormat="false" ht="15" hidden="false" customHeight="true" outlineLevel="0" collapsed="false">
      <c r="F361" s="23"/>
    </row>
    <row r="362" customFormat="false" ht="15" hidden="false" customHeight="true" outlineLevel="0" collapsed="false">
      <c r="F362" s="23"/>
    </row>
    <row r="363" customFormat="false" ht="15" hidden="false" customHeight="true" outlineLevel="0" collapsed="false">
      <c r="F363" s="23"/>
    </row>
    <row r="364" customFormat="false" ht="15" hidden="false" customHeight="true" outlineLevel="0" collapsed="false">
      <c r="F364" s="23"/>
    </row>
    <row r="365" customFormat="false" ht="15" hidden="false" customHeight="true" outlineLevel="0" collapsed="false">
      <c r="F365" s="23"/>
    </row>
    <row r="366" customFormat="false" ht="15" hidden="false" customHeight="true" outlineLevel="0" collapsed="false">
      <c r="F366" s="23"/>
    </row>
    <row r="367" customFormat="false" ht="15" hidden="false" customHeight="true" outlineLevel="0" collapsed="false">
      <c r="F367" s="23"/>
    </row>
    <row r="368" customFormat="false" ht="15" hidden="false" customHeight="true" outlineLevel="0" collapsed="false">
      <c r="F368" s="23"/>
    </row>
    <row r="369" customFormat="false" ht="15" hidden="false" customHeight="true" outlineLevel="0" collapsed="false">
      <c r="F369" s="23"/>
    </row>
    <row r="370" customFormat="false" ht="15" hidden="false" customHeight="true" outlineLevel="0" collapsed="false">
      <c r="F370" s="23"/>
    </row>
    <row r="371" customFormat="false" ht="15" hidden="false" customHeight="true" outlineLevel="0" collapsed="false">
      <c r="F371" s="23"/>
    </row>
    <row r="372" customFormat="false" ht="15" hidden="false" customHeight="true" outlineLevel="0" collapsed="false">
      <c r="F372" s="23"/>
    </row>
    <row r="373" customFormat="false" ht="15" hidden="false" customHeight="true" outlineLevel="0" collapsed="false">
      <c r="F373" s="23"/>
    </row>
    <row r="374" customFormat="false" ht="15" hidden="false" customHeight="true" outlineLevel="0" collapsed="false">
      <c r="F374" s="23"/>
    </row>
    <row r="375" customFormat="false" ht="15" hidden="false" customHeight="true" outlineLevel="0" collapsed="false">
      <c r="F375" s="23"/>
    </row>
    <row r="376" customFormat="false" ht="15" hidden="false" customHeight="true" outlineLevel="0" collapsed="false">
      <c r="F376" s="23"/>
    </row>
    <row r="377" customFormat="false" ht="15" hidden="false" customHeight="true" outlineLevel="0" collapsed="false">
      <c r="F377" s="23"/>
    </row>
    <row r="378" customFormat="false" ht="15" hidden="false" customHeight="true" outlineLevel="0" collapsed="false">
      <c r="F378" s="23"/>
    </row>
    <row r="379" customFormat="false" ht="15" hidden="false" customHeight="true" outlineLevel="0" collapsed="false">
      <c r="F379" s="23"/>
    </row>
    <row r="380" customFormat="false" ht="15" hidden="false" customHeight="true" outlineLevel="0" collapsed="false">
      <c r="F380" s="23"/>
    </row>
    <row r="381" customFormat="false" ht="15" hidden="false" customHeight="true" outlineLevel="0" collapsed="false">
      <c r="F381" s="23"/>
    </row>
    <row r="382" customFormat="false" ht="15" hidden="false" customHeight="true" outlineLevel="0" collapsed="false">
      <c r="F382" s="23"/>
    </row>
    <row r="383" customFormat="false" ht="15" hidden="false" customHeight="true" outlineLevel="0" collapsed="false">
      <c r="F383" s="23"/>
    </row>
    <row r="384" customFormat="false" ht="15" hidden="false" customHeight="true" outlineLevel="0" collapsed="false">
      <c r="F384" s="23"/>
    </row>
    <row r="385" customFormat="false" ht="15" hidden="false" customHeight="true" outlineLevel="0" collapsed="false">
      <c r="F385" s="23"/>
    </row>
    <row r="386" customFormat="false" ht="15" hidden="false" customHeight="true" outlineLevel="0" collapsed="false">
      <c r="F386" s="23"/>
    </row>
    <row r="387" customFormat="false" ht="15" hidden="false" customHeight="true" outlineLevel="0" collapsed="false">
      <c r="F387" s="23"/>
    </row>
    <row r="388" customFormat="false" ht="15" hidden="false" customHeight="true" outlineLevel="0" collapsed="false">
      <c r="F388" s="23"/>
    </row>
    <row r="389" customFormat="false" ht="15" hidden="false" customHeight="true" outlineLevel="0" collapsed="false">
      <c r="F389" s="23"/>
    </row>
    <row r="390" customFormat="false" ht="15" hidden="false" customHeight="true" outlineLevel="0" collapsed="false">
      <c r="F390" s="23"/>
    </row>
    <row r="391" customFormat="false" ht="15" hidden="false" customHeight="true" outlineLevel="0" collapsed="false">
      <c r="F391" s="23"/>
    </row>
    <row r="392" customFormat="false" ht="15" hidden="false" customHeight="true" outlineLevel="0" collapsed="false">
      <c r="F392" s="23"/>
    </row>
    <row r="393" customFormat="false" ht="15" hidden="false" customHeight="true" outlineLevel="0" collapsed="false">
      <c r="F393" s="23"/>
    </row>
    <row r="394" customFormat="false" ht="15" hidden="false" customHeight="true" outlineLevel="0" collapsed="false">
      <c r="F394" s="23"/>
    </row>
    <row r="395" customFormat="false" ht="15" hidden="false" customHeight="true" outlineLevel="0" collapsed="false">
      <c r="F395" s="23"/>
    </row>
    <row r="396" customFormat="false" ht="15" hidden="false" customHeight="true" outlineLevel="0" collapsed="false">
      <c r="F396" s="23"/>
    </row>
    <row r="397" customFormat="false" ht="15" hidden="false" customHeight="true" outlineLevel="0" collapsed="false">
      <c r="F397" s="23"/>
    </row>
    <row r="398" customFormat="false" ht="15" hidden="false" customHeight="true" outlineLevel="0" collapsed="false">
      <c r="F398" s="23"/>
    </row>
    <row r="399" customFormat="false" ht="15" hidden="false" customHeight="true" outlineLevel="0" collapsed="false">
      <c r="F399" s="23"/>
    </row>
    <row r="400" customFormat="false" ht="15" hidden="false" customHeight="true" outlineLevel="0" collapsed="false">
      <c r="F400" s="23"/>
    </row>
    <row r="401" customFormat="false" ht="15" hidden="false" customHeight="true" outlineLevel="0" collapsed="false">
      <c r="F401" s="23"/>
    </row>
    <row r="402" customFormat="false" ht="15" hidden="false" customHeight="true" outlineLevel="0" collapsed="false">
      <c r="F402" s="23"/>
    </row>
    <row r="403" customFormat="false" ht="15" hidden="false" customHeight="true" outlineLevel="0" collapsed="false">
      <c r="F403" s="23"/>
    </row>
    <row r="404" customFormat="false" ht="15" hidden="false" customHeight="true" outlineLevel="0" collapsed="false">
      <c r="F404" s="23"/>
    </row>
    <row r="405" customFormat="false" ht="15" hidden="false" customHeight="true" outlineLevel="0" collapsed="false">
      <c r="F405" s="23"/>
    </row>
    <row r="406" customFormat="false" ht="15" hidden="false" customHeight="true" outlineLevel="0" collapsed="false">
      <c r="F406" s="23"/>
    </row>
    <row r="407" customFormat="false" ht="15" hidden="false" customHeight="true" outlineLevel="0" collapsed="false">
      <c r="F407" s="23"/>
    </row>
    <row r="408" customFormat="false" ht="15" hidden="false" customHeight="true" outlineLevel="0" collapsed="false">
      <c r="F408" s="23"/>
    </row>
    <row r="409" customFormat="false" ht="15" hidden="false" customHeight="true" outlineLevel="0" collapsed="false">
      <c r="F409" s="23"/>
    </row>
    <row r="410" customFormat="false" ht="15" hidden="false" customHeight="true" outlineLevel="0" collapsed="false">
      <c r="F410" s="23"/>
    </row>
    <row r="411" customFormat="false" ht="15" hidden="false" customHeight="true" outlineLevel="0" collapsed="false">
      <c r="F411" s="23"/>
    </row>
    <row r="412" customFormat="false" ht="15" hidden="false" customHeight="true" outlineLevel="0" collapsed="false">
      <c r="F412" s="23"/>
    </row>
    <row r="413" customFormat="false" ht="15" hidden="false" customHeight="true" outlineLevel="0" collapsed="false">
      <c r="F413" s="23"/>
    </row>
    <row r="414" customFormat="false" ht="15" hidden="false" customHeight="true" outlineLevel="0" collapsed="false">
      <c r="F414" s="23"/>
    </row>
    <row r="415" customFormat="false" ht="15" hidden="false" customHeight="true" outlineLevel="0" collapsed="false">
      <c r="F415" s="23"/>
    </row>
    <row r="416" customFormat="false" ht="15" hidden="false" customHeight="true" outlineLevel="0" collapsed="false">
      <c r="F416" s="23"/>
    </row>
    <row r="417" customFormat="false" ht="15" hidden="false" customHeight="true" outlineLevel="0" collapsed="false">
      <c r="F417" s="23"/>
    </row>
    <row r="418" customFormat="false" ht="15" hidden="false" customHeight="true" outlineLevel="0" collapsed="false">
      <c r="F418" s="23"/>
    </row>
    <row r="419" customFormat="false" ht="15" hidden="false" customHeight="true" outlineLevel="0" collapsed="false">
      <c r="F419" s="23"/>
    </row>
    <row r="420" customFormat="false" ht="15" hidden="false" customHeight="true" outlineLevel="0" collapsed="false">
      <c r="F420" s="23"/>
    </row>
    <row r="421" customFormat="false" ht="15" hidden="false" customHeight="true" outlineLevel="0" collapsed="false">
      <c r="F421" s="23"/>
    </row>
    <row r="422" customFormat="false" ht="15" hidden="false" customHeight="true" outlineLevel="0" collapsed="false">
      <c r="F422" s="23"/>
    </row>
    <row r="423" customFormat="false" ht="15" hidden="false" customHeight="true" outlineLevel="0" collapsed="false">
      <c r="F423" s="23"/>
    </row>
    <row r="424" customFormat="false" ht="15" hidden="false" customHeight="true" outlineLevel="0" collapsed="false">
      <c r="F424" s="23"/>
    </row>
    <row r="425" customFormat="false" ht="15" hidden="false" customHeight="true" outlineLevel="0" collapsed="false">
      <c r="F425" s="23"/>
    </row>
    <row r="426" customFormat="false" ht="15" hidden="false" customHeight="true" outlineLevel="0" collapsed="false">
      <c r="F426" s="23"/>
    </row>
    <row r="427" customFormat="false" ht="15" hidden="false" customHeight="true" outlineLevel="0" collapsed="false">
      <c r="F427" s="23"/>
    </row>
    <row r="428" customFormat="false" ht="15" hidden="false" customHeight="true" outlineLevel="0" collapsed="false">
      <c r="F428" s="23"/>
    </row>
    <row r="429" customFormat="false" ht="15" hidden="false" customHeight="true" outlineLevel="0" collapsed="false">
      <c r="F429" s="23"/>
    </row>
    <row r="430" customFormat="false" ht="15" hidden="false" customHeight="true" outlineLevel="0" collapsed="false">
      <c r="F430" s="23"/>
    </row>
    <row r="431" customFormat="false" ht="15" hidden="false" customHeight="true" outlineLevel="0" collapsed="false">
      <c r="F431" s="23"/>
    </row>
    <row r="432" customFormat="false" ht="15" hidden="false" customHeight="true" outlineLevel="0" collapsed="false">
      <c r="F432" s="23"/>
    </row>
    <row r="433" customFormat="false" ht="15" hidden="false" customHeight="true" outlineLevel="0" collapsed="false">
      <c r="F433" s="23"/>
    </row>
    <row r="434" customFormat="false" ht="15" hidden="false" customHeight="true" outlineLevel="0" collapsed="false">
      <c r="F434" s="23"/>
    </row>
    <row r="435" customFormat="false" ht="15" hidden="false" customHeight="true" outlineLevel="0" collapsed="false">
      <c r="F435" s="23"/>
    </row>
    <row r="436" customFormat="false" ht="15" hidden="false" customHeight="true" outlineLevel="0" collapsed="false">
      <c r="F436" s="23"/>
    </row>
    <row r="437" customFormat="false" ht="15" hidden="false" customHeight="true" outlineLevel="0" collapsed="false">
      <c r="F437" s="23"/>
    </row>
    <row r="438" customFormat="false" ht="15" hidden="false" customHeight="true" outlineLevel="0" collapsed="false">
      <c r="F438" s="23"/>
    </row>
    <row r="439" customFormat="false" ht="15" hidden="false" customHeight="true" outlineLevel="0" collapsed="false">
      <c r="F439" s="23"/>
    </row>
    <row r="440" customFormat="false" ht="15" hidden="false" customHeight="true" outlineLevel="0" collapsed="false">
      <c r="F440" s="23"/>
    </row>
    <row r="441" customFormat="false" ht="15" hidden="false" customHeight="true" outlineLevel="0" collapsed="false">
      <c r="F441" s="23"/>
    </row>
    <row r="442" customFormat="false" ht="15" hidden="false" customHeight="true" outlineLevel="0" collapsed="false">
      <c r="F442" s="23"/>
    </row>
    <row r="443" customFormat="false" ht="15" hidden="false" customHeight="true" outlineLevel="0" collapsed="false">
      <c r="F443" s="23"/>
    </row>
    <row r="444" customFormat="false" ht="15" hidden="false" customHeight="true" outlineLevel="0" collapsed="false">
      <c r="F444" s="23"/>
    </row>
    <row r="445" customFormat="false" ht="15" hidden="false" customHeight="true" outlineLevel="0" collapsed="false">
      <c r="F445" s="23"/>
    </row>
    <row r="446" customFormat="false" ht="15" hidden="false" customHeight="true" outlineLevel="0" collapsed="false">
      <c r="F446" s="23"/>
    </row>
    <row r="447" customFormat="false" ht="15" hidden="false" customHeight="true" outlineLevel="0" collapsed="false">
      <c r="F447" s="23"/>
    </row>
    <row r="448" customFormat="false" ht="15" hidden="false" customHeight="true" outlineLevel="0" collapsed="false">
      <c r="F448" s="23"/>
    </row>
    <row r="449" customFormat="false" ht="15" hidden="false" customHeight="true" outlineLevel="0" collapsed="false">
      <c r="F449" s="23"/>
    </row>
    <row r="450" customFormat="false" ht="15" hidden="false" customHeight="true" outlineLevel="0" collapsed="false">
      <c r="F450" s="23"/>
    </row>
    <row r="451" customFormat="false" ht="15" hidden="false" customHeight="true" outlineLevel="0" collapsed="false">
      <c r="F451" s="23"/>
    </row>
    <row r="452" customFormat="false" ht="15" hidden="false" customHeight="true" outlineLevel="0" collapsed="false">
      <c r="F452" s="23"/>
    </row>
    <row r="453" customFormat="false" ht="15" hidden="false" customHeight="true" outlineLevel="0" collapsed="false">
      <c r="F453" s="23"/>
    </row>
    <row r="454" customFormat="false" ht="15" hidden="false" customHeight="true" outlineLevel="0" collapsed="false">
      <c r="F454" s="23"/>
    </row>
    <row r="455" customFormat="false" ht="15" hidden="false" customHeight="true" outlineLevel="0" collapsed="false">
      <c r="F455" s="23"/>
    </row>
    <row r="456" customFormat="false" ht="15" hidden="false" customHeight="true" outlineLevel="0" collapsed="false">
      <c r="F456" s="23"/>
    </row>
    <row r="457" customFormat="false" ht="15" hidden="false" customHeight="true" outlineLevel="0" collapsed="false">
      <c r="F457" s="23"/>
    </row>
    <row r="458" customFormat="false" ht="15" hidden="false" customHeight="true" outlineLevel="0" collapsed="false">
      <c r="F458" s="23"/>
    </row>
    <row r="459" customFormat="false" ht="15" hidden="false" customHeight="true" outlineLevel="0" collapsed="false">
      <c r="F459" s="23"/>
    </row>
    <row r="460" customFormat="false" ht="15" hidden="false" customHeight="true" outlineLevel="0" collapsed="false">
      <c r="F460" s="23"/>
    </row>
    <row r="461" customFormat="false" ht="15" hidden="false" customHeight="true" outlineLevel="0" collapsed="false">
      <c r="F461" s="23"/>
    </row>
    <row r="462" customFormat="false" ht="15" hidden="false" customHeight="true" outlineLevel="0" collapsed="false">
      <c r="F462" s="23"/>
    </row>
    <row r="463" customFormat="false" ht="15" hidden="false" customHeight="true" outlineLevel="0" collapsed="false">
      <c r="F463" s="23"/>
    </row>
    <row r="464" customFormat="false" ht="15" hidden="false" customHeight="true" outlineLevel="0" collapsed="false">
      <c r="F464" s="23"/>
    </row>
    <row r="465" customFormat="false" ht="15" hidden="false" customHeight="true" outlineLevel="0" collapsed="false">
      <c r="F465" s="23"/>
    </row>
    <row r="466" customFormat="false" ht="15" hidden="false" customHeight="true" outlineLevel="0" collapsed="false">
      <c r="F466" s="23"/>
    </row>
    <row r="467" customFormat="false" ht="15" hidden="false" customHeight="true" outlineLevel="0" collapsed="false">
      <c r="F467" s="23"/>
    </row>
    <row r="468" customFormat="false" ht="15" hidden="false" customHeight="true" outlineLevel="0" collapsed="false">
      <c r="F468" s="23"/>
    </row>
    <row r="469" customFormat="false" ht="15" hidden="false" customHeight="true" outlineLevel="0" collapsed="false">
      <c r="F469" s="23"/>
    </row>
    <row r="470" customFormat="false" ht="15" hidden="false" customHeight="true" outlineLevel="0" collapsed="false">
      <c r="F470" s="23"/>
    </row>
    <row r="471" customFormat="false" ht="15" hidden="false" customHeight="true" outlineLevel="0" collapsed="false">
      <c r="F471" s="23"/>
    </row>
    <row r="472" customFormat="false" ht="15" hidden="false" customHeight="true" outlineLevel="0" collapsed="false">
      <c r="F472" s="23"/>
    </row>
    <row r="473" customFormat="false" ht="15" hidden="false" customHeight="true" outlineLevel="0" collapsed="false">
      <c r="F473" s="23"/>
    </row>
    <row r="474" customFormat="false" ht="15" hidden="false" customHeight="true" outlineLevel="0" collapsed="false">
      <c r="F474" s="23"/>
    </row>
    <row r="475" customFormat="false" ht="15" hidden="false" customHeight="true" outlineLevel="0" collapsed="false">
      <c r="F475" s="23"/>
    </row>
    <row r="476" customFormat="false" ht="15" hidden="false" customHeight="true" outlineLevel="0" collapsed="false">
      <c r="F476" s="23"/>
    </row>
    <row r="477" customFormat="false" ht="15" hidden="false" customHeight="true" outlineLevel="0" collapsed="false">
      <c r="F477" s="23"/>
    </row>
    <row r="478" customFormat="false" ht="15" hidden="false" customHeight="true" outlineLevel="0" collapsed="false">
      <c r="F478" s="23"/>
    </row>
    <row r="479" customFormat="false" ht="15" hidden="false" customHeight="true" outlineLevel="0" collapsed="false">
      <c r="F479" s="23"/>
    </row>
    <row r="480" customFormat="false" ht="15" hidden="false" customHeight="true" outlineLevel="0" collapsed="false">
      <c r="F480" s="23"/>
    </row>
    <row r="481" customFormat="false" ht="15" hidden="false" customHeight="true" outlineLevel="0" collapsed="false">
      <c r="F481" s="23"/>
    </row>
    <row r="482" customFormat="false" ht="15" hidden="false" customHeight="true" outlineLevel="0" collapsed="false">
      <c r="F482" s="23"/>
    </row>
    <row r="483" customFormat="false" ht="15" hidden="false" customHeight="true" outlineLevel="0" collapsed="false">
      <c r="F483" s="23"/>
    </row>
    <row r="484" customFormat="false" ht="15" hidden="false" customHeight="true" outlineLevel="0" collapsed="false">
      <c r="F484" s="23"/>
    </row>
    <row r="485" customFormat="false" ht="15" hidden="false" customHeight="true" outlineLevel="0" collapsed="false">
      <c r="F485" s="23"/>
    </row>
    <row r="486" customFormat="false" ht="15" hidden="false" customHeight="true" outlineLevel="0" collapsed="false">
      <c r="F486" s="23"/>
    </row>
    <row r="487" customFormat="false" ht="15" hidden="false" customHeight="true" outlineLevel="0" collapsed="false">
      <c r="F487" s="23"/>
    </row>
    <row r="488" customFormat="false" ht="15" hidden="false" customHeight="true" outlineLevel="0" collapsed="false">
      <c r="F488" s="23"/>
    </row>
    <row r="489" customFormat="false" ht="15" hidden="false" customHeight="true" outlineLevel="0" collapsed="false">
      <c r="F489" s="23"/>
    </row>
    <row r="490" customFormat="false" ht="15" hidden="false" customHeight="true" outlineLevel="0" collapsed="false">
      <c r="F490" s="23"/>
    </row>
    <row r="491" customFormat="false" ht="15" hidden="false" customHeight="true" outlineLevel="0" collapsed="false">
      <c r="F491" s="23"/>
    </row>
    <row r="492" customFormat="false" ht="15" hidden="false" customHeight="true" outlineLevel="0" collapsed="false">
      <c r="F492" s="23"/>
    </row>
    <row r="493" customFormat="false" ht="15" hidden="false" customHeight="true" outlineLevel="0" collapsed="false">
      <c r="F493" s="23"/>
    </row>
    <row r="494" customFormat="false" ht="15" hidden="false" customHeight="true" outlineLevel="0" collapsed="false">
      <c r="F494" s="23"/>
    </row>
    <row r="495" customFormat="false" ht="15" hidden="false" customHeight="true" outlineLevel="0" collapsed="false">
      <c r="F495" s="23"/>
    </row>
    <row r="496" customFormat="false" ht="15" hidden="false" customHeight="true" outlineLevel="0" collapsed="false">
      <c r="F496" s="23"/>
    </row>
    <row r="497" customFormat="false" ht="15" hidden="false" customHeight="true" outlineLevel="0" collapsed="false">
      <c r="F497" s="23"/>
    </row>
    <row r="498" customFormat="false" ht="15" hidden="false" customHeight="true" outlineLevel="0" collapsed="false">
      <c r="F498" s="23"/>
    </row>
    <row r="499" customFormat="false" ht="15" hidden="false" customHeight="true" outlineLevel="0" collapsed="false"/>
    <row r="500" customFormat="false" ht="15" hidden="false" customHeight="true" outlineLevel="0" collapsed="false"/>
  </sheetData>
  <mergeCells count="1">
    <mergeCell ref="I1:J1"/>
  </mergeCells>
  <conditionalFormatting sqref="A2:H998">
    <cfRule type="expression" priority="2" aboveAverage="0" equalAverage="0" bottom="0" percent="0" rank="0" text="" dxfId="10">
      <formula>$C2="US"</formula>
    </cfRule>
    <cfRule type="expression" priority="3" aboveAverage="0" equalAverage="0" bottom="0" percent="0" rank="0" text="" dxfId="11">
      <formula>$C2="MyMSC"</formula>
    </cfRule>
    <cfRule type="expression" priority="4" aboveAverage="0" equalAverage="0" bottom="0" percent="0" rank="0" text="" dxfId="12">
      <formula>$C2="Rollout"</formula>
    </cfRule>
    <cfRule type="expression" priority="5" aboveAverage="0" equalAverage="0" bottom="0" percent="0" rank="0" text="" dxfId="12">
      <formula>$C2="MVP Rollout"</formula>
    </cfRule>
    <cfRule type="expression" priority="6" aboveAverage="0" equalAverage="0" bottom="0" percent="0" rank="0" text="" dxfId="13">
      <formula>$C2="Backlog"</formula>
    </cfRule>
    <cfRule type="expression" priority="7" aboveAverage="0" equalAverage="0" bottom="0" percent="0" rank="0" text="" dxfId="13">
      <formula>$C2="Growth"</formula>
    </cfRule>
    <cfRule type="expression" priority="8" aboveAverage="0" equalAverage="0" bottom="0" percent="0" rank="0" text="" dxfId="14">
      <formula>$C2="Tech Enhancements"</formula>
    </cfRule>
    <cfRule type="expression" priority="9" aboveAverage="0" equalAverage="0" bottom="0" percent="0" rank="0" text="" dxfId="15">
      <formula>LEFT($C2,2)="PI"</formula>
    </cfRule>
  </conditionalFormatting>
  <dataValidations count="1">
    <dataValidation allowBlank="true" errorStyle="stop" operator="between" showDropDown="false" showErrorMessage="false" showInputMessage="false" sqref="F2:F498" type="list">
      <formula1>"To Plan,Sprint 1,Sprint 2,Sprint 3,Sprint 4,Sprint 5,Sprint 6,Sprint 7,Sprint 8,Sprint 9,Sprint 10,Sprint 11,Sprint 12,Sprint 13,Sprint 14,Sprint 15,Sprint 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L39" activeCellId="0" sqref="L39"/>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34.83"/>
    <col collapsed="false" customWidth="true" hidden="false" outlineLevel="0" max="18" min="3" style="1" width="11"/>
    <col collapsed="false" customWidth="true" hidden="true" outlineLevel="0" max="20" min="20" style="1" width="13"/>
  </cols>
  <sheetData>
    <row r="1" customFormat="false" ht="15" hidden="false" customHeight="true" outlineLevel="0" collapsed="false">
      <c r="A1" s="67" t="s">
        <v>431</v>
      </c>
      <c r="B1" s="67"/>
      <c r="C1" s="67"/>
      <c r="D1" s="67"/>
      <c r="E1" s="67"/>
      <c r="F1" s="67"/>
      <c r="G1" s="67"/>
      <c r="H1" s="67"/>
      <c r="I1" s="67"/>
      <c r="J1" s="67"/>
      <c r="K1" s="67"/>
      <c r="L1" s="67"/>
      <c r="M1" s="67"/>
      <c r="N1" s="67"/>
      <c r="O1" s="67"/>
      <c r="P1" s="67"/>
      <c r="Q1" s="67"/>
      <c r="R1" s="67"/>
      <c r="T1" s="1" t="s">
        <v>432</v>
      </c>
    </row>
    <row r="2" customFormat="false" ht="15" hidden="false" customHeight="true" outlineLevel="0" collapsed="false">
      <c r="T2" s="1" t="str">
        <f aca="false">IF(AND('Sprint Planning'!$H2&gt;=10,'Sprint Planning'!$H2&lt;=16),IFERROR(MATCH('Sprint Planning'!$C2,Roadmap!$A$4:$A$15,0),99)*100+'Sprint Planning'!$H2+2/100000,"")</f>
        <v/>
      </c>
    </row>
    <row r="3" customFormat="false" ht="15" hidden="false" customHeight="true" outlineLevel="0" collapsed="false">
      <c r="A3" s="19" t="s">
        <v>69</v>
      </c>
      <c r="B3" s="19" t="s">
        <v>416</v>
      </c>
      <c r="C3" s="19" t="s">
        <v>417</v>
      </c>
      <c r="D3" s="19" t="s">
        <v>418</v>
      </c>
      <c r="E3" s="19" t="s">
        <v>419</v>
      </c>
      <c r="F3" s="19" t="s">
        <v>420</v>
      </c>
      <c r="G3" s="19" t="s">
        <v>421</v>
      </c>
      <c r="H3" s="19" t="s">
        <v>422</v>
      </c>
      <c r="I3" s="19" t="s">
        <v>423</v>
      </c>
      <c r="J3" s="19" t="s">
        <v>424</v>
      </c>
      <c r="K3" s="19" t="s">
        <v>415</v>
      </c>
      <c r="L3" s="19" t="s">
        <v>425</v>
      </c>
      <c r="M3" s="19" t="s">
        <v>426</v>
      </c>
      <c r="N3" s="19" t="s">
        <v>427</v>
      </c>
      <c r="O3" s="19" t="s">
        <v>428</v>
      </c>
      <c r="P3" s="19" t="s">
        <v>429</v>
      </c>
      <c r="Q3" s="19" t="s">
        <v>430</v>
      </c>
      <c r="R3" s="19" t="s">
        <v>433</v>
      </c>
      <c r="T3" s="1" t="n">
        <f aca="false">IF(AND('Sprint Planning'!$H3&gt;=10,'Sprint Planning'!$H3&lt;=16),IFERROR(MATCH('Sprint Planning'!$C3,Roadmap!$A$4:$A$15,0),99)*100+'Sprint Planning'!$H3+3/100000,"")</f>
        <v>110.00003</v>
      </c>
    </row>
    <row r="4" customFormat="false" ht="15" hidden="false" customHeight="true" outlineLevel="0" collapsed="false">
      <c r="A4" s="29" t="s">
        <v>84</v>
      </c>
      <c r="B4" s="29" t="n">
        <f aca="false">SUMIFS(SprintPlanning[HLE],SprintPlanning[Stream],$A4,SprintPlanning[Sprint],B$3)+SUMIFS('Q1 Backlog Report 2026'!$K:$K,'Q1 Backlog Report 2026'!$D:$D,$A4,'Q1 Backlog Report 2026'!$I:$I,B$3)</f>
        <v>19</v>
      </c>
      <c r="C4" s="29" t="n">
        <f aca="false">SUMIFS(SprintPlanning[HLE],SprintPlanning[Stream],$A4,SprintPlanning[Sprint],C$3)+SUMIFS('Q1 Backlog Report 2026'!$K:$K,'Q1 Backlog Report 2026'!$D:$D,$A4,'Q1 Backlog Report 2026'!$I:$I,C$3)</f>
        <v>11</v>
      </c>
      <c r="D4" s="29" t="n">
        <f aca="false">SUMIFS(SprintPlanning[HLE],SprintPlanning[Stream],$A4,SprintPlanning[Sprint],D$3)+SUMIFS('Q1 Backlog Report 2026'!$K:$K,'Q1 Backlog Report 2026'!$D:$D,$A4,'Q1 Backlog Report 2026'!$I:$I,D$3)</f>
        <v>3</v>
      </c>
      <c r="E4" s="29" t="n">
        <f aca="false">SUMIFS(SprintPlanning[HLE],SprintPlanning[Stream],$A4,SprintPlanning[Sprint],E$3)+SUMIFS('Q1 Backlog Report 2026'!$K:$K,'Q1 Backlog Report 2026'!$D:$D,$A4,'Q1 Backlog Report 2026'!$I:$I,E$3)</f>
        <v>45</v>
      </c>
      <c r="F4" s="29" t="n">
        <f aca="false">SUMIFS(SprintPlanning[HLE],SprintPlanning[Stream],$A4,SprintPlanning[Sprint],F$3)+SUMIFS('Q2 Backlog Report 2026'!$K:$K,'Q2 Backlog Report 2026'!$D:$D,$A4,'Q2 Backlog Report 2026'!$I:$I,F$3)</f>
        <v>50</v>
      </c>
      <c r="G4" s="29" t="n">
        <f aca="false">SUMIFS(SprintPlanning[HLE],SprintPlanning[Stream],$A4,SprintPlanning[Sprint],G$3)+SUMIFS('Q2 Backlog Report 2026'!$K:$K,'Q2 Backlog Report 2026'!$D:$D,$A4,'Q2 Backlog Report 2026'!$I:$I,G$3)</f>
        <v>59</v>
      </c>
      <c r="H4" s="29" t="n">
        <f aca="false">SUMIFS(SprintPlanning[HLE],SprintPlanning[Stream],$A4,SprintPlanning[Sprint],H$3)+SUMIFS('Q2 Backlog Report 2026'!$K:$K,'Q2 Backlog Report 2026'!$D:$D,$A4,'Q2 Backlog Report 2026'!$I:$I,H$3)</f>
        <v>52</v>
      </c>
      <c r="I4" s="29" t="n">
        <f aca="false">SUMIFS(SprintPlanning[HLE],SprintPlanning[Stream],$A4,SprintPlanning[Sprint],I$3)+SUMIFS('Q2 Backlog Report 2026'!$K:$K,'Q2 Backlog Report 2026'!$D:$D,$A4,'Q2 Backlog Report 2026'!$I:$I,I$3)</f>
        <v>31</v>
      </c>
      <c r="J4" s="29" t="n">
        <f aca="false">SUMIFS(SprintPlanning[HLE],SprintPlanning[Stream],$A4,SprintPlanning[Sprint],J$3)+SUMIFS('Q3 Backlog Report 2026'!$K:$K,'Q3 Backlog Report 2026'!$D:$D,$A4,'Q3 Backlog Report 2026'!$I:$I,J$3)</f>
        <v>74</v>
      </c>
      <c r="K4" s="29" t="n">
        <f aca="false">SUMIFS(SprintPlanning[HLE],SprintPlanning[Stream],$A4,SprintPlanning[Sprint],K$3)+SUMIFS('Q3 Backlog Report 2026'!$K:$K,'Q3 Backlog Report 2026'!$D:$D,$A4,'Q3 Backlog Report 2026'!$I:$I,K$3)</f>
        <v>81</v>
      </c>
      <c r="L4" s="29" t="n">
        <f aca="false">SUMIFS(SprintPlanning[HLE],SprintPlanning[Stream],$A4,SprintPlanning[Sprint],L$3)+SUMIFS('Q3 Backlog Report 2026'!$K:$K,'Q3 Backlog Report 2026'!$D:$D,$A4,'Q3 Backlog Report 2026'!$I:$I,L$3)</f>
        <v>29</v>
      </c>
      <c r="M4" s="29" t="n">
        <f aca="false">SUMIFS(SprintPlanning[HLE],SprintPlanning[Stream],$A4,SprintPlanning[Sprint],M$3)+SUMIFS('Q3 Backlog Report 2026'!$K:$K,'Q3 Backlog Report 2026'!$D:$D,$A4,'Q3 Backlog Report 2026'!$I:$I,M$3)</f>
        <v>0</v>
      </c>
      <c r="N4" s="29" t="n">
        <f aca="false">SUMIFS(SprintPlanning[HLE],SprintPlanning[Stream],$A4,SprintPlanning[Sprint],N$3)+SUMIFS('Q4 Backlog Report 2026'!$K:$K,'Q4 Backlog Report 2026'!$D:$D,$A4,'Q4 Backlog Report 2026'!$I:$I,N$3)</f>
        <v>0</v>
      </c>
      <c r="O4" s="29" t="n">
        <f aca="false">SUMIFS(SprintPlanning[HLE],SprintPlanning[Stream],$A4,SprintPlanning[Sprint],O$3)+SUMIFS('Q4 Backlog Report 2026'!$K:$K,'Q4 Backlog Report 2026'!$D:$D,$A4,'Q4 Backlog Report 2026'!$I:$I,O$3)</f>
        <v>0</v>
      </c>
      <c r="P4" s="29" t="n">
        <f aca="false">SUMIFS(SprintPlanning[HLE],SprintPlanning[Stream],$A4,SprintPlanning[Sprint],P$3)+SUMIFS('Q4 Backlog Report 2026'!$K:$K,'Q4 Backlog Report 2026'!$D:$D,$A4,'Q4 Backlog Report 2026'!$I:$I,P$3)</f>
        <v>0</v>
      </c>
      <c r="Q4" s="29" t="n">
        <f aca="false">SUMIFS(SprintPlanning[HLE],SprintPlanning[Stream],$A4,SprintPlanning[Sprint],Q$3)+SUMIFS('Q4 Backlog Report 2026'!$K:$K,'Q4 Backlog Report 2026'!$D:$D,$A4,'Q4 Backlog Report 2026'!$I:$I,Q$3)</f>
        <v>0</v>
      </c>
      <c r="R4" s="68" t="n">
        <f aca="false">SUM(B4:Q4)</f>
        <v>454</v>
      </c>
      <c r="T4" s="1" t="n">
        <f aca="false">IF(AND('Sprint Planning'!$H4&gt;=10,'Sprint Planning'!$H4&lt;=16),IFERROR(MATCH('Sprint Planning'!$C4,Roadmap!$A$4:$A$15,0),99)*100+'Sprint Planning'!$H4+4/100000,"")</f>
        <v>110.00004</v>
      </c>
    </row>
    <row r="5" customFormat="false" ht="15" hidden="false" customHeight="true" outlineLevel="0" collapsed="false">
      <c r="A5" s="29" t="s">
        <v>168</v>
      </c>
      <c r="B5" s="29" t="n">
        <f aca="false">SUMIFS(SprintPlanning[HLE],SprintPlanning[Stream],$A5,SprintPlanning[Sprint],B$3)+SUMIFS('Q1 Backlog Report 2026'!$K:$K,'Q1 Backlog Report 2026'!$D:$D,$A5,'Q1 Backlog Report 2026'!$I:$I,B$3)</f>
        <v>0</v>
      </c>
      <c r="C5" s="29" t="n">
        <f aca="false">SUMIFS(SprintPlanning[HLE],SprintPlanning[Stream],$A5,SprintPlanning[Sprint],C$3)+SUMIFS('Q1 Backlog Report 2026'!$K:$K,'Q1 Backlog Report 2026'!$D:$D,$A5,'Q1 Backlog Report 2026'!$I:$I,C$3)</f>
        <v>3</v>
      </c>
      <c r="D5" s="29" t="n">
        <f aca="false">SUMIFS(SprintPlanning[HLE],SprintPlanning[Stream],$A5,SprintPlanning[Sprint],D$3)+SUMIFS('Q1 Backlog Report 2026'!$K:$K,'Q1 Backlog Report 2026'!$D:$D,$A5,'Q1 Backlog Report 2026'!$I:$I,D$3)</f>
        <v>14</v>
      </c>
      <c r="E5" s="29" t="n">
        <f aca="false">SUMIFS(SprintPlanning[HLE],SprintPlanning[Stream],$A5,SprintPlanning[Sprint],E$3)+SUMIFS('Q1 Backlog Report 2026'!$K:$K,'Q1 Backlog Report 2026'!$D:$D,$A5,'Q1 Backlog Report 2026'!$I:$I,E$3)</f>
        <v>18</v>
      </c>
      <c r="F5" s="29" t="n">
        <f aca="false">SUMIFS(SprintPlanning[HLE],SprintPlanning[Stream],$A5,SprintPlanning[Sprint],F$3)+SUMIFS('Q2 Backlog Report 2026'!$K:$K,'Q2 Backlog Report 2026'!$D:$D,$A5,'Q2 Backlog Report 2026'!$I:$I,F$3)</f>
        <v>124</v>
      </c>
      <c r="G5" s="29" t="n">
        <f aca="false">SUMIFS(SprintPlanning[HLE],SprintPlanning[Stream],$A5,SprintPlanning[Sprint],G$3)+SUMIFS('Q2 Backlog Report 2026'!$K:$K,'Q2 Backlog Report 2026'!$D:$D,$A5,'Q2 Backlog Report 2026'!$I:$I,G$3)</f>
        <v>50</v>
      </c>
      <c r="H5" s="29" t="n">
        <f aca="false">SUMIFS(SprintPlanning[HLE],SprintPlanning[Stream],$A5,SprintPlanning[Sprint],H$3)+SUMIFS('Q2 Backlog Report 2026'!$K:$K,'Q2 Backlog Report 2026'!$D:$D,$A5,'Q2 Backlog Report 2026'!$I:$I,H$3)</f>
        <v>10</v>
      </c>
      <c r="I5" s="29" t="n">
        <f aca="false">SUMIFS(SprintPlanning[HLE],SprintPlanning[Stream],$A5,SprintPlanning[Sprint],I$3)+SUMIFS('Q2 Backlog Report 2026'!$K:$K,'Q2 Backlog Report 2026'!$D:$D,$A5,'Q2 Backlog Report 2026'!$I:$I,I$3)</f>
        <v>53</v>
      </c>
      <c r="J5" s="29" t="n">
        <f aca="false">SUMIFS(SprintPlanning[HLE],SprintPlanning[Stream],$A5,SprintPlanning[Sprint],J$3)+SUMIFS('Q3 Backlog Report 2026'!$K:$K,'Q3 Backlog Report 2026'!$D:$D,$A5,'Q3 Backlog Report 2026'!$I:$I,J$3)</f>
        <v>29</v>
      </c>
      <c r="K5" s="29" t="n">
        <f aca="false">SUMIFS(SprintPlanning[HLE],SprintPlanning[Stream],$A5,SprintPlanning[Sprint],K$3)+SUMIFS('Q3 Backlog Report 2026'!$K:$K,'Q3 Backlog Report 2026'!$D:$D,$A5,'Q3 Backlog Report 2026'!$I:$I,K$3)</f>
        <v>0</v>
      </c>
      <c r="L5" s="29" t="n">
        <f aca="false">SUMIFS(SprintPlanning[HLE],SprintPlanning[Stream],$A5,SprintPlanning[Sprint],L$3)+SUMIFS('Q3 Backlog Report 2026'!$K:$K,'Q3 Backlog Report 2026'!$D:$D,$A5,'Q3 Backlog Report 2026'!$I:$I,L$3)</f>
        <v>28</v>
      </c>
      <c r="M5" s="29" t="n">
        <f aca="false">SUMIFS(SprintPlanning[HLE],SprintPlanning[Stream],$A5,SprintPlanning[Sprint],M$3)+SUMIFS('Q3 Backlog Report 2026'!$K:$K,'Q3 Backlog Report 2026'!$D:$D,$A5,'Q3 Backlog Report 2026'!$I:$I,M$3)</f>
        <v>16</v>
      </c>
      <c r="N5" s="29" t="n">
        <f aca="false">SUMIFS(SprintPlanning[HLE],SprintPlanning[Stream],$A5,SprintPlanning[Sprint],N$3)+SUMIFS('Q4 Backlog Report 2026'!$K:$K,'Q4 Backlog Report 2026'!$D:$D,$A5,'Q4 Backlog Report 2026'!$I:$I,N$3)</f>
        <v>0</v>
      </c>
      <c r="O5" s="29" t="n">
        <f aca="false">SUMIFS(SprintPlanning[HLE],SprintPlanning[Stream],$A5,SprintPlanning[Sprint],O$3)+SUMIFS('Q4 Backlog Report 2026'!$K:$K,'Q4 Backlog Report 2026'!$D:$D,$A5,'Q4 Backlog Report 2026'!$I:$I,O$3)</f>
        <v>0</v>
      </c>
      <c r="P5" s="29" t="n">
        <f aca="false">SUMIFS(SprintPlanning[HLE],SprintPlanning[Stream],$A5,SprintPlanning[Sprint],P$3)+SUMIFS('Q4 Backlog Report 2026'!$K:$K,'Q4 Backlog Report 2026'!$D:$D,$A5,'Q4 Backlog Report 2026'!$I:$I,P$3)</f>
        <v>0</v>
      </c>
      <c r="Q5" s="29" t="n">
        <f aca="false">SUMIFS(SprintPlanning[HLE],SprintPlanning[Stream],$A5,SprintPlanning[Sprint],Q$3)+SUMIFS('Q4 Backlog Report 2026'!$K:$K,'Q4 Backlog Report 2026'!$D:$D,$A5,'Q4 Backlog Report 2026'!$I:$I,Q$3)</f>
        <v>0</v>
      </c>
      <c r="R5" s="68" t="n">
        <f aca="false">SUM(B5:Q5)</f>
        <v>345</v>
      </c>
      <c r="T5" s="1" t="n">
        <f aca="false">IF(AND('Sprint Planning'!$H5&gt;=10,'Sprint Planning'!$H5&lt;=16),IFERROR(MATCH('Sprint Planning'!$C5,Roadmap!$A$4:$A$15,0),99)*100+'Sprint Planning'!$H5+5/100000,"")</f>
        <v>110.00005</v>
      </c>
    </row>
    <row r="6" customFormat="false" ht="15" hidden="false" customHeight="true" outlineLevel="0" collapsed="false">
      <c r="A6" s="29" t="s">
        <v>116</v>
      </c>
      <c r="B6" s="29" t="n">
        <f aca="false">SUMIFS(SprintPlanning[HLE],SprintPlanning[Stream],$A6,SprintPlanning[Sprint],B$3)+SUMIFS('Q1 Backlog Report 2026'!$K:$K,'Q1 Backlog Report 2026'!$D:$D,$A6,'Q1 Backlog Report 2026'!$I:$I,B$3)</f>
        <v>0</v>
      </c>
      <c r="C6" s="29" t="n">
        <f aca="false">SUMIFS(SprintPlanning[HLE],SprintPlanning[Stream],$A6,SprintPlanning[Sprint],C$3)+SUMIFS('Q1 Backlog Report 2026'!$K:$K,'Q1 Backlog Report 2026'!$D:$D,$A6,'Q1 Backlog Report 2026'!$I:$I,C$3)</f>
        <v>0</v>
      </c>
      <c r="D6" s="29" t="n">
        <f aca="false">SUMIFS(SprintPlanning[HLE],SprintPlanning[Stream],$A6,SprintPlanning[Sprint],D$3)+SUMIFS('Q1 Backlog Report 2026'!$K:$K,'Q1 Backlog Report 2026'!$D:$D,$A6,'Q1 Backlog Report 2026'!$I:$I,D$3)</f>
        <v>21</v>
      </c>
      <c r="E6" s="29" t="n">
        <f aca="false">SUMIFS(SprintPlanning[HLE],SprintPlanning[Stream],$A6,SprintPlanning[Sprint],E$3)+SUMIFS('Q1 Backlog Report 2026'!$K:$K,'Q1 Backlog Report 2026'!$D:$D,$A6,'Q1 Backlog Report 2026'!$I:$I,E$3)</f>
        <v>0</v>
      </c>
      <c r="F6" s="29" t="n">
        <f aca="false">SUMIFS(SprintPlanning[HLE],SprintPlanning[Stream],$A6,SprintPlanning[Sprint],F$3)+SUMIFS('Q2 Backlog Report 2026'!$K:$K,'Q2 Backlog Report 2026'!$D:$D,$A6,'Q2 Backlog Report 2026'!$I:$I,F$3)</f>
        <v>0</v>
      </c>
      <c r="G6" s="29" t="n">
        <f aca="false">SUMIFS(SprintPlanning[HLE],SprintPlanning[Stream],$A6,SprintPlanning[Sprint],G$3)+SUMIFS('Q2 Backlog Report 2026'!$K:$K,'Q2 Backlog Report 2026'!$D:$D,$A6,'Q2 Backlog Report 2026'!$I:$I,G$3)</f>
        <v>39</v>
      </c>
      <c r="H6" s="29" t="n">
        <f aca="false">SUMIFS(SprintPlanning[HLE],SprintPlanning[Stream],$A6,SprintPlanning[Sprint],H$3)+SUMIFS('Q2 Backlog Report 2026'!$K:$K,'Q2 Backlog Report 2026'!$D:$D,$A6,'Q2 Backlog Report 2026'!$I:$I,H$3)</f>
        <v>23</v>
      </c>
      <c r="I6" s="29" t="n">
        <f aca="false">SUMIFS(SprintPlanning[HLE],SprintPlanning[Stream],$A6,SprintPlanning[Sprint],I$3)+SUMIFS('Q2 Backlog Report 2026'!$K:$K,'Q2 Backlog Report 2026'!$D:$D,$A6,'Q2 Backlog Report 2026'!$I:$I,I$3)</f>
        <v>0</v>
      </c>
      <c r="J6" s="29" t="n">
        <f aca="false">SUMIFS(SprintPlanning[HLE],SprintPlanning[Stream],$A6,SprintPlanning[Sprint],J$3)+SUMIFS('Q3 Backlog Report 2026'!$K:$K,'Q3 Backlog Report 2026'!$D:$D,$A6,'Q3 Backlog Report 2026'!$I:$I,J$3)</f>
        <v>5</v>
      </c>
      <c r="K6" s="29" t="n">
        <f aca="false">SUMIFS(SprintPlanning[HLE],SprintPlanning[Stream],$A6,SprintPlanning[Sprint],K$3)+SUMIFS('Q3 Backlog Report 2026'!$K:$K,'Q3 Backlog Report 2026'!$D:$D,$A6,'Q3 Backlog Report 2026'!$I:$I,K$3)</f>
        <v>13</v>
      </c>
      <c r="L6" s="29" t="n">
        <f aca="false">SUMIFS(SprintPlanning[HLE],SprintPlanning[Stream],$A6,SprintPlanning[Sprint],L$3)+SUMIFS('Q3 Backlog Report 2026'!$K:$K,'Q3 Backlog Report 2026'!$D:$D,$A6,'Q3 Backlog Report 2026'!$I:$I,L$3)</f>
        <v>24</v>
      </c>
      <c r="M6" s="29" t="n">
        <f aca="false">SUMIFS(SprintPlanning[HLE],SprintPlanning[Stream],$A6,SprintPlanning[Sprint],M$3)+SUMIFS('Q3 Backlog Report 2026'!$K:$K,'Q3 Backlog Report 2026'!$D:$D,$A6,'Q3 Backlog Report 2026'!$I:$I,M$3)</f>
        <v>8</v>
      </c>
      <c r="N6" s="29" t="n">
        <f aca="false">SUMIFS(SprintPlanning[HLE],SprintPlanning[Stream],$A6,SprintPlanning[Sprint],N$3)+SUMIFS('Q4 Backlog Report 2026'!$K:$K,'Q4 Backlog Report 2026'!$D:$D,$A6,'Q4 Backlog Report 2026'!$I:$I,N$3)</f>
        <v>0</v>
      </c>
      <c r="O6" s="29" t="n">
        <f aca="false">SUMIFS(SprintPlanning[HLE],SprintPlanning[Stream],$A6,SprintPlanning[Sprint],O$3)+SUMIFS('Q4 Backlog Report 2026'!$K:$K,'Q4 Backlog Report 2026'!$D:$D,$A6,'Q4 Backlog Report 2026'!$I:$I,O$3)</f>
        <v>0</v>
      </c>
      <c r="P6" s="29" t="n">
        <f aca="false">SUMIFS(SprintPlanning[HLE],SprintPlanning[Stream],$A6,SprintPlanning[Sprint],P$3)+SUMIFS('Q4 Backlog Report 2026'!$K:$K,'Q4 Backlog Report 2026'!$D:$D,$A6,'Q4 Backlog Report 2026'!$I:$I,P$3)</f>
        <v>0</v>
      </c>
      <c r="Q6" s="29" t="n">
        <f aca="false">SUMIFS(SprintPlanning[HLE],SprintPlanning[Stream],$A6,SprintPlanning[Sprint],Q$3)+SUMIFS('Q4 Backlog Report 2026'!$K:$K,'Q4 Backlog Report 2026'!$D:$D,$A6,'Q4 Backlog Report 2026'!$I:$I,Q$3)</f>
        <v>0</v>
      </c>
      <c r="R6" s="68" t="n">
        <f aca="false">SUM(B6:Q6)</f>
        <v>133</v>
      </c>
      <c r="T6" s="1" t="n">
        <f aca="false">IF(AND('Sprint Planning'!$H6&gt;=10,'Sprint Planning'!$H6&lt;=16),IFERROR(MATCH('Sprint Planning'!$C6,Roadmap!$A$4:$A$15,0),99)*100+'Sprint Planning'!$H6+6/100000,"")</f>
        <v>110.00006</v>
      </c>
    </row>
    <row r="7" customFormat="false" ht="15" hidden="false" customHeight="true" outlineLevel="0" collapsed="false">
      <c r="A7" s="29" t="s">
        <v>135</v>
      </c>
      <c r="B7" s="29" t="n">
        <f aca="false">SUMIFS(SprintPlanning[HLE],SprintPlanning[Stream],$A7,SprintPlanning[Sprint],B$3)+SUMIFS('Q1 Backlog Report 2026'!$K:$K,'Q1 Backlog Report 2026'!$D:$D,$A7,'Q1 Backlog Report 2026'!$I:$I,B$3)</f>
        <v>7</v>
      </c>
      <c r="C7" s="29" t="n">
        <f aca="false">SUMIFS(SprintPlanning[HLE],SprintPlanning[Stream],$A7,SprintPlanning[Sprint],C$3)+SUMIFS('Q1 Backlog Report 2026'!$K:$K,'Q1 Backlog Report 2026'!$D:$D,$A7,'Q1 Backlog Report 2026'!$I:$I,C$3)</f>
        <v>11</v>
      </c>
      <c r="D7" s="29" t="n">
        <f aca="false">SUMIFS(SprintPlanning[HLE],SprintPlanning[Stream],$A7,SprintPlanning[Sprint],D$3)+SUMIFS('Q1 Backlog Report 2026'!$K:$K,'Q1 Backlog Report 2026'!$D:$D,$A7,'Q1 Backlog Report 2026'!$I:$I,D$3)</f>
        <v>0</v>
      </c>
      <c r="E7" s="29" t="n">
        <f aca="false">SUMIFS(SprintPlanning[HLE],SprintPlanning[Stream],$A7,SprintPlanning[Sprint],E$3)+SUMIFS('Q1 Backlog Report 2026'!$K:$K,'Q1 Backlog Report 2026'!$D:$D,$A7,'Q1 Backlog Report 2026'!$I:$I,E$3)</f>
        <v>0</v>
      </c>
      <c r="F7" s="29" t="n">
        <f aca="false">SUMIFS(SprintPlanning[HLE],SprintPlanning[Stream],$A7,SprintPlanning[Sprint],F$3)+SUMIFS('Q2 Backlog Report 2026'!$K:$K,'Q2 Backlog Report 2026'!$D:$D,$A7,'Q2 Backlog Report 2026'!$I:$I,F$3)</f>
        <v>2</v>
      </c>
      <c r="G7" s="29" t="n">
        <f aca="false">SUMIFS(SprintPlanning[HLE],SprintPlanning[Stream],$A7,SprintPlanning[Sprint],G$3)+SUMIFS('Q2 Backlog Report 2026'!$K:$K,'Q2 Backlog Report 2026'!$D:$D,$A7,'Q2 Backlog Report 2026'!$I:$I,G$3)</f>
        <v>0</v>
      </c>
      <c r="H7" s="29" t="n">
        <f aca="false">SUMIFS(SprintPlanning[HLE],SprintPlanning[Stream],$A7,SprintPlanning[Sprint],H$3)+SUMIFS('Q2 Backlog Report 2026'!$K:$K,'Q2 Backlog Report 2026'!$D:$D,$A7,'Q2 Backlog Report 2026'!$I:$I,H$3)</f>
        <v>8</v>
      </c>
      <c r="I7" s="29" t="n">
        <f aca="false">SUMIFS(SprintPlanning[HLE],SprintPlanning[Stream],$A7,SprintPlanning[Sprint],I$3)+SUMIFS('Q2 Backlog Report 2026'!$K:$K,'Q2 Backlog Report 2026'!$D:$D,$A7,'Q2 Backlog Report 2026'!$I:$I,I$3)</f>
        <v>8</v>
      </c>
      <c r="J7" s="29" t="n">
        <f aca="false">SUMIFS(SprintPlanning[HLE],SprintPlanning[Stream],$A7,SprintPlanning[Sprint],J$3)+SUMIFS('Q3 Backlog Report 2026'!$K:$K,'Q3 Backlog Report 2026'!$D:$D,$A7,'Q3 Backlog Report 2026'!$I:$I,J$3)</f>
        <v>0</v>
      </c>
      <c r="K7" s="29" t="n">
        <f aca="false">SUMIFS(SprintPlanning[HLE],SprintPlanning[Stream],$A7,SprintPlanning[Sprint],K$3)+SUMIFS('Q3 Backlog Report 2026'!$K:$K,'Q3 Backlog Report 2026'!$D:$D,$A7,'Q3 Backlog Report 2026'!$I:$I,K$3)</f>
        <v>0</v>
      </c>
      <c r="L7" s="29" t="n">
        <f aca="false">SUMIFS(SprintPlanning[HLE],SprintPlanning[Stream],$A7,SprintPlanning[Sprint],L$3)+SUMIFS('Q3 Backlog Report 2026'!$K:$K,'Q3 Backlog Report 2026'!$D:$D,$A7,'Q3 Backlog Report 2026'!$I:$I,L$3)</f>
        <v>8</v>
      </c>
      <c r="M7" s="29" t="n">
        <f aca="false">SUMIFS(SprintPlanning[HLE],SprintPlanning[Stream],$A7,SprintPlanning[Sprint],M$3)+SUMIFS('Q3 Backlog Report 2026'!$K:$K,'Q3 Backlog Report 2026'!$D:$D,$A7,'Q3 Backlog Report 2026'!$I:$I,M$3)</f>
        <v>0</v>
      </c>
      <c r="N7" s="29" t="n">
        <f aca="false">SUMIFS(SprintPlanning[HLE],SprintPlanning[Stream],$A7,SprintPlanning[Sprint],N$3)+SUMIFS('Q4 Backlog Report 2026'!$K:$K,'Q4 Backlog Report 2026'!$D:$D,$A7,'Q4 Backlog Report 2026'!$I:$I,N$3)</f>
        <v>0</v>
      </c>
      <c r="O7" s="29" t="n">
        <f aca="false">SUMIFS(SprintPlanning[HLE],SprintPlanning[Stream],$A7,SprintPlanning[Sprint],O$3)+SUMIFS('Q4 Backlog Report 2026'!$K:$K,'Q4 Backlog Report 2026'!$D:$D,$A7,'Q4 Backlog Report 2026'!$I:$I,O$3)</f>
        <v>0</v>
      </c>
      <c r="P7" s="29" t="n">
        <f aca="false">SUMIFS(SprintPlanning[HLE],SprintPlanning[Stream],$A7,SprintPlanning[Sprint],P$3)+SUMIFS('Q4 Backlog Report 2026'!$K:$K,'Q4 Backlog Report 2026'!$D:$D,$A7,'Q4 Backlog Report 2026'!$I:$I,P$3)</f>
        <v>0</v>
      </c>
      <c r="Q7" s="29" t="n">
        <f aca="false">SUMIFS(SprintPlanning[HLE],SprintPlanning[Stream],$A7,SprintPlanning[Sprint],Q$3)+SUMIFS('Q4 Backlog Report 2026'!$K:$K,'Q4 Backlog Report 2026'!$D:$D,$A7,'Q4 Backlog Report 2026'!$I:$I,Q$3)</f>
        <v>0</v>
      </c>
      <c r="R7" s="68" t="n">
        <f aca="false">SUM(B7:Q7)</f>
        <v>44</v>
      </c>
      <c r="T7" s="1" t="n">
        <f aca="false">IF(AND('Sprint Planning'!$H7&gt;=10,'Sprint Planning'!$H7&lt;=16),IFERROR(MATCH('Sprint Planning'!$C7,Roadmap!$A$4:$A$15,0),99)*100+'Sprint Planning'!$H7+7/100000,"")</f>
        <v>110.00007</v>
      </c>
    </row>
    <row r="8" customFormat="false" ht="15" hidden="false" customHeight="true" outlineLevel="0" collapsed="false">
      <c r="A8" s="29" t="s">
        <v>131</v>
      </c>
      <c r="B8" s="29" t="n">
        <f aca="false">SUMIFS(SprintPlanning[HLE],SprintPlanning[Stream],$A8,SprintPlanning[Sprint],B$3)+SUMIFS('Q1 Backlog Report 2026'!$K:$K,'Q1 Backlog Report 2026'!$D:$D,$A8,'Q1 Backlog Report 2026'!$I:$I,B$3)</f>
        <v>0</v>
      </c>
      <c r="C8" s="29" t="n">
        <f aca="false">SUMIFS(SprintPlanning[HLE],SprintPlanning[Stream],$A8,SprintPlanning[Sprint],C$3)+SUMIFS('Q1 Backlog Report 2026'!$K:$K,'Q1 Backlog Report 2026'!$D:$D,$A8,'Q1 Backlog Report 2026'!$I:$I,C$3)</f>
        <v>0</v>
      </c>
      <c r="D8" s="29" t="n">
        <f aca="false">SUMIFS(SprintPlanning[HLE],SprintPlanning[Stream],$A8,SprintPlanning[Sprint],D$3)+SUMIFS('Q1 Backlog Report 2026'!$K:$K,'Q1 Backlog Report 2026'!$D:$D,$A8,'Q1 Backlog Report 2026'!$I:$I,D$3)</f>
        <v>0</v>
      </c>
      <c r="E8" s="29" t="n">
        <f aca="false">SUMIFS(SprintPlanning[HLE],SprintPlanning[Stream],$A8,SprintPlanning[Sprint],E$3)+SUMIFS('Q1 Backlog Report 2026'!$K:$K,'Q1 Backlog Report 2026'!$D:$D,$A8,'Q1 Backlog Report 2026'!$I:$I,E$3)</f>
        <v>0</v>
      </c>
      <c r="F8" s="29" t="n">
        <f aca="false">SUMIFS(SprintPlanning[HLE],SprintPlanning[Stream],$A8,SprintPlanning[Sprint],F$3)+SUMIFS('Q2 Backlog Report 2026'!$K:$K,'Q2 Backlog Report 2026'!$D:$D,$A8,'Q2 Backlog Report 2026'!$I:$I,F$3)</f>
        <v>0</v>
      </c>
      <c r="G8" s="29" t="n">
        <f aca="false">SUMIFS(SprintPlanning[HLE],SprintPlanning[Stream],$A8,SprintPlanning[Sprint],G$3)+SUMIFS('Q2 Backlog Report 2026'!$K:$K,'Q2 Backlog Report 2026'!$D:$D,$A8,'Q2 Backlog Report 2026'!$I:$I,G$3)</f>
        <v>0</v>
      </c>
      <c r="H8" s="29" t="n">
        <f aca="false">SUMIFS(SprintPlanning[HLE],SprintPlanning[Stream],$A8,SprintPlanning[Sprint],H$3)+SUMIFS('Q2 Backlog Report 2026'!$K:$K,'Q2 Backlog Report 2026'!$D:$D,$A8,'Q2 Backlog Report 2026'!$I:$I,H$3)</f>
        <v>0</v>
      </c>
      <c r="I8" s="29" t="n">
        <f aca="false">SUMIFS(SprintPlanning[HLE],SprintPlanning[Stream],$A8,SprintPlanning[Sprint],I$3)+SUMIFS('Q2 Backlog Report 2026'!$K:$K,'Q2 Backlog Report 2026'!$D:$D,$A8,'Q2 Backlog Report 2026'!$I:$I,I$3)</f>
        <v>0</v>
      </c>
      <c r="J8" s="29" t="n">
        <f aca="false">SUMIFS(SprintPlanning[HLE],SprintPlanning[Stream],$A8,SprintPlanning[Sprint],J$3)+SUMIFS('Q3 Backlog Report 2026'!$K:$K,'Q3 Backlog Report 2026'!$D:$D,$A8,'Q3 Backlog Report 2026'!$I:$I,J$3)</f>
        <v>21</v>
      </c>
      <c r="K8" s="29" t="n">
        <f aca="false">SUMIFS(SprintPlanning[HLE],SprintPlanning[Stream],$A8,SprintPlanning[Sprint],K$3)+SUMIFS('Q3 Backlog Report 2026'!$K:$K,'Q3 Backlog Report 2026'!$D:$D,$A8,'Q3 Backlog Report 2026'!$I:$I,K$3)</f>
        <v>13</v>
      </c>
      <c r="L8" s="29" t="n">
        <f aca="false">SUMIFS(SprintPlanning[HLE],SprintPlanning[Stream],$A8,SprintPlanning[Sprint],L$3)+SUMIFS('Q3 Backlog Report 2026'!$K:$K,'Q3 Backlog Report 2026'!$D:$D,$A8,'Q3 Backlog Report 2026'!$I:$I,L$3)</f>
        <v>13</v>
      </c>
      <c r="M8" s="29" t="n">
        <f aca="false">SUMIFS(SprintPlanning[HLE],SprintPlanning[Stream],$A8,SprintPlanning[Sprint],M$3)+SUMIFS('Q3 Backlog Report 2026'!$K:$K,'Q3 Backlog Report 2026'!$D:$D,$A8,'Q3 Backlog Report 2026'!$I:$I,M$3)</f>
        <v>0</v>
      </c>
      <c r="N8" s="29" t="n">
        <f aca="false">SUMIFS(SprintPlanning[HLE],SprintPlanning[Stream],$A8,SprintPlanning[Sprint],N$3)+SUMIFS('Q4 Backlog Report 2026'!$K:$K,'Q4 Backlog Report 2026'!$D:$D,$A8,'Q4 Backlog Report 2026'!$I:$I,N$3)</f>
        <v>0</v>
      </c>
      <c r="O8" s="29" t="n">
        <f aca="false">SUMIFS(SprintPlanning[HLE],SprintPlanning[Stream],$A8,SprintPlanning[Sprint],O$3)+SUMIFS('Q4 Backlog Report 2026'!$K:$K,'Q4 Backlog Report 2026'!$D:$D,$A8,'Q4 Backlog Report 2026'!$I:$I,O$3)</f>
        <v>0</v>
      </c>
      <c r="P8" s="29" t="n">
        <f aca="false">SUMIFS(SprintPlanning[HLE],SprintPlanning[Stream],$A8,SprintPlanning[Sprint],P$3)+SUMIFS('Q4 Backlog Report 2026'!$K:$K,'Q4 Backlog Report 2026'!$D:$D,$A8,'Q4 Backlog Report 2026'!$I:$I,P$3)</f>
        <v>0</v>
      </c>
      <c r="Q8" s="29" t="n">
        <f aca="false">SUMIFS(SprintPlanning[HLE],SprintPlanning[Stream],$A8,SprintPlanning[Sprint],Q$3)+SUMIFS('Q4 Backlog Report 2026'!$K:$K,'Q4 Backlog Report 2026'!$D:$D,$A8,'Q4 Backlog Report 2026'!$I:$I,Q$3)</f>
        <v>0</v>
      </c>
      <c r="R8" s="68" t="n">
        <f aca="false">SUM(B8:Q8)</f>
        <v>47</v>
      </c>
      <c r="T8" s="1" t="n">
        <f aca="false">IF(AND('Sprint Planning'!$H8&gt;=10,'Sprint Planning'!$H8&lt;=16),IFERROR(MATCH('Sprint Planning'!$C8,Roadmap!$A$4:$A$15,0),99)*100+'Sprint Planning'!$H8+8/100000,"")</f>
        <v>110.00008</v>
      </c>
    </row>
    <row r="9" customFormat="false" ht="15" hidden="false" customHeight="true" outlineLevel="0" collapsed="false">
      <c r="A9" s="29" t="s">
        <v>142</v>
      </c>
      <c r="B9" s="29" t="n">
        <f aca="false">SUMIFS(SprintPlanning[HLE],SprintPlanning[Stream],$A9,SprintPlanning[Sprint],B$3)+SUMIFS('Q1 Backlog Report 2026'!$K:$K,'Q1 Backlog Report 2026'!$D:$D,$A9,'Q1 Backlog Report 2026'!$I:$I,B$3)</f>
        <v>0</v>
      </c>
      <c r="C9" s="29" t="n">
        <f aca="false">SUMIFS(SprintPlanning[HLE],SprintPlanning[Stream],$A9,SprintPlanning[Sprint],C$3)+SUMIFS('Q1 Backlog Report 2026'!$K:$K,'Q1 Backlog Report 2026'!$D:$D,$A9,'Q1 Backlog Report 2026'!$I:$I,C$3)</f>
        <v>0</v>
      </c>
      <c r="D9" s="29" t="n">
        <f aca="false">SUMIFS(SprintPlanning[HLE],SprintPlanning[Stream],$A9,SprintPlanning[Sprint],D$3)+SUMIFS('Q1 Backlog Report 2026'!$K:$K,'Q1 Backlog Report 2026'!$D:$D,$A9,'Q1 Backlog Report 2026'!$I:$I,D$3)</f>
        <v>0</v>
      </c>
      <c r="E9" s="29" t="n">
        <f aca="false">SUMIFS(SprintPlanning[HLE],SprintPlanning[Stream],$A9,SprintPlanning[Sprint],E$3)+SUMIFS('Q1 Backlog Report 2026'!$K:$K,'Q1 Backlog Report 2026'!$D:$D,$A9,'Q1 Backlog Report 2026'!$I:$I,E$3)</f>
        <v>0</v>
      </c>
      <c r="F9" s="29" t="n">
        <f aca="false">SUMIFS(SprintPlanning[HLE],SprintPlanning[Stream],$A9,SprintPlanning[Sprint],F$3)+SUMIFS('Q2 Backlog Report 2026'!$K:$K,'Q2 Backlog Report 2026'!$D:$D,$A9,'Q2 Backlog Report 2026'!$I:$I,F$3)</f>
        <v>0</v>
      </c>
      <c r="G9" s="29" t="n">
        <f aca="false">SUMIFS(SprintPlanning[HLE],SprintPlanning[Stream],$A9,SprintPlanning[Sprint],G$3)+SUMIFS('Q2 Backlog Report 2026'!$K:$K,'Q2 Backlog Report 2026'!$D:$D,$A9,'Q2 Backlog Report 2026'!$I:$I,G$3)</f>
        <v>0</v>
      </c>
      <c r="H9" s="29" t="n">
        <f aca="false">SUMIFS(SprintPlanning[HLE],SprintPlanning[Stream],$A9,SprintPlanning[Sprint],H$3)+SUMIFS('Q2 Backlog Report 2026'!$K:$K,'Q2 Backlog Report 2026'!$D:$D,$A9,'Q2 Backlog Report 2026'!$I:$I,H$3)</f>
        <v>0</v>
      </c>
      <c r="I9" s="29" t="n">
        <f aca="false">SUMIFS(SprintPlanning[HLE],SprintPlanning[Stream],$A9,SprintPlanning[Sprint],I$3)+SUMIFS('Q2 Backlog Report 2026'!$K:$K,'Q2 Backlog Report 2026'!$D:$D,$A9,'Q2 Backlog Report 2026'!$I:$I,I$3)</f>
        <v>0</v>
      </c>
      <c r="J9" s="29" t="n">
        <f aca="false">SUMIFS(SprintPlanning[HLE],SprintPlanning[Stream],$A9,SprintPlanning[Sprint],J$3)+SUMIFS('Q3 Backlog Report 2026'!$K:$K,'Q3 Backlog Report 2026'!$D:$D,$A9,'Q3 Backlog Report 2026'!$I:$I,J$3)</f>
        <v>0</v>
      </c>
      <c r="K9" s="29" t="n">
        <f aca="false">SUMIFS(SprintPlanning[HLE],SprintPlanning[Stream],$A9,SprintPlanning[Sprint],K$3)+SUMIFS('Q3 Backlog Report 2026'!$K:$K,'Q3 Backlog Report 2026'!$D:$D,$A9,'Q3 Backlog Report 2026'!$I:$I,K$3)</f>
        <v>0</v>
      </c>
      <c r="L9" s="29" t="n">
        <f aca="false">SUMIFS(SprintPlanning[HLE],SprintPlanning[Stream],$A9,SprintPlanning[Sprint],L$3)+SUMIFS('Q3 Backlog Report 2026'!$K:$K,'Q3 Backlog Report 2026'!$D:$D,$A9,'Q3 Backlog Report 2026'!$I:$I,L$3)</f>
        <v>0</v>
      </c>
      <c r="M9" s="29" t="n">
        <f aca="false">SUMIFS(SprintPlanning[HLE],SprintPlanning[Stream],$A9,SprintPlanning[Sprint],M$3)+SUMIFS('Q3 Backlog Report 2026'!$K:$K,'Q3 Backlog Report 2026'!$D:$D,$A9,'Q3 Backlog Report 2026'!$I:$I,M$3)</f>
        <v>57</v>
      </c>
      <c r="N9" s="29" t="n">
        <f aca="false">SUMIFS(SprintPlanning[HLE],SprintPlanning[Stream],$A9,SprintPlanning[Sprint],N$3)+SUMIFS('Q4 Backlog Report 2026'!$K:$K,'Q4 Backlog Report 2026'!$D:$D,$A9,'Q4 Backlog Report 2026'!$I:$I,N$3)</f>
        <v>0</v>
      </c>
      <c r="O9" s="29" t="n">
        <f aca="false">SUMIFS(SprintPlanning[HLE],SprintPlanning[Stream],$A9,SprintPlanning[Sprint],O$3)+SUMIFS('Q4 Backlog Report 2026'!$K:$K,'Q4 Backlog Report 2026'!$D:$D,$A9,'Q4 Backlog Report 2026'!$I:$I,O$3)</f>
        <v>0</v>
      </c>
      <c r="P9" s="29" t="n">
        <f aca="false">SUMIFS(SprintPlanning[HLE],SprintPlanning[Stream],$A9,SprintPlanning[Sprint],P$3)+SUMIFS('Q4 Backlog Report 2026'!$K:$K,'Q4 Backlog Report 2026'!$D:$D,$A9,'Q4 Backlog Report 2026'!$I:$I,P$3)</f>
        <v>0</v>
      </c>
      <c r="Q9" s="29" t="n">
        <f aca="false">SUMIFS(SprintPlanning[HLE],SprintPlanning[Stream],$A9,SprintPlanning[Sprint],Q$3)+SUMIFS('Q4 Backlog Report 2026'!$K:$K,'Q4 Backlog Report 2026'!$D:$D,$A9,'Q4 Backlog Report 2026'!$I:$I,Q$3)</f>
        <v>0</v>
      </c>
      <c r="R9" s="68" t="n">
        <f aca="false">SUM(B9:Q9)</f>
        <v>57</v>
      </c>
      <c r="T9" s="1" t="n">
        <f aca="false">IF(AND('Sprint Planning'!$H9&gt;=10,'Sprint Planning'!$H9&lt;=16),IFERROR(MATCH('Sprint Planning'!$C9,Roadmap!$A$4:$A$15,0),99)*100+'Sprint Planning'!$H9+9/100000,"")</f>
        <v>310.00009</v>
      </c>
    </row>
    <row r="10" customFormat="false" ht="15" hidden="false" customHeight="true" outlineLevel="0" collapsed="false">
      <c r="A10" s="29" t="s">
        <v>28</v>
      </c>
      <c r="B10" s="29" t="n">
        <f aca="false">SUMIFS(SprintPlanning[HLE],SprintPlanning[Stream],$A10,SprintPlanning[Sprint],B$3)+SUMIFS('Q1 Backlog Report 2026'!$K:$K,'Q1 Backlog Report 2026'!$D:$D,$A10,'Q1 Backlog Report 2026'!$I:$I,B$3)</f>
        <v>23</v>
      </c>
      <c r="C10" s="29" t="n">
        <f aca="false">SUMIFS(SprintPlanning[HLE],SprintPlanning[Stream],$A10,SprintPlanning[Sprint],C$3)+SUMIFS('Q1 Backlog Report 2026'!$K:$K,'Q1 Backlog Report 2026'!$D:$D,$A10,'Q1 Backlog Report 2026'!$I:$I,C$3)</f>
        <v>0</v>
      </c>
      <c r="D10" s="29" t="n">
        <f aca="false">SUMIFS(SprintPlanning[HLE],SprintPlanning[Stream],$A10,SprintPlanning[Sprint],D$3)+SUMIFS('Q1 Backlog Report 2026'!$K:$K,'Q1 Backlog Report 2026'!$D:$D,$A10,'Q1 Backlog Report 2026'!$I:$I,D$3)</f>
        <v>46</v>
      </c>
      <c r="E10" s="29" t="n">
        <f aca="false">SUMIFS(SprintPlanning[HLE],SprintPlanning[Stream],$A10,SprintPlanning[Sprint],E$3)+SUMIFS('Q1 Backlog Report 2026'!$K:$K,'Q1 Backlog Report 2026'!$D:$D,$A10,'Q1 Backlog Report 2026'!$I:$I,E$3)</f>
        <v>5</v>
      </c>
      <c r="F10" s="29" t="n">
        <f aca="false">SUMIFS(SprintPlanning[HLE],SprintPlanning[Stream],$A10,SprintPlanning[Sprint],F$3)+SUMIFS('Q2 Backlog Report 2026'!$K:$K,'Q2 Backlog Report 2026'!$D:$D,$A10,'Q2 Backlog Report 2026'!$I:$I,F$3)</f>
        <v>18</v>
      </c>
      <c r="G10" s="29" t="n">
        <f aca="false">SUMIFS(SprintPlanning[HLE],SprintPlanning[Stream],$A10,SprintPlanning[Sprint],G$3)+SUMIFS('Q2 Backlog Report 2026'!$K:$K,'Q2 Backlog Report 2026'!$D:$D,$A10,'Q2 Backlog Report 2026'!$I:$I,G$3)</f>
        <v>0</v>
      </c>
      <c r="H10" s="29" t="n">
        <f aca="false">SUMIFS(SprintPlanning[HLE],SprintPlanning[Stream],$A10,SprintPlanning[Sprint],H$3)+SUMIFS('Q2 Backlog Report 2026'!$K:$K,'Q2 Backlog Report 2026'!$D:$D,$A10,'Q2 Backlog Report 2026'!$I:$I,H$3)</f>
        <v>0</v>
      </c>
      <c r="I10" s="29" t="n">
        <f aca="false">SUMIFS(SprintPlanning[HLE],SprintPlanning[Stream],$A10,SprintPlanning[Sprint],I$3)+SUMIFS('Q2 Backlog Report 2026'!$K:$K,'Q2 Backlog Report 2026'!$D:$D,$A10,'Q2 Backlog Report 2026'!$I:$I,I$3)</f>
        <v>13</v>
      </c>
      <c r="J10" s="29" t="n">
        <f aca="false">SUMIFS(SprintPlanning[HLE],SprintPlanning[Stream],$A10,SprintPlanning[Sprint],J$3)+SUMIFS('Q3 Backlog Report 2026'!$K:$K,'Q3 Backlog Report 2026'!$D:$D,$A10,'Q3 Backlog Report 2026'!$I:$I,J$3)</f>
        <v>0</v>
      </c>
      <c r="K10" s="29" t="n">
        <f aca="false">SUMIFS(SprintPlanning[HLE],SprintPlanning[Stream],$A10,SprintPlanning[Sprint],K$3)+SUMIFS('Q3 Backlog Report 2026'!$K:$K,'Q3 Backlog Report 2026'!$D:$D,$A10,'Q3 Backlog Report 2026'!$I:$I,K$3)</f>
        <v>0</v>
      </c>
      <c r="L10" s="29" t="n">
        <f aca="false">SUMIFS(SprintPlanning[HLE],SprintPlanning[Stream],$A10,SprintPlanning[Sprint],L$3)+SUMIFS('Q3 Backlog Report 2026'!$K:$K,'Q3 Backlog Report 2026'!$D:$D,$A10,'Q3 Backlog Report 2026'!$I:$I,L$3)</f>
        <v>0</v>
      </c>
      <c r="M10" s="29" t="n">
        <f aca="false">SUMIFS(SprintPlanning[HLE],SprintPlanning[Stream],$A10,SprintPlanning[Sprint],M$3)+SUMIFS('Q3 Backlog Report 2026'!$K:$K,'Q3 Backlog Report 2026'!$D:$D,$A10,'Q3 Backlog Report 2026'!$I:$I,M$3)</f>
        <v>26</v>
      </c>
      <c r="N10" s="29" t="n">
        <f aca="false">SUMIFS(SprintPlanning[HLE],SprintPlanning[Stream],$A10,SprintPlanning[Sprint],N$3)+SUMIFS('Q4 Backlog Report 2026'!$K:$K,'Q4 Backlog Report 2026'!$D:$D,$A10,'Q4 Backlog Report 2026'!$I:$I,N$3)</f>
        <v>0</v>
      </c>
      <c r="O10" s="29" t="n">
        <f aca="false">SUMIFS(SprintPlanning[HLE],SprintPlanning[Stream],$A10,SprintPlanning[Sprint],O$3)+SUMIFS('Q4 Backlog Report 2026'!$K:$K,'Q4 Backlog Report 2026'!$D:$D,$A10,'Q4 Backlog Report 2026'!$I:$I,O$3)</f>
        <v>0</v>
      </c>
      <c r="P10" s="29" t="n">
        <f aca="false">SUMIFS(SprintPlanning[HLE],SprintPlanning[Stream],$A10,SprintPlanning[Sprint],P$3)+SUMIFS('Q4 Backlog Report 2026'!$K:$K,'Q4 Backlog Report 2026'!$D:$D,$A10,'Q4 Backlog Report 2026'!$I:$I,P$3)</f>
        <v>0</v>
      </c>
      <c r="Q10" s="29" t="n">
        <f aca="false">SUMIFS(SprintPlanning[HLE],SprintPlanning[Stream],$A10,SprintPlanning[Sprint],Q$3)+SUMIFS('Q4 Backlog Report 2026'!$K:$K,'Q4 Backlog Report 2026'!$D:$D,$A10,'Q4 Backlog Report 2026'!$I:$I,Q$3)</f>
        <v>0</v>
      </c>
      <c r="R10" s="68" t="n">
        <f aca="false">SUM(B10:Q10)</f>
        <v>131</v>
      </c>
      <c r="T10" s="1" t="n">
        <f aca="false">IF(AND('Sprint Planning'!$H10&gt;=10,'Sprint Planning'!$H10&lt;=16),IFERROR(MATCH('Sprint Planning'!$C10,Roadmap!$A$4:$A$15,0),99)*100+'Sprint Planning'!$H10+10/100000,"")</f>
        <v>1210.0001</v>
      </c>
    </row>
    <row r="11" customFormat="false" ht="15" hidden="false" customHeight="true" outlineLevel="0" collapsed="false">
      <c r="A11" s="29" t="s">
        <v>434</v>
      </c>
      <c r="B11" s="29" t="n">
        <f aca="false">SUMIFS(SprintPlanning[HLE],SprintPlanning[Stream],$A11,SprintPlanning[Sprint],B$3)+SUMIFS('Q1 Backlog Report 2026'!$K:$K,'Q1 Backlog Report 2026'!$D:$D,$A11,'Q1 Backlog Report 2026'!$I:$I,B$3)</f>
        <v>0</v>
      </c>
      <c r="C11" s="29" t="n">
        <f aca="false">SUMIFS(SprintPlanning[HLE],SprintPlanning[Stream],$A11,SprintPlanning[Sprint],C$3)+SUMIFS('Q1 Backlog Report 2026'!$K:$K,'Q1 Backlog Report 2026'!$D:$D,$A11,'Q1 Backlog Report 2026'!$I:$I,C$3)</f>
        <v>0</v>
      </c>
      <c r="D11" s="29" t="n">
        <f aca="false">SUMIFS(SprintPlanning[HLE],SprintPlanning[Stream],$A11,SprintPlanning[Sprint],D$3)+SUMIFS('Q1 Backlog Report 2026'!$K:$K,'Q1 Backlog Report 2026'!$D:$D,$A11,'Q1 Backlog Report 2026'!$I:$I,D$3)</f>
        <v>0</v>
      </c>
      <c r="E11" s="29" t="n">
        <f aca="false">SUMIFS(SprintPlanning[HLE],SprintPlanning[Stream],$A11,SprintPlanning[Sprint],E$3)+SUMIFS('Q1 Backlog Report 2026'!$K:$K,'Q1 Backlog Report 2026'!$D:$D,$A11,'Q1 Backlog Report 2026'!$I:$I,E$3)</f>
        <v>0</v>
      </c>
      <c r="F11" s="29" t="n">
        <f aca="false">SUMIFS(SprintPlanning[HLE],SprintPlanning[Stream],$A11,SprintPlanning[Sprint],F$3)+SUMIFS('Q2 Backlog Report 2026'!$K:$K,'Q2 Backlog Report 2026'!$D:$D,$A11,'Q2 Backlog Report 2026'!$I:$I,F$3)</f>
        <v>0</v>
      </c>
      <c r="G11" s="29" t="n">
        <f aca="false">SUMIFS(SprintPlanning[HLE],SprintPlanning[Stream],$A11,SprintPlanning[Sprint],G$3)+SUMIFS('Q2 Backlog Report 2026'!$K:$K,'Q2 Backlog Report 2026'!$D:$D,$A11,'Q2 Backlog Report 2026'!$I:$I,G$3)</f>
        <v>0</v>
      </c>
      <c r="H11" s="29" t="n">
        <f aca="false">SUMIFS(SprintPlanning[HLE],SprintPlanning[Stream],$A11,SprintPlanning[Sprint],H$3)+SUMIFS('Q2 Backlog Report 2026'!$K:$K,'Q2 Backlog Report 2026'!$D:$D,$A11,'Q2 Backlog Report 2026'!$I:$I,H$3)</f>
        <v>0</v>
      </c>
      <c r="I11" s="29" t="n">
        <f aca="false">SUMIFS(SprintPlanning[HLE],SprintPlanning[Stream],$A11,SprintPlanning[Sprint],I$3)+SUMIFS('Q2 Backlog Report 2026'!$K:$K,'Q2 Backlog Report 2026'!$D:$D,$A11,'Q2 Backlog Report 2026'!$I:$I,I$3)</f>
        <v>0</v>
      </c>
      <c r="J11" s="29" t="n">
        <f aca="false">SUMIFS(SprintPlanning[HLE],SprintPlanning[Stream],$A11,SprintPlanning[Sprint],J$3)+SUMIFS('Q3 Backlog Report 2026'!$K:$K,'Q3 Backlog Report 2026'!$D:$D,$A11,'Q3 Backlog Report 2026'!$I:$I,J$3)</f>
        <v>0</v>
      </c>
      <c r="K11" s="29" t="n">
        <f aca="false">SUMIFS(SprintPlanning[HLE],SprintPlanning[Stream],$A11,SprintPlanning[Sprint],K$3)+SUMIFS('Q3 Backlog Report 2026'!$K:$K,'Q3 Backlog Report 2026'!$D:$D,$A11,'Q3 Backlog Report 2026'!$I:$I,K$3)</f>
        <v>0</v>
      </c>
      <c r="L11" s="29" t="n">
        <f aca="false">SUMIFS(SprintPlanning[HLE],SprintPlanning[Stream],$A11,SprintPlanning[Sprint],L$3)+SUMIFS('Q3 Backlog Report 2026'!$K:$K,'Q3 Backlog Report 2026'!$D:$D,$A11,'Q3 Backlog Report 2026'!$I:$I,L$3)</f>
        <v>0</v>
      </c>
      <c r="M11" s="29" t="n">
        <f aca="false">SUMIFS(SprintPlanning[HLE],SprintPlanning[Stream],$A11,SprintPlanning[Sprint],M$3)+SUMIFS('Q3 Backlog Report 2026'!$K:$K,'Q3 Backlog Report 2026'!$D:$D,$A11,'Q3 Backlog Report 2026'!$I:$I,M$3)</f>
        <v>0</v>
      </c>
      <c r="N11" s="29" t="n">
        <f aca="false">SUMIFS(SprintPlanning[HLE],SprintPlanning[Stream],$A11,SprintPlanning[Sprint],N$3)+SUMIFS('Q4 Backlog Report 2026'!$K:$K,'Q4 Backlog Report 2026'!$D:$D,$A11,'Q4 Backlog Report 2026'!$I:$I,N$3)</f>
        <v>0</v>
      </c>
      <c r="O11" s="29" t="n">
        <f aca="false">SUMIFS(SprintPlanning[HLE],SprintPlanning[Stream],$A11,SprintPlanning[Sprint],O$3)+SUMIFS('Q4 Backlog Report 2026'!$K:$K,'Q4 Backlog Report 2026'!$D:$D,$A11,'Q4 Backlog Report 2026'!$I:$I,O$3)</f>
        <v>0</v>
      </c>
      <c r="P11" s="29" t="n">
        <f aca="false">SUMIFS(SprintPlanning[HLE],SprintPlanning[Stream],$A11,SprintPlanning[Sprint],P$3)+SUMIFS('Q4 Backlog Report 2026'!$K:$K,'Q4 Backlog Report 2026'!$D:$D,$A11,'Q4 Backlog Report 2026'!$I:$I,P$3)</f>
        <v>0</v>
      </c>
      <c r="Q11" s="29" t="n">
        <f aca="false">SUMIFS(SprintPlanning[HLE],SprintPlanning[Stream],$A11,SprintPlanning[Sprint],Q$3)+SUMIFS('Q4 Backlog Report 2026'!$K:$K,'Q4 Backlog Report 2026'!$D:$D,$A11,'Q4 Backlog Report 2026'!$I:$I,Q$3)</f>
        <v>0</v>
      </c>
      <c r="R11" s="68" t="n">
        <f aca="false">SUM(B11:Q11)</f>
        <v>0</v>
      </c>
      <c r="T11" s="1" t="n">
        <f aca="false">IF(AND('Sprint Planning'!$H11&gt;=10,'Sprint Planning'!$H11&lt;=16),IFERROR(MATCH('Sprint Planning'!$C11,Roadmap!$A$4:$A$15,0),99)*100+'Sprint Planning'!$H11+11/100000,"")</f>
        <v>310.00011</v>
      </c>
    </row>
    <row r="12" customFormat="false" ht="15" hidden="false" customHeight="true" outlineLevel="0" collapsed="false">
      <c r="A12" s="29" t="s">
        <v>435</v>
      </c>
      <c r="B12" s="29" t="n">
        <f aca="false">SUMIFS(SprintPlanning[HLE],SprintPlanning[Stream],$A12,SprintPlanning[Sprint],B$3)+SUMIFS('Q1 Backlog Report 2026'!$K:$K,'Q1 Backlog Report 2026'!$D:$D,$A12,'Q1 Backlog Report 2026'!$I:$I,B$3)</f>
        <v>21</v>
      </c>
      <c r="C12" s="29" t="n">
        <f aca="false">SUMIFS(SprintPlanning[HLE],SprintPlanning[Stream],$A12,SprintPlanning[Sprint],C$3)+SUMIFS('Q1 Backlog Report 2026'!$K:$K,'Q1 Backlog Report 2026'!$D:$D,$A12,'Q1 Backlog Report 2026'!$I:$I,C$3)</f>
        <v>2</v>
      </c>
      <c r="D12" s="29" t="n">
        <f aca="false">SUMIFS(SprintPlanning[HLE],SprintPlanning[Stream],$A12,SprintPlanning[Sprint],D$3)+SUMIFS('Q1 Backlog Report 2026'!$K:$K,'Q1 Backlog Report 2026'!$D:$D,$A12,'Q1 Backlog Report 2026'!$I:$I,D$3)</f>
        <v>0</v>
      </c>
      <c r="E12" s="29" t="n">
        <f aca="false">SUMIFS(SprintPlanning[HLE],SprintPlanning[Stream],$A12,SprintPlanning[Sprint],E$3)+SUMIFS('Q1 Backlog Report 2026'!$K:$K,'Q1 Backlog Report 2026'!$D:$D,$A12,'Q1 Backlog Report 2026'!$I:$I,E$3)</f>
        <v>0</v>
      </c>
      <c r="F12" s="29" t="n">
        <f aca="false">SUMIFS(SprintPlanning[HLE],SprintPlanning[Stream],$A12,SprintPlanning[Sprint],F$3)+SUMIFS('Q2 Backlog Report 2026'!$K:$K,'Q2 Backlog Report 2026'!$D:$D,$A12,'Q2 Backlog Report 2026'!$I:$I,F$3)</f>
        <v>0</v>
      </c>
      <c r="G12" s="29" t="n">
        <f aca="false">SUMIFS(SprintPlanning[HLE],SprintPlanning[Stream],$A12,SprintPlanning[Sprint],G$3)+SUMIFS('Q2 Backlog Report 2026'!$K:$K,'Q2 Backlog Report 2026'!$D:$D,$A12,'Q2 Backlog Report 2026'!$I:$I,G$3)</f>
        <v>0</v>
      </c>
      <c r="H12" s="29" t="n">
        <f aca="false">SUMIFS(SprintPlanning[HLE],SprintPlanning[Stream],$A12,SprintPlanning[Sprint],H$3)+SUMIFS('Q2 Backlog Report 2026'!$K:$K,'Q2 Backlog Report 2026'!$D:$D,$A12,'Q2 Backlog Report 2026'!$I:$I,H$3)</f>
        <v>0</v>
      </c>
      <c r="I12" s="29" t="n">
        <f aca="false">SUMIFS(SprintPlanning[HLE],SprintPlanning[Stream],$A12,SprintPlanning[Sprint],I$3)+SUMIFS('Q2 Backlog Report 2026'!$K:$K,'Q2 Backlog Report 2026'!$D:$D,$A12,'Q2 Backlog Report 2026'!$I:$I,I$3)</f>
        <v>0</v>
      </c>
      <c r="J12" s="29" t="n">
        <f aca="false">SUMIFS(SprintPlanning[HLE],SprintPlanning[Stream],$A12,SprintPlanning[Sprint],J$3)+SUMIFS('Q3 Backlog Report 2026'!$K:$K,'Q3 Backlog Report 2026'!$D:$D,$A12,'Q3 Backlog Report 2026'!$I:$I,J$3)</f>
        <v>0</v>
      </c>
      <c r="K12" s="29" t="n">
        <f aca="false">SUMIFS(SprintPlanning[HLE],SprintPlanning[Stream],$A12,SprintPlanning[Sprint],K$3)+SUMIFS('Q3 Backlog Report 2026'!$K:$K,'Q3 Backlog Report 2026'!$D:$D,$A12,'Q3 Backlog Report 2026'!$I:$I,K$3)</f>
        <v>0</v>
      </c>
      <c r="L12" s="29" t="n">
        <f aca="false">SUMIFS(SprintPlanning[HLE],SprintPlanning[Stream],$A12,SprintPlanning[Sprint],L$3)+SUMIFS('Q3 Backlog Report 2026'!$K:$K,'Q3 Backlog Report 2026'!$D:$D,$A12,'Q3 Backlog Report 2026'!$I:$I,L$3)</f>
        <v>0</v>
      </c>
      <c r="M12" s="29" t="n">
        <f aca="false">SUMIFS(SprintPlanning[HLE],SprintPlanning[Stream],$A12,SprintPlanning[Sprint],M$3)+SUMIFS('Q3 Backlog Report 2026'!$K:$K,'Q3 Backlog Report 2026'!$D:$D,$A12,'Q3 Backlog Report 2026'!$I:$I,M$3)</f>
        <v>0</v>
      </c>
      <c r="N12" s="29" t="n">
        <f aca="false">SUMIFS(SprintPlanning[HLE],SprintPlanning[Stream],$A12,SprintPlanning[Sprint],N$3)+SUMIFS('Q4 Backlog Report 2026'!$K:$K,'Q4 Backlog Report 2026'!$D:$D,$A12,'Q4 Backlog Report 2026'!$I:$I,N$3)</f>
        <v>0</v>
      </c>
      <c r="O12" s="29" t="n">
        <f aca="false">SUMIFS(SprintPlanning[HLE],SprintPlanning[Stream],$A12,SprintPlanning[Sprint],O$3)+SUMIFS('Q4 Backlog Report 2026'!$K:$K,'Q4 Backlog Report 2026'!$D:$D,$A12,'Q4 Backlog Report 2026'!$I:$I,O$3)</f>
        <v>0</v>
      </c>
      <c r="P12" s="29" t="n">
        <f aca="false">SUMIFS(SprintPlanning[HLE],SprintPlanning[Stream],$A12,SprintPlanning[Sprint],P$3)+SUMIFS('Q4 Backlog Report 2026'!$K:$K,'Q4 Backlog Report 2026'!$D:$D,$A12,'Q4 Backlog Report 2026'!$I:$I,P$3)</f>
        <v>0</v>
      </c>
      <c r="Q12" s="29" t="n">
        <f aca="false">SUMIFS(SprintPlanning[HLE],SprintPlanning[Stream],$A12,SprintPlanning[Sprint],Q$3)+SUMIFS('Q4 Backlog Report 2026'!$K:$K,'Q4 Backlog Report 2026'!$D:$D,$A12,'Q4 Backlog Report 2026'!$I:$I,Q$3)</f>
        <v>0</v>
      </c>
      <c r="R12" s="68" t="n">
        <f aca="false">SUM(B12:Q12)</f>
        <v>23</v>
      </c>
      <c r="T12" s="1" t="n">
        <f aca="false">IF(AND('Sprint Planning'!$H12&gt;=10,'Sprint Planning'!$H12&lt;=16),IFERROR(MATCH('Sprint Planning'!$C12,Roadmap!$A$4:$A$15,0),99)*100+'Sprint Planning'!$H12+12/100000,"")</f>
        <v>110.00012</v>
      </c>
    </row>
    <row r="13" customFormat="false" ht="15" hidden="false" customHeight="true" outlineLevel="0" collapsed="false">
      <c r="A13" s="29" t="s">
        <v>436</v>
      </c>
      <c r="B13" s="29" t="n">
        <f aca="false">SUMIFS(SprintPlanning[HLE],SprintPlanning[Stream],$A13,SprintPlanning[Sprint],B$3)+SUMIFS('Q1 Backlog Report 2026'!$K:$K,'Q1 Backlog Report 2026'!$D:$D,$A13,'Q1 Backlog Report 2026'!$I:$I,B$3)</f>
        <v>8</v>
      </c>
      <c r="C13" s="29" t="n">
        <f aca="false">SUMIFS(SprintPlanning[HLE],SprintPlanning[Stream],$A13,SprintPlanning[Sprint],C$3)+SUMIFS('Q1 Backlog Report 2026'!$K:$K,'Q1 Backlog Report 2026'!$D:$D,$A13,'Q1 Backlog Report 2026'!$I:$I,C$3)</f>
        <v>0</v>
      </c>
      <c r="D13" s="29" t="n">
        <f aca="false">SUMIFS(SprintPlanning[HLE],SprintPlanning[Stream],$A13,SprintPlanning[Sprint],D$3)+SUMIFS('Q1 Backlog Report 2026'!$K:$K,'Q1 Backlog Report 2026'!$D:$D,$A13,'Q1 Backlog Report 2026'!$I:$I,D$3)</f>
        <v>0</v>
      </c>
      <c r="E13" s="29" t="n">
        <f aca="false">SUMIFS(SprintPlanning[HLE],SprintPlanning[Stream],$A13,SprintPlanning[Sprint],E$3)+SUMIFS('Q1 Backlog Report 2026'!$K:$K,'Q1 Backlog Report 2026'!$D:$D,$A13,'Q1 Backlog Report 2026'!$I:$I,E$3)</f>
        <v>0</v>
      </c>
      <c r="F13" s="29" t="n">
        <f aca="false">SUMIFS(SprintPlanning[HLE],SprintPlanning[Stream],$A13,SprintPlanning[Sprint],F$3)+SUMIFS('Q2 Backlog Report 2026'!$K:$K,'Q2 Backlog Report 2026'!$D:$D,$A13,'Q2 Backlog Report 2026'!$I:$I,F$3)</f>
        <v>0</v>
      </c>
      <c r="G13" s="29" t="n">
        <f aca="false">SUMIFS(SprintPlanning[HLE],SprintPlanning[Stream],$A13,SprintPlanning[Sprint],G$3)+SUMIFS('Q2 Backlog Report 2026'!$K:$K,'Q2 Backlog Report 2026'!$D:$D,$A13,'Q2 Backlog Report 2026'!$I:$I,G$3)</f>
        <v>0</v>
      </c>
      <c r="H13" s="29" t="n">
        <f aca="false">SUMIFS(SprintPlanning[HLE],SprintPlanning[Stream],$A13,SprintPlanning[Sprint],H$3)+SUMIFS('Q2 Backlog Report 2026'!$K:$K,'Q2 Backlog Report 2026'!$D:$D,$A13,'Q2 Backlog Report 2026'!$I:$I,H$3)</f>
        <v>0</v>
      </c>
      <c r="I13" s="29" t="n">
        <f aca="false">SUMIFS(SprintPlanning[HLE],SprintPlanning[Stream],$A13,SprintPlanning[Sprint],I$3)+SUMIFS('Q2 Backlog Report 2026'!$K:$K,'Q2 Backlog Report 2026'!$D:$D,$A13,'Q2 Backlog Report 2026'!$I:$I,I$3)</f>
        <v>0</v>
      </c>
      <c r="J13" s="29" t="n">
        <f aca="false">SUMIFS(SprintPlanning[HLE],SprintPlanning[Stream],$A13,SprintPlanning[Sprint],J$3)+SUMIFS('Q3 Backlog Report 2026'!$K:$K,'Q3 Backlog Report 2026'!$D:$D,$A13,'Q3 Backlog Report 2026'!$I:$I,J$3)</f>
        <v>0</v>
      </c>
      <c r="K13" s="29" t="n">
        <f aca="false">SUMIFS(SprintPlanning[HLE],SprintPlanning[Stream],$A13,SprintPlanning[Sprint],K$3)+SUMIFS('Q3 Backlog Report 2026'!$K:$K,'Q3 Backlog Report 2026'!$D:$D,$A13,'Q3 Backlog Report 2026'!$I:$I,K$3)</f>
        <v>0</v>
      </c>
      <c r="L13" s="29" t="n">
        <f aca="false">SUMIFS(SprintPlanning[HLE],SprintPlanning[Stream],$A13,SprintPlanning[Sprint],L$3)+SUMIFS('Q3 Backlog Report 2026'!$K:$K,'Q3 Backlog Report 2026'!$D:$D,$A13,'Q3 Backlog Report 2026'!$I:$I,L$3)</f>
        <v>0</v>
      </c>
      <c r="M13" s="29" t="n">
        <f aca="false">SUMIFS(SprintPlanning[HLE],SprintPlanning[Stream],$A13,SprintPlanning[Sprint],M$3)+SUMIFS('Q3 Backlog Report 2026'!$K:$K,'Q3 Backlog Report 2026'!$D:$D,$A13,'Q3 Backlog Report 2026'!$I:$I,M$3)</f>
        <v>0</v>
      </c>
      <c r="N13" s="29" t="n">
        <f aca="false">SUMIFS(SprintPlanning[HLE],SprintPlanning[Stream],$A13,SprintPlanning[Sprint],N$3)+SUMIFS('Q4 Backlog Report 2026'!$K:$K,'Q4 Backlog Report 2026'!$D:$D,$A13,'Q4 Backlog Report 2026'!$I:$I,N$3)</f>
        <v>0</v>
      </c>
      <c r="O13" s="29" t="n">
        <f aca="false">SUMIFS(SprintPlanning[HLE],SprintPlanning[Stream],$A13,SprintPlanning[Sprint],O$3)+SUMIFS('Q4 Backlog Report 2026'!$K:$K,'Q4 Backlog Report 2026'!$D:$D,$A13,'Q4 Backlog Report 2026'!$I:$I,O$3)</f>
        <v>0</v>
      </c>
      <c r="P13" s="29" t="n">
        <f aca="false">SUMIFS(SprintPlanning[HLE],SprintPlanning[Stream],$A13,SprintPlanning[Sprint],P$3)+SUMIFS('Q4 Backlog Report 2026'!$K:$K,'Q4 Backlog Report 2026'!$D:$D,$A13,'Q4 Backlog Report 2026'!$I:$I,P$3)</f>
        <v>0</v>
      </c>
      <c r="Q13" s="29" t="n">
        <f aca="false">SUMIFS(SprintPlanning[HLE],SprintPlanning[Stream],$A13,SprintPlanning[Sprint],Q$3)+SUMIFS('Q4 Backlog Report 2026'!$K:$K,'Q4 Backlog Report 2026'!$D:$D,$A13,'Q4 Backlog Report 2026'!$I:$I,Q$3)</f>
        <v>0</v>
      </c>
      <c r="R13" s="68" t="n">
        <f aca="false">SUM(B13:Q13)</f>
        <v>8</v>
      </c>
      <c r="T13" s="1" t="n">
        <f aca="false">IF(AND('Sprint Planning'!$H13&gt;=10,'Sprint Planning'!$H13&lt;=16),IFERROR(MATCH('Sprint Planning'!$C13,Roadmap!$A$4:$A$15,0),99)*100+'Sprint Planning'!$H13+13/100000,"")</f>
        <v>510.00013</v>
      </c>
    </row>
    <row r="14" customFormat="false" ht="15" hidden="false" customHeight="true" outlineLevel="0" collapsed="false">
      <c r="A14" s="29" t="s">
        <v>437</v>
      </c>
      <c r="B14" s="29" t="n">
        <f aca="false">SUMIFS(SprintPlanning[HLE],SprintPlanning[Stream],$A14,SprintPlanning[Sprint],B$3)+SUMIFS('Q1 Backlog Report 2026'!$K:$K,'Q1 Backlog Report 2026'!$D:$D,$A14,'Q1 Backlog Report 2026'!$I:$I,B$3)</f>
        <v>10</v>
      </c>
      <c r="C14" s="29" t="n">
        <f aca="false">SUMIFS(SprintPlanning[HLE],SprintPlanning[Stream],$A14,SprintPlanning[Sprint],C$3)+SUMIFS('Q1 Backlog Report 2026'!$K:$K,'Q1 Backlog Report 2026'!$D:$D,$A14,'Q1 Backlog Report 2026'!$I:$I,C$3)</f>
        <v>8</v>
      </c>
      <c r="D14" s="29" t="n">
        <f aca="false">SUMIFS(SprintPlanning[HLE],SprintPlanning[Stream],$A14,SprintPlanning[Sprint],D$3)+SUMIFS('Q1 Backlog Report 2026'!$K:$K,'Q1 Backlog Report 2026'!$D:$D,$A14,'Q1 Backlog Report 2026'!$I:$I,D$3)</f>
        <v>0</v>
      </c>
      <c r="E14" s="29" t="n">
        <f aca="false">SUMIFS(SprintPlanning[HLE],SprintPlanning[Stream],$A14,SprintPlanning[Sprint],E$3)+SUMIFS('Q1 Backlog Report 2026'!$K:$K,'Q1 Backlog Report 2026'!$D:$D,$A14,'Q1 Backlog Report 2026'!$I:$I,E$3)</f>
        <v>0</v>
      </c>
      <c r="F14" s="29" t="n">
        <f aca="false">SUMIFS(SprintPlanning[HLE],SprintPlanning[Stream],$A14,SprintPlanning[Sprint],F$3)+SUMIFS('Q2 Backlog Report 2026'!$K:$K,'Q2 Backlog Report 2026'!$D:$D,$A14,'Q2 Backlog Report 2026'!$I:$I,F$3)</f>
        <v>0</v>
      </c>
      <c r="G14" s="29" t="n">
        <f aca="false">SUMIFS(SprintPlanning[HLE],SprintPlanning[Stream],$A14,SprintPlanning[Sprint],G$3)+SUMIFS('Q2 Backlog Report 2026'!$K:$K,'Q2 Backlog Report 2026'!$D:$D,$A14,'Q2 Backlog Report 2026'!$I:$I,G$3)</f>
        <v>0</v>
      </c>
      <c r="H14" s="29" t="n">
        <f aca="false">SUMIFS(SprintPlanning[HLE],SprintPlanning[Stream],$A14,SprintPlanning[Sprint],H$3)+SUMIFS('Q2 Backlog Report 2026'!$K:$K,'Q2 Backlog Report 2026'!$D:$D,$A14,'Q2 Backlog Report 2026'!$I:$I,H$3)</f>
        <v>0</v>
      </c>
      <c r="I14" s="29" t="n">
        <f aca="false">SUMIFS(SprintPlanning[HLE],SprintPlanning[Stream],$A14,SprintPlanning[Sprint],I$3)+SUMIFS('Q2 Backlog Report 2026'!$K:$K,'Q2 Backlog Report 2026'!$D:$D,$A14,'Q2 Backlog Report 2026'!$I:$I,I$3)</f>
        <v>0</v>
      </c>
      <c r="J14" s="29" t="n">
        <f aca="false">SUMIFS(SprintPlanning[HLE],SprintPlanning[Stream],$A14,SprintPlanning[Sprint],J$3)+SUMIFS('Q3 Backlog Report 2026'!$K:$K,'Q3 Backlog Report 2026'!$D:$D,$A14,'Q3 Backlog Report 2026'!$I:$I,J$3)</f>
        <v>0</v>
      </c>
      <c r="K14" s="29" t="n">
        <f aca="false">SUMIFS(SprintPlanning[HLE],SprintPlanning[Stream],$A14,SprintPlanning[Sprint],K$3)+SUMIFS('Q3 Backlog Report 2026'!$K:$K,'Q3 Backlog Report 2026'!$D:$D,$A14,'Q3 Backlog Report 2026'!$I:$I,K$3)</f>
        <v>0</v>
      </c>
      <c r="L14" s="29" t="n">
        <f aca="false">SUMIFS(SprintPlanning[HLE],SprintPlanning[Stream],$A14,SprintPlanning[Sprint],L$3)+SUMIFS('Q3 Backlog Report 2026'!$K:$K,'Q3 Backlog Report 2026'!$D:$D,$A14,'Q3 Backlog Report 2026'!$I:$I,L$3)</f>
        <v>0</v>
      </c>
      <c r="M14" s="29" t="n">
        <f aca="false">SUMIFS(SprintPlanning[HLE],SprintPlanning[Stream],$A14,SprintPlanning[Sprint],M$3)+SUMIFS('Q3 Backlog Report 2026'!$K:$K,'Q3 Backlog Report 2026'!$D:$D,$A14,'Q3 Backlog Report 2026'!$I:$I,M$3)</f>
        <v>0</v>
      </c>
      <c r="N14" s="29" t="n">
        <f aca="false">SUMIFS(SprintPlanning[HLE],SprintPlanning[Stream],$A14,SprintPlanning[Sprint],N$3)+SUMIFS('Q4 Backlog Report 2026'!$K:$K,'Q4 Backlog Report 2026'!$D:$D,$A14,'Q4 Backlog Report 2026'!$I:$I,N$3)</f>
        <v>0</v>
      </c>
      <c r="O14" s="29" t="n">
        <f aca="false">SUMIFS(SprintPlanning[HLE],SprintPlanning[Stream],$A14,SprintPlanning[Sprint],O$3)+SUMIFS('Q4 Backlog Report 2026'!$K:$K,'Q4 Backlog Report 2026'!$D:$D,$A14,'Q4 Backlog Report 2026'!$I:$I,O$3)</f>
        <v>0</v>
      </c>
      <c r="P14" s="29" t="n">
        <f aca="false">SUMIFS(SprintPlanning[HLE],SprintPlanning[Stream],$A14,SprintPlanning[Sprint],P$3)+SUMIFS('Q4 Backlog Report 2026'!$K:$K,'Q4 Backlog Report 2026'!$D:$D,$A14,'Q4 Backlog Report 2026'!$I:$I,P$3)</f>
        <v>0</v>
      </c>
      <c r="Q14" s="29" t="n">
        <f aca="false">SUMIFS(SprintPlanning[HLE],SprintPlanning[Stream],$A14,SprintPlanning[Sprint],Q$3)+SUMIFS('Q4 Backlog Report 2026'!$K:$K,'Q4 Backlog Report 2026'!$D:$D,$A14,'Q4 Backlog Report 2026'!$I:$I,Q$3)</f>
        <v>0</v>
      </c>
      <c r="R14" s="68" t="n">
        <f aca="false">SUM(B14:Q14)</f>
        <v>18</v>
      </c>
      <c r="T14" s="1" t="n">
        <f aca="false">IF(AND('Sprint Planning'!$H14&gt;=10,'Sprint Planning'!$H14&lt;=16),IFERROR(MATCH('Sprint Planning'!$C14,Roadmap!$A$4:$A$15,0),99)*100+'Sprint Planning'!$H14+14/100000,"")</f>
        <v>411.00014</v>
      </c>
    </row>
    <row r="15" customFormat="false" ht="15" hidden="false" customHeight="true" outlineLevel="0" collapsed="false">
      <c r="A15" s="29" t="s">
        <v>120</v>
      </c>
      <c r="B15" s="29" t="n">
        <f aca="false">SUMIFS(SprintPlanning[HLE],SprintPlanning[Stream],$A15,SprintPlanning[Sprint],B$3)+SUMIFS('Q1 Backlog Report 2026'!$K:$K,'Q1 Backlog Report 2026'!$D:$D,$A15,'Q1 Backlog Report 2026'!$I:$I,B$3)</f>
        <v>0</v>
      </c>
      <c r="C15" s="29" t="n">
        <f aca="false">SUMIFS(SprintPlanning[HLE],SprintPlanning[Stream],$A15,SprintPlanning[Sprint],C$3)+SUMIFS('Q1 Backlog Report 2026'!$K:$K,'Q1 Backlog Report 2026'!$D:$D,$A15,'Q1 Backlog Report 2026'!$I:$I,C$3)</f>
        <v>0</v>
      </c>
      <c r="D15" s="29" t="n">
        <f aca="false">SUMIFS(SprintPlanning[HLE],SprintPlanning[Stream],$A15,SprintPlanning[Sprint],D$3)+SUMIFS('Q1 Backlog Report 2026'!$K:$K,'Q1 Backlog Report 2026'!$D:$D,$A15,'Q1 Backlog Report 2026'!$I:$I,D$3)</f>
        <v>0</v>
      </c>
      <c r="E15" s="29" t="n">
        <f aca="false">SUMIFS(SprintPlanning[HLE],SprintPlanning[Stream],$A15,SprintPlanning[Sprint],E$3)+SUMIFS('Q1 Backlog Report 2026'!$K:$K,'Q1 Backlog Report 2026'!$D:$D,$A15,'Q1 Backlog Report 2026'!$I:$I,E$3)</f>
        <v>0</v>
      </c>
      <c r="F15" s="29" t="n">
        <f aca="false">SUMIFS(SprintPlanning[HLE],SprintPlanning[Stream],$A15,SprintPlanning[Sprint],F$3)+SUMIFS('Q2 Backlog Report 2026'!$K:$K,'Q2 Backlog Report 2026'!$D:$D,$A15,'Q2 Backlog Report 2026'!$I:$I,F$3)</f>
        <v>8</v>
      </c>
      <c r="G15" s="29" t="n">
        <f aca="false">SUMIFS(SprintPlanning[HLE],SprintPlanning[Stream],$A15,SprintPlanning[Sprint],G$3)+SUMIFS('Q2 Backlog Report 2026'!$K:$K,'Q2 Backlog Report 2026'!$D:$D,$A15,'Q2 Backlog Report 2026'!$I:$I,G$3)</f>
        <v>5</v>
      </c>
      <c r="H15" s="29" t="n">
        <f aca="false">SUMIFS(SprintPlanning[HLE],SprintPlanning[Stream],$A15,SprintPlanning[Sprint],H$3)+SUMIFS('Q2 Backlog Report 2026'!$K:$K,'Q2 Backlog Report 2026'!$D:$D,$A15,'Q2 Backlog Report 2026'!$I:$I,H$3)</f>
        <v>10</v>
      </c>
      <c r="I15" s="29" t="n">
        <f aca="false">SUMIFS(SprintPlanning[HLE],SprintPlanning[Stream],$A15,SprintPlanning[Sprint],I$3)+SUMIFS('Q2 Backlog Report 2026'!$K:$K,'Q2 Backlog Report 2026'!$D:$D,$A15,'Q2 Backlog Report 2026'!$I:$I,I$3)</f>
        <v>0</v>
      </c>
      <c r="J15" s="29" t="n">
        <f aca="false">SUMIFS(SprintPlanning[HLE],SprintPlanning[Stream],$A15,SprintPlanning[Sprint],J$3)+SUMIFS('Q3 Backlog Report 2026'!$K:$K,'Q3 Backlog Report 2026'!$D:$D,$A15,'Q3 Backlog Report 2026'!$I:$I,J$3)</f>
        <v>12</v>
      </c>
      <c r="K15" s="29" t="n">
        <f aca="false">SUMIFS(SprintPlanning[HLE],SprintPlanning[Stream],$A15,SprintPlanning[Sprint],K$3)+SUMIFS('Q3 Backlog Report 2026'!$K:$K,'Q3 Backlog Report 2026'!$D:$D,$A15,'Q3 Backlog Report 2026'!$I:$I,K$3)</f>
        <v>8</v>
      </c>
      <c r="L15" s="29" t="n">
        <f aca="false">SUMIFS(SprintPlanning[HLE],SprintPlanning[Stream],$A15,SprintPlanning[Sprint],L$3)+SUMIFS('Q3 Backlog Report 2026'!$K:$K,'Q3 Backlog Report 2026'!$D:$D,$A15,'Q3 Backlog Report 2026'!$I:$I,L$3)</f>
        <v>0</v>
      </c>
      <c r="M15" s="29" t="n">
        <f aca="false">SUMIFS(SprintPlanning[HLE],SprintPlanning[Stream],$A15,SprintPlanning[Sprint],M$3)+SUMIFS('Q3 Backlog Report 2026'!$K:$K,'Q3 Backlog Report 2026'!$D:$D,$A15,'Q3 Backlog Report 2026'!$I:$I,M$3)</f>
        <v>0</v>
      </c>
      <c r="N15" s="29" t="n">
        <f aca="false">SUMIFS(SprintPlanning[HLE],SprintPlanning[Stream],$A15,SprintPlanning[Sprint],N$3)+SUMIFS('Q4 Backlog Report 2026'!$K:$K,'Q4 Backlog Report 2026'!$D:$D,$A15,'Q4 Backlog Report 2026'!$I:$I,N$3)</f>
        <v>0</v>
      </c>
      <c r="O15" s="29" t="n">
        <f aca="false">SUMIFS(SprintPlanning[HLE],SprintPlanning[Stream],$A15,SprintPlanning[Sprint],O$3)+SUMIFS('Q4 Backlog Report 2026'!$K:$K,'Q4 Backlog Report 2026'!$D:$D,$A15,'Q4 Backlog Report 2026'!$I:$I,O$3)</f>
        <v>0</v>
      </c>
      <c r="P15" s="29" t="n">
        <f aca="false">SUMIFS(SprintPlanning[HLE],SprintPlanning[Stream],$A15,SprintPlanning[Sprint],P$3)+SUMIFS('Q4 Backlog Report 2026'!$K:$K,'Q4 Backlog Report 2026'!$D:$D,$A15,'Q4 Backlog Report 2026'!$I:$I,P$3)</f>
        <v>0</v>
      </c>
      <c r="Q15" s="29" t="n">
        <f aca="false">SUMIFS(SprintPlanning[HLE],SprintPlanning[Stream],$A15,SprintPlanning[Sprint],Q$3)+SUMIFS('Q4 Backlog Report 2026'!$K:$K,'Q4 Backlog Report 2026'!$D:$D,$A15,'Q4 Backlog Report 2026'!$I:$I,Q$3)</f>
        <v>0</v>
      </c>
      <c r="R15" s="68" t="n">
        <f aca="false">SUM(B15:Q15)</f>
        <v>43</v>
      </c>
      <c r="T15" s="1" t="str">
        <f aca="false">IF(AND('Sprint Planning'!$H15&gt;=10,'Sprint Planning'!$H15&lt;=16),IFERROR(MATCH('Sprint Planning'!$C15,Roadmap!$A$4:$A$15,0),99)*100+'Sprint Planning'!$H15+15/100000,"")</f>
        <v/>
      </c>
    </row>
    <row r="16" customFormat="false" ht="15" hidden="false" customHeight="true" outlineLevel="0" collapsed="false">
      <c r="A16" s="68" t="s">
        <v>433</v>
      </c>
      <c r="B16" s="68" t="n">
        <f aca="false">SUM(B4:B15)</f>
        <v>88</v>
      </c>
      <c r="C16" s="68" t="n">
        <f aca="false">SUM(C4:C15)</f>
        <v>35</v>
      </c>
      <c r="D16" s="68" t="n">
        <f aca="false">SUM(D4:D15)</f>
        <v>84</v>
      </c>
      <c r="E16" s="68" t="n">
        <f aca="false">SUM(E4:E15)</f>
        <v>68</v>
      </c>
      <c r="F16" s="68" t="n">
        <f aca="false">SUM(F4:F15)</f>
        <v>202</v>
      </c>
      <c r="G16" s="68" t="n">
        <f aca="false">SUM(G4:G15)</f>
        <v>153</v>
      </c>
      <c r="H16" s="68" t="n">
        <f aca="false">SUM(H4:H15)</f>
        <v>103</v>
      </c>
      <c r="I16" s="68" t="n">
        <f aca="false">SUM(I4:I15)</f>
        <v>105</v>
      </c>
      <c r="J16" s="68" t="n">
        <f aca="false">SUM(J4:J15)</f>
        <v>141</v>
      </c>
      <c r="K16" s="68" t="n">
        <f aca="false">SUM(K4:K15)</f>
        <v>115</v>
      </c>
      <c r="L16" s="68" t="n">
        <f aca="false">SUM(L4:L15)</f>
        <v>102</v>
      </c>
      <c r="M16" s="68" t="n">
        <f aca="false">SUM(M4:M15)</f>
        <v>107</v>
      </c>
      <c r="N16" s="68" t="n">
        <f aca="false">SUM(N4:N15)</f>
        <v>0</v>
      </c>
      <c r="O16" s="68" t="n">
        <f aca="false">SUM(O4:O15)</f>
        <v>0</v>
      </c>
      <c r="P16" s="68" t="n">
        <f aca="false">SUM(P4:P15)</f>
        <v>0</v>
      </c>
      <c r="Q16" s="68" t="n">
        <f aca="false">SUM(Q4:Q15)</f>
        <v>0</v>
      </c>
      <c r="R16" s="68" t="n">
        <f aca="false">SUM(R4:R15)</f>
        <v>1303</v>
      </c>
      <c r="T16" s="1" t="n">
        <f aca="false">IF(AND('Sprint Planning'!$H16&gt;=10,'Sprint Planning'!$H16&lt;=16),IFERROR(MATCH('Sprint Planning'!$C16,Roadmap!$A$4:$A$15,0),99)*100+'Sprint Planning'!$H16+16/100000,"")</f>
        <v>612.00016</v>
      </c>
    </row>
    <row r="17" customFormat="false" ht="15" hidden="false" customHeight="true" outlineLevel="0" collapsed="false">
      <c r="T17" s="1" t="n">
        <f aca="false">IF(AND('Sprint Planning'!$H17&gt;=10,'Sprint Planning'!$H17&lt;=16),IFERROR(MATCH('Sprint Planning'!$C17,Roadmap!$A$4:$A$15,0),99)*100+'Sprint Planning'!$H17+17/100000,"")</f>
        <v>612.00017</v>
      </c>
    </row>
    <row r="18" customFormat="false" ht="15" hidden="false" customHeight="true" outlineLevel="0" collapsed="false">
      <c r="A18" s="69" t="s">
        <v>438</v>
      </c>
      <c r="T18" s="1" t="str">
        <f aca="false">IF(AND('Sprint Planning'!$H18&gt;=10,'Sprint Planning'!$H18&lt;=16),IFERROR(MATCH('Sprint Planning'!$C18,Roadmap!$A$4:$A$15,0),99)*100+'Sprint Planning'!$H18+18/100000,"")</f>
        <v/>
      </c>
    </row>
    <row r="19" customFormat="false" ht="15" hidden="false" customHeight="true" outlineLevel="0" collapsed="false">
      <c r="T19" s="1" t="str">
        <f aca="false">IF(AND('Sprint Planning'!$H19&gt;=10,'Sprint Planning'!$H19&lt;=16),IFERROR(MATCH('Sprint Planning'!$C19,Roadmap!$A$4:$A$15,0),99)*100+'Sprint Planning'!$H19+19/100000,"")</f>
        <v/>
      </c>
    </row>
    <row r="20" customFormat="false" ht="15" hidden="false" customHeight="true" outlineLevel="0" collapsed="false">
      <c r="A20" s="70" t="s">
        <v>69</v>
      </c>
      <c r="B20" s="71" t="s">
        <v>439</v>
      </c>
      <c r="C20" s="70"/>
      <c r="D20" s="70" t="s">
        <v>415</v>
      </c>
      <c r="E20" s="70" t="s">
        <v>425</v>
      </c>
      <c r="F20" s="70" t="s">
        <v>426</v>
      </c>
      <c r="G20" s="70" t="s">
        <v>427</v>
      </c>
      <c r="H20" s="70" t="s">
        <v>428</v>
      </c>
      <c r="I20" s="70" t="s">
        <v>429</v>
      </c>
      <c r="J20" s="70" t="s">
        <v>430</v>
      </c>
      <c r="K20" s="72"/>
      <c r="T20" s="1" t="n">
        <f aca="false">IF(AND('Sprint Planning'!$H20&gt;=10,'Sprint Planning'!$H20&lt;=16),IFERROR(MATCH('Sprint Planning'!$C20,Roadmap!$A$4:$A$15,0),99)*100+'Sprint Planning'!$H20+20/100000,"")</f>
        <v>311.0002</v>
      </c>
    </row>
    <row r="21" customFormat="false" ht="15" hidden="false" customHeight="true" outlineLevel="0" collapsed="false">
      <c r="A21" s="1" t="str">
        <f aca="false">IFERROR(INDEX('Sprint Planning'!$C$2:$C$241,MATCH(SMALL(Roadmap!$T$2:$T$243,ROW()-20),Roadmap!$T$2:$T$243,0)),"")</f>
        <v/>
      </c>
      <c r="B21" s="57" t="str">
        <f aca="false">IFERROR(INDEX('Sprint Planning'!$B$2:$B$241,MATCH(SMALL(Roadmap!$T$2:$T$243,ROW()-20),Roadmap!$T$2:$T$243,0)),"")</f>
        <v/>
      </c>
      <c r="C21" s="1" t="str">
        <f aca="false">IFERROR(INDEX('Sprint Planning'!$H$2:$H$241,MATCH(SMALL(Roadmap!$T$2:$T$243,ROW()-20),Roadmap!$T$2:$T$243,0)),"")</f>
        <v/>
      </c>
      <c r="D21" s="1" t="str">
        <f aca="false">IF($B21="","",IF($C21=10,"●",""))</f>
        <v/>
      </c>
      <c r="E21" s="1" t="str">
        <f aca="false">IF($B21="","",IF($C21=11,"●",""))</f>
        <v/>
      </c>
      <c r="F21" s="1" t="str">
        <f aca="false">IF($B21="","",IF($C21=12,"●",""))</f>
        <v/>
      </c>
      <c r="G21" s="1" t="str">
        <f aca="false">IF($B21="","",IF($C21=13,"●",""))</f>
        <v/>
      </c>
      <c r="H21" s="1" t="str">
        <f aca="false">IF($B21="","",IF($C21=14,"●",""))</f>
        <v/>
      </c>
      <c r="I21" s="1" t="str">
        <f aca="false">IF($B21="","",IF($C21=15,"●",""))</f>
        <v/>
      </c>
      <c r="J21" s="1" t="str">
        <f aca="false">IF($B21="","",IF($C21=16,"●",""))</f>
        <v/>
      </c>
      <c r="T21" s="1" t="n">
        <f aca="false">IF(AND('Sprint Planning'!$H21&gt;=10,'Sprint Planning'!$H21&lt;=16),IFERROR(MATCH('Sprint Planning'!$C21,Roadmap!$A$4:$A$15,0),99)*100+'Sprint Planning'!$H21+21/100000,"")</f>
        <v>312.00021</v>
      </c>
    </row>
    <row r="22" customFormat="false" ht="15" hidden="false" customHeight="true" outlineLevel="0" collapsed="false">
      <c r="A22" s="1" t="str">
        <f aca="false">IFERROR(INDEX('Sprint Planning'!$C$2:$C$241,MATCH(SMALL(Roadmap!$T$2:$T$243,ROW()-20),Roadmap!$T$2:$T$243,0)),"")</f>
        <v/>
      </c>
      <c r="B22" s="57" t="str">
        <f aca="false">IFERROR(INDEX('Sprint Planning'!$B$2:$B$241,MATCH(SMALL(Roadmap!$T$2:$T$243,ROW()-20),Roadmap!$T$2:$T$243,0)),"")</f>
        <v/>
      </c>
      <c r="C22" s="1" t="str">
        <f aca="false">IFERROR(INDEX('Sprint Planning'!$H$2:$H$241,MATCH(SMALL(Roadmap!$T$2:$T$243,ROW()-20),Roadmap!$T$2:$T$243,0)),"")</f>
        <v/>
      </c>
      <c r="D22" s="1" t="str">
        <f aca="false">IF($B22="","",IF($C22=10,"●",""))</f>
        <v/>
      </c>
      <c r="E22" s="1" t="str">
        <f aca="false">IF($B22="","",IF($C22=11,"●",""))</f>
        <v/>
      </c>
      <c r="F22" s="1" t="str">
        <f aca="false">IF($B22="","",IF($C22=12,"●",""))</f>
        <v/>
      </c>
      <c r="G22" s="1" t="str">
        <f aca="false">IF($B22="","",IF($C22=13,"●",""))</f>
        <v/>
      </c>
      <c r="H22" s="1" t="str">
        <f aca="false">IF($B22="","",IF($C22=14,"●",""))</f>
        <v/>
      </c>
      <c r="I22" s="1" t="str">
        <f aca="false">IF($B22="","",IF($C22=15,"●",""))</f>
        <v/>
      </c>
      <c r="J22" s="1" t="str">
        <f aca="false">IF($B22="","",IF($C22=16,"●",""))</f>
        <v/>
      </c>
      <c r="T22" s="1" t="n">
        <f aca="false">IF(AND('Sprint Planning'!$H22&gt;=10,'Sprint Planning'!$H22&lt;=16),IFERROR(MATCH('Sprint Planning'!$C22,Roadmap!$A$4:$A$15,0),99)*100+'Sprint Planning'!$H22+22/100000,"")</f>
        <v>712.00022</v>
      </c>
    </row>
    <row r="23" customFormat="false" ht="15" hidden="false" customHeight="true" outlineLevel="0" collapsed="false">
      <c r="A23" s="1" t="str">
        <f aca="false">IFERROR(INDEX('Sprint Planning'!$C$2:$C$241,MATCH(SMALL(Roadmap!$T$2:$T$243,ROW()-20),Roadmap!$T$2:$T$243,0)),"")</f>
        <v/>
      </c>
      <c r="B23" s="57" t="str">
        <f aca="false">IFERROR(INDEX('Sprint Planning'!$B$2:$B$241,MATCH(SMALL(Roadmap!$T$2:$T$243,ROW()-20),Roadmap!$T$2:$T$243,0)),"")</f>
        <v/>
      </c>
      <c r="C23" s="1" t="str">
        <f aca="false">IFERROR(INDEX('Sprint Planning'!$H$2:$H$241,MATCH(SMALL(Roadmap!$T$2:$T$243,ROW()-20),Roadmap!$T$2:$T$243,0)),"")</f>
        <v/>
      </c>
      <c r="D23" s="1" t="str">
        <f aca="false">IF($B23="","",IF($C23=10,"●",""))</f>
        <v/>
      </c>
      <c r="E23" s="1" t="str">
        <f aca="false">IF($B23="","",IF($C23=11,"●",""))</f>
        <v/>
      </c>
      <c r="F23" s="1" t="str">
        <f aca="false">IF($B23="","",IF($C23=12,"●",""))</f>
        <v/>
      </c>
      <c r="G23" s="1" t="str">
        <f aca="false">IF($B23="","",IF($C23=13,"●",""))</f>
        <v/>
      </c>
      <c r="H23" s="1" t="str">
        <f aca="false">IF($B23="","",IF($C23=14,"●",""))</f>
        <v/>
      </c>
      <c r="I23" s="1" t="str">
        <f aca="false">IF($B23="","",IF($C23=15,"●",""))</f>
        <v/>
      </c>
      <c r="J23" s="1" t="str">
        <f aca="false">IF($B23="","",IF($C23=16,"●",""))</f>
        <v/>
      </c>
      <c r="T23" s="1" t="n">
        <f aca="false">IF(AND('Sprint Planning'!$H23&gt;=10,'Sprint Planning'!$H23&lt;=16),IFERROR(MATCH('Sprint Planning'!$C23,Roadmap!$A$4:$A$15,0),99)*100+'Sprint Planning'!$H23+23/100000,"")</f>
        <v>712.00023</v>
      </c>
    </row>
    <row r="24" customFormat="false" ht="15" hidden="false" customHeight="true" outlineLevel="0" collapsed="false">
      <c r="A24" s="1" t="str">
        <f aca="false">IFERROR(INDEX('Sprint Planning'!$C$2:$C$241,MATCH(SMALL(Roadmap!$T$2:$T$243,ROW()-20),Roadmap!$T$2:$T$243,0)),"")</f>
        <v/>
      </c>
      <c r="B24" s="57" t="str">
        <f aca="false">IFERROR(INDEX('Sprint Planning'!$B$2:$B$241,MATCH(SMALL(Roadmap!$T$2:$T$243,ROW()-20),Roadmap!$T$2:$T$243,0)),"")</f>
        <v/>
      </c>
      <c r="C24" s="1" t="str">
        <f aca="false">IFERROR(INDEX('Sprint Planning'!$H$2:$H$241,MATCH(SMALL(Roadmap!$T$2:$T$243,ROW()-20),Roadmap!$T$2:$T$243,0)),"")</f>
        <v/>
      </c>
      <c r="D24" s="1" t="str">
        <f aca="false">IF($B24="","",IF($C24=10,"●",""))</f>
        <v/>
      </c>
      <c r="E24" s="1" t="str">
        <f aca="false">IF($B24="","",IF($C24=11,"●",""))</f>
        <v/>
      </c>
      <c r="F24" s="1" t="str">
        <f aca="false">IF($B24="","",IF($C24=12,"●",""))</f>
        <v/>
      </c>
      <c r="G24" s="1" t="str">
        <f aca="false">IF($B24="","",IF($C24=13,"●",""))</f>
        <v/>
      </c>
      <c r="H24" s="1" t="str">
        <f aca="false">IF($B24="","",IF($C24=14,"●",""))</f>
        <v/>
      </c>
      <c r="I24" s="1" t="str">
        <f aca="false">IF($B24="","",IF($C24=15,"●",""))</f>
        <v/>
      </c>
      <c r="J24" s="1" t="str">
        <f aca="false">IF($B24="","",IF($C24=16,"●",""))</f>
        <v/>
      </c>
      <c r="T24" s="1" t="n">
        <f aca="false">IF(AND('Sprint Planning'!$H24&gt;=10,'Sprint Planning'!$H24&lt;=16),IFERROR(MATCH('Sprint Planning'!$C24,Roadmap!$A$4:$A$15,0),99)*100+'Sprint Planning'!$H24+24/100000,"")</f>
        <v>211.00024</v>
      </c>
    </row>
    <row r="25" customFormat="false" ht="15" hidden="false" customHeight="true" outlineLevel="0" collapsed="false">
      <c r="A25" s="1" t="str">
        <f aca="false">IFERROR(INDEX('Sprint Planning'!$C$2:$C$241,MATCH(SMALL(Roadmap!$T$2:$T$243,ROW()-20),Roadmap!$T$2:$T$243,0)),"")</f>
        <v/>
      </c>
      <c r="B25" s="57" t="str">
        <f aca="false">IFERROR(INDEX('Sprint Planning'!$B$2:$B$241,MATCH(SMALL(Roadmap!$T$2:$T$243,ROW()-20),Roadmap!$T$2:$T$243,0)),"")</f>
        <v/>
      </c>
      <c r="C25" s="1" t="str">
        <f aca="false">IFERROR(INDEX('Sprint Planning'!$H$2:$H$241,MATCH(SMALL(Roadmap!$T$2:$T$243,ROW()-20),Roadmap!$T$2:$T$243,0)),"")</f>
        <v/>
      </c>
      <c r="D25" s="1" t="str">
        <f aca="false">IF($B25="","",IF($C25=10,"●",""))</f>
        <v/>
      </c>
      <c r="E25" s="1" t="str">
        <f aca="false">IF($B25="","",IF($C25=11,"●",""))</f>
        <v/>
      </c>
      <c r="F25" s="1" t="str">
        <f aca="false">IF($B25="","",IF($C25=12,"●",""))</f>
        <v/>
      </c>
      <c r="G25" s="1" t="str">
        <f aca="false">IF($B25="","",IF($C25=13,"●",""))</f>
        <v/>
      </c>
      <c r="H25" s="1" t="str">
        <f aca="false">IF($B25="","",IF($C25=14,"●",""))</f>
        <v/>
      </c>
      <c r="I25" s="1" t="str">
        <f aca="false">IF($B25="","",IF($C25=15,"●",""))</f>
        <v/>
      </c>
      <c r="J25" s="1" t="str">
        <f aca="false">IF($B25="","",IF($C25=16,"●",""))</f>
        <v/>
      </c>
      <c r="T25" s="1" t="n">
        <f aca="false">IF(AND('Sprint Planning'!$H25&gt;=10,'Sprint Planning'!$H25&lt;=16),IFERROR(MATCH('Sprint Planning'!$C25,Roadmap!$A$4:$A$15,0),99)*100+'Sprint Planning'!$H25+25/100000,"")</f>
        <v>212.00025</v>
      </c>
    </row>
    <row r="26" customFormat="false" ht="15" hidden="false" customHeight="true" outlineLevel="0" collapsed="false">
      <c r="A26" s="1" t="str">
        <f aca="false">IFERROR(INDEX('Sprint Planning'!$C$2:$C$241,MATCH(SMALL(Roadmap!$T$2:$T$243,ROW()-20),Roadmap!$T$2:$T$243,0)),"")</f>
        <v/>
      </c>
      <c r="B26" s="57" t="str">
        <f aca="false">IFERROR(INDEX('Sprint Planning'!$B$2:$B$241,MATCH(SMALL(Roadmap!$T$2:$T$243,ROW()-20),Roadmap!$T$2:$T$243,0)),"")</f>
        <v/>
      </c>
      <c r="C26" s="1" t="str">
        <f aca="false">IFERROR(INDEX('Sprint Planning'!$H$2:$H$241,MATCH(SMALL(Roadmap!$T$2:$T$243,ROW()-20),Roadmap!$T$2:$T$243,0)),"")</f>
        <v/>
      </c>
      <c r="D26" s="1" t="str">
        <f aca="false">IF($B26="","",IF($C26=10,"●",""))</f>
        <v/>
      </c>
      <c r="E26" s="1" t="str">
        <f aca="false">IF($B26="","",IF($C26=11,"●",""))</f>
        <v/>
      </c>
      <c r="F26" s="1" t="str">
        <f aca="false">IF($B26="","",IF($C26=12,"●",""))</f>
        <v/>
      </c>
      <c r="G26" s="1" t="str">
        <f aca="false">IF($B26="","",IF($C26=13,"●",""))</f>
        <v/>
      </c>
      <c r="H26" s="1" t="str">
        <f aca="false">IF($B26="","",IF($C26=14,"●",""))</f>
        <v/>
      </c>
      <c r="I26" s="1" t="str">
        <f aca="false">IF($B26="","",IF($C26=15,"●",""))</f>
        <v/>
      </c>
      <c r="J26" s="1" t="str">
        <f aca="false">IF($B26="","",IF($C26=16,"●",""))</f>
        <v/>
      </c>
      <c r="T26" s="1" t="n">
        <f aca="false">IF(AND('Sprint Planning'!$H26&gt;=10,'Sprint Planning'!$H26&lt;=16),IFERROR(MATCH('Sprint Planning'!$C26,Roadmap!$A$4:$A$15,0),99)*100+'Sprint Planning'!$H26+26/100000,"")</f>
        <v>112.00026</v>
      </c>
    </row>
    <row r="27" customFormat="false" ht="15" hidden="false" customHeight="true" outlineLevel="0" collapsed="false">
      <c r="A27" s="1" t="str">
        <f aca="false">IFERROR(INDEX('Sprint Planning'!$C$2:$C$241,MATCH(SMALL(Roadmap!$T$2:$T$243,ROW()-20),Roadmap!$T$2:$T$243,0)),"")</f>
        <v/>
      </c>
      <c r="B27" s="57" t="str">
        <f aca="false">IFERROR(INDEX('Sprint Planning'!$B$2:$B$241,MATCH(SMALL(Roadmap!$T$2:$T$243,ROW()-20),Roadmap!$T$2:$T$243,0)),"")</f>
        <v/>
      </c>
      <c r="C27" s="1" t="str">
        <f aca="false">IFERROR(INDEX('Sprint Planning'!$H$2:$H$241,MATCH(SMALL(Roadmap!$T$2:$T$243,ROW()-20),Roadmap!$T$2:$T$243,0)),"")</f>
        <v/>
      </c>
      <c r="D27" s="1" t="str">
        <f aca="false">IF($B27="","",IF($C27=10,"●",""))</f>
        <v/>
      </c>
      <c r="E27" s="1" t="str">
        <f aca="false">IF($B27="","",IF($C27=11,"●",""))</f>
        <v/>
      </c>
      <c r="F27" s="1" t="str">
        <f aca="false">IF($B27="","",IF($C27=12,"●",""))</f>
        <v/>
      </c>
      <c r="G27" s="1" t="str">
        <f aca="false">IF($B27="","",IF($C27=13,"●",""))</f>
        <v/>
      </c>
      <c r="H27" s="1" t="str">
        <f aca="false">IF($B27="","",IF($C27=14,"●",""))</f>
        <v/>
      </c>
      <c r="I27" s="1" t="str">
        <f aca="false">IF($B27="","",IF($C27=15,"●",""))</f>
        <v/>
      </c>
      <c r="J27" s="1" t="str">
        <f aca="false">IF($B27="","",IF($C27=16,"●",""))</f>
        <v/>
      </c>
      <c r="T27" s="1" t="n">
        <f aca="false">IF(AND('Sprint Planning'!$H27&gt;=10,'Sprint Planning'!$H27&lt;=16),IFERROR(MATCH('Sprint Planning'!$C27,Roadmap!$A$4:$A$15,0),99)*100+'Sprint Planning'!$H27+27/100000,"")</f>
        <v>612.00027</v>
      </c>
    </row>
    <row r="28" customFormat="false" ht="15" hidden="false" customHeight="true" outlineLevel="0" collapsed="false">
      <c r="A28" s="1" t="str">
        <f aca="false">IFERROR(INDEX('Sprint Planning'!$C$2:$C$241,MATCH(SMALL(Roadmap!$T$2:$T$243,ROW()-20),Roadmap!$T$2:$T$243,0)),"")</f>
        <v/>
      </c>
      <c r="B28" s="57" t="str">
        <f aca="false">IFERROR(INDEX('Sprint Planning'!$B$2:$B$241,MATCH(SMALL(Roadmap!$T$2:$T$243,ROW()-20),Roadmap!$T$2:$T$243,0)),"")</f>
        <v/>
      </c>
      <c r="C28" s="1" t="str">
        <f aca="false">IFERROR(INDEX('Sprint Planning'!$H$2:$H$241,MATCH(SMALL(Roadmap!$T$2:$T$243,ROW()-20),Roadmap!$T$2:$T$243,0)),"")</f>
        <v/>
      </c>
      <c r="D28" s="1" t="str">
        <f aca="false">IF($B28="","",IF($C28=10,"●",""))</f>
        <v/>
      </c>
      <c r="E28" s="1" t="str">
        <f aca="false">IF($B28="","",IF($C28=11,"●",""))</f>
        <v/>
      </c>
      <c r="F28" s="1" t="str">
        <f aca="false">IF($B28="","",IF($C28=12,"●",""))</f>
        <v/>
      </c>
      <c r="G28" s="1" t="str">
        <f aca="false">IF($B28="","",IF($C28=13,"●",""))</f>
        <v/>
      </c>
      <c r="H28" s="1" t="str">
        <f aca="false">IF($B28="","",IF($C28=14,"●",""))</f>
        <v/>
      </c>
      <c r="I28" s="1" t="str">
        <f aca="false">IF($B28="","",IF($C28=15,"●",""))</f>
        <v/>
      </c>
      <c r="J28" s="1" t="str">
        <f aca="false">IF($B28="","",IF($C28=16,"●",""))</f>
        <v/>
      </c>
      <c r="T28" s="1" t="n">
        <f aca="false">IF(AND('Sprint Planning'!$H28&gt;=10,'Sprint Planning'!$H28&lt;=16),IFERROR(MATCH('Sprint Planning'!$C28,Roadmap!$A$4:$A$15,0),99)*100+'Sprint Planning'!$H28+28/100000,"")</f>
        <v>612.00028</v>
      </c>
    </row>
    <row r="29" customFormat="false" ht="15" hidden="false" customHeight="true" outlineLevel="0" collapsed="false">
      <c r="A29" s="1" t="str">
        <f aca="false">IFERROR(INDEX('Sprint Planning'!$C$2:$C$241,MATCH(SMALL(Roadmap!$T$2:$T$243,ROW()-20),Roadmap!$T$2:$T$243,0)),"")</f>
        <v/>
      </c>
      <c r="B29" s="57" t="str">
        <f aca="false">IFERROR(INDEX('Sprint Planning'!$B$2:$B$241,MATCH(SMALL(Roadmap!$T$2:$T$243,ROW()-20),Roadmap!$T$2:$T$243,0)),"")</f>
        <v/>
      </c>
      <c r="C29" s="1" t="str">
        <f aca="false">IFERROR(INDEX('Sprint Planning'!$H$2:$H$241,MATCH(SMALL(Roadmap!$T$2:$T$243,ROW()-20),Roadmap!$T$2:$T$243,0)),"")</f>
        <v/>
      </c>
      <c r="D29" s="1" t="str">
        <f aca="false">IF($B29="","",IF($C29=10,"●",""))</f>
        <v/>
      </c>
      <c r="E29" s="1" t="str">
        <f aca="false">IF($B29="","",IF($C29=11,"●",""))</f>
        <v/>
      </c>
      <c r="F29" s="1" t="str">
        <f aca="false">IF($B29="","",IF($C29=12,"●",""))</f>
        <v/>
      </c>
      <c r="G29" s="1" t="str">
        <f aca="false">IF($B29="","",IF($C29=13,"●",""))</f>
        <v/>
      </c>
      <c r="H29" s="1" t="str">
        <f aca="false">IF($B29="","",IF($C29=14,"●",""))</f>
        <v/>
      </c>
      <c r="I29" s="1" t="str">
        <f aca="false">IF($B29="","",IF($C29=15,"●",""))</f>
        <v/>
      </c>
      <c r="J29" s="1" t="str">
        <f aca="false">IF($B29="","",IF($C29=16,"●",""))</f>
        <v/>
      </c>
      <c r="T29" s="1" t="n">
        <f aca="false">IF(AND('Sprint Planning'!$H29&gt;=10,'Sprint Planning'!$H29&lt;=16),IFERROR(MATCH('Sprint Planning'!$C29,Roadmap!$A$4:$A$15,0),99)*100+'Sprint Planning'!$H29+29/100000,"")</f>
        <v>612.00029</v>
      </c>
    </row>
    <row r="30" customFormat="false" ht="15" hidden="false" customHeight="true" outlineLevel="0" collapsed="false">
      <c r="A30" s="1" t="str">
        <f aca="false">IFERROR(INDEX('Sprint Planning'!$C$2:$C$241,MATCH(SMALL(Roadmap!$T$2:$T$243,ROW()-20),Roadmap!$T$2:$T$243,0)),"")</f>
        <v/>
      </c>
      <c r="B30" s="57" t="str">
        <f aca="false">IFERROR(INDEX('Sprint Planning'!$B$2:$B$241,MATCH(SMALL(Roadmap!$T$2:$T$243,ROW()-20),Roadmap!$T$2:$T$243,0)),"")</f>
        <v/>
      </c>
      <c r="C30" s="1" t="str">
        <f aca="false">IFERROR(INDEX('Sprint Planning'!$H$2:$H$241,MATCH(SMALL(Roadmap!$T$2:$T$243,ROW()-20),Roadmap!$T$2:$T$243,0)),"")</f>
        <v/>
      </c>
      <c r="D30" s="1" t="str">
        <f aca="false">IF($B30="","",IF($C30=10,"●",""))</f>
        <v/>
      </c>
      <c r="E30" s="1" t="str">
        <f aca="false">IF($B30="","",IF($C30=11,"●",""))</f>
        <v/>
      </c>
      <c r="F30" s="1" t="str">
        <f aca="false">IF($B30="","",IF($C30=12,"●",""))</f>
        <v/>
      </c>
      <c r="G30" s="1" t="str">
        <f aca="false">IF($B30="","",IF($C30=13,"●",""))</f>
        <v/>
      </c>
      <c r="H30" s="1" t="str">
        <f aca="false">IF($B30="","",IF($C30=14,"●",""))</f>
        <v/>
      </c>
      <c r="I30" s="1" t="str">
        <f aca="false">IF($B30="","",IF($C30=15,"●",""))</f>
        <v/>
      </c>
      <c r="J30" s="1" t="str">
        <f aca="false">IF($B30="","",IF($C30=16,"●",""))</f>
        <v/>
      </c>
      <c r="T30" s="1" t="n">
        <f aca="false">IF(AND('Sprint Planning'!$H30&gt;=10,'Sprint Planning'!$H30&lt;=16),IFERROR(MATCH('Sprint Planning'!$C30,Roadmap!$A$4:$A$15,0),99)*100+'Sprint Planning'!$H30+30/100000,"")</f>
        <v>212.0003</v>
      </c>
    </row>
    <row r="31" customFormat="false" ht="15" hidden="false" customHeight="true" outlineLevel="0" collapsed="false">
      <c r="A31" s="1" t="str">
        <f aca="false">IFERROR(INDEX('Sprint Planning'!$C$2:$C$241,MATCH(SMALL(Roadmap!$T$2:$T$243,ROW()-20),Roadmap!$T$2:$T$243,0)),"")</f>
        <v/>
      </c>
      <c r="B31" s="57" t="str">
        <f aca="false">IFERROR(INDEX('Sprint Planning'!$B$2:$B$241,MATCH(SMALL(Roadmap!$T$2:$T$243,ROW()-20),Roadmap!$T$2:$T$243,0)),"")</f>
        <v/>
      </c>
      <c r="C31" s="1" t="str">
        <f aca="false">IFERROR(INDEX('Sprint Planning'!$H$2:$H$241,MATCH(SMALL(Roadmap!$T$2:$T$243,ROW()-20),Roadmap!$T$2:$T$243,0)),"")</f>
        <v/>
      </c>
      <c r="D31" s="1" t="str">
        <f aca="false">IF($B31="","",IF($C31=10,"●",""))</f>
        <v/>
      </c>
      <c r="E31" s="1" t="str">
        <f aca="false">IF($B31="","",IF($C31=11,"●",""))</f>
        <v/>
      </c>
      <c r="F31" s="1" t="str">
        <f aca="false">IF($B31="","",IF($C31=12,"●",""))</f>
        <v/>
      </c>
      <c r="G31" s="1" t="str">
        <f aca="false">IF($B31="","",IF($C31=13,"●",""))</f>
        <v/>
      </c>
      <c r="H31" s="1" t="str">
        <f aca="false">IF($B31="","",IF($C31=14,"●",""))</f>
        <v/>
      </c>
      <c r="I31" s="1" t="str">
        <f aca="false">IF($B31="","",IF($C31=15,"●",""))</f>
        <v/>
      </c>
      <c r="J31" s="1" t="str">
        <f aca="false">IF($B31="","",IF($C31=16,"●",""))</f>
        <v/>
      </c>
      <c r="T31" s="1" t="n">
        <f aca="false">IF(AND('Sprint Planning'!$H31&gt;=10,'Sprint Planning'!$H31&lt;=16),IFERROR(MATCH('Sprint Planning'!$C31,Roadmap!$A$4:$A$15,0),99)*100+'Sprint Planning'!$H31+31/100000,"")</f>
        <v>612.00031</v>
      </c>
    </row>
    <row r="32" customFormat="false" ht="15" hidden="false" customHeight="true" outlineLevel="0" collapsed="false">
      <c r="A32" s="1" t="str">
        <f aca="false">IFERROR(INDEX('Sprint Planning'!$C$2:$C$241,MATCH(SMALL(Roadmap!$T$2:$T$243,ROW()-20),Roadmap!$T$2:$T$243,0)),"")</f>
        <v/>
      </c>
      <c r="B32" s="57" t="str">
        <f aca="false">IFERROR(INDEX('Sprint Planning'!$B$2:$B$241,MATCH(SMALL(Roadmap!$T$2:$T$243,ROW()-20),Roadmap!$T$2:$T$243,0)),"")</f>
        <v/>
      </c>
      <c r="C32" s="1" t="str">
        <f aca="false">IFERROR(INDEX('Sprint Planning'!$H$2:$H$241,MATCH(SMALL(Roadmap!$T$2:$T$243,ROW()-20),Roadmap!$T$2:$T$243,0)),"")</f>
        <v/>
      </c>
      <c r="D32" s="1" t="str">
        <f aca="false">IF($B32="","",IF($C32=10,"●",""))</f>
        <v/>
      </c>
      <c r="E32" s="1" t="str">
        <f aca="false">IF($B32="","",IF($C32=11,"●",""))</f>
        <v/>
      </c>
      <c r="F32" s="1" t="str">
        <f aca="false">IF($B32="","",IF($C32=12,"●",""))</f>
        <v/>
      </c>
      <c r="G32" s="1" t="str">
        <f aca="false">IF($B32="","",IF($C32=13,"●",""))</f>
        <v/>
      </c>
      <c r="H32" s="1" t="str">
        <f aca="false">IF($B32="","",IF($C32=14,"●",""))</f>
        <v/>
      </c>
      <c r="I32" s="1" t="str">
        <f aca="false">IF($B32="","",IF($C32=15,"●",""))</f>
        <v/>
      </c>
      <c r="J32" s="1" t="str">
        <f aca="false">IF($B32="","",IF($C32=16,"●",""))</f>
        <v/>
      </c>
      <c r="T32" s="1" t="n">
        <f aca="false">IF(AND('Sprint Planning'!$H32&gt;=10,'Sprint Planning'!$H32&lt;=16),IFERROR(MATCH('Sprint Planning'!$C32,Roadmap!$A$4:$A$15,0),99)*100+'Sprint Planning'!$H32+32/100000,"")</f>
        <v>612.00032</v>
      </c>
    </row>
    <row r="33" customFormat="false" ht="15" hidden="false" customHeight="true" outlineLevel="0" collapsed="false">
      <c r="A33" s="1" t="str">
        <f aca="false">IFERROR(INDEX('Sprint Planning'!$C$2:$C$241,MATCH(SMALL(Roadmap!$T$2:$T$243,ROW()-20),Roadmap!$T$2:$T$243,0)),"")</f>
        <v/>
      </c>
      <c r="B33" s="57" t="str">
        <f aca="false">IFERROR(INDEX('Sprint Planning'!$B$2:$B$241,MATCH(SMALL(Roadmap!$T$2:$T$243,ROW()-20),Roadmap!$T$2:$T$243,0)),"")</f>
        <v/>
      </c>
      <c r="C33" s="1" t="str">
        <f aca="false">IFERROR(INDEX('Sprint Planning'!$H$2:$H$241,MATCH(SMALL(Roadmap!$T$2:$T$243,ROW()-20),Roadmap!$T$2:$T$243,0)),"")</f>
        <v/>
      </c>
      <c r="D33" s="1" t="str">
        <f aca="false">IF($B33="","",IF($C33=10,"●",""))</f>
        <v/>
      </c>
      <c r="E33" s="1" t="str">
        <f aca="false">IF($B33="","",IF($C33=11,"●",""))</f>
        <v/>
      </c>
      <c r="F33" s="1" t="str">
        <f aca="false">IF($B33="","",IF($C33=12,"●",""))</f>
        <v/>
      </c>
      <c r="G33" s="1" t="str">
        <f aca="false">IF($B33="","",IF($C33=13,"●",""))</f>
        <v/>
      </c>
      <c r="H33" s="1" t="str">
        <f aca="false">IF($B33="","",IF($C33=14,"●",""))</f>
        <v/>
      </c>
      <c r="I33" s="1" t="str">
        <f aca="false">IF($B33="","",IF($C33=15,"●",""))</f>
        <v/>
      </c>
      <c r="J33" s="1" t="str">
        <f aca="false">IF($B33="","",IF($C33=16,"●",""))</f>
        <v/>
      </c>
      <c r="T33" s="1" t="str">
        <f aca="false">IF(AND('Sprint Planning'!$H33&gt;=10,'Sprint Planning'!$H33&lt;=16),IFERROR(MATCH('Sprint Planning'!$C33,Roadmap!$A$4:$A$15,0),99)*100+'Sprint Planning'!$H33+33/100000,"")</f>
        <v/>
      </c>
    </row>
    <row r="34" customFormat="false" ht="15" hidden="false" customHeight="true" outlineLevel="0" collapsed="false">
      <c r="A34" s="1" t="str">
        <f aca="false">IFERROR(INDEX('Sprint Planning'!$C$2:$C$241,MATCH(SMALL(Roadmap!$T$2:$T$243,ROW()-20),Roadmap!$T$2:$T$243,0)),"")</f>
        <v/>
      </c>
      <c r="B34" s="57" t="str">
        <f aca="false">IFERROR(INDEX('Sprint Planning'!$B$2:$B$241,MATCH(SMALL(Roadmap!$T$2:$T$243,ROW()-20),Roadmap!$T$2:$T$243,0)),"")</f>
        <v/>
      </c>
      <c r="C34" s="1" t="str">
        <f aca="false">IFERROR(INDEX('Sprint Planning'!$H$2:$H$241,MATCH(SMALL(Roadmap!$T$2:$T$243,ROW()-20),Roadmap!$T$2:$T$243,0)),"")</f>
        <v/>
      </c>
      <c r="D34" s="1" t="str">
        <f aca="false">IF($B34="","",IF($C34=10,"●",""))</f>
        <v/>
      </c>
      <c r="E34" s="1" t="str">
        <f aca="false">IF($B34="","",IF($C34=11,"●",""))</f>
        <v/>
      </c>
      <c r="F34" s="1" t="str">
        <f aca="false">IF($B34="","",IF($C34=12,"●",""))</f>
        <v/>
      </c>
      <c r="G34" s="1" t="str">
        <f aca="false">IF($B34="","",IF($C34=13,"●",""))</f>
        <v/>
      </c>
      <c r="H34" s="1" t="str">
        <f aca="false">IF($B34="","",IF($C34=14,"●",""))</f>
        <v/>
      </c>
      <c r="I34" s="1" t="str">
        <f aca="false">IF($B34="","",IF($C34=15,"●",""))</f>
        <v/>
      </c>
      <c r="J34" s="1" t="str">
        <f aca="false">IF($B34="","",IF($C34=16,"●",""))</f>
        <v/>
      </c>
      <c r="T34" s="1" t="str">
        <f aca="false">IF(AND('Sprint Planning'!$H34&gt;=10,'Sprint Planning'!$H34&lt;=16),IFERROR(MATCH('Sprint Planning'!$C34,Roadmap!$A$4:$A$15,0),99)*100+'Sprint Planning'!$H34+34/100000,"")</f>
        <v/>
      </c>
    </row>
    <row r="35" customFormat="false" ht="15" hidden="false" customHeight="true" outlineLevel="0" collapsed="false">
      <c r="A35" s="1" t="str">
        <f aca="false">IFERROR(INDEX('Sprint Planning'!$C$2:$C$241,MATCH(SMALL(Roadmap!$T$2:$T$243,ROW()-20),Roadmap!$T$2:$T$243,0)),"")</f>
        <v/>
      </c>
      <c r="B35" s="57" t="str">
        <f aca="false">IFERROR(INDEX('Sprint Planning'!$B$2:$B$241,MATCH(SMALL(Roadmap!$T$2:$T$243,ROW()-20),Roadmap!$T$2:$T$243,0)),"")</f>
        <v/>
      </c>
      <c r="C35" s="1" t="str">
        <f aca="false">IFERROR(INDEX('Sprint Planning'!$H$2:$H$241,MATCH(SMALL(Roadmap!$T$2:$T$243,ROW()-20),Roadmap!$T$2:$T$243,0)),"")</f>
        <v/>
      </c>
      <c r="D35" s="1" t="str">
        <f aca="false">IF($B35="","",IF($C35=10,"●",""))</f>
        <v/>
      </c>
      <c r="E35" s="1" t="str">
        <f aca="false">IF($B35="","",IF($C35=11,"●",""))</f>
        <v/>
      </c>
      <c r="F35" s="1" t="str">
        <f aca="false">IF($B35="","",IF($C35=12,"●",""))</f>
        <v/>
      </c>
      <c r="G35" s="1" t="str">
        <f aca="false">IF($B35="","",IF($C35=13,"●",""))</f>
        <v/>
      </c>
      <c r="H35" s="1" t="str">
        <f aca="false">IF($B35="","",IF($C35=14,"●",""))</f>
        <v/>
      </c>
      <c r="I35" s="1" t="str">
        <f aca="false">IF($B35="","",IF($C35=15,"●",""))</f>
        <v/>
      </c>
      <c r="J35" s="1" t="str">
        <f aca="false">IF($B35="","",IF($C35=16,"●",""))</f>
        <v/>
      </c>
      <c r="T35" s="1" t="str">
        <f aca="false">IF(AND('Sprint Planning'!$H35&gt;=10,'Sprint Planning'!$H35&lt;=16),IFERROR(MATCH('Sprint Planning'!$C35,Roadmap!$A$4:$A$15,0),99)*100+'Sprint Planning'!$H35+35/100000,"")</f>
        <v/>
      </c>
    </row>
    <row r="36" customFormat="false" ht="15" hidden="false" customHeight="true" outlineLevel="0" collapsed="false">
      <c r="A36" s="1" t="str">
        <f aca="false">IFERROR(INDEX('Sprint Planning'!$C$2:$C$241,MATCH(SMALL(Roadmap!$T$2:$T$243,ROW()-20),Roadmap!$T$2:$T$243,0)),"")</f>
        <v/>
      </c>
      <c r="B36" s="57" t="str">
        <f aca="false">IFERROR(INDEX('Sprint Planning'!$B$2:$B$241,MATCH(SMALL(Roadmap!$T$2:$T$243,ROW()-20),Roadmap!$T$2:$T$243,0)),"")</f>
        <v/>
      </c>
      <c r="C36" s="1" t="str">
        <f aca="false">IFERROR(INDEX('Sprint Planning'!$H$2:$H$241,MATCH(SMALL(Roadmap!$T$2:$T$243,ROW()-20),Roadmap!$T$2:$T$243,0)),"")</f>
        <v/>
      </c>
      <c r="D36" s="1" t="str">
        <f aca="false">IF($B36="","",IF($C36=10,"●",""))</f>
        <v/>
      </c>
      <c r="E36" s="1" t="str">
        <f aca="false">IF($B36="","",IF($C36=11,"●",""))</f>
        <v/>
      </c>
      <c r="F36" s="1" t="str">
        <f aca="false">IF($B36="","",IF($C36=12,"●",""))</f>
        <v/>
      </c>
      <c r="G36" s="1" t="str">
        <f aca="false">IF($B36="","",IF($C36=13,"●",""))</f>
        <v/>
      </c>
      <c r="H36" s="1" t="str">
        <f aca="false">IF($B36="","",IF($C36=14,"●",""))</f>
        <v/>
      </c>
      <c r="I36" s="1" t="str">
        <f aca="false">IF($B36="","",IF($C36=15,"●",""))</f>
        <v/>
      </c>
      <c r="J36" s="1" t="str">
        <f aca="false">IF($B36="","",IF($C36=16,"●",""))</f>
        <v/>
      </c>
      <c r="T36" s="1" t="str">
        <f aca="false">IF(AND('Sprint Planning'!$H36&gt;=10,'Sprint Planning'!$H36&lt;=16),IFERROR(MATCH('Sprint Planning'!$C36,Roadmap!$A$4:$A$15,0),99)*100+'Sprint Planning'!$H36+36/100000,"")</f>
        <v/>
      </c>
    </row>
    <row r="37" customFormat="false" ht="15" hidden="false" customHeight="true" outlineLevel="0" collapsed="false">
      <c r="A37" s="1" t="str">
        <f aca="false">IFERROR(INDEX('Sprint Planning'!$C$2:$C$241,MATCH(SMALL(Roadmap!$T$2:$T$243,ROW()-20),Roadmap!$T$2:$T$243,0)),"")</f>
        <v/>
      </c>
      <c r="B37" s="57" t="str">
        <f aca="false">IFERROR(INDEX('Sprint Planning'!$B$2:$B$241,MATCH(SMALL(Roadmap!$T$2:$T$243,ROW()-20),Roadmap!$T$2:$T$243,0)),"")</f>
        <v/>
      </c>
      <c r="C37" s="1" t="str">
        <f aca="false">IFERROR(INDEX('Sprint Planning'!$H$2:$H$241,MATCH(SMALL(Roadmap!$T$2:$T$243,ROW()-20),Roadmap!$T$2:$T$243,0)),"")</f>
        <v/>
      </c>
      <c r="D37" s="1" t="str">
        <f aca="false">IF($B37="","",IF($C37=10,"●",""))</f>
        <v/>
      </c>
      <c r="E37" s="1" t="str">
        <f aca="false">IF($B37="","",IF($C37=11,"●",""))</f>
        <v/>
      </c>
      <c r="F37" s="1" t="str">
        <f aca="false">IF($B37="","",IF($C37=12,"●",""))</f>
        <v/>
      </c>
      <c r="G37" s="1" t="str">
        <f aca="false">IF($B37="","",IF($C37=13,"●",""))</f>
        <v/>
      </c>
      <c r="H37" s="1" t="str">
        <f aca="false">IF($B37="","",IF($C37=14,"●",""))</f>
        <v/>
      </c>
      <c r="I37" s="1" t="str">
        <f aca="false">IF($B37="","",IF($C37=15,"●",""))</f>
        <v/>
      </c>
      <c r="J37" s="1" t="str">
        <f aca="false">IF($B37="","",IF($C37=16,"●",""))</f>
        <v/>
      </c>
      <c r="T37" s="1" t="str">
        <f aca="false">IF(AND('Sprint Planning'!$H37&gt;=10,'Sprint Planning'!$H37&lt;=16),IFERROR(MATCH('Sprint Planning'!$C37,Roadmap!$A$4:$A$15,0),99)*100+'Sprint Planning'!$H37+37/100000,"")</f>
        <v/>
      </c>
    </row>
    <row r="38" customFormat="false" ht="15" hidden="false" customHeight="true" outlineLevel="0" collapsed="false">
      <c r="A38" s="1" t="str">
        <f aca="false">IFERROR(INDEX('Sprint Planning'!$C$2:$C$241,MATCH(SMALL(Roadmap!$T$2:$T$243,ROW()-20),Roadmap!$T$2:$T$243,0)),"")</f>
        <v/>
      </c>
      <c r="B38" s="57" t="str">
        <f aca="false">IFERROR(INDEX('Sprint Planning'!$B$2:$B$241,MATCH(SMALL(Roadmap!$T$2:$T$243,ROW()-20),Roadmap!$T$2:$T$243,0)),"")</f>
        <v/>
      </c>
      <c r="C38" s="1" t="str">
        <f aca="false">IFERROR(INDEX('Sprint Planning'!$H$2:$H$241,MATCH(SMALL(Roadmap!$T$2:$T$243,ROW()-20),Roadmap!$T$2:$T$243,0)),"")</f>
        <v/>
      </c>
      <c r="D38" s="1" t="str">
        <f aca="false">IF($B38="","",IF($C38=10,"●",""))</f>
        <v/>
      </c>
      <c r="E38" s="1" t="str">
        <f aca="false">IF($B38="","",IF($C38=11,"●",""))</f>
        <v/>
      </c>
      <c r="F38" s="1" t="str">
        <f aca="false">IF($B38="","",IF($C38=12,"●",""))</f>
        <v/>
      </c>
      <c r="G38" s="1" t="str">
        <f aca="false">IF($B38="","",IF($C38=13,"●",""))</f>
        <v/>
      </c>
      <c r="H38" s="1" t="str">
        <f aca="false">IF($B38="","",IF($C38=14,"●",""))</f>
        <v/>
      </c>
      <c r="I38" s="1" t="str">
        <f aca="false">IF($B38="","",IF($C38=15,"●",""))</f>
        <v/>
      </c>
      <c r="J38" s="1" t="str">
        <f aca="false">IF($B38="","",IF($C38=16,"●",""))</f>
        <v/>
      </c>
      <c r="T38" s="1" t="str">
        <f aca="false">IF(AND('Sprint Planning'!$H38&gt;=10,'Sprint Planning'!$H38&lt;=16),IFERROR(MATCH('Sprint Planning'!$C38,Roadmap!$A$4:$A$15,0),99)*100+'Sprint Planning'!$H38+38/100000,"")</f>
        <v/>
      </c>
    </row>
    <row r="39" customFormat="false" ht="15" hidden="false" customHeight="true" outlineLevel="0" collapsed="false">
      <c r="A39" s="1" t="str">
        <f aca="false">IFERROR(INDEX('Sprint Planning'!$C$2:$C$241,MATCH(SMALL(Roadmap!$T$2:$T$243,ROW()-20),Roadmap!$T$2:$T$243,0)),"")</f>
        <v/>
      </c>
      <c r="B39" s="57" t="str">
        <f aca="false">IFERROR(INDEX('Sprint Planning'!$B$2:$B$241,MATCH(SMALL(Roadmap!$T$2:$T$243,ROW()-20),Roadmap!$T$2:$T$243,0)),"")</f>
        <v/>
      </c>
      <c r="C39" s="1" t="str">
        <f aca="false">IFERROR(INDEX('Sprint Planning'!$H$2:$H$241,MATCH(SMALL(Roadmap!$T$2:$T$243,ROW()-20),Roadmap!$T$2:$T$243,0)),"")</f>
        <v/>
      </c>
      <c r="D39" s="1" t="str">
        <f aca="false">IF($B39="","",IF($C39=10,"●",""))</f>
        <v/>
      </c>
      <c r="E39" s="1" t="str">
        <f aca="false">IF($B39="","",IF($C39=11,"●",""))</f>
        <v/>
      </c>
      <c r="F39" s="1" t="str">
        <f aca="false">IF($B39="","",IF($C39=12,"●",""))</f>
        <v/>
      </c>
      <c r="G39" s="1" t="str">
        <f aca="false">IF($B39="","",IF($C39=13,"●",""))</f>
        <v/>
      </c>
      <c r="H39" s="1" t="str">
        <f aca="false">IF($B39="","",IF($C39=14,"●",""))</f>
        <v/>
      </c>
      <c r="I39" s="1" t="str">
        <f aca="false">IF($B39="","",IF($C39=15,"●",""))</f>
        <v/>
      </c>
      <c r="J39" s="1" t="str">
        <f aca="false">IF($B39="","",IF($C39=16,"●",""))</f>
        <v/>
      </c>
      <c r="T39" s="1" t="str">
        <f aca="false">IF(AND('Sprint Planning'!$H39&gt;=10,'Sprint Planning'!$H39&lt;=16),IFERROR(MATCH('Sprint Planning'!$C39,Roadmap!$A$4:$A$15,0),99)*100+'Sprint Planning'!$H39+39/100000,"")</f>
        <v/>
      </c>
    </row>
    <row r="40" customFormat="false" ht="15" hidden="false" customHeight="true" outlineLevel="0" collapsed="false">
      <c r="A40" s="1" t="str">
        <f aca="false">IFERROR(INDEX('Sprint Planning'!$C$2:$C$241,MATCH(SMALL(Roadmap!$T$2:$T$243,ROW()-20),Roadmap!$T$2:$T$243,0)),"")</f>
        <v/>
      </c>
      <c r="B40" s="57" t="str">
        <f aca="false">IFERROR(INDEX('Sprint Planning'!$B$2:$B$241,MATCH(SMALL(Roadmap!$T$2:$T$243,ROW()-20),Roadmap!$T$2:$T$243,0)),"")</f>
        <v/>
      </c>
      <c r="C40" s="1" t="str">
        <f aca="false">IFERROR(INDEX('Sprint Planning'!$H$2:$H$241,MATCH(SMALL(Roadmap!$T$2:$T$243,ROW()-20),Roadmap!$T$2:$T$243,0)),"")</f>
        <v/>
      </c>
      <c r="D40" s="1" t="str">
        <f aca="false">IF($B40="","",IF($C40=10,"●",""))</f>
        <v/>
      </c>
      <c r="E40" s="1" t="str">
        <f aca="false">IF($B40="","",IF($C40=11,"●",""))</f>
        <v/>
      </c>
      <c r="F40" s="1" t="str">
        <f aca="false">IF($B40="","",IF($C40=12,"●",""))</f>
        <v/>
      </c>
      <c r="G40" s="1" t="str">
        <f aca="false">IF($B40="","",IF($C40=13,"●",""))</f>
        <v/>
      </c>
      <c r="H40" s="1" t="str">
        <f aca="false">IF($B40="","",IF($C40=14,"●",""))</f>
        <v/>
      </c>
      <c r="I40" s="1" t="str">
        <f aca="false">IF($B40="","",IF($C40=15,"●",""))</f>
        <v/>
      </c>
      <c r="J40" s="1" t="str">
        <f aca="false">IF($B40="","",IF($C40=16,"●",""))</f>
        <v/>
      </c>
      <c r="T40" s="1" t="str">
        <f aca="false">IF(AND('Sprint Planning'!$H40&gt;=10,'Sprint Planning'!$H40&lt;=16),IFERROR(MATCH('Sprint Planning'!$C40,Roadmap!$A$4:$A$15,0),99)*100+'Sprint Planning'!$H40+40/100000,"")</f>
        <v/>
      </c>
    </row>
    <row r="41" customFormat="false" ht="15" hidden="false" customHeight="true" outlineLevel="0" collapsed="false">
      <c r="A41" s="1" t="str">
        <f aca="false">IFERROR(INDEX('Sprint Planning'!$C$2:$C$241,MATCH(SMALL(Roadmap!$T$2:$T$243,ROW()-20),Roadmap!$T$2:$T$243,0)),"")</f>
        <v/>
      </c>
      <c r="B41" s="57" t="str">
        <f aca="false">IFERROR(INDEX('Sprint Planning'!$B$2:$B$241,MATCH(SMALL(Roadmap!$T$2:$T$243,ROW()-20),Roadmap!$T$2:$T$243,0)),"")</f>
        <v/>
      </c>
      <c r="C41" s="1" t="str">
        <f aca="false">IFERROR(INDEX('Sprint Planning'!$H$2:$H$241,MATCH(SMALL(Roadmap!$T$2:$T$243,ROW()-20),Roadmap!$T$2:$T$243,0)),"")</f>
        <v/>
      </c>
      <c r="D41" s="1" t="str">
        <f aca="false">IF($B41="","",IF($C41=10,"●",""))</f>
        <v/>
      </c>
      <c r="E41" s="1" t="str">
        <f aca="false">IF($B41="","",IF($C41=11,"●",""))</f>
        <v/>
      </c>
      <c r="F41" s="1" t="str">
        <f aca="false">IF($B41="","",IF($C41=12,"●",""))</f>
        <v/>
      </c>
      <c r="G41" s="1" t="str">
        <f aca="false">IF($B41="","",IF($C41=13,"●",""))</f>
        <v/>
      </c>
      <c r="H41" s="1" t="str">
        <f aca="false">IF($B41="","",IF($C41=14,"●",""))</f>
        <v/>
      </c>
      <c r="I41" s="1" t="str">
        <f aca="false">IF($B41="","",IF($C41=15,"●",""))</f>
        <v/>
      </c>
      <c r="J41" s="1" t="str">
        <f aca="false">IF($B41="","",IF($C41=16,"●",""))</f>
        <v/>
      </c>
      <c r="T41" s="1" t="str">
        <f aca="false">IF(AND('Sprint Planning'!$H41&gt;=10,'Sprint Planning'!$H41&lt;=16),IFERROR(MATCH('Sprint Planning'!$C41,Roadmap!$A$4:$A$15,0),99)*100+'Sprint Planning'!$H41+41/100000,"")</f>
        <v/>
      </c>
    </row>
    <row r="42" customFormat="false" ht="15" hidden="false" customHeight="true" outlineLevel="0" collapsed="false">
      <c r="A42" s="1" t="str">
        <f aca="false">IFERROR(INDEX('Sprint Planning'!$C$2:$C$241,MATCH(SMALL(Roadmap!$T$2:$T$243,ROW()-20),Roadmap!$T$2:$T$243,0)),"")</f>
        <v/>
      </c>
      <c r="B42" s="57" t="str">
        <f aca="false">IFERROR(INDEX('Sprint Planning'!$B$2:$B$241,MATCH(SMALL(Roadmap!$T$2:$T$243,ROW()-20),Roadmap!$T$2:$T$243,0)),"")</f>
        <v/>
      </c>
      <c r="C42" s="1" t="str">
        <f aca="false">IFERROR(INDEX('Sprint Planning'!$H$2:$H$241,MATCH(SMALL(Roadmap!$T$2:$T$243,ROW()-20),Roadmap!$T$2:$T$243,0)),"")</f>
        <v/>
      </c>
      <c r="D42" s="1" t="str">
        <f aca="false">IF($B42="","",IF($C42=10,"●",""))</f>
        <v/>
      </c>
      <c r="E42" s="1" t="str">
        <f aca="false">IF($B42="","",IF($C42=11,"●",""))</f>
        <v/>
      </c>
      <c r="F42" s="1" t="str">
        <f aca="false">IF($B42="","",IF($C42=12,"●",""))</f>
        <v/>
      </c>
      <c r="G42" s="1" t="str">
        <f aca="false">IF($B42="","",IF($C42=13,"●",""))</f>
        <v/>
      </c>
      <c r="H42" s="1" t="str">
        <f aca="false">IF($B42="","",IF($C42=14,"●",""))</f>
        <v/>
      </c>
      <c r="I42" s="1" t="str">
        <f aca="false">IF($B42="","",IF($C42=15,"●",""))</f>
        <v/>
      </c>
      <c r="J42" s="1" t="str">
        <f aca="false">IF($B42="","",IF($C42=16,"●",""))</f>
        <v/>
      </c>
      <c r="T42" s="1" t="str">
        <f aca="false">IF(AND('Sprint Planning'!$H42&gt;=10,'Sprint Planning'!$H42&lt;=16),IFERROR(MATCH('Sprint Planning'!$C42,Roadmap!$A$4:$A$15,0),99)*100+'Sprint Planning'!$H42+42/100000,"")</f>
        <v/>
      </c>
    </row>
    <row r="43" customFormat="false" ht="15" hidden="false" customHeight="true" outlineLevel="0" collapsed="false">
      <c r="A43" s="1" t="str">
        <f aca="false">IFERROR(INDEX('Sprint Planning'!$C$2:$C$241,MATCH(SMALL(Roadmap!$T$2:$T$243,ROW()-20),Roadmap!$T$2:$T$243,0)),"")</f>
        <v/>
      </c>
      <c r="B43" s="57" t="str">
        <f aca="false">IFERROR(INDEX('Sprint Planning'!$B$2:$B$241,MATCH(SMALL(Roadmap!$T$2:$T$243,ROW()-20),Roadmap!$T$2:$T$243,0)),"")</f>
        <v/>
      </c>
      <c r="C43" s="1" t="str">
        <f aca="false">IFERROR(INDEX('Sprint Planning'!$H$2:$H$241,MATCH(SMALL(Roadmap!$T$2:$T$243,ROW()-20),Roadmap!$T$2:$T$243,0)),"")</f>
        <v/>
      </c>
      <c r="D43" s="1" t="str">
        <f aca="false">IF($B43="","",IF($C43=10,"●",""))</f>
        <v/>
      </c>
      <c r="E43" s="1" t="str">
        <f aca="false">IF($B43="","",IF($C43=11,"●",""))</f>
        <v/>
      </c>
      <c r="F43" s="1" t="str">
        <f aca="false">IF($B43="","",IF($C43=12,"●",""))</f>
        <v/>
      </c>
      <c r="G43" s="1" t="str">
        <f aca="false">IF($B43="","",IF($C43=13,"●",""))</f>
        <v/>
      </c>
      <c r="H43" s="1" t="str">
        <f aca="false">IF($B43="","",IF($C43=14,"●",""))</f>
        <v/>
      </c>
      <c r="I43" s="1" t="str">
        <f aca="false">IF($B43="","",IF($C43=15,"●",""))</f>
        <v/>
      </c>
      <c r="J43" s="1" t="str">
        <f aca="false">IF($B43="","",IF($C43=16,"●",""))</f>
        <v/>
      </c>
      <c r="T43" s="1" t="str">
        <f aca="false">IF(AND('Sprint Planning'!$H43&gt;=10,'Sprint Planning'!$H43&lt;=16),IFERROR(MATCH('Sprint Planning'!$C43,Roadmap!$A$4:$A$15,0),99)*100+'Sprint Planning'!$H43+43/100000,"")</f>
        <v/>
      </c>
    </row>
    <row r="44" customFormat="false" ht="15" hidden="false" customHeight="true" outlineLevel="0" collapsed="false">
      <c r="A44" s="1" t="str">
        <f aca="false">IFERROR(INDEX('Sprint Planning'!$C$2:$C$241,MATCH(SMALL(Roadmap!$T$2:$T$243,ROW()-20),Roadmap!$T$2:$T$243,0)),"")</f>
        <v/>
      </c>
      <c r="B44" s="57" t="str">
        <f aca="false">IFERROR(INDEX('Sprint Planning'!$B$2:$B$241,MATCH(SMALL(Roadmap!$T$2:$T$243,ROW()-20),Roadmap!$T$2:$T$243,0)),"")</f>
        <v/>
      </c>
      <c r="C44" s="1" t="str">
        <f aca="false">IFERROR(INDEX('Sprint Planning'!$H$2:$H$241,MATCH(SMALL(Roadmap!$T$2:$T$243,ROW()-20),Roadmap!$T$2:$T$243,0)),"")</f>
        <v/>
      </c>
      <c r="D44" s="1" t="str">
        <f aca="false">IF($B44="","",IF($C44=10,"●",""))</f>
        <v/>
      </c>
      <c r="E44" s="1" t="str">
        <f aca="false">IF($B44="","",IF($C44=11,"●",""))</f>
        <v/>
      </c>
      <c r="F44" s="1" t="str">
        <f aca="false">IF($B44="","",IF($C44=12,"●",""))</f>
        <v/>
      </c>
      <c r="G44" s="1" t="str">
        <f aca="false">IF($B44="","",IF($C44=13,"●",""))</f>
        <v/>
      </c>
      <c r="H44" s="1" t="str">
        <f aca="false">IF($B44="","",IF($C44=14,"●",""))</f>
        <v/>
      </c>
      <c r="I44" s="1" t="str">
        <f aca="false">IF($B44="","",IF($C44=15,"●",""))</f>
        <v/>
      </c>
      <c r="J44" s="1" t="str">
        <f aca="false">IF($B44="","",IF($C44=16,"●",""))</f>
        <v/>
      </c>
      <c r="T44" s="1" t="str">
        <f aca="false">IF(AND('Sprint Planning'!$H44&gt;=10,'Sprint Planning'!$H44&lt;=16),IFERROR(MATCH('Sprint Planning'!$C44,Roadmap!$A$4:$A$15,0),99)*100+'Sprint Planning'!$H44+44/100000,"")</f>
        <v/>
      </c>
    </row>
    <row r="45" customFormat="false" ht="15" hidden="false" customHeight="true" outlineLevel="0" collapsed="false">
      <c r="A45" s="1" t="str">
        <f aca="false">IFERROR(INDEX('Sprint Planning'!$C$2:$C$241,MATCH(SMALL(Roadmap!$T$2:$T$243,ROW()-20),Roadmap!$T$2:$T$243,0)),"")</f>
        <v/>
      </c>
      <c r="B45" s="57" t="str">
        <f aca="false">IFERROR(INDEX('Sprint Planning'!$B$2:$B$241,MATCH(SMALL(Roadmap!$T$2:$T$243,ROW()-20),Roadmap!$T$2:$T$243,0)),"")</f>
        <v/>
      </c>
      <c r="C45" s="1" t="str">
        <f aca="false">IFERROR(INDEX('Sprint Planning'!$H$2:$H$241,MATCH(SMALL(Roadmap!$T$2:$T$243,ROW()-20),Roadmap!$T$2:$T$243,0)),"")</f>
        <v/>
      </c>
      <c r="D45" s="1" t="str">
        <f aca="false">IF($B45="","",IF($C45=10,"●",""))</f>
        <v/>
      </c>
      <c r="E45" s="1" t="str">
        <f aca="false">IF($B45="","",IF($C45=11,"●",""))</f>
        <v/>
      </c>
      <c r="F45" s="1" t="str">
        <f aca="false">IF($B45="","",IF($C45=12,"●",""))</f>
        <v/>
      </c>
      <c r="G45" s="1" t="str">
        <f aca="false">IF($B45="","",IF($C45=13,"●",""))</f>
        <v/>
      </c>
      <c r="H45" s="1" t="str">
        <f aca="false">IF($B45="","",IF($C45=14,"●",""))</f>
        <v/>
      </c>
      <c r="I45" s="1" t="str">
        <f aca="false">IF($B45="","",IF($C45=15,"●",""))</f>
        <v/>
      </c>
      <c r="J45" s="1" t="str">
        <f aca="false">IF($B45="","",IF($C45=16,"●",""))</f>
        <v/>
      </c>
      <c r="T45" s="1" t="str">
        <f aca="false">IF(AND('Sprint Planning'!$H45&gt;=10,'Sprint Planning'!$H45&lt;=16),IFERROR(MATCH('Sprint Planning'!$C45,Roadmap!$A$4:$A$15,0),99)*100+'Sprint Planning'!$H45+45/100000,"")</f>
        <v/>
      </c>
    </row>
    <row r="46" customFormat="false" ht="15" hidden="false" customHeight="true" outlineLevel="0" collapsed="false">
      <c r="A46" s="1" t="str">
        <f aca="false">IFERROR(INDEX('Sprint Planning'!$C$2:$C$241,MATCH(SMALL(Roadmap!$T$2:$T$243,ROW()-20),Roadmap!$T$2:$T$243,0)),"")</f>
        <v/>
      </c>
      <c r="B46" s="57" t="str">
        <f aca="false">IFERROR(INDEX('Sprint Planning'!$B$2:$B$241,MATCH(SMALL(Roadmap!$T$2:$T$243,ROW()-20),Roadmap!$T$2:$T$243,0)),"")</f>
        <v/>
      </c>
      <c r="C46" s="1" t="str">
        <f aca="false">IFERROR(INDEX('Sprint Planning'!$H$2:$H$241,MATCH(SMALL(Roadmap!$T$2:$T$243,ROW()-20),Roadmap!$T$2:$T$243,0)),"")</f>
        <v/>
      </c>
      <c r="D46" s="1" t="str">
        <f aca="false">IF($B46="","",IF($C46=10,"●",""))</f>
        <v/>
      </c>
      <c r="E46" s="1" t="str">
        <f aca="false">IF($B46="","",IF($C46=11,"●",""))</f>
        <v/>
      </c>
      <c r="F46" s="1" t="str">
        <f aca="false">IF($B46="","",IF($C46=12,"●",""))</f>
        <v/>
      </c>
      <c r="G46" s="1" t="str">
        <f aca="false">IF($B46="","",IF($C46=13,"●",""))</f>
        <v/>
      </c>
      <c r="H46" s="1" t="str">
        <f aca="false">IF($B46="","",IF($C46=14,"●",""))</f>
        <v/>
      </c>
      <c r="I46" s="1" t="str">
        <f aca="false">IF($B46="","",IF($C46=15,"●",""))</f>
        <v/>
      </c>
      <c r="J46" s="1" t="str">
        <f aca="false">IF($B46="","",IF($C46=16,"●",""))</f>
        <v/>
      </c>
      <c r="T46" s="1" t="str">
        <f aca="false">IF(AND('Sprint Planning'!$H46&gt;=10,'Sprint Planning'!$H46&lt;=16),IFERROR(MATCH('Sprint Planning'!$C46,Roadmap!$A$4:$A$15,0),99)*100+'Sprint Planning'!$H46+46/100000,"")</f>
        <v/>
      </c>
    </row>
    <row r="47" customFormat="false" ht="15" hidden="false" customHeight="true" outlineLevel="0" collapsed="false">
      <c r="A47" s="1" t="str">
        <f aca="false">IFERROR(INDEX('Sprint Planning'!$C$2:$C$241,MATCH(SMALL(Roadmap!$T$2:$T$243,ROW()-20),Roadmap!$T$2:$T$243,0)),"")</f>
        <v/>
      </c>
      <c r="B47" s="57" t="str">
        <f aca="false">IFERROR(INDEX('Sprint Planning'!$B$2:$B$241,MATCH(SMALL(Roadmap!$T$2:$T$243,ROW()-20),Roadmap!$T$2:$T$243,0)),"")</f>
        <v/>
      </c>
      <c r="C47" s="1" t="str">
        <f aca="false">IFERROR(INDEX('Sprint Planning'!$H$2:$H$241,MATCH(SMALL(Roadmap!$T$2:$T$243,ROW()-20),Roadmap!$T$2:$T$243,0)),"")</f>
        <v/>
      </c>
      <c r="D47" s="1" t="str">
        <f aca="false">IF($B47="","",IF($C47=10,"●",""))</f>
        <v/>
      </c>
      <c r="E47" s="1" t="str">
        <f aca="false">IF($B47="","",IF($C47=11,"●",""))</f>
        <v/>
      </c>
      <c r="F47" s="1" t="str">
        <f aca="false">IF($B47="","",IF($C47=12,"●",""))</f>
        <v/>
      </c>
      <c r="G47" s="1" t="str">
        <f aca="false">IF($B47="","",IF($C47=13,"●",""))</f>
        <v/>
      </c>
      <c r="H47" s="1" t="str">
        <f aca="false">IF($B47="","",IF($C47=14,"●",""))</f>
        <v/>
      </c>
      <c r="I47" s="1" t="str">
        <f aca="false">IF($B47="","",IF($C47=15,"●",""))</f>
        <v/>
      </c>
      <c r="J47" s="1" t="str">
        <f aca="false">IF($B47="","",IF($C47=16,"●",""))</f>
        <v/>
      </c>
      <c r="T47" s="1" t="str">
        <f aca="false">IF(AND('Sprint Planning'!$H47&gt;=10,'Sprint Planning'!$H47&lt;=16),IFERROR(MATCH('Sprint Planning'!$C47,Roadmap!$A$4:$A$15,0),99)*100+'Sprint Planning'!$H47+47/100000,"")</f>
        <v/>
      </c>
    </row>
    <row r="48" customFormat="false" ht="15" hidden="false" customHeight="true" outlineLevel="0" collapsed="false">
      <c r="A48" s="1" t="str">
        <f aca="false">IFERROR(INDEX('Sprint Planning'!$C$2:$C$241,MATCH(SMALL(Roadmap!$T$2:$T$243,ROW()-20),Roadmap!$T$2:$T$243,0)),"")</f>
        <v/>
      </c>
      <c r="B48" s="57" t="str">
        <f aca="false">IFERROR(INDEX('Sprint Planning'!$B$2:$B$241,MATCH(SMALL(Roadmap!$T$2:$T$243,ROW()-20),Roadmap!$T$2:$T$243,0)),"")</f>
        <v/>
      </c>
      <c r="C48" s="1" t="str">
        <f aca="false">IFERROR(INDEX('Sprint Planning'!$H$2:$H$241,MATCH(SMALL(Roadmap!$T$2:$T$243,ROW()-20),Roadmap!$T$2:$T$243,0)),"")</f>
        <v/>
      </c>
      <c r="D48" s="1" t="str">
        <f aca="false">IF($B48="","",IF($C48=10,"●",""))</f>
        <v/>
      </c>
      <c r="E48" s="1" t="str">
        <f aca="false">IF($B48="","",IF($C48=11,"●",""))</f>
        <v/>
      </c>
      <c r="G48" s="1" t="str">
        <f aca="false">IF($B48="","",IF($C48=13,"●",""))</f>
        <v/>
      </c>
      <c r="H48" s="1" t="str">
        <f aca="false">IF($B48="","",IF($C48=14,"●",""))</f>
        <v/>
      </c>
      <c r="I48" s="1" t="str">
        <f aca="false">IF($B48="","",IF($C48=15,"●",""))</f>
        <v/>
      </c>
      <c r="J48" s="1" t="str">
        <f aca="false">IF($B48="","",IF($C48=16,"●",""))</f>
        <v/>
      </c>
      <c r="T48" s="1" t="str">
        <f aca="false">IF(AND('Sprint Planning'!$H48&gt;=10,'Sprint Planning'!$H48&lt;=16),IFERROR(MATCH('Sprint Planning'!$C48,Roadmap!$A$4:$A$15,0),99)*100+'Sprint Planning'!$H48+48/100000,"")</f>
        <v/>
      </c>
    </row>
    <row r="49" customFormat="false" ht="15" hidden="false" customHeight="true" outlineLevel="0" collapsed="false">
      <c r="A49" s="1" t="str">
        <f aca="false">IFERROR(INDEX('Sprint Planning'!$C$2:$C$241,MATCH(SMALL(Roadmap!$T$2:$T$243,ROW()-20),Roadmap!$T$2:$T$243,0)),"")</f>
        <v/>
      </c>
      <c r="B49" s="57" t="str">
        <f aca="false">IFERROR(INDEX('Sprint Planning'!$B$2:$B$241,MATCH(SMALL(Roadmap!$T$2:$T$243,ROW()-20),Roadmap!$T$2:$T$243,0)),"")</f>
        <v/>
      </c>
      <c r="C49" s="1" t="str">
        <f aca="false">IFERROR(INDEX('Sprint Planning'!$H$2:$H$241,MATCH(SMALL(Roadmap!$T$2:$T$243,ROW()-20),Roadmap!$T$2:$T$243,0)),"")</f>
        <v/>
      </c>
      <c r="D49" s="1" t="str">
        <f aca="false">IF($B49="","",IF($C49=10,"●",""))</f>
        <v/>
      </c>
      <c r="E49" s="1" t="str">
        <f aca="false">IF($B49="","",IF($C49=11,"●",""))</f>
        <v/>
      </c>
      <c r="F49" s="1" t="str">
        <f aca="false">IF($B49="","",IF($C49=12,"●",""))</f>
        <v/>
      </c>
      <c r="G49" s="1" t="str">
        <f aca="false">IF($B49="","",IF($C49=13,"●",""))</f>
        <v/>
      </c>
      <c r="H49" s="1" t="str">
        <f aca="false">IF($B49="","",IF($C49=14,"●",""))</f>
        <v/>
      </c>
      <c r="I49" s="1" t="str">
        <f aca="false">IF($B49="","",IF($C49=15,"●",""))</f>
        <v/>
      </c>
      <c r="J49" s="1" t="str">
        <f aca="false">IF($B49="","",IF($C49=16,"●",""))</f>
        <v/>
      </c>
      <c r="T49" s="1" t="str">
        <f aca="false">IF(AND('Sprint Planning'!$H49&gt;=10,'Sprint Planning'!$H49&lt;=16),IFERROR(MATCH('Sprint Planning'!$C49,Roadmap!$A$4:$A$15,0),99)*100+'Sprint Planning'!$H49+49/100000,"")</f>
        <v/>
      </c>
    </row>
    <row r="50" customFormat="false" ht="15" hidden="false" customHeight="true" outlineLevel="0" collapsed="false">
      <c r="A50" s="1" t="str">
        <f aca="false">IFERROR(INDEX('Sprint Planning'!$C$2:$C$241,MATCH(SMALL(Roadmap!$T$2:$T$243,ROW()-20),Roadmap!$T$2:$T$243,0)),"")</f>
        <v/>
      </c>
      <c r="B50" s="57" t="str">
        <f aca="false">IFERROR(INDEX('Sprint Planning'!$B$2:$B$241,MATCH(SMALL(Roadmap!$T$2:$T$243,ROW()-20),Roadmap!$T$2:$T$243,0)),"")</f>
        <v/>
      </c>
      <c r="C50" s="1" t="str">
        <f aca="false">IFERROR(INDEX('Sprint Planning'!$H$2:$H$241,MATCH(SMALL(Roadmap!$T$2:$T$243,ROW()-20),Roadmap!$T$2:$T$243,0)),"")</f>
        <v/>
      </c>
      <c r="D50" s="1" t="str">
        <f aca="false">IF($B50="","",IF($C50=10,"●",""))</f>
        <v/>
      </c>
      <c r="E50" s="1" t="str">
        <f aca="false">IF($B50="","",IF($C50=11,"●",""))</f>
        <v/>
      </c>
      <c r="F50" s="1" t="str">
        <f aca="false">IF($B50="","",IF($C50=12,"●",""))</f>
        <v/>
      </c>
      <c r="G50" s="1" t="str">
        <f aca="false">IF($B50="","",IF($C50=13,"●",""))</f>
        <v/>
      </c>
      <c r="H50" s="1" t="str">
        <f aca="false">IF($B50="","",IF($C50=14,"●",""))</f>
        <v/>
      </c>
      <c r="I50" s="1" t="str">
        <f aca="false">IF($B50="","",IF($C50=15,"●",""))</f>
        <v/>
      </c>
      <c r="J50" s="1" t="str">
        <f aca="false">IF($B50="","",IF($C50=16,"●",""))</f>
        <v/>
      </c>
      <c r="T50" s="1" t="str">
        <f aca="false">IF(AND('Sprint Planning'!$H50&gt;=10,'Sprint Planning'!$H50&lt;=16),IFERROR(MATCH('Sprint Planning'!$C50,Roadmap!$A$4:$A$15,0),99)*100+'Sprint Planning'!$H50+50/100000,"")</f>
        <v/>
      </c>
    </row>
    <row r="51" customFormat="false" ht="15" hidden="false" customHeight="true" outlineLevel="0" collapsed="false">
      <c r="A51" s="1" t="str">
        <f aca="false">IFERROR(INDEX('Sprint Planning'!$C$2:$C$241,MATCH(SMALL(Roadmap!$T$2:$T$243,ROW()-20),Roadmap!$T$2:$T$243,0)),"")</f>
        <v/>
      </c>
      <c r="B51" s="57" t="str">
        <f aca="false">IFERROR(INDEX('Sprint Planning'!$B$2:$B$241,MATCH(SMALL(Roadmap!$T$2:$T$243,ROW()-20),Roadmap!$T$2:$T$243,0)),"")</f>
        <v/>
      </c>
      <c r="C51" s="1" t="str">
        <f aca="false">IFERROR(INDEX('Sprint Planning'!$H$2:$H$241,MATCH(SMALL(Roadmap!$T$2:$T$243,ROW()-20),Roadmap!$T$2:$T$243,0)),"")</f>
        <v/>
      </c>
      <c r="D51" s="1" t="str">
        <f aca="false">IF($B51="","",IF($C51=10,"●",""))</f>
        <v/>
      </c>
      <c r="E51" s="1" t="str">
        <f aca="false">IF($B51="","",IF($C51=11,"●",""))</f>
        <v/>
      </c>
      <c r="F51" s="1" t="str">
        <f aca="false">IF($B51="","",IF($C51=12,"●",""))</f>
        <v/>
      </c>
      <c r="G51" s="1" t="str">
        <f aca="false">IF($B51="","",IF($C51=13,"●",""))</f>
        <v/>
      </c>
      <c r="H51" s="1" t="str">
        <f aca="false">IF($B51="","",IF($C51=14,"●",""))</f>
        <v/>
      </c>
      <c r="I51" s="1" t="str">
        <f aca="false">IF($B51="","",IF($C51=15,"●",""))</f>
        <v/>
      </c>
      <c r="J51" s="1" t="str">
        <f aca="false">IF($B51="","",IF($C51=16,"●",""))</f>
        <v/>
      </c>
      <c r="T51" s="1" t="n">
        <f aca="false">IF(AND('Sprint Planning'!$H51&gt;=10,'Sprint Planning'!$H51&lt;=16),IFERROR(MATCH('Sprint Planning'!$C51,Roadmap!$A$4:$A$15,0),99)*100+'Sprint Planning'!$H51+51/100000,"")</f>
        <v>211.00051</v>
      </c>
    </row>
    <row r="52" customFormat="false" ht="15" hidden="false" customHeight="true" outlineLevel="0" collapsed="false">
      <c r="A52" s="1" t="str">
        <f aca="false">IFERROR(INDEX('Sprint Planning'!$C$2:$C$241,MATCH(SMALL(Roadmap!$T$2:$T$243,ROW()-20),Roadmap!$T$2:$T$243,0)),"")</f>
        <v/>
      </c>
      <c r="B52" s="57" t="str">
        <f aca="false">IFERROR(INDEX('Sprint Planning'!$B$2:$B$241,MATCH(SMALL(Roadmap!$T$2:$T$243,ROW()-20),Roadmap!$T$2:$T$243,0)),"")</f>
        <v/>
      </c>
      <c r="C52" s="1" t="str">
        <f aca="false">IFERROR(INDEX('Sprint Planning'!$H$2:$H$241,MATCH(SMALL(Roadmap!$T$2:$T$243,ROW()-20),Roadmap!$T$2:$T$243,0)),"")</f>
        <v/>
      </c>
      <c r="D52" s="1" t="str">
        <f aca="false">IF($B52="","",IF($C52=10,"●",""))</f>
        <v/>
      </c>
      <c r="E52" s="1" t="str">
        <f aca="false">IF($B52="","",IF($C52=11,"●",""))</f>
        <v/>
      </c>
      <c r="F52" s="1" t="str">
        <f aca="false">IF($B52="","",IF($C52=12,"●",""))</f>
        <v/>
      </c>
      <c r="G52" s="1" t="str">
        <f aca="false">IF($B52="","",IF($C52=13,"●",""))</f>
        <v/>
      </c>
      <c r="H52" s="1" t="str">
        <f aca="false">IF($B52="","",IF($C52=14,"●",""))</f>
        <v/>
      </c>
      <c r="I52" s="1" t="str">
        <f aca="false">IF($B52="","",IF($C52=15,"●",""))</f>
        <v/>
      </c>
      <c r="J52" s="1" t="str">
        <f aca="false">IF($B52="","",IF($C52=16,"●",""))</f>
        <v/>
      </c>
      <c r="T52" s="1" t="str">
        <f aca="false">IF(AND('Sprint Planning'!$H52&gt;=10,'Sprint Planning'!$H52&lt;=16),IFERROR(MATCH('Sprint Planning'!$C52,Roadmap!$A$4:$A$15,0),99)*100+'Sprint Planning'!$H52+52/100000,"")</f>
        <v/>
      </c>
    </row>
    <row r="53" customFormat="false" ht="15" hidden="false" customHeight="true" outlineLevel="0" collapsed="false">
      <c r="A53" s="1" t="str">
        <f aca="false">IFERROR(INDEX('Sprint Planning'!$C$2:$C$241,MATCH(SMALL(Roadmap!$T$2:$T$243,ROW()-20),Roadmap!$T$2:$T$243,0)),"")</f>
        <v/>
      </c>
      <c r="B53" s="57" t="str">
        <f aca="false">IFERROR(INDEX('Sprint Planning'!$B$2:$B$241,MATCH(SMALL(Roadmap!$T$2:$T$243,ROW()-20),Roadmap!$T$2:$T$243,0)),"")</f>
        <v/>
      </c>
      <c r="C53" s="1" t="str">
        <f aca="false">IFERROR(INDEX('Sprint Planning'!$H$2:$H$241,MATCH(SMALL(Roadmap!$T$2:$T$243,ROW()-20),Roadmap!$T$2:$T$243,0)),"")</f>
        <v/>
      </c>
      <c r="D53" s="1" t="str">
        <f aca="false">IF($B53="","",IF($C53=10,"●",""))</f>
        <v/>
      </c>
      <c r="E53" s="1" t="str">
        <f aca="false">IF($B53="","",IF($C53=11,"●",""))</f>
        <v/>
      </c>
      <c r="F53" s="1" t="str">
        <f aca="false">IF($B53="","",IF($C53=12,"●",""))</f>
        <v/>
      </c>
      <c r="G53" s="1" t="str">
        <f aca="false">IF($B53="","",IF($C53=13,"●",""))</f>
        <v/>
      </c>
      <c r="H53" s="1" t="str">
        <f aca="false">IF($B53="","",IF($C53=14,"●",""))</f>
        <v/>
      </c>
      <c r="I53" s="1" t="str">
        <f aca="false">IF($B53="","",IF($C53=15,"●",""))</f>
        <v/>
      </c>
      <c r="J53" s="1" t="str">
        <f aca="false">IF($B53="","",IF($C53=16,"●",""))</f>
        <v/>
      </c>
      <c r="T53" s="1" t="str">
        <f aca="false">IF(AND('Sprint Planning'!$H53&gt;=10,'Sprint Planning'!$H53&lt;=16),IFERROR(MATCH('Sprint Planning'!$C53,Roadmap!$A$4:$A$15,0),99)*100+'Sprint Planning'!$H53+53/100000,"")</f>
        <v/>
      </c>
    </row>
    <row r="54" customFormat="false" ht="15" hidden="false" customHeight="true" outlineLevel="0" collapsed="false">
      <c r="A54" s="1" t="str">
        <f aca="false">IFERROR(INDEX('Sprint Planning'!$C$2:$C$241,MATCH(SMALL(Roadmap!$T$2:$T$243,ROW()-20),Roadmap!$T$2:$T$243,0)),"")</f>
        <v/>
      </c>
      <c r="B54" s="57" t="str">
        <f aca="false">IFERROR(INDEX('Sprint Planning'!$B$2:$B$241,MATCH(SMALL(Roadmap!$T$2:$T$243,ROW()-20),Roadmap!$T$2:$T$243,0)),"")</f>
        <v/>
      </c>
      <c r="C54" s="1" t="str">
        <f aca="false">IFERROR(INDEX('Sprint Planning'!$H$2:$H$241,MATCH(SMALL(Roadmap!$T$2:$T$243,ROW()-20),Roadmap!$T$2:$T$243,0)),"")</f>
        <v/>
      </c>
      <c r="D54" s="1" t="str">
        <f aca="false">IF($B54="","",IF($C54=10,"●",""))</f>
        <v/>
      </c>
      <c r="E54" s="1" t="str">
        <f aca="false">IF($B54="","",IF($C54=11,"●",""))</f>
        <v/>
      </c>
      <c r="F54" s="1" t="str">
        <f aca="false">IF($B54="","",IF($C54=12,"●",""))</f>
        <v/>
      </c>
      <c r="G54" s="1" t="str">
        <f aca="false">IF($B54="","",IF($C54=13,"●",""))</f>
        <v/>
      </c>
      <c r="H54" s="1" t="str">
        <f aca="false">IF($B54="","",IF($C54=14,"●",""))</f>
        <v/>
      </c>
      <c r="I54" s="1" t="str">
        <f aca="false">IF($B54="","",IF($C54=15,"●",""))</f>
        <v/>
      </c>
      <c r="J54" s="1" t="str">
        <f aca="false">IF($B54="","",IF($C54=16,"●",""))</f>
        <v/>
      </c>
      <c r="T54" s="1" t="str">
        <f aca="false">IF(AND('Sprint Planning'!$H54&gt;=10,'Sprint Planning'!$H54&lt;=16),IFERROR(MATCH('Sprint Planning'!$C54,Roadmap!$A$4:$A$15,0),99)*100+'Sprint Planning'!$H54+54/100000,"")</f>
        <v/>
      </c>
    </row>
    <row r="55" customFormat="false" ht="15" hidden="false" customHeight="true" outlineLevel="0" collapsed="false">
      <c r="A55" s="1" t="str">
        <f aca="false">IFERROR(INDEX('Sprint Planning'!$C$2:$C$241,MATCH(SMALL(Roadmap!$T$2:$T$243,ROW()-20),Roadmap!$T$2:$T$243,0)),"")</f>
        <v/>
      </c>
      <c r="B55" s="57" t="str">
        <f aca="false">IFERROR(INDEX('Sprint Planning'!$B$2:$B$241,MATCH(SMALL(Roadmap!$T$2:$T$243,ROW()-20),Roadmap!$T$2:$T$243,0)),"")</f>
        <v/>
      </c>
      <c r="C55" s="1" t="str">
        <f aca="false">IFERROR(INDEX('Sprint Planning'!$H$2:$H$241,MATCH(SMALL(Roadmap!$T$2:$T$243,ROW()-20),Roadmap!$T$2:$T$243,0)),"")</f>
        <v/>
      </c>
      <c r="D55" s="1" t="str">
        <f aca="false">IF($B55="","",IF($C55=10,"●",""))</f>
        <v/>
      </c>
      <c r="E55" s="1" t="str">
        <f aca="false">IF($B55="","",IF($C55=11,"●",""))</f>
        <v/>
      </c>
      <c r="F55" s="1" t="str">
        <f aca="false">IF($B55="","",IF($C55=12,"●",""))</f>
        <v/>
      </c>
      <c r="G55" s="1" t="str">
        <f aca="false">IF($B55="","",IF($C55=13,"●",""))</f>
        <v/>
      </c>
      <c r="H55" s="1" t="str">
        <f aca="false">IF($B55="","",IF($C55=14,"●",""))</f>
        <v/>
      </c>
      <c r="I55" s="1" t="str">
        <f aca="false">IF($B55="","",IF($C55=15,"●",""))</f>
        <v/>
      </c>
      <c r="J55" s="1" t="str">
        <f aca="false">IF($B55="","",IF($C55=16,"●",""))</f>
        <v/>
      </c>
      <c r="T55" s="1" t="str">
        <f aca="false">IF(AND('Sprint Planning'!$H55&gt;=10,'Sprint Planning'!$H55&lt;=16),IFERROR(MATCH('Sprint Planning'!$C55,Roadmap!$A$4:$A$15,0),99)*100+'Sprint Planning'!$H55+55/100000,"")</f>
        <v/>
      </c>
    </row>
    <row r="56" customFormat="false" ht="15" hidden="false" customHeight="true" outlineLevel="0" collapsed="false">
      <c r="A56" s="1" t="str">
        <f aca="false">IFERROR(INDEX('Sprint Planning'!$C$2:$C$241,MATCH(SMALL(Roadmap!$T$2:$T$243,ROW()-20),Roadmap!$T$2:$T$243,0)),"")</f>
        <v/>
      </c>
      <c r="B56" s="57" t="str">
        <f aca="false">IFERROR(INDEX('Sprint Planning'!$B$2:$B$241,MATCH(SMALL(Roadmap!$T$2:$T$243,ROW()-20),Roadmap!$T$2:$T$243,0)),"")</f>
        <v/>
      </c>
      <c r="C56" s="1" t="str">
        <f aca="false">IFERROR(INDEX('Sprint Planning'!$H$2:$H$241,MATCH(SMALL(Roadmap!$T$2:$T$243,ROW()-20),Roadmap!$T$2:$T$243,0)),"")</f>
        <v/>
      </c>
      <c r="D56" s="1" t="str">
        <f aca="false">IF($B56="","",IF($C56=10,"●",""))</f>
        <v/>
      </c>
      <c r="E56" s="1" t="str">
        <f aca="false">IF($B56="","",IF($C56=11,"●",""))</f>
        <v/>
      </c>
      <c r="F56" s="1" t="str">
        <f aca="false">IF($B56="","",IF($C56=12,"●",""))</f>
        <v/>
      </c>
      <c r="G56" s="1" t="str">
        <f aca="false">IF($B56="","",IF($C56=13,"●",""))</f>
        <v/>
      </c>
      <c r="H56" s="1" t="str">
        <f aca="false">IF($B56="","",IF($C56=14,"●",""))</f>
        <v/>
      </c>
      <c r="I56" s="1" t="str">
        <f aca="false">IF($B56="","",IF($C56=15,"●",""))</f>
        <v/>
      </c>
      <c r="J56" s="1" t="str">
        <f aca="false">IF($B56="","",IF($C56=16,"●",""))</f>
        <v/>
      </c>
      <c r="T56" s="1" t="str">
        <f aca="false">IF(AND('Sprint Planning'!$H56&gt;=10,'Sprint Planning'!$H56&lt;=16),IFERROR(MATCH('Sprint Planning'!$C56,Roadmap!$A$4:$A$15,0),99)*100+'Sprint Planning'!$H56+56/100000,"")</f>
        <v/>
      </c>
    </row>
    <row r="57" customFormat="false" ht="15" hidden="false" customHeight="true" outlineLevel="0" collapsed="false">
      <c r="A57" s="1" t="str">
        <f aca="false">IFERROR(INDEX('Sprint Planning'!$C$2:$C$241,MATCH(SMALL(Roadmap!$T$2:$T$243,ROW()-20),Roadmap!$T$2:$T$243,0)),"")</f>
        <v/>
      </c>
      <c r="B57" s="57" t="str">
        <f aca="false">IFERROR(INDEX('Sprint Planning'!$B$2:$B$241,MATCH(SMALL(Roadmap!$T$2:$T$243,ROW()-20),Roadmap!$T$2:$T$243,0)),"")</f>
        <v/>
      </c>
      <c r="C57" s="1" t="str">
        <f aca="false">IFERROR(INDEX('Sprint Planning'!$H$2:$H$241,MATCH(SMALL(Roadmap!$T$2:$T$243,ROW()-20),Roadmap!$T$2:$T$243,0)),"")</f>
        <v/>
      </c>
      <c r="D57" s="1" t="str">
        <f aca="false">IF($B57="","",IF($C57=10,"●",""))</f>
        <v/>
      </c>
      <c r="E57" s="1" t="str">
        <f aca="false">IF($B57="","",IF($C57=11,"●",""))</f>
        <v/>
      </c>
      <c r="F57" s="1" t="str">
        <f aca="false">IF($B57="","",IF($C57=12,"●",""))</f>
        <v/>
      </c>
      <c r="G57" s="1" t="str">
        <f aca="false">IF($B57="","",IF($C57=13,"●",""))</f>
        <v/>
      </c>
      <c r="H57" s="1" t="str">
        <f aca="false">IF($B57="","",IF($C57=14,"●",""))</f>
        <v/>
      </c>
      <c r="I57" s="1" t="str">
        <f aca="false">IF($B57="","",IF($C57=15,"●",""))</f>
        <v/>
      </c>
      <c r="J57" s="1" t="str">
        <f aca="false">IF($B57="","",IF($C57=16,"●",""))</f>
        <v/>
      </c>
      <c r="T57" s="1" t="str">
        <f aca="false">IF(AND('Sprint Planning'!$H57&gt;=10,'Sprint Planning'!$H57&lt;=16),IFERROR(MATCH('Sprint Planning'!$C57,Roadmap!$A$4:$A$15,0),99)*100+'Sprint Planning'!$H57+57/100000,"")</f>
        <v/>
      </c>
    </row>
    <row r="58" customFormat="false" ht="15" hidden="false" customHeight="true" outlineLevel="0" collapsed="false">
      <c r="A58" s="1" t="str">
        <f aca="false">IFERROR(INDEX('Sprint Planning'!$C$2:$C$241,MATCH(SMALL(Roadmap!$T$2:$T$243,ROW()-20),Roadmap!$T$2:$T$243,0)),"")</f>
        <v/>
      </c>
      <c r="B58" s="57" t="str">
        <f aca="false">IFERROR(INDEX('Sprint Planning'!$B$2:$B$241,MATCH(SMALL(Roadmap!$T$2:$T$243,ROW()-20),Roadmap!$T$2:$T$243,0)),"")</f>
        <v/>
      </c>
      <c r="C58" s="1" t="str">
        <f aca="false">IFERROR(INDEX('Sprint Planning'!$H$2:$H$241,MATCH(SMALL(Roadmap!$T$2:$T$243,ROW()-20),Roadmap!$T$2:$T$243,0)),"")</f>
        <v/>
      </c>
      <c r="D58" s="1" t="str">
        <f aca="false">IF($B58="","",IF($C58=10,"●",""))</f>
        <v/>
      </c>
      <c r="E58" s="1" t="str">
        <f aca="false">IF($B58="","",IF($C58=11,"●",""))</f>
        <v/>
      </c>
      <c r="F58" s="1" t="str">
        <f aca="false">IF($B58="","",IF($C58=12,"●",""))</f>
        <v/>
      </c>
      <c r="G58" s="1" t="str">
        <f aca="false">IF($B58="","",IF($C58=13,"●",""))</f>
        <v/>
      </c>
      <c r="H58" s="1" t="str">
        <f aca="false">IF($B58="","",IF($C58=14,"●",""))</f>
        <v/>
      </c>
      <c r="I58" s="1" t="str">
        <f aca="false">IF($B58="","",IF($C58=15,"●",""))</f>
        <v/>
      </c>
      <c r="J58" s="1" t="str">
        <f aca="false">IF($B58="","",IF($C58=16,"●",""))</f>
        <v/>
      </c>
      <c r="T58" s="1" t="str">
        <f aca="false">IF(AND('Sprint Planning'!$H58&gt;=10,'Sprint Planning'!$H58&lt;=16),IFERROR(MATCH('Sprint Planning'!$C58,Roadmap!$A$4:$A$15,0),99)*100+'Sprint Planning'!$H58+58/100000,"")</f>
        <v/>
      </c>
    </row>
    <row r="59" customFormat="false" ht="15" hidden="false" customHeight="true" outlineLevel="0" collapsed="false">
      <c r="A59" s="1" t="str">
        <f aca="false">IFERROR(INDEX('Sprint Planning'!$C$2:$C$241,MATCH(SMALL(Roadmap!$T$2:$T$243,ROW()-20),Roadmap!$T$2:$T$243,0)),"")</f>
        <v/>
      </c>
      <c r="B59" s="57" t="str">
        <f aca="false">IFERROR(INDEX('Sprint Planning'!$B$2:$B$241,MATCH(SMALL(Roadmap!$T$2:$T$243,ROW()-20),Roadmap!$T$2:$T$243,0)),"")</f>
        <v/>
      </c>
      <c r="C59" s="1" t="str">
        <f aca="false">IFERROR(INDEX('Sprint Planning'!$H$2:$H$241,MATCH(SMALL(Roadmap!$T$2:$T$243,ROW()-20),Roadmap!$T$2:$T$243,0)),"")</f>
        <v/>
      </c>
      <c r="D59" s="1" t="str">
        <f aca="false">IF($B59="","",IF($C59=10,"●",""))</f>
        <v/>
      </c>
      <c r="E59" s="1" t="str">
        <f aca="false">IF($B59="","",IF($C59=11,"●",""))</f>
        <v/>
      </c>
      <c r="F59" s="1" t="str">
        <f aca="false">IF($B59="","",IF($C59=12,"●",""))</f>
        <v/>
      </c>
      <c r="G59" s="1" t="str">
        <f aca="false">IF($B59="","",IF($C59=13,"●",""))</f>
        <v/>
      </c>
      <c r="H59" s="1" t="str">
        <f aca="false">IF($B59="","",IF($C59=14,"●",""))</f>
        <v/>
      </c>
      <c r="I59" s="1" t="str">
        <f aca="false">IF($B59="","",IF($C59=15,"●",""))</f>
        <v/>
      </c>
      <c r="J59" s="1" t="str">
        <f aca="false">IF($B59="","",IF($C59=16,"●",""))</f>
        <v/>
      </c>
      <c r="T59" s="1" t="str">
        <f aca="false">IF(AND('Sprint Planning'!$H59&gt;=10,'Sprint Planning'!$H59&lt;=16),IFERROR(MATCH('Sprint Planning'!$C59,Roadmap!$A$4:$A$15,0),99)*100+'Sprint Planning'!$H59+59/100000,"")</f>
        <v/>
      </c>
    </row>
    <row r="60" customFormat="false" ht="15" hidden="false" customHeight="true" outlineLevel="0" collapsed="false">
      <c r="A60" s="1" t="str">
        <f aca="false">IFERROR(INDEX('Sprint Planning'!$C$2:$C$241,MATCH(SMALL(Roadmap!$T$2:$T$243,ROW()-20),Roadmap!$T$2:$T$243,0)),"")</f>
        <v/>
      </c>
      <c r="B60" s="57" t="str">
        <f aca="false">IFERROR(INDEX('Sprint Planning'!$B$2:$B$241,MATCH(SMALL(Roadmap!$T$2:$T$243,ROW()-20),Roadmap!$T$2:$T$243,0)),"")</f>
        <v/>
      </c>
      <c r="C60" s="1" t="str">
        <f aca="false">IFERROR(INDEX('Sprint Planning'!$H$2:$H$241,MATCH(SMALL(Roadmap!$T$2:$T$243,ROW()-20),Roadmap!$T$2:$T$243,0)),"")</f>
        <v/>
      </c>
      <c r="D60" s="1" t="str">
        <f aca="false">IF($B60="","",IF($C60=10,"●",""))</f>
        <v/>
      </c>
      <c r="E60" s="1" t="str">
        <f aca="false">IF($B60="","",IF($C60=11,"●",""))</f>
        <v/>
      </c>
      <c r="F60" s="1" t="str">
        <f aca="false">IF($B60="","",IF($C60=12,"●",""))</f>
        <v/>
      </c>
      <c r="G60" s="1" t="str">
        <f aca="false">IF($B60="","",IF($C60=13,"●",""))</f>
        <v/>
      </c>
      <c r="H60" s="1" t="str">
        <f aca="false">IF($B60="","",IF($C60=14,"●",""))</f>
        <v/>
      </c>
      <c r="I60" s="1" t="str">
        <f aca="false">IF($B60="","",IF($C60=15,"●",""))</f>
        <v/>
      </c>
      <c r="J60" s="1" t="str">
        <f aca="false">IF($B60="","",IF($C60=16,"●",""))</f>
        <v/>
      </c>
      <c r="T60" s="1" t="str">
        <f aca="false">IF(AND('Sprint Planning'!$H60&gt;=10,'Sprint Planning'!$H60&lt;=16),IFERROR(MATCH('Sprint Planning'!$C60,Roadmap!$A$4:$A$15,0),99)*100+'Sprint Planning'!$H60+60/100000,"")</f>
        <v/>
      </c>
    </row>
    <row r="61" customFormat="false" ht="15" hidden="false" customHeight="true" outlineLevel="0" collapsed="false">
      <c r="A61" s="1" t="str">
        <f aca="false">IFERROR(INDEX('Sprint Planning'!$C$2:$C$241,MATCH(SMALL(Roadmap!$T$2:$T$243,ROW()-20),Roadmap!$T$2:$T$243,0)),"")</f>
        <v/>
      </c>
      <c r="B61" s="57" t="str">
        <f aca="false">IFERROR(INDEX('Sprint Planning'!$B$2:$B$241,MATCH(SMALL(Roadmap!$T$2:$T$243,ROW()-20),Roadmap!$T$2:$T$243,0)),"")</f>
        <v/>
      </c>
      <c r="C61" s="1" t="str">
        <f aca="false">IFERROR(INDEX('Sprint Planning'!$H$2:$H$241,MATCH(SMALL(Roadmap!$T$2:$T$243,ROW()-20),Roadmap!$T$2:$T$243,0)),"")</f>
        <v/>
      </c>
      <c r="D61" s="1" t="str">
        <f aca="false">IF($B61="","",IF($C61=10,"●",""))</f>
        <v/>
      </c>
      <c r="E61" s="1" t="str">
        <f aca="false">IF($B61="","",IF($C61=11,"●",""))</f>
        <v/>
      </c>
      <c r="F61" s="1" t="str">
        <f aca="false">IF($B61="","",IF($C61=12,"●",""))</f>
        <v/>
      </c>
      <c r="G61" s="1" t="str">
        <f aca="false">IF($B61="","",IF($C61=13,"●",""))</f>
        <v/>
      </c>
      <c r="H61" s="1" t="str">
        <f aca="false">IF($B61="","",IF($C61=14,"●",""))</f>
        <v/>
      </c>
      <c r="I61" s="1" t="str">
        <f aca="false">IF($B61="","",IF($C61=15,"●",""))</f>
        <v/>
      </c>
      <c r="J61" s="1" t="str">
        <f aca="false">IF($B61="","",IF($C61=16,"●",""))</f>
        <v/>
      </c>
      <c r="T61" s="1" t="str">
        <f aca="false">IF(AND('Sprint Planning'!$H61&gt;=10,'Sprint Planning'!$H61&lt;=16),IFERROR(MATCH('Sprint Planning'!$C61,Roadmap!$A$4:$A$15,0),99)*100+'Sprint Planning'!$H61+61/100000,"")</f>
        <v/>
      </c>
    </row>
    <row r="62" customFormat="false" ht="15" hidden="false" customHeight="true" outlineLevel="0" collapsed="false">
      <c r="A62" s="1" t="str">
        <f aca="false">IFERROR(INDEX('Sprint Planning'!$C$2:$C$241,MATCH(SMALL(Roadmap!$T$2:$T$243,ROW()-20),Roadmap!$T$2:$T$243,0)),"")</f>
        <v/>
      </c>
      <c r="B62" s="1" t="str">
        <f aca="false">IFERROR(INDEX('Sprint Planning'!$B$2:$B$241,MATCH(SMALL(Roadmap!$T$2:$T$243,ROW()-20),Roadmap!$T$2:$T$243,0)),"")</f>
        <v/>
      </c>
      <c r="C62" s="1" t="str">
        <f aca="false">IFERROR(INDEX('Sprint Planning'!$H$2:$H$241,MATCH(SMALL(Roadmap!$T$2:$T$243,ROW()-20),Roadmap!$T$2:$T$243,0)),"")</f>
        <v/>
      </c>
      <c r="D62" s="1" t="str">
        <f aca="false">IF($B62="","",IF($C62=10,"●",""))</f>
        <v/>
      </c>
      <c r="E62" s="1" t="str">
        <f aca="false">IF($B62="","",IF($C62=11,"●",""))</f>
        <v/>
      </c>
      <c r="F62" s="1" t="str">
        <f aca="false">IF($B62="","",IF($C62=12,"●",""))</f>
        <v/>
      </c>
      <c r="G62" s="1" t="str">
        <f aca="false">IF($B62="","",IF($C62=13,"●",""))</f>
        <v/>
      </c>
      <c r="H62" s="1" t="str">
        <f aca="false">IF($B62="","",IF($C62=14,"●",""))</f>
        <v/>
      </c>
      <c r="I62" s="1" t="str">
        <f aca="false">IF($B62="","",IF($C62=15,"●",""))</f>
        <v/>
      </c>
      <c r="J62" s="1" t="str">
        <f aca="false">IF($B62="","",IF($C62=16,"●",""))</f>
        <v/>
      </c>
      <c r="T62" s="1" t="str">
        <f aca="false">IF(AND('Sprint Planning'!$H62&gt;=10,'Sprint Planning'!$H62&lt;=16),IFERROR(MATCH('Sprint Planning'!$C62,Roadmap!$A$4:$A$15,0),99)*100+'Sprint Planning'!$H62+62/100000,"")</f>
        <v/>
      </c>
    </row>
    <row r="63" customFormat="false" ht="15" hidden="false" customHeight="true" outlineLevel="0" collapsed="false">
      <c r="A63" s="1" t="str">
        <f aca="false">IFERROR(INDEX('Sprint Planning'!$C$2:$C$241,MATCH(SMALL(Roadmap!$T$2:$T$243,ROW()-20),Roadmap!$T$2:$T$243,0)),"")</f>
        <v/>
      </c>
      <c r="B63" s="1" t="str">
        <f aca="false">IFERROR(INDEX('Sprint Planning'!$B$2:$B$241,MATCH(SMALL(Roadmap!$T$2:$T$243,ROW()-20),Roadmap!$T$2:$T$243,0)),"")</f>
        <v/>
      </c>
      <c r="C63" s="1" t="str">
        <f aca="false">IFERROR(INDEX('Sprint Planning'!$H$2:$H$241,MATCH(SMALL(Roadmap!$T$2:$T$243,ROW()-20),Roadmap!$T$2:$T$243,0)),"")</f>
        <v/>
      </c>
      <c r="D63" s="1" t="str">
        <f aca="false">IF($B63="","",IF($C63=10,"●",""))</f>
        <v/>
      </c>
      <c r="E63" s="1" t="str">
        <f aca="false">IF($B63="","",IF($C63=11,"●",""))</f>
        <v/>
      </c>
      <c r="F63" s="1" t="str">
        <f aca="false">IF($B63="","",IF($C63=12,"●",""))</f>
        <v/>
      </c>
      <c r="G63" s="1" t="str">
        <f aca="false">IF($B63="","",IF($C63=13,"●",""))</f>
        <v/>
      </c>
      <c r="H63" s="1" t="str">
        <f aca="false">IF($B63="","",IF($C63=14,"●",""))</f>
        <v/>
      </c>
      <c r="I63" s="1" t="str">
        <f aca="false">IF($B63="","",IF($C63=15,"●",""))</f>
        <v/>
      </c>
      <c r="J63" s="1" t="str">
        <f aca="false">IF($B63="","",IF($C63=16,"●",""))</f>
        <v/>
      </c>
      <c r="T63" s="1" t="str">
        <f aca="false">IF(AND('Sprint Planning'!$H63&gt;=10,'Sprint Planning'!$H63&lt;=16),IFERROR(MATCH('Sprint Planning'!$C63,Roadmap!$A$4:$A$15,0),99)*100+'Sprint Planning'!$H63+63/100000,"")</f>
        <v/>
      </c>
    </row>
    <row r="64" customFormat="false" ht="15" hidden="false" customHeight="true" outlineLevel="0" collapsed="false">
      <c r="A64" s="1" t="str">
        <f aca="false">IFERROR(INDEX('Sprint Planning'!$C$2:$C$241,MATCH(SMALL(Roadmap!$T$2:$T$243,ROW()-20),Roadmap!$T$2:$T$243,0)),"")</f>
        <v/>
      </c>
      <c r="B64" s="1" t="str">
        <f aca="false">IFERROR(INDEX('Sprint Planning'!$B$2:$B$241,MATCH(SMALL(Roadmap!$T$2:$T$243,ROW()-20),Roadmap!$T$2:$T$243,0)),"")</f>
        <v/>
      </c>
      <c r="C64" s="1" t="str">
        <f aca="false">IFERROR(INDEX('Sprint Planning'!$H$2:$H$241,MATCH(SMALL(Roadmap!$T$2:$T$243,ROW()-20),Roadmap!$T$2:$T$243,0)),"")</f>
        <v/>
      </c>
      <c r="D64" s="1" t="str">
        <f aca="false">IF($B64="","",IF($C64=10,"●",""))</f>
        <v/>
      </c>
      <c r="E64" s="1" t="str">
        <f aca="false">IF($B64="","",IF($C64=11,"●",""))</f>
        <v/>
      </c>
      <c r="F64" s="1" t="str">
        <f aca="false">IF($B64="","",IF($C64=12,"●",""))</f>
        <v/>
      </c>
      <c r="G64" s="1" t="str">
        <f aca="false">IF($B64="","",IF($C64=13,"●",""))</f>
        <v/>
      </c>
      <c r="H64" s="1" t="str">
        <f aca="false">IF($B64="","",IF($C64=14,"●",""))</f>
        <v/>
      </c>
      <c r="I64" s="1" t="str">
        <f aca="false">IF($B64="","",IF($C64=15,"●",""))</f>
        <v/>
      </c>
      <c r="J64" s="1" t="str">
        <f aca="false">IF($B64="","",IF($C64=16,"●",""))</f>
        <v/>
      </c>
      <c r="T64" s="1" t="str">
        <f aca="false">IF(AND('Sprint Planning'!$H64&gt;=10,'Sprint Planning'!$H64&lt;=16),IFERROR(MATCH('Sprint Planning'!$C64,Roadmap!$A$4:$A$15,0),99)*100+'Sprint Planning'!$H64+64/100000,"")</f>
        <v/>
      </c>
    </row>
    <row r="65" customFormat="false" ht="15" hidden="false" customHeight="true" outlineLevel="0" collapsed="false">
      <c r="A65" s="1" t="str">
        <f aca="false">IFERROR(INDEX('Sprint Planning'!$C$2:$C$241,MATCH(SMALL(Roadmap!$T$2:$T$243,ROW()-20),Roadmap!$T$2:$T$243,0)),"")</f>
        <v/>
      </c>
      <c r="B65" s="1" t="str">
        <f aca="false">IFERROR(INDEX('Sprint Planning'!$B$2:$B$241,MATCH(SMALL(Roadmap!$T$2:$T$243,ROW()-20),Roadmap!$T$2:$T$243,0)),"")</f>
        <v/>
      </c>
      <c r="C65" s="1" t="str">
        <f aca="false">IFERROR(INDEX('Sprint Planning'!$H$2:$H$241,MATCH(SMALL(Roadmap!$T$2:$T$243,ROW()-20),Roadmap!$T$2:$T$243,0)),"")</f>
        <v/>
      </c>
      <c r="D65" s="1" t="str">
        <f aca="false">IF($B65="","",IF($C65=10,"●",""))</f>
        <v/>
      </c>
      <c r="E65" s="1" t="str">
        <f aca="false">IF($B65="","",IF($C65=11,"●",""))</f>
        <v/>
      </c>
      <c r="F65" s="1" t="str">
        <f aca="false">IF($B65="","",IF($C65=12,"●",""))</f>
        <v/>
      </c>
      <c r="G65" s="1" t="str">
        <f aca="false">IF($B65="","",IF($C65=13,"●",""))</f>
        <v/>
      </c>
      <c r="H65" s="1" t="str">
        <f aca="false">IF($B65="","",IF($C65=14,"●",""))</f>
        <v/>
      </c>
      <c r="I65" s="1" t="str">
        <f aca="false">IF($B65="","",IF($C65=15,"●",""))</f>
        <v/>
      </c>
      <c r="J65" s="1" t="str">
        <f aca="false">IF($B65="","",IF($C65=16,"●",""))</f>
        <v/>
      </c>
      <c r="T65" s="1" t="str">
        <f aca="false">IF(AND('Sprint Planning'!$H65&gt;=10,'Sprint Planning'!$H65&lt;=16),IFERROR(MATCH('Sprint Planning'!$C65,Roadmap!$A$4:$A$15,0),99)*100+'Sprint Planning'!$H65+65/100000,"")</f>
        <v/>
      </c>
    </row>
    <row r="66" customFormat="false" ht="15" hidden="false" customHeight="true" outlineLevel="0" collapsed="false">
      <c r="A66" s="1" t="str">
        <f aca="false">IFERROR(INDEX('Sprint Planning'!$C$2:$C$241,MATCH(SMALL(Roadmap!$T$2:$T$243,ROW()-20),Roadmap!$T$2:$T$243,0)),"")</f>
        <v/>
      </c>
      <c r="B66" s="1" t="str">
        <f aca="false">IFERROR(INDEX('Sprint Planning'!$B$2:$B$241,MATCH(SMALL(Roadmap!$T$2:$T$243,ROW()-20),Roadmap!$T$2:$T$243,0)),"")</f>
        <v/>
      </c>
      <c r="C66" s="1" t="str">
        <f aca="false">IFERROR(INDEX('Sprint Planning'!$H$2:$H$241,MATCH(SMALL(Roadmap!$T$2:$T$243,ROW()-20),Roadmap!$T$2:$T$243,0)),"")</f>
        <v/>
      </c>
      <c r="D66" s="1" t="str">
        <f aca="false">IF($B66="","",IF($C66=10,"●",""))</f>
        <v/>
      </c>
      <c r="E66" s="1" t="str">
        <f aca="false">IF($B66="","",IF($C66=11,"●",""))</f>
        <v/>
      </c>
      <c r="F66" s="1" t="str">
        <f aca="false">IF($B66="","",IF($C66=12,"●",""))</f>
        <v/>
      </c>
      <c r="G66" s="1" t="str">
        <f aca="false">IF($B66="","",IF($C66=13,"●",""))</f>
        <v/>
      </c>
      <c r="H66" s="1" t="str">
        <f aca="false">IF($B66="","",IF($C66=14,"●",""))</f>
        <v/>
      </c>
      <c r="I66" s="1" t="str">
        <f aca="false">IF($B66="","",IF($C66=15,"●",""))</f>
        <v/>
      </c>
      <c r="J66" s="1" t="str">
        <f aca="false">IF($B66="","",IF($C66=16,"●",""))</f>
        <v/>
      </c>
      <c r="T66" s="1" t="str">
        <f aca="false">IF(AND('Sprint Planning'!$H66&gt;=10,'Sprint Planning'!$H66&lt;=16),IFERROR(MATCH('Sprint Planning'!$C66,Roadmap!$A$4:$A$15,0),99)*100+'Sprint Planning'!$H66+66/100000,"")</f>
        <v/>
      </c>
    </row>
    <row r="67" customFormat="false" ht="15" hidden="false" customHeight="true" outlineLevel="0" collapsed="false">
      <c r="A67" s="1" t="str">
        <f aca="false">IFERROR(INDEX('Sprint Planning'!$C$2:$C$241,MATCH(SMALL(Roadmap!$T$2:$T$243,ROW()-20),Roadmap!$T$2:$T$243,0)),"")</f>
        <v/>
      </c>
      <c r="B67" s="1" t="str">
        <f aca="false">IFERROR(INDEX('Sprint Planning'!$B$2:$B$241,MATCH(SMALL(Roadmap!$T$2:$T$243,ROW()-20),Roadmap!$T$2:$T$243,0)),"")</f>
        <v/>
      </c>
      <c r="C67" s="1" t="str">
        <f aca="false">IFERROR(INDEX('Sprint Planning'!$H$2:$H$241,MATCH(SMALL(Roadmap!$T$2:$T$243,ROW()-20),Roadmap!$T$2:$T$243,0)),"")</f>
        <v/>
      </c>
      <c r="D67" s="1" t="str">
        <f aca="false">IF($B67="","",IF($C67=10,"●",""))</f>
        <v/>
      </c>
      <c r="E67" s="1" t="str">
        <f aca="false">IF($B67="","",IF($C67=11,"●",""))</f>
        <v/>
      </c>
      <c r="F67" s="1" t="str">
        <f aca="false">IF($B67="","",IF($C67=12,"●",""))</f>
        <v/>
      </c>
      <c r="G67" s="1" t="str">
        <f aca="false">IF($B67="","",IF($C67=13,"●",""))</f>
        <v/>
      </c>
      <c r="H67" s="1" t="str">
        <f aca="false">IF($B67="","",IF($C67=14,"●",""))</f>
        <v/>
      </c>
      <c r="I67" s="1" t="str">
        <f aca="false">IF($B67="","",IF($C67=15,"●",""))</f>
        <v/>
      </c>
      <c r="J67" s="1" t="str">
        <f aca="false">IF($B67="","",IF($C67=16,"●",""))</f>
        <v/>
      </c>
      <c r="T67" s="1" t="str">
        <f aca="false">IF(AND('Sprint Planning'!$H67&gt;=10,'Sprint Planning'!$H67&lt;=16),IFERROR(MATCH('Sprint Planning'!$C67,Roadmap!$A$4:$A$15,0),99)*100+'Sprint Planning'!$H67+67/100000,"")</f>
        <v/>
      </c>
    </row>
    <row r="68" customFormat="false" ht="15" hidden="false" customHeight="true" outlineLevel="0" collapsed="false">
      <c r="A68" s="1" t="str">
        <f aca="false">IFERROR(INDEX('Sprint Planning'!$C$2:$C$241,MATCH(SMALL(Roadmap!$T$2:$T$243,ROW()-20),Roadmap!$T$2:$T$243,0)),"")</f>
        <v/>
      </c>
      <c r="B68" s="1" t="str">
        <f aca="false">IFERROR(INDEX('Sprint Planning'!$B$2:$B$241,MATCH(SMALL(Roadmap!$T$2:$T$243,ROW()-20),Roadmap!$T$2:$T$243,0)),"")</f>
        <v/>
      </c>
      <c r="C68" s="1" t="str">
        <f aca="false">IFERROR(INDEX('Sprint Planning'!$H$2:$H$241,MATCH(SMALL(Roadmap!$T$2:$T$243,ROW()-20),Roadmap!$T$2:$T$243,0)),"")</f>
        <v/>
      </c>
      <c r="D68" s="1" t="str">
        <f aca="false">IF($B68="","",IF($C68=10,"●",""))</f>
        <v/>
      </c>
      <c r="E68" s="1" t="str">
        <f aca="false">IF($B68="","",IF($C68=11,"●",""))</f>
        <v/>
      </c>
      <c r="F68" s="1" t="str">
        <f aca="false">IF($B68="","",IF($C68=12,"●",""))</f>
        <v/>
      </c>
      <c r="G68" s="1" t="str">
        <f aca="false">IF($B68="","",IF($C68=13,"●",""))</f>
        <v/>
      </c>
      <c r="H68" s="1" t="str">
        <f aca="false">IF($B68="","",IF($C68=14,"●",""))</f>
        <v/>
      </c>
      <c r="I68" s="1" t="str">
        <f aca="false">IF($B68="","",IF($C68=15,"●",""))</f>
        <v/>
      </c>
      <c r="J68" s="1" t="str">
        <f aca="false">IF($B68="","",IF($C68=16,"●",""))</f>
        <v/>
      </c>
      <c r="T68" s="1" t="str">
        <f aca="false">IF(AND('Sprint Planning'!$H68&gt;=10,'Sprint Planning'!$H68&lt;=16),IFERROR(MATCH('Sprint Planning'!$C68,Roadmap!$A$4:$A$15,0),99)*100+'Sprint Planning'!$H68+68/100000,"")</f>
        <v/>
      </c>
    </row>
    <row r="69" customFormat="false" ht="15" hidden="false" customHeight="true" outlineLevel="0" collapsed="false">
      <c r="A69" s="1" t="str">
        <f aca="false">IFERROR(INDEX('Sprint Planning'!$C$2:$C$241,MATCH(SMALL(Roadmap!$T$2:$T$243,ROW()-20),Roadmap!$T$2:$T$243,0)),"")</f>
        <v/>
      </c>
      <c r="B69" s="1" t="str">
        <f aca="false">IFERROR(INDEX('Sprint Planning'!$B$2:$B$241,MATCH(SMALL(Roadmap!$T$2:$T$243,ROW()-20),Roadmap!$T$2:$T$243,0)),"")</f>
        <v/>
      </c>
      <c r="C69" s="1" t="str">
        <f aca="false">IFERROR(INDEX('Sprint Planning'!$H$2:$H$241,MATCH(SMALL(Roadmap!$T$2:$T$243,ROW()-20),Roadmap!$T$2:$T$243,0)),"")</f>
        <v/>
      </c>
      <c r="D69" s="1" t="str">
        <f aca="false">IF($B69="","",IF($C69=10,"●",""))</f>
        <v/>
      </c>
      <c r="E69" s="1" t="str">
        <f aca="false">IF($B69="","",IF($C69=11,"●",""))</f>
        <v/>
      </c>
      <c r="F69" s="1" t="str">
        <f aca="false">IF($B69="","",IF($C69=12,"●",""))</f>
        <v/>
      </c>
      <c r="G69" s="1" t="str">
        <f aca="false">IF($B69="","",IF($C69=13,"●",""))</f>
        <v/>
      </c>
      <c r="H69" s="1" t="str">
        <f aca="false">IF($B69="","",IF($C69=14,"●",""))</f>
        <v/>
      </c>
      <c r="I69" s="1" t="str">
        <f aca="false">IF($B69="","",IF($C69=15,"●",""))</f>
        <v/>
      </c>
      <c r="J69" s="1" t="str">
        <f aca="false">IF($B69="","",IF($C69=16,"●",""))</f>
        <v/>
      </c>
      <c r="T69" s="1" t="str">
        <f aca="false">IF(AND('Sprint Planning'!$H69&gt;=10,'Sprint Planning'!$H69&lt;=16),IFERROR(MATCH('Sprint Planning'!$C69,Roadmap!$A$4:$A$15,0),99)*100+'Sprint Planning'!$H69+69/100000,"")</f>
        <v/>
      </c>
    </row>
    <row r="70" customFormat="false" ht="15" hidden="false" customHeight="true" outlineLevel="0" collapsed="false">
      <c r="A70" s="1" t="str">
        <f aca="false">IFERROR(INDEX('Sprint Planning'!$C$2:$C$241,MATCH(SMALL(Roadmap!$T$2:$T$243,ROW()-20),Roadmap!$T$2:$T$243,0)),"")</f>
        <v/>
      </c>
      <c r="B70" s="1" t="str">
        <f aca="false">IFERROR(INDEX('Sprint Planning'!$B$2:$B$241,MATCH(SMALL(Roadmap!$T$2:$T$243,ROW()-20),Roadmap!$T$2:$T$243,0)),"")</f>
        <v/>
      </c>
      <c r="C70" s="1" t="str">
        <f aca="false">IFERROR(INDEX('Sprint Planning'!$H$2:$H$241,MATCH(SMALL(Roadmap!$T$2:$T$243,ROW()-20),Roadmap!$T$2:$T$243,0)),"")</f>
        <v/>
      </c>
      <c r="D70" s="1" t="str">
        <f aca="false">IF($B70="","",IF($C70=10,"●",""))</f>
        <v/>
      </c>
      <c r="E70" s="1" t="str">
        <f aca="false">IF($B70="","",IF($C70=11,"●",""))</f>
        <v/>
      </c>
      <c r="F70" s="1" t="str">
        <f aca="false">IF($B70="","",IF($C70=12,"●",""))</f>
        <v/>
      </c>
      <c r="G70" s="1" t="str">
        <f aca="false">IF($B70="","",IF($C70=13,"●",""))</f>
        <v/>
      </c>
      <c r="H70" s="1" t="str">
        <f aca="false">IF($B70="","",IF($C70=14,"●",""))</f>
        <v/>
      </c>
      <c r="I70" s="1" t="str">
        <f aca="false">IF($B70="","",IF($C70=15,"●",""))</f>
        <v/>
      </c>
      <c r="J70" s="1" t="str">
        <f aca="false">IF($B70="","",IF($C70=16,"●",""))</f>
        <v/>
      </c>
      <c r="T70" s="1" t="str">
        <f aca="false">IF(AND('Sprint Planning'!$H70&gt;=10,'Sprint Planning'!$H70&lt;=16),IFERROR(MATCH('Sprint Planning'!$C70,Roadmap!$A$4:$A$15,0),99)*100+'Sprint Planning'!$H70+70/100000,"")</f>
        <v/>
      </c>
    </row>
    <row r="71" customFormat="false" ht="15" hidden="false" customHeight="true" outlineLevel="0" collapsed="false">
      <c r="A71" s="1" t="str">
        <f aca="false">IFERROR(INDEX('Sprint Planning'!$C$2:$C$241,MATCH(SMALL(Roadmap!$T$2:$T$243,ROW()-20),Roadmap!$T$2:$T$243,0)),"")</f>
        <v/>
      </c>
      <c r="B71" s="1" t="str">
        <f aca="false">IFERROR(INDEX('Sprint Planning'!$B$2:$B$241,MATCH(SMALL(Roadmap!$T$2:$T$243,ROW()-20),Roadmap!$T$2:$T$243,0)),"")</f>
        <v/>
      </c>
      <c r="C71" s="1" t="str">
        <f aca="false">IFERROR(INDEX('Sprint Planning'!$H$2:$H$241,MATCH(SMALL(Roadmap!$T$2:$T$243,ROW()-20),Roadmap!$T$2:$T$243,0)),"")</f>
        <v/>
      </c>
      <c r="D71" s="1" t="str">
        <f aca="false">IF($B71="","",IF($C71=10,"●",""))</f>
        <v/>
      </c>
      <c r="E71" s="1" t="str">
        <f aca="false">IF($B71="","",IF($C71=11,"●",""))</f>
        <v/>
      </c>
      <c r="F71" s="1" t="str">
        <f aca="false">IF($B71="","",IF($C71=12,"●",""))</f>
        <v/>
      </c>
      <c r="G71" s="1" t="str">
        <f aca="false">IF($B71="","",IF($C71=13,"●",""))</f>
        <v/>
      </c>
      <c r="H71" s="1" t="str">
        <f aca="false">IF($B71="","",IF($C71=14,"●",""))</f>
        <v/>
      </c>
      <c r="I71" s="1" t="str">
        <f aca="false">IF($B71="","",IF($C71=15,"●",""))</f>
        <v/>
      </c>
      <c r="J71" s="1" t="str">
        <f aca="false">IF($B71="","",IF($C71=16,"●",""))</f>
        <v/>
      </c>
      <c r="T71" s="1" t="str">
        <f aca="false">IF(AND('Sprint Planning'!$H71&gt;=10,'Sprint Planning'!$H71&lt;=16),IFERROR(MATCH('Sprint Planning'!$C71,Roadmap!$A$4:$A$15,0),99)*100+'Sprint Planning'!$H71+71/100000,"")</f>
        <v/>
      </c>
    </row>
    <row r="72" customFormat="false" ht="15" hidden="false" customHeight="true" outlineLevel="0" collapsed="false">
      <c r="A72" s="1" t="str">
        <f aca="false">IFERROR(INDEX('Sprint Planning'!$C$2:$C$241,MATCH(SMALL(Roadmap!$T$2:$T$243,ROW()-20),Roadmap!$T$2:$T$243,0)),"")</f>
        <v/>
      </c>
      <c r="B72" s="1" t="str">
        <f aca="false">IFERROR(INDEX('Sprint Planning'!$B$2:$B$241,MATCH(SMALL(Roadmap!$T$2:$T$243,ROW()-20),Roadmap!$T$2:$T$243,0)),"")</f>
        <v/>
      </c>
      <c r="C72" s="1" t="str">
        <f aca="false">IFERROR(INDEX('Sprint Planning'!$H$2:$H$241,MATCH(SMALL(Roadmap!$T$2:$T$243,ROW()-20),Roadmap!$T$2:$T$243,0)),"")</f>
        <v/>
      </c>
      <c r="D72" s="1" t="str">
        <f aca="false">IF($B72="","",IF($C72=10,"●",""))</f>
        <v/>
      </c>
      <c r="E72" s="1" t="str">
        <f aca="false">IF($B72="","",IF($C72=11,"●",""))</f>
        <v/>
      </c>
      <c r="F72" s="1" t="str">
        <f aca="false">IF($B72="","",IF($C72=12,"●",""))</f>
        <v/>
      </c>
      <c r="G72" s="1" t="str">
        <f aca="false">IF($B72="","",IF($C72=13,"●",""))</f>
        <v/>
      </c>
      <c r="H72" s="1" t="str">
        <f aca="false">IF($B72="","",IF($C72=14,"●",""))</f>
        <v/>
      </c>
      <c r="I72" s="1" t="str">
        <f aca="false">IF($B72="","",IF($C72=15,"●",""))</f>
        <v/>
      </c>
      <c r="J72" s="1" t="str">
        <f aca="false">IF($B72="","",IF($C72=16,"●",""))</f>
        <v/>
      </c>
      <c r="T72" s="1" t="str">
        <f aca="false">IF(AND('Sprint Planning'!$H72&gt;=10,'Sprint Planning'!$H72&lt;=16),IFERROR(MATCH('Sprint Planning'!$C72,Roadmap!$A$4:$A$15,0),99)*100+'Sprint Planning'!$H72+72/100000,"")</f>
        <v/>
      </c>
    </row>
    <row r="73" customFormat="false" ht="15" hidden="false" customHeight="true" outlineLevel="0" collapsed="false">
      <c r="A73" s="1" t="str">
        <f aca="false">IFERROR(INDEX('Sprint Planning'!$C$2:$C$241,MATCH(SMALL(Roadmap!$T$2:$T$243,ROW()-20),Roadmap!$T$2:$T$243,0)),"")</f>
        <v/>
      </c>
      <c r="B73" s="1" t="str">
        <f aca="false">IFERROR(INDEX('Sprint Planning'!$B$2:$B$241,MATCH(SMALL(Roadmap!$T$2:$T$243,ROW()-20),Roadmap!$T$2:$T$243,0)),"")</f>
        <v/>
      </c>
      <c r="C73" s="1" t="str">
        <f aca="false">IFERROR(INDEX('Sprint Planning'!$H$2:$H$241,MATCH(SMALL(Roadmap!$T$2:$T$243,ROW()-20),Roadmap!$T$2:$T$243,0)),"")</f>
        <v/>
      </c>
      <c r="D73" s="1" t="str">
        <f aca="false">IF($B73="","",IF($C73=10,"●",""))</f>
        <v/>
      </c>
      <c r="E73" s="1" t="str">
        <f aca="false">IF($B73="","",IF($C73=11,"●",""))</f>
        <v/>
      </c>
      <c r="F73" s="1" t="str">
        <f aca="false">IF($B73="","",IF($C73=12,"●",""))</f>
        <v/>
      </c>
      <c r="G73" s="1" t="str">
        <f aca="false">IF($B73="","",IF($C73=13,"●",""))</f>
        <v/>
      </c>
      <c r="H73" s="1" t="str">
        <f aca="false">IF($B73="","",IF($C73=14,"●",""))</f>
        <v/>
      </c>
      <c r="I73" s="1" t="str">
        <f aca="false">IF($B73="","",IF($C73=15,"●",""))</f>
        <v/>
      </c>
      <c r="J73" s="1" t="str">
        <f aca="false">IF($B73="","",IF($C73=16,"●",""))</f>
        <v/>
      </c>
      <c r="T73" s="1" t="str">
        <f aca="false">IF(AND('Sprint Planning'!$H73&gt;=10,'Sprint Planning'!$H73&lt;=16),IFERROR(MATCH('Sprint Planning'!$C73,Roadmap!$A$4:$A$15,0),99)*100+'Sprint Planning'!$H73+73/100000,"")</f>
        <v/>
      </c>
    </row>
    <row r="74" customFormat="false" ht="15" hidden="false" customHeight="true" outlineLevel="0" collapsed="false">
      <c r="A74" s="1" t="str">
        <f aca="false">IFERROR(INDEX('Sprint Planning'!$C$2:$C$241,MATCH(SMALL(Roadmap!$T$2:$T$243,ROW()-20),Roadmap!$T$2:$T$243,0)),"")</f>
        <v/>
      </c>
      <c r="B74" s="1" t="str">
        <f aca="false">IFERROR(INDEX('Sprint Planning'!$B$2:$B$241,MATCH(SMALL(Roadmap!$T$2:$T$243,ROW()-20),Roadmap!$T$2:$T$243,0)),"")</f>
        <v/>
      </c>
      <c r="C74" s="1" t="str">
        <f aca="false">IFERROR(INDEX('Sprint Planning'!$H$2:$H$241,MATCH(SMALL(Roadmap!$T$2:$T$243,ROW()-20),Roadmap!$T$2:$T$243,0)),"")</f>
        <v/>
      </c>
      <c r="D74" s="1" t="str">
        <f aca="false">IF($B74="","",IF($C74=10,"●",""))</f>
        <v/>
      </c>
      <c r="E74" s="1" t="str">
        <f aca="false">IF($B74="","",IF($C74=11,"●",""))</f>
        <v/>
      </c>
      <c r="F74" s="1" t="str">
        <f aca="false">IF($B74="","",IF($C74=12,"●",""))</f>
        <v/>
      </c>
      <c r="G74" s="1" t="str">
        <f aca="false">IF($B74="","",IF($C74=13,"●",""))</f>
        <v/>
      </c>
      <c r="H74" s="1" t="str">
        <f aca="false">IF($B74="","",IF($C74=14,"●",""))</f>
        <v/>
      </c>
      <c r="I74" s="1" t="str">
        <f aca="false">IF($B74="","",IF($C74=15,"●",""))</f>
        <v/>
      </c>
      <c r="J74" s="1" t="str">
        <f aca="false">IF($B74="","",IF($C74=16,"●",""))</f>
        <v/>
      </c>
      <c r="T74" s="1" t="str">
        <f aca="false">IF(AND('Sprint Planning'!$H74&gt;=10,'Sprint Planning'!$H74&lt;=16),IFERROR(MATCH('Sprint Planning'!$C74,Roadmap!$A$4:$A$15,0),99)*100+'Sprint Planning'!$H74+74/100000,"")</f>
        <v/>
      </c>
    </row>
    <row r="75" customFormat="false" ht="15" hidden="false" customHeight="true" outlineLevel="0" collapsed="false">
      <c r="A75" s="1" t="str">
        <f aca="false">IFERROR(INDEX('Sprint Planning'!$C$2:$C$241,MATCH(SMALL(Roadmap!$T$2:$T$243,ROW()-20),Roadmap!$T$2:$T$243,0)),"")</f>
        <v/>
      </c>
      <c r="B75" s="1" t="str">
        <f aca="false">IFERROR(INDEX('Sprint Planning'!$B$2:$B$241,MATCH(SMALL(Roadmap!$T$2:$T$243,ROW()-20),Roadmap!$T$2:$T$243,0)),"")</f>
        <v/>
      </c>
      <c r="C75" s="1" t="str">
        <f aca="false">IFERROR(INDEX('Sprint Planning'!$H$2:$H$241,MATCH(SMALL(Roadmap!$T$2:$T$243,ROW()-20),Roadmap!$T$2:$T$243,0)),"")</f>
        <v/>
      </c>
      <c r="D75" s="1" t="str">
        <f aca="false">IF($B75="","",IF($C75=10,"●",""))</f>
        <v/>
      </c>
      <c r="E75" s="1" t="str">
        <f aca="false">IF($B75="","",IF($C75=11,"●",""))</f>
        <v/>
      </c>
      <c r="F75" s="1" t="str">
        <f aca="false">IF($B75="","",IF($C75=12,"●",""))</f>
        <v/>
      </c>
      <c r="G75" s="1" t="str">
        <f aca="false">IF($B75="","",IF($C75=13,"●",""))</f>
        <v/>
      </c>
      <c r="H75" s="1" t="str">
        <f aca="false">IF($B75="","",IF($C75=14,"●",""))</f>
        <v/>
      </c>
      <c r="I75" s="1" t="str">
        <f aca="false">IF($B75="","",IF($C75=15,"●",""))</f>
        <v/>
      </c>
      <c r="J75" s="1" t="str">
        <f aca="false">IF($B75="","",IF($C75=16,"●",""))</f>
        <v/>
      </c>
      <c r="T75" s="1" t="str">
        <f aca="false">IF(AND('Sprint Planning'!$H75&gt;=10,'Sprint Planning'!$H75&lt;=16),IFERROR(MATCH('Sprint Planning'!$C75,Roadmap!$A$4:$A$15,0),99)*100+'Sprint Planning'!$H75+75/100000,"")</f>
        <v/>
      </c>
    </row>
    <row r="76" customFormat="false" ht="15" hidden="false" customHeight="true" outlineLevel="0" collapsed="false">
      <c r="A76" s="1" t="str">
        <f aca="false">IFERROR(INDEX('Sprint Planning'!$C$2:$C$241,MATCH(SMALL(Roadmap!$T$2:$T$243,ROW()-20),Roadmap!$T$2:$T$243,0)),"")</f>
        <v/>
      </c>
      <c r="B76" s="1" t="str">
        <f aca="false">IFERROR(INDEX('Sprint Planning'!$B$2:$B$241,MATCH(SMALL(Roadmap!$T$2:$T$243,ROW()-20),Roadmap!$T$2:$T$243,0)),"")</f>
        <v/>
      </c>
      <c r="C76" s="1" t="str">
        <f aca="false">IFERROR(INDEX('Sprint Planning'!$H$2:$H$241,MATCH(SMALL(Roadmap!$T$2:$T$243,ROW()-20),Roadmap!$T$2:$T$243,0)),"")</f>
        <v/>
      </c>
      <c r="D76" s="1" t="str">
        <f aca="false">IF($B76="","",IF($C76=10,"●",""))</f>
        <v/>
      </c>
      <c r="E76" s="1" t="str">
        <f aca="false">IF($B76="","",IF($C76=11,"●",""))</f>
        <v/>
      </c>
      <c r="F76" s="1" t="str">
        <f aca="false">IF($B76="","",IF($C76=12,"●",""))</f>
        <v/>
      </c>
      <c r="G76" s="1" t="str">
        <f aca="false">IF($B76="","",IF($C76=13,"●",""))</f>
        <v/>
      </c>
      <c r="H76" s="1" t="str">
        <f aca="false">IF($B76="","",IF($C76=14,"●",""))</f>
        <v/>
      </c>
      <c r="I76" s="1" t="str">
        <f aca="false">IF($B76="","",IF($C76=15,"●",""))</f>
        <v/>
      </c>
      <c r="J76" s="1" t="str">
        <f aca="false">IF($B76="","",IF($C76=16,"●",""))</f>
        <v/>
      </c>
      <c r="T76" s="1" t="str">
        <f aca="false">IF(AND('Sprint Planning'!$H76&gt;=10,'Sprint Planning'!$H76&lt;=16),IFERROR(MATCH('Sprint Planning'!$C76,Roadmap!$A$4:$A$15,0),99)*100+'Sprint Planning'!$H76+76/100000,"")</f>
        <v/>
      </c>
    </row>
    <row r="77" customFormat="false" ht="15" hidden="false" customHeight="true" outlineLevel="0" collapsed="false">
      <c r="A77" s="1" t="str">
        <f aca="false">IFERROR(INDEX('Sprint Planning'!$C$2:$C$241,MATCH(SMALL(Roadmap!$T$2:$T$243,ROW()-20),Roadmap!$T$2:$T$243,0)),"")</f>
        <v/>
      </c>
      <c r="B77" s="1" t="str">
        <f aca="false">IFERROR(INDEX('Sprint Planning'!$B$2:$B$241,MATCH(SMALL(Roadmap!$T$2:$T$243,ROW()-20),Roadmap!$T$2:$T$243,0)),"")</f>
        <v/>
      </c>
      <c r="C77" s="1" t="str">
        <f aca="false">IFERROR(INDEX('Sprint Planning'!$H$2:$H$241,MATCH(SMALL(Roadmap!$T$2:$T$243,ROW()-20),Roadmap!$T$2:$T$243,0)),"")</f>
        <v/>
      </c>
      <c r="D77" s="1" t="str">
        <f aca="false">IF($B77="","",IF($C77=10,"●",""))</f>
        <v/>
      </c>
      <c r="E77" s="1" t="str">
        <f aca="false">IF($B77="","",IF($C77=11,"●",""))</f>
        <v/>
      </c>
      <c r="F77" s="1" t="str">
        <f aca="false">IF($B77="","",IF($C77=12,"●",""))</f>
        <v/>
      </c>
      <c r="G77" s="1" t="str">
        <f aca="false">IF($B77="","",IF($C77=13,"●",""))</f>
        <v/>
      </c>
      <c r="H77" s="1" t="str">
        <f aca="false">IF($B77="","",IF($C77=14,"●",""))</f>
        <v/>
      </c>
      <c r="I77" s="1" t="str">
        <f aca="false">IF($B77="","",IF($C77=15,"●",""))</f>
        <v/>
      </c>
      <c r="J77" s="1" t="str">
        <f aca="false">IF($B77="","",IF($C77=16,"●",""))</f>
        <v/>
      </c>
      <c r="T77" s="1" t="str">
        <f aca="false">IF(AND('Sprint Planning'!$H77&gt;=10,'Sprint Planning'!$H77&lt;=16),IFERROR(MATCH('Sprint Planning'!$C77,Roadmap!$A$4:$A$15,0),99)*100+'Sprint Planning'!$H77+77/100000,"")</f>
        <v/>
      </c>
    </row>
    <row r="78" customFormat="false" ht="15" hidden="false" customHeight="true" outlineLevel="0" collapsed="false">
      <c r="A78" s="1" t="str">
        <f aca="false">IFERROR(INDEX('Sprint Planning'!$C$2:$C$241,MATCH(SMALL(Roadmap!$T$2:$T$243,ROW()-20),Roadmap!$T$2:$T$243,0)),"")</f>
        <v/>
      </c>
      <c r="B78" s="1" t="str">
        <f aca="false">IFERROR(INDEX('Sprint Planning'!$B$2:$B$241,MATCH(SMALL(Roadmap!$T$2:$T$243,ROW()-20),Roadmap!$T$2:$T$243,0)),"")</f>
        <v/>
      </c>
      <c r="C78" s="1" t="str">
        <f aca="false">IFERROR(INDEX('Sprint Planning'!$H$2:$H$241,MATCH(SMALL(Roadmap!$T$2:$T$243,ROW()-20),Roadmap!$T$2:$T$243,0)),"")</f>
        <v/>
      </c>
      <c r="D78" s="1" t="str">
        <f aca="false">IF($B78="","",IF($C78=10,"●",""))</f>
        <v/>
      </c>
      <c r="E78" s="1" t="str">
        <f aca="false">IF($B78="","",IF($C78=11,"●",""))</f>
        <v/>
      </c>
      <c r="F78" s="1" t="str">
        <f aca="false">IF($B78="","",IF($C78=12,"●",""))</f>
        <v/>
      </c>
      <c r="G78" s="1" t="str">
        <f aca="false">IF($B78="","",IF($C78=13,"●",""))</f>
        <v/>
      </c>
      <c r="H78" s="1" t="str">
        <f aca="false">IF($B78="","",IF($C78=14,"●",""))</f>
        <v/>
      </c>
      <c r="I78" s="1" t="str">
        <f aca="false">IF($B78="","",IF($C78=15,"●",""))</f>
        <v/>
      </c>
      <c r="J78" s="1" t="str">
        <f aca="false">IF($B78="","",IF($C78=16,"●",""))</f>
        <v/>
      </c>
      <c r="T78" s="1" t="str">
        <f aca="false">IF(AND('Sprint Planning'!$H78&gt;=10,'Sprint Planning'!$H78&lt;=16),IFERROR(MATCH('Sprint Planning'!$C78,Roadmap!$A$4:$A$15,0),99)*100+'Sprint Planning'!$H78+78/100000,"")</f>
        <v/>
      </c>
    </row>
    <row r="79" customFormat="false" ht="15" hidden="false" customHeight="true" outlineLevel="0" collapsed="false">
      <c r="A79" s="1" t="str">
        <f aca="false">IFERROR(INDEX('Sprint Planning'!$C$2:$C$241,MATCH(SMALL(Roadmap!$T$2:$T$243,ROW()-20),Roadmap!$T$2:$T$243,0)),"")</f>
        <v/>
      </c>
      <c r="B79" s="1" t="str">
        <f aca="false">IFERROR(INDEX('Sprint Planning'!$B$2:$B$241,MATCH(SMALL(Roadmap!$T$2:$T$243,ROW()-20),Roadmap!$T$2:$T$243,0)),"")</f>
        <v/>
      </c>
      <c r="C79" s="1" t="str">
        <f aca="false">IFERROR(INDEX('Sprint Planning'!$H$2:$H$241,MATCH(SMALL(Roadmap!$T$2:$T$243,ROW()-20),Roadmap!$T$2:$T$243,0)),"")</f>
        <v/>
      </c>
      <c r="D79" s="1" t="str">
        <f aca="false">IF($B79="","",IF($C79=10,"●",""))</f>
        <v/>
      </c>
      <c r="E79" s="1" t="str">
        <f aca="false">IF($B79="","",IF($C79=11,"●",""))</f>
        <v/>
      </c>
      <c r="F79" s="1" t="str">
        <f aca="false">IF($B79="","",IF($C79=12,"●",""))</f>
        <v/>
      </c>
      <c r="G79" s="1" t="str">
        <f aca="false">IF($B79="","",IF($C79=13,"●",""))</f>
        <v/>
      </c>
      <c r="H79" s="1" t="str">
        <f aca="false">IF($B79="","",IF($C79=14,"●",""))</f>
        <v/>
      </c>
      <c r="I79" s="1" t="str">
        <f aca="false">IF($B79="","",IF($C79=15,"●",""))</f>
        <v/>
      </c>
      <c r="J79" s="1" t="str">
        <f aca="false">IF($B79="","",IF($C79=16,"●",""))</f>
        <v/>
      </c>
      <c r="T79" s="1" t="str">
        <f aca="false">IF(AND('Sprint Planning'!$H79&gt;=10,'Sprint Planning'!$H79&lt;=16),IFERROR(MATCH('Sprint Planning'!$C79,Roadmap!$A$4:$A$15,0),99)*100+'Sprint Planning'!$H79+79/100000,"")</f>
        <v/>
      </c>
    </row>
    <row r="80" customFormat="false" ht="15" hidden="false" customHeight="true" outlineLevel="0" collapsed="false">
      <c r="A80" s="1" t="str">
        <f aca="false">IFERROR(INDEX('Sprint Planning'!$C$2:$C$241,MATCH(SMALL(Roadmap!$T$2:$T$243,ROW()-20),Roadmap!$T$2:$T$243,0)),"")</f>
        <v/>
      </c>
      <c r="B80" s="1" t="str">
        <f aca="false">IFERROR(INDEX('Sprint Planning'!$B$2:$B$241,MATCH(SMALL(Roadmap!$T$2:$T$243,ROW()-20),Roadmap!$T$2:$T$243,0)),"")</f>
        <v/>
      </c>
      <c r="C80" s="1" t="str">
        <f aca="false">IFERROR(INDEX('Sprint Planning'!$H$2:$H$241,MATCH(SMALL(Roadmap!$T$2:$T$243,ROW()-20),Roadmap!$T$2:$T$243,0)),"")</f>
        <v/>
      </c>
      <c r="D80" s="1" t="str">
        <f aca="false">IF($B80="","",IF($C80=10,"●",""))</f>
        <v/>
      </c>
      <c r="E80" s="1" t="str">
        <f aca="false">IF($B80="","",IF($C80=11,"●",""))</f>
        <v/>
      </c>
      <c r="F80" s="1" t="str">
        <f aca="false">IF($B80="","",IF($C80=12,"●",""))</f>
        <v/>
      </c>
      <c r="G80" s="1" t="str">
        <f aca="false">IF($B80="","",IF($C80=13,"●",""))</f>
        <v/>
      </c>
      <c r="H80" s="1" t="str">
        <f aca="false">IF($B80="","",IF($C80=14,"●",""))</f>
        <v/>
      </c>
      <c r="I80" s="1" t="str">
        <f aca="false">IF($B80="","",IF($C80=15,"●",""))</f>
        <v/>
      </c>
      <c r="J80" s="1" t="str">
        <f aca="false">IF($B80="","",IF($C80=16,"●",""))</f>
        <v/>
      </c>
      <c r="T80" s="1" t="str">
        <f aca="false">IF(AND('Sprint Planning'!$H80&gt;=10,'Sprint Planning'!$H80&lt;=16),IFERROR(MATCH('Sprint Planning'!$C80,Roadmap!$A$4:$A$15,0),99)*100+'Sprint Planning'!$H80+80/100000,"")</f>
        <v/>
      </c>
    </row>
    <row r="81" customFormat="false" ht="15" hidden="false" customHeight="true" outlineLevel="0" collapsed="false">
      <c r="A81" s="1" t="str">
        <f aca="false">IFERROR(INDEX('Sprint Planning'!$C$2:$C$241,MATCH(SMALL(Roadmap!$T$2:$T$243,ROW()-20),Roadmap!$T$2:$T$243,0)),"")</f>
        <v/>
      </c>
      <c r="B81" s="1" t="str">
        <f aca="false">IFERROR(INDEX('Sprint Planning'!$B$2:$B$241,MATCH(SMALL(Roadmap!$T$2:$T$243,ROW()-20),Roadmap!$T$2:$T$243,0)),"")</f>
        <v/>
      </c>
      <c r="C81" s="1" t="str">
        <f aca="false">IFERROR(INDEX('Sprint Planning'!$H$2:$H$241,MATCH(SMALL(Roadmap!$T$2:$T$243,ROW()-20),Roadmap!$T$2:$T$243,0)),"")</f>
        <v/>
      </c>
      <c r="D81" s="1" t="str">
        <f aca="false">IF($B81="","",IF($C81=10,"●",""))</f>
        <v/>
      </c>
      <c r="E81" s="1" t="str">
        <f aca="false">IF($B81="","",IF($C81=11,"●",""))</f>
        <v/>
      </c>
      <c r="F81" s="1" t="str">
        <f aca="false">IF($B81="","",IF($C81=12,"●",""))</f>
        <v/>
      </c>
      <c r="G81" s="1" t="str">
        <f aca="false">IF($B81="","",IF($C81=13,"●",""))</f>
        <v/>
      </c>
      <c r="H81" s="1" t="str">
        <f aca="false">IF($B81="","",IF($C81=14,"●",""))</f>
        <v/>
      </c>
      <c r="I81" s="1" t="str">
        <f aca="false">IF($B81="","",IF($C81=15,"●",""))</f>
        <v/>
      </c>
      <c r="J81" s="1" t="str">
        <f aca="false">IF($B81="","",IF($C81=16,"●",""))</f>
        <v/>
      </c>
      <c r="T81" s="1" t="str">
        <f aca="false">IF(AND('Sprint Planning'!$H81&gt;=10,'Sprint Planning'!$H81&lt;=16),IFERROR(MATCH('Sprint Planning'!$C81,Roadmap!$A$4:$A$15,0),99)*100+'Sprint Planning'!$H81+81/100000,"")</f>
        <v/>
      </c>
    </row>
    <row r="82" customFormat="false" ht="15" hidden="false" customHeight="true" outlineLevel="0" collapsed="false">
      <c r="A82" s="1" t="str">
        <f aca="false">IFERROR(INDEX('Sprint Planning'!$C$2:$C$241,MATCH(SMALL(Roadmap!$T$2:$T$243,ROW()-20),Roadmap!$T$2:$T$243,0)),"")</f>
        <v/>
      </c>
      <c r="B82" s="1" t="str">
        <f aca="false">IFERROR(INDEX('Sprint Planning'!$B$2:$B$241,MATCH(SMALL(Roadmap!$T$2:$T$243,ROW()-20),Roadmap!$T$2:$T$243,0)),"")</f>
        <v/>
      </c>
      <c r="C82" s="1" t="str">
        <f aca="false">IFERROR(INDEX('Sprint Planning'!$H$2:$H$241,MATCH(SMALL(Roadmap!$T$2:$T$243,ROW()-20),Roadmap!$T$2:$T$243,0)),"")</f>
        <v/>
      </c>
      <c r="D82" s="1" t="str">
        <f aca="false">IF($B82="","",IF($C82=10,"●",""))</f>
        <v/>
      </c>
      <c r="E82" s="1" t="str">
        <f aca="false">IF($B82="","",IF($C82=11,"●",""))</f>
        <v/>
      </c>
      <c r="F82" s="1" t="str">
        <f aca="false">IF($B82="","",IF($C82=12,"●",""))</f>
        <v/>
      </c>
      <c r="G82" s="1" t="str">
        <f aca="false">IF($B82="","",IF($C82=13,"●",""))</f>
        <v/>
      </c>
      <c r="H82" s="1" t="str">
        <f aca="false">IF($B82="","",IF($C82=14,"●",""))</f>
        <v/>
      </c>
      <c r="I82" s="1" t="str">
        <f aca="false">IF($B82="","",IF($C82=15,"●",""))</f>
        <v/>
      </c>
      <c r="J82" s="1" t="str">
        <f aca="false">IF($B82="","",IF($C82=16,"●",""))</f>
        <v/>
      </c>
      <c r="T82" s="1" t="str">
        <f aca="false">IF(AND('Sprint Planning'!$H82&gt;=10,'Sprint Planning'!$H82&lt;=16),IFERROR(MATCH('Sprint Planning'!$C82,Roadmap!$A$4:$A$15,0),99)*100+'Sprint Planning'!$H82+82/100000,"")</f>
        <v/>
      </c>
    </row>
    <row r="83" customFormat="false" ht="15" hidden="false" customHeight="true" outlineLevel="0" collapsed="false">
      <c r="A83" s="1" t="str">
        <f aca="false">IFERROR(INDEX('Sprint Planning'!$C$2:$C$241,MATCH(SMALL(Roadmap!$T$2:$T$243,ROW()-20),Roadmap!$T$2:$T$243,0)),"")</f>
        <v/>
      </c>
      <c r="B83" s="1" t="str">
        <f aca="false">IFERROR(INDEX('Sprint Planning'!$B$2:$B$241,MATCH(SMALL(Roadmap!$T$2:$T$243,ROW()-20),Roadmap!$T$2:$T$243,0)),"")</f>
        <v/>
      </c>
      <c r="C83" s="1" t="str">
        <f aca="false">IFERROR(INDEX('Sprint Planning'!$H$2:$H$241,MATCH(SMALL(Roadmap!$T$2:$T$243,ROW()-20),Roadmap!$T$2:$T$243,0)),"")</f>
        <v/>
      </c>
      <c r="D83" s="1" t="str">
        <f aca="false">IF($B83="","",IF($C83=10,"●",""))</f>
        <v/>
      </c>
      <c r="E83" s="1" t="str">
        <f aca="false">IF($B83="","",IF($C83=11,"●",""))</f>
        <v/>
      </c>
      <c r="F83" s="1" t="str">
        <f aca="false">IF($B83="","",IF($C83=12,"●",""))</f>
        <v/>
      </c>
      <c r="G83" s="1" t="str">
        <f aca="false">IF($B83="","",IF($C83=13,"●",""))</f>
        <v/>
      </c>
      <c r="H83" s="1" t="str">
        <f aca="false">IF($B83="","",IF($C83=14,"●",""))</f>
        <v/>
      </c>
      <c r="I83" s="1" t="str">
        <f aca="false">IF($B83="","",IF($C83=15,"●",""))</f>
        <v/>
      </c>
      <c r="J83" s="1" t="str">
        <f aca="false">IF($B83="","",IF($C83=16,"●",""))</f>
        <v/>
      </c>
      <c r="T83" s="1" t="str">
        <f aca="false">IF(AND('Sprint Planning'!$H83&gt;=10,'Sprint Planning'!$H83&lt;=16),IFERROR(MATCH('Sprint Planning'!$C83,Roadmap!$A$4:$A$15,0),99)*100+'Sprint Planning'!$H83+83/100000,"")</f>
        <v/>
      </c>
    </row>
    <row r="84" customFormat="false" ht="15" hidden="false" customHeight="true" outlineLevel="0" collapsed="false">
      <c r="A84" s="1" t="str">
        <f aca="false">IFERROR(INDEX('Sprint Planning'!$C$2:$C$241,MATCH(SMALL(Roadmap!$T$2:$T$243,ROW()-20),Roadmap!$T$2:$T$243,0)),"")</f>
        <v/>
      </c>
      <c r="B84" s="1" t="str">
        <f aca="false">IFERROR(INDEX('Sprint Planning'!$B$2:$B$241,MATCH(SMALL(Roadmap!$T$2:$T$243,ROW()-20),Roadmap!$T$2:$T$243,0)),"")</f>
        <v/>
      </c>
      <c r="C84" s="1" t="str">
        <f aca="false">IFERROR(INDEX('Sprint Planning'!$H$2:$H$241,MATCH(SMALL(Roadmap!$T$2:$T$243,ROW()-20),Roadmap!$T$2:$T$243,0)),"")</f>
        <v/>
      </c>
      <c r="D84" s="1" t="str">
        <f aca="false">IF($B84="","",IF($C84=10,"●",""))</f>
        <v/>
      </c>
      <c r="E84" s="1" t="str">
        <f aca="false">IF($B84="","",IF($C84=11,"●",""))</f>
        <v/>
      </c>
      <c r="F84" s="1" t="str">
        <f aca="false">IF($B84="","",IF($C84=12,"●",""))</f>
        <v/>
      </c>
      <c r="G84" s="1" t="str">
        <f aca="false">IF($B84="","",IF($C84=13,"●",""))</f>
        <v/>
      </c>
      <c r="H84" s="1" t="str">
        <f aca="false">IF($B84="","",IF($C84=14,"●",""))</f>
        <v/>
      </c>
      <c r="I84" s="1" t="str">
        <f aca="false">IF($B84="","",IF($C84=15,"●",""))</f>
        <v/>
      </c>
      <c r="J84" s="1" t="str">
        <f aca="false">IF($B84="","",IF($C84=16,"●",""))</f>
        <v/>
      </c>
      <c r="T84" s="1" t="str">
        <f aca="false">IF(AND('Sprint Planning'!$H84&gt;=10,'Sprint Planning'!$H84&lt;=16),IFERROR(MATCH('Sprint Planning'!$C84,Roadmap!$A$4:$A$15,0),99)*100+'Sprint Planning'!$H84+84/100000,"")</f>
        <v/>
      </c>
    </row>
    <row r="85" customFormat="false" ht="15" hidden="false" customHeight="true" outlineLevel="0" collapsed="false">
      <c r="A85" s="1" t="str">
        <f aca="false">IFERROR(INDEX('Sprint Planning'!$C$2:$C$241,MATCH(SMALL(Roadmap!$T$2:$T$243,ROW()-20),Roadmap!$T$2:$T$243,0)),"")</f>
        <v/>
      </c>
      <c r="B85" s="1" t="str">
        <f aca="false">IFERROR(INDEX('Sprint Planning'!$B$2:$B$241,MATCH(SMALL(Roadmap!$T$2:$T$243,ROW()-20),Roadmap!$T$2:$T$243,0)),"")</f>
        <v/>
      </c>
      <c r="C85" s="1" t="str">
        <f aca="false">IFERROR(INDEX('Sprint Planning'!$H$2:$H$241,MATCH(SMALL(Roadmap!$T$2:$T$243,ROW()-20),Roadmap!$T$2:$T$243,0)),"")</f>
        <v/>
      </c>
      <c r="D85" s="1" t="str">
        <f aca="false">IF($B85="","",IF($C85=10,"●",""))</f>
        <v/>
      </c>
      <c r="E85" s="1" t="str">
        <f aca="false">IF($B85="","",IF($C85=11,"●",""))</f>
        <v/>
      </c>
      <c r="F85" s="1" t="str">
        <f aca="false">IF($B85="","",IF($C85=12,"●",""))</f>
        <v/>
      </c>
      <c r="G85" s="1" t="str">
        <f aca="false">IF($B85="","",IF($C85=13,"●",""))</f>
        <v/>
      </c>
      <c r="H85" s="1" t="str">
        <f aca="false">IF($B85="","",IF($C85=14,"●",""))</f>
        <v/>
      </c>
      <c r="I85" s="1" t="str">
        <f aca="false">IF($B85="","",IF($C85=15,"●",""))</f>
        <v/>
      </c>
      <c r="J85" s="1" t="str">
        <f aca="false">IF($B85="","",IF($C85=16,"●",""))</f>
        <v/>
      </c>
      <c r="T85" s="1" t="str">
        <f aca="false">IF(AND('Sprint Planning'!$H85&gt;=10,'Sprint Planning'!$H85&lt;=16),IFERROR(MATCH('Sprint Planning'!$C85,Roadmap!$A$4:$A$15,0),99)*100+'Sprint Planning'!$H85+85/100000,"")</f>
        <v/>
      </c>
    </row>
    <row r="86" customFormat="false" ht="15" hidden="false" customHeight="true" outlineLevel="0" collapsed="false">
      <c r="A86" s="1" t="str">
        <f aca="false">IFERROR(INDEX('Sprint Planning'!$C$2:$C$241,MATCH(SMALL(Roadmap!$T$2:$T$243,ROW()-20),Roadmap!$T$2:$T$243,0)),"")</f>
        <v/>
      </c>
      <c r="B86" s="1" t="str">
        <f aca="false">IFERROR(INDEX('Sprint Planning'!$B$2:$B$241,MATCH(SMALL(Roadmap!$T$2:$T$243,ROW()-20),Roadmap!$T$2:$T$243,0)),"")</f>
        <v/>
      </c>
      <c r="C86" s="1" t="str">
        <f aca="false">IFERROR(INDEX('Sprint Planning'!$H$2:$H$241,MATCH(SMALL(Roadmap!$T$2:$T$243,ROW()-20),Roadmap!$T$2:$T$243,0)),"")</f>
        <v/>
      </c>
      <c r="D86" s="1" t="str">
        <f aca="false">IF($B86="","",IF($C86=10,"●",""))</f>
        <v/>
      </c>
      <c r="E86" s="1" t="str">
        <f aca="false">IF($B86="","",IF($C86=11,"●",""))</f>
        <v/>
      </c>
      <c r="F86" s="1" t="str">
        <f aca="false">IF($B86="","",IF($C86=12,"●",""))</f>
        <v/>
      </c>
      <c r="G86" s="1" t="str">
        <f aca="false">IF($B86="","",IF($C86=13,"●",""))</f>
        <v/>
      </c>
      <c r="H86" s="1" t="str">
        <f aca="false">IF($B86="","",IF($C86=14,"●",""))</f>
        <v/>
      </c>
      <c r="I86" s="1" t="str">
        <f aca="false">IF($B86="","",IF($C86=15,"●",""))</f>
        <v/>
      </c>
      <c r="J86" s="1" t="str">
        <f aca="false">IF($B86="","",IF($C86=16,"●",""))</f>
        <v/>
      </c>
      <c r="T86" s="1" t="str">
        <f aca="false">IF(AND('Sprint Planning'!$H86&gt;=10,'Sprint Planning'!$H86&lt;=16),IFERROR(MATCH('Sprint Planning'!$C86,Roadmap!$A$4:$A$15,0),99)*100+'Sprint Planning'!$H86+86/100000,"")</f>
        <v/>
      </c>
    </row>
    <row r="87" customFormat="false" ht="15" hidden="false" customHeight="true" outlineLevel="0" collapsed="false">
      <c r="A87" s="1" t="str">
        <f aca="false">IFERROR(INDEX('Sprint Planning'!$C$2:$C$241,MATCH(SMALL(Roadmap!$T$2:$T$243,ROW()-20),Roadmap!$T$2:$T$243,0)),"")</f>
        <v/>
      </c>
      <c r="B87" s="1" t="str">
        <f aca="false">IFERROR(INDEX('Sprint Planning'!$B$2:$B$241,MATCH(SMALL(Roadmap!$T$2:$T$243,ROW()-20),Roadmap!$T$2:$T$243,0)),"")</f>
        <v/>
      </c>
      <c r="C87" s="1" t="str">
        <f aca="false">IFERROR(INDEX('Sprint Planning'!$H$2:$H$241,MATCH(SMALL(Roadmap!$T$2:$T$243,ROW()-20),Roadmap!$T$2:$T$243,0)),"")</f>
        <v/>
      </c>
      <c r="D87" s="1" t="str">
        <f aca="false">IF($B87="","",IF($C87=10,"●",""))</f>
        <v/>
      </c>
      <c r="E87" s="1" t="str">
        <f aca="false">IF($B87="","",IF($C87=11,"●",""))</f>
        <v/>
      </c>
      <c r="F87" s="1" t="str">
        <f aca="false">IF($B87="","",IF($C87=12,"●",""))</f>
        <v/>
      </c>
      <c r="G87" s="1" t="str">
        <f aca="false">IF($B87="","",IF($C87=13,"●",""))</f>
        <v/>
      </c>
      <c r="H87" s="1" t="str">
        <f aca="false">IF($B87="","",IF($C87=14,"●",""))</f>
        <v/>
      </c>
      <c r="I87" s="1" t="str">
        <f aca="false">IF($B87="","",IF($C87=15,"●",""))</f>
        <v/>
      </c>
      <c r="J87" s="1" t="str">
        <f aca="false">IF($B87="","",IF($C87=16,"●",""))</f>
        <v/>
      </c>
      <c r="T87" s="1" t="str">
        <f aca="false">IF(AND('Sprint Planning'!$H87&gt;=10,'Sprint Planning'!$H87&lt;=16),IFERROR(MATCH('Sprint Planning'!$C87,Roadmap!$A$4:$A$15,0),99)*100+'Sprint Planning'!$H87+87/100000,"")</f>
        <v/>
      </c>
    </row>
    <row r="88" customFormat="false" ht="15" hidden="false" customHeight="true" outlineLevel="0" collapsed="false">
      <c r="A88" s="1" t="str">
        <f aca="false">IFERROR(INDEX('Sprint Planning'!$C$2:$C$241,MATCH(SMALL(Roadmap!$T$2:$T$243,ROW()-20),Roadmap!$T$2:$T$243,0)),"")</f>
        <v/>
      </c>
      <c r="B88" s="1" t="str">
        <f aca="false">IFERROR(INDEX('Sprint Planning'!$B$2:$B$241,MATCH(SMALL(Roadmap!$T$2:$T$243,ROW()-20),Roadmap!$T$2:$T$243,0)),"")</f>
        <v/>
      </c>
      <c r="C88" s="1" t="str">
        <f aca="false">IFERROR(INDEX('Sprint Planning'!$H$2:$H$241,MATCH(SMALL(Roadmap!$T$2:$T$243,ROW()-20),Roadmap!$T$2:$T$243,0)),"")</f>
        <v/>
      </c>
      <c r="D88" s="1" t="str">
        <f aca="false">IF($B88="","",IF($C88=10,"●",""))</f>
        <v/>
      </c>
      <c r="E88" s="1" t="str">
        <f aca="false">IF($B88="","",IF($C88=11,"●",""))</f>
        <v/>
      </c>
      <c r="F88" s="1" t="str">
        <f aca="false">IF($B88="","",IF($C88=12,"●",""))</f>
        <v/>
      </c>
      <c r="G88" s="1" t="str">
        <f aca="false">IF($B88="","",IF($C88=13,"●",""))</f>
        <v/>
      </c>
      <c r="H88" s="1" t="str">
        <f aca="false">IF($B88="","",IF($C88=14,"●",""))</f>
        <v/>
      </c>
      <c r="I88" s="1" t="str">
        <f aca="false">IF($B88="","",IF($C88=15,"●",""))</f>
        <v/>
      </c>
      <c r="J88" s="1" t="str">
        <f aca="false">IF($B88="","",IF($C88=16,"●",""))</f>
        <v/>
      </c>
      <c r="T88" s="1" t="str">
        <f aca="false">IF(AND('Sprint Planning'!$H88&gt;=10,'Sprint Planning'!$H88&lt;=16),IFERROR(MATCH('Sprint Planning'!$C88,Roadmap!$A$4:$A$15,0),99)*100+'Sprint Planning'!$H88+88/100000,"")</f>
        <v/>
      </c>
    </row>
    <row r="89" customFormat="false" ht="15" hidden="false" customHeight="true" outlineLevel="0" collapsed="false">
      <c r="A89" s="1" t="str">
        <f aca="false">IFERROR(INDEX('Sprint Planning'!$C$2:$C$241,MATCH(SMALL(Roadmap!$T$2:$T$243,ROW()-20),Roadmap!$T$2:$T$243,0)),"")</f>
        <v/>
      </c>
      <c r="B89" s="1" t="str">
        <f aca="false">IFERROR(INDEX('Sprint Planning'!$B$2:$B$241,MATCH(SMALL(Roadmap!$T$2:$T$243,ROW()-20),Roadmap!$T$2:$T$243,0)),"")</f>
        <v/>
      </c>
      <c r="C89" s="1" t="str">
        <f aca="false">IFERROR(INDEX('Sprint Planning'!$H$2:$H$241,MATCH(SMALL(Roadmap!$T$2:$T$243,ROW()-20),Roadmap!$T$2:$T$243,0)),"")</f>
        <v/>
      </c>
      <c r="D89" s="1" t="str">
        <f aca="false">IF($B89="","",IF($C89=10,"●",""))</f>
        <v/>
      </c>
      <c r="E89" s="1" t="str">
        <f aca="false">IF($B89="","",IF($C89=11,"●",""))</f>
        <v/>
      </c>
      <c r="F89" s="1" t="str">
        <f aca="false">IF($B89="","",IF($C89=12,"●",""))</f>
        <v/>
      </c>
      <c r="G89" s="1" t="str">
        <f aca="false">IF($B89="","",IF($C89=13,"●",""))</f>
        <v/>
      </c>
      <c r="H89" s="1" t="str">
        <f aca="false">IF($B89="","",IF($C89=14,"●",""))</f>
        <v/>
      </c>
      <c r="I89" s="1" t="str">
        <f aca="false">IF($B89="","",IF($C89=15,"●",""))</f>
        <v/>
      </c>
      <c r="J89" s="1" t="str">
        <f aca="false">IF($B89="","",IF($C89=16,"●",""))</f>
        <v/>
      </c>
      <c r="T89" s="1" t="str">
        <f aca="false">IF(AND('Sprint Planning'!$H89&gt;=10,'Sprint Planning'!$H89&lt;=16),IFERROR(MATCH('Sprint Planning'!$C89,Roadmap!$A$4:$A$15,0),99)*100+'Sprint Planning'!$H89+89/100000,"")</f>
        <v/>
      </c>
    </row>
    <row r="90" customFormat="false" ht="15" hidden="false" customHeight="true" outlineLevel="0" collapsed="false">
      <c r="A90" s="1" t="str">
        <f aca="false">IFERROR(INDEX('Sprint Planning'!$C$2:$C$241,MATCH(SMALL(Roadmap!$T$2:$T$243,ROW()-20),Roadmap!$T$2:$T$243,0)),"")</f>
        <v/>
      </c>
      <c r="B90" s="1" t="str">
        <f aca="false">IFERROR(INDEX('Sprint Planning'!$B$2:$B$241,MATCH(SMALL(Roadmap!$T$2:$T$243,ROW()-20),Roadmap!$T$2:$T$243,0)),"")</f>
        <v/>
      </c>
      <c r="C90" s="1" t="str">
        <f aca="false">IFERROR(INDEX('Sprint Planning'!$H$2:$H$241,MATCH(SMALL(Roadmap!$T$2:$T$243,ROW()-20),Roadmap!$T$2:$T$243,0)),"")</f>
        <v/>
      </c>
      <c r="D90" s="1" t="str">
        <f aca="false">IF($B90="","",IF($C90=10,"●",""))</f>
        <v/>
      </c>
      <c r="E90" s="1" t="str">
        <f aca="false">IF($B90="","",IF($C90=11,"●",""))</f>
        <v/>
      </c>
      <c r="F90" s="1" t="str">
        <f aca="false">IF($B90="","",IF($C90=12,"●",""))</f>
        <v/>
      </c>
      <c r="G90" s="1" t="str">
        <f aca="false">IF($B90="","",IF($C90=13,"●",""))</f>
        <v/>
      </c>
      <c r="H90" s="1" t="str">
        <f aca="false">IF($B90="","",IF($C90=14,"●",""))</f>
        <v/>
      </c>
      <c r="I90" s="1" t="str">
        <f aca="false">IF($B90="","",IF($C90=15,"●",""))</f>
        <v/>
      </c>
      <c r="J90" s="1" t="str">
        <f aca="false">IF($B90="","",IF($C90=16,"●",""))</f>
        <v/>
      </c>
      <c r="T90" s="1" t="str">
        <f aca="false">IF(AND('Sprint Planning'!$H90&gt;=10,'Sprint Planning'!$H90&lt;=16),IFERROR(MATCH('Sprint Planning'!$C90,Roadmap!$A$4:$A$15,0),99)*100+'Sprint Planning'!$H90+90/100000,"")</f>
        <v/>
      </c>
    </row>
    <row r="91" customFormat="false" ht="15" hidden="false" customHeight="true" outlineLevel="0" collapsed="false">
      <c r="A91" s="1" t="str">
        <f aca="false">IFERROR(INDEX('Sprint Planning'!$C$2:$C$241,MATCH(SMALL(Roadmap!$T$2:$T$243,ROW()-20),Roadmap!$T$2:$T$243,0)),"")</f>
        <v/>
      </c>
      <c r="B91" s="1" t="str">
        <f aca="false">IFERROR(INDEX('Sprint Planning'!$B$2:$B$241,MATCH(SMALL(Roadmap!$T$2:$T$243,ROW()-20),Roadmap!$T$2:$T$243,0)),"")</f>
        <v/>
      </c>
      <c r="C91" s="1" t="str">
        <f aca="false">IFERROR(INDEX('Sprint Planning'!$H$2:$H$241,MATCH(SMALL(Roadmap!$T$2:$T$243,ROW()-20),Roadmap!$T$2:$T$243,0)),"")</f>
        <v/>
      </c>
      <c r="D91" s="1" t="str">
        <f aca="false">IF($B91="","",IF($C91=10,"●",""))</f>
        <v/>
      </c>
      <c r="E91" s="1" t="str">
        <f aca="false">IF($B91="","",IF($C91=11,"●",""))</f>
        <v/>
      </c>
      <c r="F91" s="1" t="str">
        <f aca="false">IF($B91="","",IF($C91=12,"●",""))</f>
        <v/>
      </c>
      <c r="G91" s="1" t="str">
        <f aca="false">IF($B91="","",IF($C91=13,"●",""))</f>
        <v/>
      </c>
      <c r="H91" s="1" t="str">
        <f aca="false">IF($B91="","",IF($C91=14,"●",""))</f>
        <v/>
      </c>
      <c r="I91" s="1" t="str">
        <f aca="false">IF($B91="","",IF($C91=15,"●",""))</f>
        <v/>
      </c>
      <c r="J91" s="1" t="str">
        <f aca="false">IF($B91="","",IF($C91=16,"●",""))</f>
        <v/>
      </c>
      <c r="T91" s="1" t="str">
        <f aca="false">IF(AND('Sprint Planning'!$H91&gt;=10,'Sprint Planning'!$H91&lt;=16),IFERROR(MATCH('Sprint Planning'!$C91,Roadmap!$A$4:$A$15,0),99)*100+'Sprint Planning'!$H91+91/100000,"")</f>
        <v/>
      </c>
    </row>
    <row r="92" customFormat="false" ht="15" hidden="false" customHeight="true" outlineLevel="0" collapsed="false">
      <c r="A92" s="1" t="str">
        <f aca="false">IFERROR(INDEX('Sprint Planning'!$C$2:$C$241,MATCH(SMALL(Roadmap!$T$2:$T$243,ROW()-20),Roadmap!$T$2:$T$243,0)),"")</f>
        <v/>
      </c>
      <c r="B92" s="1" t="str">
        <f aca="false">IFERROR(INDEX('Sprint Planning'!$B$2:$B$241,MATCH(SMALL(Roadmap!$T$2:$T$243,ROW()-20),Roadmap!$T$2:$T$243,0)),"")</f>
        <v/>
      </c>
      <c r="C92" s="1" t="str">
        <f aca="false">IFERROR(INDEX('Sprint Planning'!$H$2:$H$241,MATCH(SMALL(Roadmap!$T$2:$T$243,ROW()-20),Roadmap!$T$2:$T$243,0)),"")</f>
        <v/>
      </c>
      <c r="D92" s="1" t="str">
        <f aca="false">IF($B92="","",IF($C92=10,"●",""))</f>
        <v/>
      </c>
      <c r="E92" s="1" t="str">
        <f aca="false">IF($B92="","",IF($C92=11,"●",""))</f>
        <v/>
      </c>
      <c r="F92" s="1" t="str">
        <f aca="false">IF($B92="","",IF($C92=12,"●",""))</f>
        <v/>
      </c>
      <c r="G92" s="1" t="str">
        <f aca="false">IF($B92="","",IF($C92=13,"●",""))</f>
        <v/>
      </c>
      <c r="H92" s="1" t="str">
        <f aca="false">IF($B92="","",IF($C92=14,"●",""))</f>
        <v/>
      </c>
      <c r="I92" s="1" t="str">
        <f aca="false">IF($B92="","",IF($C92=15,"●",""))</f>
        <v/>
      </c>
      <c r="J92" s="1" t="str">
        <f aca="false">IF($B92="","",IF($C92=16,"●",""))</f>
        <v/>
      </c>
      <c r="T92" s="1" t="str">
        <f aca="false">IF(AND('Sprint Planning'!$H92&gt;=10,'Sprint Planning'!$H92&lt;=16),IFERROR(MATCH('Sprint Planning'!$C92,Roadmap!$A$4:$A$15,0),99)*100+'Sprint Planning'!$H92+92/100000,"")</f>
        <v/>
      </c>
    </row>
    <row r="93" customFormat="false" ht="15" hidden="false" customHeight="true" outlineLevel="0" collapsed="false">
      <c r="A93" s="1" t="str">
        <f aca="false">IFERROR(INDEX('Sprint Planning'!$C$2:$C$241,MATCH(SMALL(Roadmap!$T$2:$T$243,ROW()-20),Roadmap!$T$2:$T$243,0)),"")</f>
        <v/>
      </c>
      <c r="B93" s="1" t="str">
        <f aca="false">IFERROR(INDEX('Sprint Planning'!$B$2:$B$241,MATCH(SMALL(Roadmap!$T$2:$T$243,ROW()-20),Roadmap!$T$2:$T$243,0)),"")</f>
        <v/>
      </c>
      <c r="C93" s="1" t="str">
        <f aca="false">IFERROR(INDEX('Sprint Planning'!$H$2:$H$241,MATCH(SMALL(Roadmap!$T$2:$T$243,ROW()-20),Roadmap!$T$2:$T$243,0)),"")</f>
        <v/>
      </c>
      <c r="D93" s="1" t="str">
        <f aca="false">IF($B93="","",IF($C93=10,"●",""))</f>
        <v/>
      </c>
      <c r="E93" s="1" t="str">
        <f aca="false">IF($B93="","",IF($C93=11,"●",""))</f>
        <v/>
      </c>
      <c r="F93" s="1" t="str">
        <f aca="false">IF($B93="","",IF($C93=12,"●",""))</f>
        <v/>
      </c>
      <c r="G93" s="1" t="str">
        <f aca="false">IF($B93="","",IF($C93=13,"●",""))</f>
        <v/>
      </c>
      <c r="H93" s="1" t="str">
        <f aca="false">IF($B93="","",IF($C93=14,"●",""))</f>
        <v/>
      </c>
      <c r="I93" s="1" t="str">
        <f aca="false">IF($B93="","",IF($C93=15,"●",""))</f>
        <v/>
      </c>
      <c r="J93" s="1" t="str">
        <f aca="false">IF($B93="","",IF($C93=16,"●",""))</f>
        <v/>
      </c>
      <c r="T93" s="1" t="str">
        <f aca="false">IF(AND('Sprint Planning'!$H93&gt;=10,'Sprint Planning'!$H93&lt;=16),IFERROR(MATCH('Sprint Planning'!$C93,Roadmap!$A$4:$A$15,0),99)*100+'Sprint Planning'!$H93+93/100000,"")</f>
        <v/>
      </c>
    </row>
    <row r="94" customFormat="false" ht="15" hidden="false" customHeight="true" outlineLevel="0" collapsed="false">
      <c r="A94" s="1" t="str">
        <f aca="false">IFERROR(INDEX('Sprint Planning'!$C$2:$C$241,MATCH(SMALL(Roadmap!$T$2:$T$243,ROW()-20),Roadmap!$T$2:$T$243,0)),"")</f>
        <v/>
      </c>
      <c r="B94" s="1" t="str">
        <f aca="false">IFERROR(INDEX('Sprint Planning'!$B$2:$B$241,MATCH(SMALL(Roadmap!$T$2:$T$243,ROW()-20),Roadmap!$T$2:$T$243,0)),"")</f>
        <v/>
      </c>
      <c r="C94" s="1" t="str">
        <f aca="false">IFERROR(INDEX('Sprint Planning'!$H$2:$H$241,MATCH(SMALL(Roadmap!$T$2:$T$243,ROW()-20),Roadmap!$T$2:$T$243,0)),"")</f>
        <v/>
      </c>
      <c r="D94" s="1" t="str">
        <f aca="false">IF($B94="","",IF($C94=10,"●",""))</f>
        <v/>
      </c>
      <c r="E94" s="1" t="str">
        <f aca="false">IF($B94="","",IF($C94=11,"●",""))</f>
        <v/>
      </c>
      <c r="F94" s="1" t="str">
        <f aca="false">IF($B94="","",IF($C94=12,"●",""))</f>
        <v/>
      </c>
      <c r="G94" s="1" t="str">
        <f aca="false">IF($B94="","",IF($C94=13,"●",""))</f>
        <v/>
      </c>
      <c r="H94" s="1" t="str">
        <f aca="false">IF($B94="","",IF($C94=14,"●",""))</f>
        <v/>
      </c>
      <c r="I94" s="1" t="str">
        <f aca="false">IF($B94="","",IF($C94=15,"●",""))</f>
        <v/>
      </c>
      <c r="J94" s="1" t="str">
        <f aca="false">IF($B94="","",IF($C94=16,"●",""))</f>
        <v/>
      </c>
      <c r="T94" s="1" t="n">
        <f aca="false">IF(AND('Sprint Planning'!$H94&gt;=10,'Sprint Planning'!$H94&lt;=16),IFERROR(MATCH('Sprint Planning'!$C94,Roadmap!$A$4:$A$15,0),99)*100+'Sprint Planning'!$H94+94/100000,"")</f>
        <v>311.00094</v>
      </c>
    </row>
    <row r="95" customFormat="false" ht="15" hidden="false" customHeight="true" outlineLevel="0" collapsed="false">
      <c r="A95" s="1" t="str">
        <f aca="false">IFERROR(INDEX('Sprint Planning'!$C$2:$C$241,MATCH(SMALL(Roadmap!$T$2:$T$243,ROW()-20),Roadmap!$T$2:$T$243,0)),"")</f>
        <v/>
      </c>
      <c r="B95" s="1" t="str">
        <f aca="false">IFERROR(INDEX('Sprint Planning'!$B$2:$B$241,MATCH(SMALL(Roadmap!$T$2:$T$243,ROW()-20),Roadmap!$T$2:$T$243,0)),"")</f>
        <v/>
      </c>
      <c r="C95" s="1" t="str">
        <f aca="false">IFERROR(INDEX('Sprint Planning'!$H$2:$H$241,MATCH(SMALL(Roadmap!$T$2:$T$243,ROW()-20),Roadmap!$T$2:$T$243,0)),"")</f>
        <v/>
      </c>
      <c r="D95" s="1" t="str">
        <f aca="false">IF($B95="","",IF($C95=10,"●",""))</f>
        <v/>
      </c>
      <c r="E95" s="1" t="str">
        <f aca="false">IF($B95="","",IF($C95=11,"●",""))</f>
        <v/>
      </c>
      <c r="F95" s="1" t="str">
        <f aca="false">IF($B95="","",IF($C95=12,"●",""))</f>
        <v/>
      </c>
      <c r="G95" s="1" t="str">
        <f aca="false">IF($B95="","",IF($C95=13,"●",""))</f>
        <v/>
      </c>
      <c r="H95" s="1" t="str">
        <f aca="false">IF($B95="","",IF($C95=14,"●",""))</f>
        <v/>
      </c>
      <c r="I95" s="1" t="str">
        <f aca="false">IF($B95="","",IF($C95=15,"●",""))</f>
        <v/>
      </c>
      <c r="J95" s="1" t="str">
        <f aca="false">IF($B95="","",IF($C95=16,"●",""))</f>
        <v/>
      </c>
      <c r="T95" s="1" t="n">
        <f aca="false">IF(AND('Sprint Planning'!$H95&gt;=10,'Sprint Planning'!$H95&lt;=16),IFERROR(MATCH('Sprint Planning'!$C95,Roadmap!$A$4:$A$15,0),99)*100+'Sprint Planning'!$H95+95/100000,"")</f>
        <v>311.00095</v>
      </c>
    </row>
    <row r="96" customFormat="false" ht="15" hidden="false" customHeight="true" outlineLevel="0" collapsed="false">
      <c r="A96" s="1" t="str">
        <f aca="false">IFERROR(INDEX('Sprint Planning'!$C$2:$C$241,MATCH(SMALL(Roadmap!$T$2:$T$243,ROW()-20),Roadmap!$T$2:$T$243,0)),"")</f>
        <v/>
      </c>
      <c r="B96" s="1" t="str">
        <f aca="false">IFERROR(INDEX('Sprint Planning'!$B$2:$B$241,MATCH(SMALL(Roadmap!$T$2:$T$243,ROW()-20),Roadmap!$T$2:$T$243,0)),"")</f>
        <v/>
      </c>
      <c r="C96" s="1" t="str">
        <f aca="false">IFERROR(INDEX('Sprint Planning'!$H$2:$H$241,MATCH(SMALL(Roadmap!$T$2:$T$243,ROW()-20),Roadmap!$T$2:$T$243,0)),"")</f>
        <v/>
      </c>
      <c r="D96" s="1" t="str">
        <f aca="false">IF($B96="","",IF($C96=10,"●",""))</f>
        <v/>
      </c>
      <c r="E96" s="1" t="str">
        <f aca="false">IF($B96="","",IF($C96=11,"●",""))</f>
        <v/>
      </c>
      <c r="F96" s="1" t="str">
        <f aca="false">IF($B96="","",IF($C96=12,"●",""))</f>
        <v/>
      </c>
      <c r="G96" s="1" t="str">
        <f aca="false">IF($B96="","",IF($C96=13,"●",""))</f>
        <v/>
      </c>
      <c r="H96" s="1" t="str">
        <f aca="false">IF($B96="","",IF($C96=14,"●",""))</f>
        <v/>
      </c>
      <c r="I96" s="1" t="str">
        <f aca="false">IF($B96="","",IF($C96=15,"●",""))</f>
        <v/>
      </c>
      <c r="J96" s="1" t="str">
        <f aca="false">IF($B96="","",IF($C96=16,"●",""))</f>
        <v/>
      </c>
      <c r="T96" s="1" t="str">
        <f aca="false">IF(AND('Sprint Planning'!$H96&gt;=10,'Sprint Planning'!$H96&lt;=16),IFERROR(MATCH('Sprint Planning'!$C96,Roadmap!$A$4:$A$15,0),99)*100+'Sprint Planning'!$H96+96/100000,"")</f>
        <v/>
      </c>
    </row>
    <row r="97" customFormat="false" ht="15" hidden="false" customHeight="true" outlineLevel="0" collapsed="false">
      <c r="A97" s="1" t="str">
        <f aca="false">IFERROR(INDEX('Sprint Planning'!$C$2:$C$241,MATCH(SMALL(Roadmap!$T$2:$T$243,ROW()-20),Roadmap!$T$2:$T$243,0)),"")</f>
        <v/>
      </c>
      <c r="B97" s="1" t="str">
        <f aca="false">IFERROR(INDEX('Sprint Planning'!$B$2:$B$241,MATCH(SMALL(Roadmap!$T$2:$T$243,ROW()-20),Roadmap!$T$2:$T$243,0)),"")</f>
        <v/>
      </c>
      <c r="C97" s="1" t="str">
        <f aca="false">IFERROR(INDEX('Sprint Planning'!$H$2:$H$241,MATCH(SMALL(Roadmap!$T$2:$T$243,ROW()-20),Roadmap!$T$2:$T$243,0)),"")</f>
        <v/>
      </c>
      <c r="D97" s="1" t="str">
        <f aca="false">IF($B97="","",IF($C97=10,"●",""))</f>
        <v/>
      </c>
      <c r="E97" s="1" t="str">
        <f aca="false">IF($B97="","",IF($C97=11,"●",""))</f>
        <v/>
      </c>
      <c r="F97" s="1" t="str">
        <f aca="false">IF($B97="","",IF($C97=12,"●",""))</f>
        <v/>
      </c>
      <c r="G97" s="1" t="str">
        <f aca="false">IF($B97="","",IF($C97=13,"●",""))</f>
        <v/>
      </c>
      <c r="H97" s="1" t="str">
        <f aca="false">IF($B97="","",IF($C97=14,"●",""))</f>
        <v/>
      </c>
      <c r="I97" s="1" t="str">
        <f aca="false">IF($B97="","",IF($C97=15,"●",""))</f>
        <v/>
      </c>
      <c r="J97" s="1" t="str">
        <f aca="false">IF($B97="","",IF($C97=16,"●",""))</f>
        <v/>
      </c>
      <c r="T97" s="1" t="n">
        <f aca="false">IF(AND('Sprint Planning'!$H97&gt;=10,'Sprint Planning'!$H97&lt;=16),IFERROR(MATCH('Sprint Planning'!$C97,Roadmap!$A$4:$A$15,0),99)*100+'Sprint Planning'!$H97+97/100000,"")</f>
        <v>111.00097</v>
      </c>
    </row>
    <row r="98" customFormat="false" ht="15" hidden="false" customHeight="true" outlineLevel="0" collapsed="false">
      <c r="A98" s="1" t="str">
        <f aca="false">IFERROR(INDEX('Sprint Planning'!$C$2:$C$241,MATCH(SMALL(Roadmap!$T$2:$T$243,ROW()-20),Roadmap!$T$2:$T$243,0)),"")</f>
        <v/>
      </c>
      <c r="B98" s="1" t="str">
        <f aca="false">IFERROR(INDEX('Sprint Planning'!$B$2:$B$241,MATCH(SMALL(Roadmap!$T$2:$T$243,ROW()-20),Roadmap!$T$2:$T$243,0)),"")</f>
        <v/>
      </c>
      <c r="C98" s="1" t="str">
        <f aca="false">IFERROR(INDEX('Sprint Planning'!$H$2:$H$241,MATCH(SMALL(Roadmap!$T$2:$T$243,ROW()-20),Roadmap!$T$2:$T$243,0)),"")</f>
        <v/>
      </c>
      <c r="D98" s="1" t="str">
        <f aca="false">IF($B98="","",IF($C98=10,"●",""))</f>
        <v/>
      </c>
      <c r="E98" s="1" t="str">
        <f aca="false">IF($B98="","",IF($C98=11,"●",""))</f>
        <v/>
      </c>
      <c r="F98" s="1" t="str">
        <f aca="false">IF($B98="","",IF($C98=12,"●",""))</f>
        <v/>
      </c>
      <c r="G98" s="1" t="str">
        <f aca="false">IF($B98="","",IF($C98=13,"●",""))</f>
        <v/>
      </c>
      <c r="H98" s="1" t="str">
        <f aca="false">IF($B98="","",IF($C98=14,"●",""))</f>
        <v/>
      </c>
      <c r="I98" s="1" t="str">
        <f aca="false">IF($B98="","",IF($C98=15,"●",""))</f>
        <v/>
      </c>
      <c r="J98" s="1" t="str">
        <f aca="false">IF($B98="","",IF($C98=16,"●",""))</f>
        <v/>
      </c>
      <c r="T98" s="1" t="e">
        <f aca="false">IF(AND('sprint planning'!#ref!&gt;=10,'sprint planning'!#ref!&lt;=16),IFERROR(MATCH('sprint planning'!#ref!,Roadmap!$A$4:$A$15,0),99)*100+'sprint planning'!#ref!+98/100000,"")</f>
        <v>#VALUE!</v>
      </c>
    </row>
    <row r="99" customFormat="false" ht="15" hidden="false" customHeight="true" outlineLevel="0" collapsed="false">
      <c r="A99" s="1" t="str">
        <f aca="false">IFERROR(INDEX('Sprint Planning'!$C$2:$C$241,MATCH(SMALL(Roadmap!$T$2:$T$243,ROW()-20),Roadmap!$T$2:$T$243,0)),"")</f>
        <v/>
      </c>
      <c r="B99" s="1" t="str">
        <f aca="false">IFERROR(INDEX('Sprint Planning'!$B$2:$B$241,MATCH(SMALL(Roadmap!$T$2:$T$243,ROW()-20),Roadmap!$T$2:$T$243,0)),"")</f>
        <v/>
      </c>
      <c r="C99" s="1" t="str">
        <f aca="false">IFERROR(INDEX('Sprint Planning'!$H$2:$H$241,MATCH(SMALL(Roadmap!$T$2:$T$243,ROW()-20),Roadmap!$T$2:$T$243,0)),"")</f>
        <v/>
      </c>
      <c r="D99" s="1" t="str">
        <f aca="false">IF($B99="","",IF($C99=10,"●",""))</f>
        <v/>
      </c>
      <c r="E99" s="1" t="str">
        <f aca="false">IF($B99="","",IF($C99=11,"●",""))</f>
        <v/>
      </c>
      <c r="F99" s="1" t="str">
        <f aca="false">IF($B99="","",IF($C99=12,"●",""))</f>
        <v/>
      </c>
      <c r="G99" s="1" t="str">
        <f aca="false">IF($B99="","",IF($C99=13,"●",""))</f>
        <v/>
      </c>
      <c r="H99" s="1" t="str">
        <f aca="false">IF($B99="","",IF($C99=14,"●",""))</f>
        <v/>
      </c>
      <c r="I99" s="1" t="str">
        <f aca="false">IF($B99="","",IF($C99=15,"●",""))</f>
        <v/>
      </c>
      <c r="J99" s="1" t="str">
        <f aca="false">IF($B99="","",IF($C99=16,"●",""))</f>
        <v/>
      </c>
      <c r="T99" s="1" t="e">
        <f aca="false">IF(AND('sprint planning'!#ref!&gt;=10,'sprint planning'!#ref!&lt;=16),IFERROR(MATCH('sprint planning'!#ref!,Roadmap!$A$4:$A$15,0),99)*100+'sprint planning'!#ref!+99/100000,"")</f>
        <v>#VALUE!</v>
      </c>
    </row>
    <row r="100" customFormat="false" ht="15" hidden="false" customHeight="true" outlineLevel="0" collapsed="false">
      <c r="A100" s="1" t="str">
        <f aca="false">IFERROR(INDEX('Sprint Planning'!$C$2:$C$241,MATCH(SMALL(Roadmap!$T$2:$T$243,ROW()-20),Roadmap!$T$2:$T$243,0)),"")</f>
        <v/>
      </c>
      <c r="B100" s="1" t="str">
        <f aca="false">IFERROR(INDEX('Sprint Planning'!$B$2:$B$241,MATCH(SMALL(Roadmap!$T$2:$T$243,ROW()-20),Roadmap!$T$2:$T$243,0)),"")</f>
        <v/>
      </c>
      <c r="C100" s="1" t="str">
        <f aca="false">IFERROR(INDEX('Sprint Planning'!$H$2:$H$241,MATCH(SMALL(Roadmap!$T$2:$T$243,ROW()-20),Roadmap!$T$2:$T$243,0)),"")</f>
        <v/>
      </c>
      <c r="D100" s="1" t="str">
        <f aca="false">IF($B100="","",IF($C100=10,"●",""))</f>
        <v/>
      </c>
      <c r="E100" s="1" t="str">
        <f aca="false">IF($B100="","",IF($C100=11,"●",""))</f>
        <v/>
      </c>
      <c r="F100" s="1" t="str">
        <f aca="false">IF($B100="","",IF($C100=12,"●",""))</f>
        <v/>
      </c>
      <c r="G100" s="1" t="str">
        <f aca="false">IF($B100="","",IF($C100=13,"●",""))</f>
        <v/>
      </c>
      <c r="H100" s="1" t="str">
        <f aca="false">IF($B100="","",IF($C100=14,"●",""))</f>
        <v/>
      </c>
      <c r="I100" s="1" t="str">
        <f aca="false">IF($B100="","",IF($C100=15,"●",""))</f>
        <v/>
      </c>
      <c r="J100" s="1" t="str">
        <f aca="false">IF($B100="","",IF($C100=16,"●",""))</f>
        <v/>
      </c>
      <c r="T100" s="1" t="n">
        <f aca="false">IF(AND('Sprint Planning'!$H98&gt;=10,'Sprint Planning'!$H98&lt;=16),IFERROR(MATCH('Sprint Planning'!$C98,Roadmap!$A$4:$A$15,0),99)*100+'Sprint Planning'!$H98+100/100000,"")</f>
        <v>111.001</v>
      </c>
    </row>
    <row r="101" customFormat="false" ht="15" hidden="false" customHeight="true" outlineLevel="0" collapsed="false">
      <c r="T101" s="1" t="n">
        <f aca="false">IF(AND('Sprint Planning'!$H99&gt;=10,'Sprint Planning'!$H99&lt;=16),IFERROR(MATCH('Sprint Planning'!$C99,Roadmap!$A$4:$A$15,0),99)*100+'Sprint Planning'!$H99+101/100000,"")</f>
        <v>511.00101</v>
      </c>
    </row>
    <row r="102" customFormat="false" ht="15" hidden="false" customHeight="true" outlineLevel="0" collapsed="false">
      <c r="T102" s="1" t="n">
        <f aca="false">IF(AND('Sprint Planning'!$H100&gt;=10,'Sprint Planning'!$H100&lt;=16),IFERROR(MATCH('Sprint Planning'!$C100,Roadmap!$A$4:$A$15,0),99)*100+'Sprint Planning'!$H100+102/100000,"")</f>
        <v>111.00102</v>
      </c>
    </row>
    <row r="103" customFormat="false" ht="15" hidden="false" customHeight="true" outlineLevel="0" collapsed="false">
      <c r="T103" s="1" t="str">
        <f aca="false">IF(AND('Sprint Planning'!$H101&gt;=10,'Sprint Planning'!$H101&lt;=16),IFERROR(MATCH('Sprint Planning'!$C101,Roadmap!$A$4:$A$15,0),99)*100+'Sprint Planning'!$H101+103/100000,"")</f>
        <v/>
      </c>
    </row>
    <row r="104" customFormat="false" ht="15" hidden="false" customHeight="true" outlineLevel="0" collapsed="false">
      <c r="T104" s="1" t="str">
        <f aca="false">IF(AND('Sprint Planning'!$H102&gt;=10,'Sprint Planning'!$H102&lt;=16),IFERROR(MATCH('Sprint Planning'!$C102,Roadmap!$A$4:$A$15,0),99)*100+'Sprint Planning'!$H102+104/100000,"")</f>
        <v/>
      </c>
    </row>
    <row r="105" customFormat="false" ht="15" hidden="false" customHeight="true" outlineLevel="0" collapsed="false">
      <c r="T105" s="1" t="str">
        <f aca="false">IF(AND('Sprint Planning'!$H103&gt;=10,'Sprint Planning'!$H103&lt;=16),IFERROR(MATCH('Sprint Planning'!$C103,Roadmap!$A$4:$A$15,0),99)*100+'Sprint Planning'!$H103+105/100000,"")</f>
        <v/>
      </c>
    </row>
    <row r="106" customFormat="false" ht="15" hidden="false" customHeight="true" outlineLevel="0" collapsed="false">
      <c r="T106" s="1" t="str">
        <f aca="false">IF(AND('Sprint Planning'!$H104&gt;=10,'Sprint Planning'!$H104&lt;=16),IFERROR(MATCH('Sprint Planning'!$C104,Roadmap!$A$4:$A$15,0),99)*100+'Sprint Planning'!$H104+106/100000,"")</f>
        <v/>
      </c>
    </row>
    <row r="107" customFormat="false" ht="15" hidden="false" customHeight="true" outlineLevel="0" collapsed="false">
      <c r="T107" s="1" t="str">
        <f aca="false">IF(AND('Sprint Planning'!$H105&gt;=10,'Sprint Planning'!$H105&lt;=16),IFERROR(MATCH('Sprint Planning'!$C105,Roadmap!$A$4:$A$15,0),99)*100+'Sprint Planning'!$H105+107/100000,"")</f>
        <v/>
      </c>
    </row>
    <row r="108" customFormat="false" ht="15" hidden="false" customHeight="true" outlineLevel="0" collapsed="false">
      <c r="T108" s="1" t="str">
        <f aca="false">IF(AND('Sprint Planning'!$H106&gt;=10,'Sprint Planning'!$H106&lt;=16),IFERROR(MATCH('Sprint Planning'!$C106,Roadmap!$A$4:$A$15,0),99)*100+'Sprint Planning'!$H106+108/100000,"")</f>
        <v/>
      </c>
    </row>
    <row r="109" customFormat="false" ht="15" hidden="false" customHeight="true" outlineLevel="0" collapsed="false">
      <c r="T109" s="1" t="n">
        <f aca="false">IF(AND('Sprint Planning'!$H107&gt;=10,'Sprint Planning'!$H107&lt;=16),IFERROR(MATCH('Sprint Planning'!$C107,Roadmap!$A$4:$A$15,0),99)*100+'Sprint Planning'!$H107+109/100000,"")</f>
        <v>9912.00109</v>
      </c>
    </row>
    <row r="110" customFormat="false" ht="15" hidden="false" customHeight="true" outlineLevel="0" collapsed="false">
      <c r="T110" s="1" t="n">
        <f aca="false">IF(AND('Sprint Planning'!$H108&gt;=10,'Sprint Planning'!$H108&lt;=16),IFERROR(MATCH('Sprint Planning'!$C108,Roadmap!$A$4:$A$15,0),99)*100+'Sprint Planning'!$H108+110/100000,"")</f>
        <v>9911.0011</v>
      </c>
    </row>
    <row r="111" customFormat="false" ht="15" hidden="false" customHeight="true" outlineLevel="0" collapsed="false">
      <c r="T111" s="1" t="str">
        <f aca="false">IF(AND('Sprint Planning'!$H109&gt;=10,'Sprint Planning'!$H109&lt;=16),IFERROR(MATCH('Sprint Planning'!$C109,Roadmap!$A$4:$A$15,0),99)*100+'Sprint Planning'!$H109+111/100000,"")</f>
        <v/>
      </c>
    </row>
    <row r="112" customFormat="false" ht="15" hidden="false" customHeight="true" outlineLevel="0" collapsed="false">
      <c r="T112" s="1" t="str">
        <f aca="false">IF(AND('Sprint Planning'!$H110&gt;=10,'Sprint Planning'!$H110&lt;=16),IFERROR(MATCH('Sprint Planning'!$C110,Roadmap!$A$4:$A$15,0),99)*100+'Sprint Planning'!$H110+112/100000,"")</f>
        <v/>
      </c>
    </row>
    <row r="113" customFormat="false" ht="15" hidden="false" customHeight="true" outlineLevel="0" collapsed="false">
      <c r="T113" s="1" t="str">
        <f aca="false">IF(AND('Sprint Planning'!$H111&gt;=10,'Sprint Planning'!$H111&lt;=16),IFERROR(MATCH('Sprint Planning'!$C111,Roadmap!$A$4:$A$15,0),99)*100+'Sprint Planning'!$H111+113/100000,"")</f>
        <v/>
      </c>
    </row>
    <row r="114" customFormat="false" ht="15" hidden="false" customHeight="true" outlineLevel="0" collapsed="false">
      <c r="T114" s="1" t="str">
        <f aca="false">IF(AND('Sprint Planning'!$H112&gt;=10,'Sprint Planning'!$H112&lt;=16),IFERROR(MATCH('Sprint Planning'!$C112,Roadmap!$A$4:$A$15,0),99)*100+'Sprint Planning'!$H112+114/100000,"")</f>
        <v/>
      </c>
    </row>
    <row r="115" customFormat="false" ht="15" hidden="false" customHeight="true" outlineLevel="0" collapsed="false">
      <c r="T115" s="1" t="str">
        <f aca="false">IF(AND('Sprint Planning'!$H113&gt;=10,'Sprint Planning'!$H113&lt;=16),IFERROR(MATCH('Sprint Planning'!$C113,Roadmap!$A$4:$A$15,0),99)*100+'Sprint Planning'!$H113+115/100000,"")</f>
        <v/>
      </c>
    </row>
    <row r="116" customFormat="false" ht="15" hidden="false" customHeight="true" outlineLevel="0" collapsed="false">
      <c r="T116" s="1" t="str">
        <f aca="false">IF(AND('Sprint Planning'!$H114&gt;=10,'Sprint Planning'!$H114&lt;=16),IFERROR(MATCH('Sprint Planning'!$C114,Roadmap!$A$4:$A$15,0),99)*100+'Sprint Planning'!$H114+116/100000,"")</f>
        <v/>
      </c>
    </row>
    <row r="117" customFormat="false" ht="15" hidden="false" customHeight="true" outlineLevel="0" collapsed="false">
      <c r="T117" s="1" t="str">
        <f aca="false">IF(AND('Sprint Planning'!$H115&gt;=10,'Sprint Planning'!$H115&lt;=16),IFERROR(MATCH('Sprint Planning'!$C115,Roadmap!$A$4:$A$15,0),99)*100+'Sprint Planning'!$H115+117/100000,"")</f>
        <v/>
      </c>
    </row>
    <row r="118" customFormat="false" ht="15" hidden="false" customHeight="true" outlineLevel="0" collapsed="false">
      <c r="T118" s="1" t="str">
        <f aca="false">IF(AND('Sprint Planning'!$H116&gt;=10,'Sprint Planning'!$H116&lt;=16),IFERROR(MATCH('Sprint Planning'!$C116,Roadmap!$A$4:$A$15,0),99)*100+'Sprint Planning'!$H116+118/100000,"")</f>
        <v/>
      </c>
    </row>
    <row r="119" customFormat="false" ht="15" hidden="false" customHeight="true" outlineLevel="0" collapsed="false">
      <c r="T119" s="1" t="str">
        <f aca="false">IF(AND('Sprint Planning'!$H117&gt;=10,'Sprint Planning'!$H117&lt;=16),IFERROR(MATCH('Sprint Planning'!$C117,Roadmap!$A$4:$A$15,0),99)*100+'Sprint Planning'!$H117+119/100000,"")</f>
        <v/>
      </c>
    </row>
    <row r="120" customFormat="false" ht="15" hidden="false" customHeight="true" outlineLevel="0" collapsed="false">
      <c r="T120" s="1" t="str">
        <f aca="false">IF(AND('Sprint Planning'!$H118&gt;=10,'Sprint Planning'!$H118&lt;=16),IFERROR(MATCH('Sprint Planning'!$C118,Roadmap!$A$4:$A$15,0),99)*100+'Sprint Planning'!$H118+120/100000,"")</f>
        <v/>
      </c>
    </row>
    <row r="121" customFormat="false" ht="15" hidden="false" customHeight="true" outlineLevel="0" collapsed="false">
      <c r="T121" s="1" t="str">
        <f aca="false">IF(AND('Sprint Planning'!$H119&gt;=10,'Sprint Planning'!$H119&lt;=16),IFERROR(MATCH('Sprint Planning'!$C119,Roadmap!$A$4:$A$15,0),99)*100+'Sprint Planning'!$H119+121/100000,"")</f>
        <v/>
      </c>
    </row>
    <row r="122" customFormat="false" ht="15" hidden="false" customHeight="true" outlineLevel="0" collapsed="false">
      <c r="T122" s="1" t="str">
        <f aca="false">IF(AND('Sprint Planning'!$H120&gt;=10,'Sprint Planning'!$H120&lt;=16),IFERROR(MATCH('Sprint Planning'!$C120,Roadmap!$A$4:$A$15,0),99)*100+'Sprint Planning'!$H120+122/100000,"")</f>
        <v/>
      </c>
    </row>
    <row r="123" customFormat="false" ht="15" hidden="false" customHeight="true" outlineLevel="0" collapsed="false">
      <c r="T123" s="1" t="str">
        <f aca="false">IF(AND('Sprint Planning'!$H121&gt;=10,'Sprint Planning'!$H121&lt;=16),IFERROR(MATCH('Sprint Planning'!$C121,Roadmap!$A$4:$A$15,0),99)*100+'Sprint Planning'!$H121+123/100000,"")</f>
        <v/>
      </c>
    </row>
    <row r="124" customFormat="false" ht="15" hidden="false" customHeight="true" outlineLevel="0" collapsed="false">
      <c r="T124" s="1" t="str">
        <f aca="false">IF(AND('Sprint Planning'!$H122&gt;=10,'Sprint Planning'!$H122&lt;=16),IFERROR(MATCH('Sprint Planning'!$C122,Roadmap!$A$4:$A$15,0),99)*100+'Sprint Planning'!$H122+124/100000,"")</f>
        <v/>
      </c>
    </row>
    <row r="125" customFormat="false" ht="15" hidden="false" customHeight="true" outlineLevel="0" collapsed="false">
      <c r="T125" s="1" t="str">
        <f aca="false">IF(AND('Sprint Planning'!$H123&gt;=10,'Sprint Planning'!$H123&lt;=16),IFERROR(MATCH('Sprint Planning'!$C123,Roadmap!$A$4:$A$15,0),99)*100+'Sprint Planning'!$H123+125/100000,"")</f>
        <v/>
      </c>
    </row>
    <row r="126" customFormat="false" ht="15" hidden="false" customHeight="true" outlineLevel="0" collapsed="false">
      <c r="T126" s="1" t="str">
        <f aca="false">IF(AND('Sprint Planning'!$H124&gt;=10,'Sprint Planning'!$H124&lt;=16),IFERROR(MATCH('Sprint Planning'!$C124,Roadmap!$A$4:$A$15,0),99)*100+'Sprint Planning'!$H124+126/100000,"")</f>
        <v/>
      </c>
    </row>
    <row r="127" customFormat="false" ht="15" hidden="false" customHeight="true" outlineLevel="0" collapsed="false">
      <c r="T127" s="1" t="str">
        <f aca="false">IF(AND('Sprint Planning'!$H125&gt;=10,'Sprint Planning'!$H125&lt;=16),IFERROR(MATCH('Sprint Planning'!$C125,Roadmap!$A$4:$A$15,0),99)*100+'Sprint Planning'!$H125+127/100000,"")</f>
        <v/>
      </c>
    </row>
    <row r="128" customFormat="false" ht="15" hidden="false" customHeight="true" outlineLevel="0" collapsed="false">
      <c r="T128" s="1" t="str">
        <f aca="false">IF(AND('Sprint Planning'!$H126&gt;=10,'Sprint Planning'!$H126&lt;=16),IFERROR(MATCH('Sprint Planning'!$C126,Roadmap!$A$4:$A$15,0),99)*100+'Sprint Planning'!$H126+128/100000,"")</f>
        <v/>
      </c>
    </row>
    <row r="129" customFormat="false" ht="15" hidden="false" customHeight="true" outlineLevel="0" collapsed="false">
      <c r="T129" s="1" t="str">
        <f aca="false">IF(AND('Sprint Planning'!$H127&gt;=10,'Sprint Planning'!$H127&lt;=16),IFERROR(MATCH('Sprint Planning'!$C127,Roadmap!$A$4:$A$15,0),99)*100+'Sprint Planning'!$H127+129/100000,"")</f>
        <v/>
      </c>
    </row>
    <row r="130" customFormat="false" ht="15" hidden="false" customHeight="true" outlineLevel="0" collapsed="false">
      <c r="T130" s="1" t="str">
        <f aca="false">IF(AND('Sprint Planning'!$H128&gt;=10,'Sprint Planning'!$H128&lt;=16),IFERROR(MATCH('Sprint Planning'!$C128,Roadmap!$A$4:$A$15,0),99)*100+'Sprint Planning'!$H128+130/100000,"")</f>
        <v/>
      </c>
    </row>
    <row r="131" customFormat="false" ht="15" hidden="false" customHeight="true" outlineLevel="0" collapsed="false">
      <c r="T131" s="1" t="str">
        <f aca="false">IF(AND('Sprint Planning'!$H129&gt;=10,'Sprint Planning'!$H129&lt;=16),IFERROR(MATCH('Sprint Planning'!$C129,Roadmap!$A$4:$A$15,0),99)*100+'Sprint Planning'!$H129+131/100000,"")</f>
        <v/>
      </c>
    </row>
    <row r="132" customFormat="false" ht="15" hidden="false" customHeight="true" outlineLevel="0" collapsed="false">
      <c r="T132" s="1" t="str">
        <f aca="false">IF(AND('Sprint Planning'!$H130&gt;=10,'Sprint Planning'!$H130&lt;=16),IFERROR(MATCH('Sprint Planning'!$C130,Roadmap!$A$4:$A$15,0),99)*100+'Sprint Planning'!$H130+132/100000,"")</f>
        <v/>
      </c>
    </row>
    <row r="133" customFormat="false" ht="15" hidden="false" customHeight="true" outlineLevel="0" collapsed="false">
      <c r="T133" s="1" t="str">
        <f aca="false">IF(AND('Sprint Planning'!$H131&gt;=10,'Sprint Planning'!$H131&lt;=16),IFERROR(MATCH('Sprint Planning'!$C131,Roadmap!$A$4:$A$15,0),99)*100+'Sprint Planning'!$H131+133/100000,"")</f>
        <v/>
      </c>
    </row>
    <row r="134" customFormat="false" ht="15" hidden="false" customHeight="true" outlineLevel="0" collapsed="false">
      <c r="T134" s="1" t="str">
        <f aca="false">IF(AND('Sprint Planning'!$H132&gt;=10,'Sprint Planning'!$H132&lt;=16),IFERROR(MATCH('Sprint Planning'!$C132,Roadmap!$A$4:$A$15,0),99)*100+'Sprint Planning'!$H132+134/100000,"")</f>
        <v/>
      </c>
    </row>
    <row r="135" customFormat="false" ht="15" hidden="false" customHeight="true" outlineLevel="0" collapsed="false">
      <c r="T135" s="1" t="str">
        <f aca="false">IF(AND('Sprint Planning'!$H133&gt;=10,'Sprint Planning'!$H133&lt;=16),IFERROR(MATCH('Sprint Planning'!$C133,Roadmap!$A$4:$A$15,0),99)*100+'Sprint Planning'!$H133+135/100000,"")</f>
        <v/>
      </c>
    </row>
    <row r="136" customFormat="false" ht="15" hidden="false" customHeight="true" outlineLevel="0" collapsed="false">
      <c r="T136" s="1" t="str">
        <f aca="false">IF(AND('Sprint Planning'!$H134&gt;=10,'Sprint Planning'!$H134&lt;=16),IFERROR(MATCH('Sprint Planning'!$C134,Roadmap!$A$4:$A$15,0),99)*100+'Sprint Planning'!$H134+136/100000,"")</f>
        <v/>
      </c>
    </row>
    <row r="137" customFormat="false" ht="15" hidden="false" customHeight="true" outlineLevel="0" collapsed="false">
      <c r="T137" s="1" t="str">
        <f aca="false">IF(AND('Sprint Planning'!$H135&gt;=10,'Sprint Planning'!$H135&lt;=16),IFERROR(MATCH('Sprint Planning'!$C135,Roadmap!$A$4:$A$15,0),99)*100+'Sprint Planning'!$H135+137/100000,"")</f>
        <v/>
      </c>
    </row>
    <row r="138" customFormat="false" ht="15" hidden="false" customHeight="true" outlineLevel="0" collapsed="false">
      <c r="T138" s="1" t="str">
        <f aca="false">IF(AND('Sprint Planning'!$H136&gt;=10,'Sprint Planning'!$H136&lt;=16),IFERROR(MATCH('Sprint Planning'!$C136,Roadmap!$A$4:$A$15,0),99)*100+'Sprint Planning'!$H136+138/100000,"")</f>
        <v/>
      </c>
    </row>
    <row r="139" customFormat="false" ht="15" hidden="false" customHeight="true" outlineLevel="0" collapsed="false">
      <c r="T139" s="1" t="str">
        <f aca="false">IF(AND('Sprint Planning'!$H137&gt;=10,'Sprint Planning'!$H137&lt;=16),IFERROR(MATCH('Sprint Planning'!$C137,Roadmap!$A$4:$A$15,0),99)*100+'Sprint Planning'!$H137+139/100000,"")</f>
        <v/>
      </c>
    </row>
    <row r="140" customFormat="false" ht="15" hidden="false" customHeight="true" outlineLevel="0" collapsed="false">
      <c r="T140" s="1" t="str">
        <f aca="false">IF(AND('Sprint Planning'!$H138&gt;=10,'Sprint Planning'!$H138&lt;=16),IFERROR(MATCH('Sprint Planning'!$C138,Roadmap!$A$4:$A$15,0),99)*100+'Sprint Planning'!$H138+140/100000,"")</f>
        <v/>
      </c>
    </row>
    <row r="141" customFormat="false" ht="15" hidden="false" customHeight="true" outlineLevel="0" collapsed="false">
      <c r="T141" s="1" t="str">
        <f aca="false">IF(AND('Sprint Planning'!$H139&gt;=10,'Sprint Planning'!$H139&lt;=16),IFERROR(MATCH('Sprint Planning'!$C139,Roadmap!$A$4:$A$15,0),99)*100+'Sprint Planning'!$H139+141/100000,"")</f>
        <v/>
      </c>
    </row>
    <row r="142" customFormat="false" ht="15" hidden="false" customHeight="true" outlineLevel="0" collapsed="false">
      <c r="T142" s="1" t="str">
        <f aca="false">IF(AND('Sprint Planning'!$H140&gt;=10,'Sprint Planning'!$H140&lt;=16),IFERROR(MATCH('Sprint Planning'!$C140,Roadmap!$A$4:$A$15,0),99)*100+'Sprint Planning'!$H140+142/100000,"")</f>
        <v/>
      </c>
    </row>
    <row r="143" customFormat="false" ht="15" hidden="false" customHeight="true" outlineLevel="0" collapsed="false">
      <c r="T143" s="1" t="str">
        <f aca="false">IF(AND('Sprint Planning'!$H141&gt;=10,'Sprint Planning'!$H141&lt;=16),IFERROR(MATCH('Sprint Planning'!$C141,Roadmap!$A$4:$A$15,0),99)*100+'Sprint Planning'!$H141+143/100000,"")</f>
        <v/>
      </c>
    </row>
    <row r="144" customFormat="false" ht="15" hidden="false" customHeight="true" outlineLevel="0" collapsed="false">
      <c r="T144" s="1" t="str">
        <f aca="false">IF(AND('Sprint Planning'!$H142&gt;=10,'Sprint Planning'!$H142&lt;=16),IFERROR(MATCH('Sprint Planning'!$C142,Roadmap!$A$4:$A$15,0),99)*100+'Sprint Planning'!$H142+144/100000,"")</f>
        <v/>
      </c>
    </row>
    <row r="145" customFormat="false" ht="15" hidden="false" customHeight="true" outlineLevel="0" collapsed="false">
      <c r="T145" s="1" t="str">
        <f aca="false">IF(AND('Sprint Planning'!$H143&gt;=10,'Sprint Planning'!$H143&lt;=16),IFERROR(MATCH('Sprint Planning'!$C143,Roadmap!$A$4:$A$15,0),99)*100+'Sprint Planning'!$H143+145/100000,"")</f>
        <v/>
      </c>
    </row>
    <row r="146" customFormat="false" ht="15" hidden="false" customHeight="true" outlineLevel="0" collapsed="false">
      <c r="T146" s="1" t="str">
        <f aca="false">IF(AND('Sprint Planning'!$H144&gt;=10,'Sprint Planning'!$H144&lt;=16),IFERROR(MATCH('Sprint Planning'!$C144,Roadmap!$A$4:$A$15,0),99)*100+'Sprint Planning'!$H144+146/100000,"")</f>
        <v/>
      </c>
    </row>
    <row r="147" customFormat="false" ht="15" hidden="false" customHeight="true" outlineLevel="0" collapsed="false">
      <c r="T147" s="1" t="str">
        <f aca="false">IF(AND('Sprint Planning'!$H145&gt;=10,'Sprint Planning'!$H145&lt;=16),IFERROR(MATCH('Sprint Planning'!$C145,Roadmap!$A$4:$A$15,0),99)*100+'Sprint Planning'!$H145+147/100000,"")</f>
        <v/>
      </c>
    </row>
    <row r="148" customFormat="false" ht="15" hidden="false" customHeight="true" outlineLevel="0" collapsed="false">
      <c r="T148" s="1" t="str">
        <f aca="false">IF(AND('Sprint Planning'!$H146&gt;=10,'Sprint Planning'!$H146&lt;=16),IFERROR(MATCH('Sprint Planning'!$C146,Roadmap!$A$4:$A$15,0),99)*100+'Sprint Planning'!$H146+148/100000,"")</f>
        <v/>
      </c>
    </row>
    <row r="149" customFormat="false" ht="15" hidden="false" customHeight="true" outlineLevel="0" collapsed="false">
      <c r="T149" s="1" t="str">
        <f aca="false">IF(AND('Sprint Planning'!$H147&gt;=10,'Sprint Planning'!$H147&lt;=16),IFERROR(MATCH('Sprint Planning'!$C147,Roadmap!$A$4:$A$15,0),99)*100+'Sprint Planning'!$H147+149/100000,"")</f>
        <v/>
      </c>
    </row>
    <row r="150" customFormat="false" ht="15" hidden="false" customHeight="true" outlineLevel="0" collapsed="false">
      <c r="T150" s="1" t="str">
        <f aca="false">IF(AND('Sprint Planning'!$H148&gt;=10,'Sprint Planning'!$H148&lt;=16),IFERROR(MATCH('Sprint Planning'!$C148,Roadmap!$A$4:$A$15,0),99)*100+'Sprint Planning'!$H148+150/100000,"")</f>
        <v/>
      </c>
    </row>
    <row r="151" customFormat="false" ht="15" hidden="false" customHeight="true" outlineLevel="0" collapsed="false">
      <c r="T151" s="1" t="str">
        <f aca="false">IF(AND('Sprint Planning'!$H149&gt;=10,'Sprint Planning'!$H149&lt;=16),IFERROR(MATCH('Sprint Planning'!$C149,Roadmap!$A$4:$A$15,0),99)*100+'Sprint Planning'!$H149+151/100000,"")</f>
        <v/>
      </c>
    </row>
    <row r="152" customFormat="false" ht="15" hidden="false" customHeight="true" outlineLevel="0" collapsed="false">
      <c r="T152" s="1" t="str">
        <f aca="false">IF(AND('Sprint Planning'!$H150&gt;=10,'Sprint Planning'!$H150&lt;=16),IFERROR(MATCH('Sprint Planning'!$C150,Roadmap!$A$4:$A$15,0),99)*100+'Sprint Planning'!$H150+152/100000,"")</f>
        <v/>
      </c>
    </row>
    <row r="153" customFormat="false" ht="15" hidden="false" customHeight="true" outlineLevel="0" collapsed="false">
      <c r="T153" s="1" t="str">
        <f aca="false">IF(AND('Sprint Planning'!$H151&gt;=10,'Sprint Planning'!$H151&lt;=16),IFERROR(MATCH('Sprint Planning'!$C151,Roadmap!$A$4:$A$15,0),99)*100+'Sprint Planning'!$H151+153/100000,"")</f>
        <v/>
      </c>
    </row>
    <row r="154" customFormat="false" ht="15" hidden="false" customHeight="true" outlineLevel="0" collapsed="false">
      <c r="T154" s="1" t="str">
        <f aca="false">IF(AND('Sprint Planning'!$H152&gt;=10,'Sprint Planning'!$H152&lt;=16),IFERROR(MATCH('Sprint Planning'!$C152,Roadmap!$A$4:$A$15,0),99)*100+'Sprint Planning'!$H152+154/100000,"")</f>
        <v/>
      </c>
    </row>
    <row r="155" customFormat="false" ht="15" hidden="false" customHeight="true" outlineLevel="0" collapsed="false">
      <c r="T155" s="1" t="str">
        <f aca="false">IF(AND('Sprint Planning'!$H153&gt;=10,'Sprint Planning'!$H153&lt;=16),IFERROR(MATCH('Sprint Planning'!$C153,Roadmap!$A$4:$A$15,0),99)*100+'Sprint Planning'!$H153+155/100000,"")</f>
        <v/>
      </c>
    </row>
    <row r="156" customFormat="false" ht="15" hidden="false" customHeight="true" outlineLevel="0" collapsed="false">
      <c r="T156" s="1" t="str">
        <f aca="false">IF(AND('Sprint Planning'!$H154&gt;=10,'Sprint Planning'!$H154&lt;=16),IFERROR(MATCH('Sprint Planning'!$C154,Roadmap!$A$4:$A$15,0),99)*100+'Sprint Planning'!$H154+156/100000,"")</f>
        <v/>
      </c>
    </row>
    <row r="157" customFormat="false" ht="15" hidden="false" customHeight="true" outlineLevel="0" collapsed="false">
      <c r="T157" s="1" t="str">
        <f aca="false">IF(AND('Sprint Planning'!$H155&gt;=10,'Sprint Planning'!$H155&lt;=16),IFERROR(MATCH('Sprint Planning'!$C155,Roadmap!$A$4:$A$15,0),99)*100+'Sprint Planning'!$H155+157/100000,"")</f>
        <v/>
      </c>
    </row>
    <row r="158" customFormat="false" ht="15" hidden="false" customHeight="true" outlineLevel="0" collapsed="false">
      <c r="T158" s="1" t="str">
        <f aca="false">IF(AND('Sprint Planning'!$H156&gt;=10,'Sprint Planning'!$H156&lt;=16),IFERROR(MATCH('Sprint Planning'!$C156,Roadmap!$A$4:$A$15,0),99)*100+'Sprint Planning'!$H156+158/100000,"")</f>
        <v/>
      </c>
    </row>
    <row r="159" customFormat="false" ht="15" hidden="false" customHeight="true" outlineLevel="0" collapsed="false">
      <c r="T159" s="1" t="str">
        <f aca="false">IF(AND('Sprint Planning'!$H157&gt;=10,'Sprint Planning'!$H157&lt;=16),IFERROR(MATCH('Sprint Planning'!$C157,Roadmap!$A$4:$A$15,0),99)*100+'Sprint Planning'!$H157+159/100000,"")</f>
        <v/>
      </c>
    </row>
    <row r="160" customFormat="false" ht="15" hidden="false" customHeight="true" outlineLevel="0" collapsed="false">
      <c r="T160" s="1" t="str">
        <f aca="false">IF(AND('Sprint Planning'!$H158&gt;=10,'Sprint Planning'!$H158&lt;=16),IFERROR(MATCH('Sprint Planning'!$C158,Roadmap!$A$4:$A$15,0),99)*100+'Sprint Planning'!$H158+160/100000,"")</f>
        <v/>
      </c>
    </row>
    <row r="161" customFormat="false" ht="15" hidden="false" customHeight="true" outlineLevel="0" collapsed="false">
      <c r="T161" s="1" t="str">
        <f aca="false">IF(AND('Sprint Planning'!$H159&gt;=10,'Sprint Planning'!$H159&lt;=16),IFERROR(MATCH('Sprint Planning'!$C159,Roadmap!$A$4:$A$15,0),99)*100+'Sprint Planning'!$H159+161/100000,"")</f>
        <v/>
      </c>
    </row>
    <row r="162" customFormat="false" ht="15" hidden="false" customHeight="true" outlineLevel="0" collapsed="false">
      <c r="T162" s="1" t="str">
        <f aca="false">IF(AND('Sprint Planning'!$H160&gt;=10,'Sprint Planning'!$H160&lt;=16),IFERROR(MATCH('Sprint Planning'!$C160,Roadmap!$A$4:$A$15,0),99)*100+'Sprint Planning'!$H160+162/100000,"")</f>
        <v/>
      </c>
    </row>
    <row r="163" customFormat="false" ht="15" hidden="false" customHeight="true" outlineLevel="0" collapsed="false">
      <c r="T163" s="1" t="str">
        <f aca="false">IF(AND('Sprint Planning'!$H161&gt;=10,'Sprint Planning'!$H161&lt;=16),IFERROR(MATCH('Sprint Planning'!$C161,Roadmap!$A$4:$A$15,0),99)*100+'Sprint Planning'!$H161+163/100000,"")</f>
        <v/>
      </c>
    </row>
    <row r="164" customFormat="false" ht="15" hidden="false" customHeight="true" outlineLevel="0" collapsed="false">
      <c r="T164" s="1" t="str">
        <f aca="false">IF(AND('Sprint Planning'!$H162&gt;=10,'Sprint Planning'!$H162&lt;=16),IFERROR(MATCH('Sprint Planning'!$C162,Roadmap!$A$4:$A$15,0),99)*100+'Sprint Planning'!$H162+164/100000,"")</f>
        <v/>
      </c>
    </row>
    <row r="165" customFormat="false" ht="15" hidden="false" customHeight="true" outlineLevel="0" collapsed="false">
      <c r="T165" s="1" t="str">
        <f aca="false">IF(AND('Sprint Planning'!$H163&gt;=10,'Sprint Planning'!$H163&lt;=16),IFERROR(MATCH('Sprint Planning'!$C163,Roadmap!$A$4:$A$15,0),99)*100+'Sprint Planning'!$H163+165/100000,"")</f>
        <v/>
      </c>
    </row>
    <row r="166" customFormat="false" ht="15" hidden="false" customHeight="true" outlineLevel="0" collapsed="false">
      <c r="T166" s="1" t="str">
        <f aca="false">IF(AND('Sprint Planning'!$H164&gt;=10,'Sprint Planning'!$H164&lt;=16),IFERROR(MATCH('Sprint Planning'!$C164,Roadmap!$A$4:$A$15,0),99)*100+'Sprint Planning'!$H164+166/100000,"")</f>
        <v/>
      </c>
    </row>
    <row r="167" customFormat="false" ht="15" hidden="false" customHeight="true" outlineLevel="0" collapsed="false">
      <c r="T167" s="1" t="str">
        <f aca="false">IF(AND('Sprint Planning'!$H165&gt;=10,'Sprint Planning'!$H165&lt;=16),IFERROR(MATCH('Sprint Planning'!$C165,Roadmap!$A$4:$A$15,0),99)*100+'Sprint Planning'!$H165+167/100000,"")</f>
        <v/>
      </c>
    </row>
    <row r="168" customFormat="false" ht="15" hidden="false" customHeight="true" outlineLevel="0" collapsed="false">
      <c r="T168" s="1" t="str">
        <f aca="false">IF(AND('Sprint Planning'!$H166&gt;=10,'Sprint Planning'!$H166&lt;=16),IFERROR(MATCH('Sprint Planning'!$C166,Roadmap!$A$4:$A$15,0),99)*100+'Sprint Planning'!$H166+168/100000,"")</f>
        <v/>
      </c>
    </row>
    <row r="169" customFormat="false" ht="15" hidden="false" customHeight="true" outlineLevel="0" collapsed="false">
      <c r="T169" s="1" t="str">
        <f aca="false">IF(AND('Sprint Planning'!$H167&gt;=10,'Sprint Planning'!$H167&lt;=16),IFERROR(MATCH('Sprint Planning'!$C167,Roadmap!$A$4:$A$15,0),99)*100+'Sprint Planning'!$H167+169/100000,"")</f>
        <v/>
      </c>
    </row>
    <row r="170" customFormat="false" ht="15" hidden="false" customHeight="true" outlineLevel="0" collapsed="false">
      <c r="T170" s="1" t="str">
        <f aca="false">IF(AND('Sprint Planning'!$H168&gt;=10,'Sprint Planning'!$H168&lt;=16),IFERROR(MATCH('Sprint Planning'!$C168,Roadmap!$A$4:$A$15,0),99)*100+'Sprint Planning'!$H168+170/100000,"")</f>
        <v/>
      </c>
    </row>
    <row r="171" customFormat="false" ht="15" hidden="false" customHeight="true" outlineLevel="0" collapsed="false">
      <c r="T171" s="1" t="str">
        <f aca="false">IF(AND('Sprint Planning'!$H169&gt;=10,'Sprint Planning'!$H169&lt;=16),IFERROR(MATCH('Sprint Planning'!$C169,Roadmap!$A$4:$A$15,0),99)*100+'Sprint Planning'!$H169+171/100000,"")</f>
        <v/>
      </c>
    </row>
    <row r="172" customFormat="false" ht="15" hidden="false" customHeight="true" outlineLevel="0" collapsed="false">
      <c r="T172" s="1" t="str">
        <f aca="false">IF(AND('Sprint Planning'!$H170&gt;=10,'Sprint Planning'!$H170&lt;=16),IFERROR(MATCH('Sprint Planning'!$C170,Roadmap!$A$4:$A$15,0),99)*100+'Sprint Planning'!$H170+172/100000,"")</f>
        <v/>
      </c>
    </row>
    <row r="173" customFormat="false" ht="15" hidden="false" customHeight="true" outlineLevel="0" collapsed="false">
      <c r="T173" s="1" t="str">
        <f aca="false">IF(AND('Sprint Planning'!$H171&gt;=10,'Sprint Planning'!$H171&lt;=16),IFERROR(MATCH('Sprint Planning'!$C171,Roadmap!$A$4:$A$15,0),99)*100+'Sprint Planning'!$H171+173/100000,"")</f>
        <v/>
      </c>
    </row>
    <row r="174" customFormat="false" ht="15" hidden="false" customHeight="true" outlineLevel="0" collapsed="false">
      <c r="T174" s="1" t="str">
        <f aca="false">IF(AND('Sprint Planning'!$H172&gt;=10,'Sprint Planning'!$H172&lt;=16),IFERROR(MATCH('Sprint Planning'!$C172,Roadmap!$A$4:$A$15,0),99)*100+'Sprint Planning'!$H172+174/100000,"")</f>
        <v/>
      </c>
    </row>
    <row r="175" customFormat="false" ht="15" hidden="false" customHeight="true" outlineLevel="0" collapsed="false">
      <c r="T175" s="1" t="str">
        <f aca="false">IF(AND('Sprint Planning'!$H173&gt;=10,'Sprint Planning'!$H173&lt;=16),IFERROR(MATCH('Sprint Planning'!$C173,Roadmap!$A$4:$A$15,0),99)*100+'Sprint Planning'!$H173+175/100000,"")</f>
        <v/>
      </c>
    </row>
    <row r="176" customFormat="false" ht="15" hidden="false" customHeight="true" outlineLevel="0" collapsed="false">
      <c r="T176" s="1" t="str">
        <f aca="false">IF(AND('Sprint Planning'!$H174&gt;=10,'Sprint Planning'!$H174&lt;=16),IFERROR(MATCH('Sprint Planning'!$C174,Roadmap!$A$4:$A$15,0),99)*100+'Sprint Planning'!$H174+176/100000,"")</f>
        <v/>
      </c>
    </row>
    <row r="177" customFormat="false" ht="15" hidden="false" customHeight="true" outlineLevel="0" collapsed="false">
      <c r="T177" s="1" t="str">
        <f aca="false">IF(AND('Sprint Planning'!$H175&gt;=10,'Sprint Planning'!$H175&lt;=16),IFERROR(MATCH('Sprint Planning'!$C175,Roadmap!$A$4:$A$15,0),99)*100+'Sprint Planning'!$H175+177/100000,"")</f>
        <v/>
      </c>
    </row>
    <row r="178" customFormat="false" ht="15" hidden="false" customHeight="true" outlineLevel="0" collapsed="false">
      <c r="T178" s="1" t="str">
        <f aca="false">IF(AND('Sprint Planning'!$H176&gt;=10,'Sprint Planning'!$H176&lt;=16),IFERROR(MATCH('Sprint Planning'!$C176,Roadmap!$A$4:$A$15,0),99)*100+'Sprint Planning'!$H176+178/100000,"")</f>
        <v/>
      </c>
    </row>
    <row r="179" customFormat="false" ht="15" hidden="false" customHeight="true" outlineLevel="0" collapsed="false">
      <c r="T179" s="1" t="str">
        <f aca="false">IF(AND('Sprint Planning'!$H177&gt;=10,'Sprint Planning'!$H177&lt;=16),IFERROR(MATCH('Sprint Planning'!$C177,Roadmap!$A$4:$A$15,0),99)*100+'Sprint Planning'!$H177+179/100000,"")</f>
        <v/>
      </c>
    </row>
    <row r="180" customFormat="false" ht="15" hidden="false" customHeight="true" outlineLevel="0" collapsed="false">
      <c r="T180" s="1" t="str">
        <f aca="false">IF(AND('Sprint Planning'!$H178&gt;=10,'Sprint Planning'!$H178&lt;=16),IFERROR(MATCH('Sprint Planning'!$C178,Roadmap!$A$4:$A$15,0),99)*100+'Sprint Planning'!$H178+180/100000,"")</f>
        <v/>
      </c>
    </row>
    <row r="181" customFormat="false" ht="15" hidden="false" customHeight="true" outlineLevel="0" collapsed="false">
      <c r="T181" s="1" t="str">
        <f aca="false">IF(AND('Sprint Planning'!$H179&gt;=10,'Sprint Planning'!$H179&lt;=16),IFERROR(MATCH('Sprint Planning'!$C179,Roadmap!$A$4:$A$15,0),99)*100+'Sprint Planning'!$H179+181/100000,"")</f>
        <v/>
      </c>
    </row>
    <row r="182" customFormat="false" ht="15" hidden="false" customHeight="true" outlineLevel="0" collapsed="false">
      <c r="T182" s="1" t="str">
        <f aca="false">IF(AND('Sprint Planning'!$H180&gt;=10,'Sprint Planning'!$H180&lt;=16),IFERROR(MATCH('Sprint Planning'!$C180,Roadmap!$A$4:$A$15,0),99)*100+'Sprint Planning'!$H180+182/100000,"")</f>
        <v/>
      </c>
    </row>
    <row r="183" customFormat="false" ht="15" hidden="false" customHeight="true" outlineLevel="0" collapsed="false">
      <c r="T183" s="1" t="str">
        <f aca="false">IF(AND('Sprint Planning'!$H181&gt;=10,'Sprint Planning'!$H181&lt;=16),IFERROR(MATCH('Sprint Planning'!$C181,Roadmap!$A$4:$A$15,0),99)*100+'Sprint Planning'!$H181+183/100000,"")</f>
        <v/>
      </c>
    </row>
    <row r="184" customFormat="false" ht="15" hidden="false" customHeight="true" outlineLevel="0" collapsed="false">
      <c r="T184" s="1" t="str">
        <f aca="false">IF(AND('Sprint Planning'!$H182&gt;=10,'Sprint Planning'!$H182&lt;=16),IFERROR(MATCH('Sprint Planning'!$C182,Roadmap!$A$4:$A$15,0),99)*100+'Sprint Planning'!$H182+184/100000,"")</f>
        <v/>
      </c>
    </row>
    <row r="185" customFormat="false" ht="15" hidden="false" customHeight="true" outlineLevel="0" collapsed="false">
      <c r="T185" s="1" t="str">
        <f aca="false">IF(AND('Sprint Planning'!$H183&gt;=10,'Sprint Planning'!$H183&lt;=16),IFERROR(MATCH('Sprint Planning'!$C183,Roadmap!$A$4:$A$15,0),99)*100+'Sprint Planning'!$H183+185/100000,"")</f>
        <v/>
      </c>
    </row>
    <row r="186" customFormat="false" ht="15" hidden="false" customHeight="true" outlineLevel="0" collapsed="false">
      <c r="T186" s="1" t="str">
        <f aca="false">IF(AND('Sprint Planning'!$H184&gt;=10,'Sprint Planning'!$H184&lt;=16),IFERROR(MATCH('Sprint Planning'!$C184,Roadmap!$A$4:$A$15,0),99)*100+'Sprint Planning'!$H184+186/100000,"")</f>
        <v/>
      </c>
    </row>
    <row r="187" customFormat="false" ht="15" hidden="false" customHeight="true" outlineLevel="0" collapsed="false">
      <c r="T187" s="1" t="str">
        <f aca="false">IF(AND('Sprint Planning'!$H185&gt;=10,'Sprint Planning'!$H185&lt;=16),IFERROR(MATCH('Sprint Planning'!$C185,Roadmap!$A$4:$A$15,0),99)*100+'Sprint Planning'!$H185+187/100000,"")</f>
        <v/>
      </c>
    </row>
    <row r="188" customFormat="false" ht="15" hidden="false" customHeight="true" outlineLevel="0" collapsed="false">
      <c r="T188" s="1" t="str">
        <f aca="false">IF(AND('Sprint Planning'!$H186&gt;=10,'Sprint Planning'!$H186&lt;=16),IFERROR(MATCH('Sprint Planning'!$C186,Roadmap!$A$4:$A$15,0),99)*100+'Sprint Planning'!$H186+188/100000,"")</f>
        <v/>
      </c>
    </row>
    <row r="189" customFormat="false" ht="15" hidden="false" customHeight="true" outlineLevel="0" collapsed="false">
      <c r="T189" s="1" t="str">
        <f aca="false">IF(AND('Sprint Planning'!$H187&gt;=10,'Sprint Planning'!$H187&lt;=16),IFERROR(MATCH('Sprint Planning'!$C187,Roadmap!$A$4:$A$15,0),99)*100+'Sprint Planning'!$H187+189/100000,"")</f>
        <v/>
      </c>
    </row>
    <row r="190" customFormat="false" ht="15" hidden="false" customHeight="true" outlineLevel="0" collapsed="false">
      <c r="T190" s="1" t="str">
        <f aca="false">IF(AND('Sprint Planning'!$H188&gt;=10,'Sprint Planning'!$H188&lt;=16),IFERROR(MATCH('Sprint Planning'!$C188,Roadmap!$A$4:$A$15,0),99)*100+'Sprint Planning'!$H188+190/100000,"")</f>
        <v/>
      </c>
    </row>
    <row r="191" customFormat="false" ht="15" hidden="false" customHeight="true" outlineLevel="0" collapsed="false">
      <c r="T191" s="1" t="str">
        <f aca="false">IF(AND('Sprint Planning'!$H189&gt;=10,'Sprint Planning'!$H189&lt;=16),IFERROR(MATCH('Sprint Planning'!$C189,Roadmap!$A$4:$A$15,0),99)*100+'Sprint Planning'!$H189+191/100000,"")</f>
        <v/>
      </c>
    </row>
    <row r="192" customFormat="false" ht="15" hidden="false" customHeight="true" outlineLevel="0" collapsed="false">
      <c r="T192" s="1" t="str">
        <f aca="false">IF(AND('Sprint Planning'!$H190&gt;=10,'Sprint Planning'!$H190&lt;=16),IFERROR(MATCH('Sprint Planning'!$C190,Roadmap!$A$4:$A$15,0),99)*100+'Sprint Planning'!$H190+192/100000,"")</f>
        <v/>
      </c>
    </row>
    <row r="193" customFormat="false" ht="15" hidden="false" customHeight="true" outlineLevel="0" collapsed="false">
      <c r="T193" s="1" t="str">
        <f aca="false">IF(AND('Sprint Planning'!$H191&gt;=10,'Sprint Planning'!$H191&lt;=16),IFERROR(MATCH('Sprint Planning'!$C191,Roadmap!$A$4:$A$15,0),99)*100+'Sprint Planning'!$H191+193/100000,"")</f>
        <v/>
      </c>
    </row>
    <row r="194" customFormat="false" ht="15" hidden="false" customHeight="true" outlineLevel="0" collapsed="false">
      <c r="T194" s="1" t="str">
        <f aca="false">IF(AND('Sprint Planning'!$H192&gt;=10,'Sprint Planning'!$H192&lt;=16),IFERROR(MATCH('Sprint Planning'!$C192,Roadmap!$A$4:$A$15,0),99)*100+'Sprint Planning'!$H192+194/100000,"")</f>
        <v/>
      </c>
    </row>
    <row r="195" customFormat="false" ht="15" hidden="false" customHeight="true" outlineLevel="0" collapsed="false">
      <c r="T195" s="1" t="str">
        <f aca="false">IF(AND('Sprint Planning'!$H193&gt;=10,'Sprint Planning'!$H193&lt;=16),IFERROR(MATCH('Sprint Planning'!$C193,Roadmap!$A$4:$A$15,0),99)*100+'Sprint Planning'!$H193+195/100000,"")</f>
        <v/>
      </c>
    </row>
    <row r="196" customFormat="false" ht="15" hidden="false" customHeight="true" outlineLevel="0" collapsed="false">
      <c r="T196" s="1" t="str">
        <f aca="false">IF(AND('Sprint Planning'!$H194&gt;=10,'Sprint Planning'!$H194&lt;=16),IFERROR(MATCH('Sprint Planning'!$C194,Roadmap!$A$4:$A$15,0),99)*100+'Sprint Planning'!$H194+196/100000,"")</f>
        <v/>
      </c>
    </row>
    <row r="197" customFormat="false" ht="15" hidden="false" customHeight="true" outlineLevel="0" collapsed="false">
      <c r="T197" s="1" t="str">
        <f aca="false">IF(AND('Sprint Planning'!$H195&gt;=10,'Sprint Planning'!$H195&lt;=16),IFERROR(MATCH('Sprint Planning'!$C195,Roadmap!$A$4:$A$15,0),99)*100+'Sprint Planning'!$H195+197/100000,"")</f>
        <v/>
      </c>
    </row>
    <row r="198" customFormat="false" ht="15" hidden="false" customHeight="true" outlineLevel="0" collapsed="false">
      <c r="T198" s="1" t="str">
        <f aca="false">IF(AND('Sprint Planning'!$H196&gt;=10,'Sprint Planning'!$H196&lt;=16),IFERROR(MATCH('Sprint Planning'!$C196,Roadmap!$A$4:$A$15,0),99)*100+'Sprint Planning'!$H196+198/100000,"")</f>
        <v/>
      </c>
    </row>
    <row r="199" customFormat="false" ht="15" hidden="false" customHeight="true" outlineLevel="0" collapsed="false">
      <c r="T199" s="1" t="str">
        <f aca="false">IF(AND('Sprint Planning'!$H197&gt;=10,'Sprint Planning'!$H197&lt;=16),IFERROR(MATCH('Sprint Planning'!$C197,Roadmap!$A$4:$A$15,0),99)*100+'Sprint Planning'!$H197+199/100000,"")</f>
        <v/>
      </c>
    </row>
    <row r="200" customFormat="false" ht="15" hidden="false" customHeight="true" outlineLevel="0" collapsed="false">
      <c r="T200" s="1" t="str">
        <f aca="false">IF(AND('Sprint Planning'!$H198&gt;=10,'Sprint Planning'!$H198&lt;=16),IFERROR(MATCH('Sprint Planning'!$C198,Roadmap!$A$4:$A$15,0),99)*100+'Sprint Planning'!$H198+200/100000,"")</f>
        <v/>
      </c>
    </row>
    <row r="201" customFormat="false" ht="15" hidden="false" customHeight="true" outlineLevel="0" collapsed="false">
      <c r="T201" s="1" t="str">
        <f aca="false">IF(AND('Sprint Planning'!$H199&gt;=10,'Sprint Planning'!$H199&lt;=16),IFERROR(MATCH('Sprint Planning'!$C199,Roadmap!$A$4:$A$15,0),99)*100+'Sprint Planning'!$H199+201/100000,"")</f>
        <v/>
      </c>
    </row>
    <row r="202" customFormat="false" ht="15" hidden="false" customHeight="true" outlineLevel="0" collapsed="false">
      <c r="T202" s="1" t="str">
        <f aca="false">IF(AND('Sprint Planning'!$H200&gt;=10,'Sprint Planning'!$H200&lt;=16),IFERROR(MATCH('Sprint Planning'!$C200,Roadmap!$A$4:$A$15,0),99)*100+'Sprint Planning'!$H200+202/100000,"")</f>
        <v/>
      </c>
    </row>
    <row r="203" customFormat="false" ht="15" hidden="false" customHeight="true" outlineLevel="0" collapsed="false">
      <c r="T203" s="1" t="str">
        <f aca="false">IF(AND('Sprint Planning'!$H201&gt;=10,'Sprint Planning'!$H201&lt;=16),IFERROR(MATCH('Sprint Planning'!$C201,Roadmap!$A$4:$A$15,0),99)*100+'Sprint Planning'!$H201+203/100000,"")</f>
        <v/>
      </c>
    </row>
    <row r="204" customFormat="false" ht="15" hidden="false" customHeight="true" outlineLevel="0" collapsed="false">
      <c r="T204" s="1" t="str">
        <f aca="false">IF(AND('Sprint Planning'!$H202&gt;=10,'Sprint Planning'!$H202&lt;=16),IFERROR(MATCH('Sprint Planning'!$C202,Roadmap!$A$4:$A$15,0),99)*100+'Sprint Planning'!$H202+204/100000,"")</f>
        <v/>
      </c>
    </row>
    <row r="205" customFormat="false" ht="15" hidden="false" customHeight="true" outlineLevel="0" collapsed="false">
      <c r="T205" s="1" t="str">
        <f aca="false">IF(AND('Sprint Planning'!$H203&gt;=10,'Sprint Planning'!$H203&lt;=16),IFERROR(MATCH('Sprint Planning'!$C203,Roadmap!$A$4:$A$15,0),99)*100+'Sprint Planning'!$H203+205/100000,"")</f>
        <v/>
      </c>
    </row>
    <row r="206" customFormat="false" ht="15" hidden="false" customHeight="true" outlineLevel="0" collapsed="false">
      <c r="T206" s="1" t="str">
        <f aca="false">IF(AND('Sprint Planning'!$H204&gt;=10,'Sprint Planning'!$H204&lt;=16),IFERROR(MATCH('Sprint Planning'!$C204,Roadmap!$A$4:$A$15,0),99)*100+'Sprint Planning'!$H204+206/100000,"")</f>
        <v/>
      </c>
    </row>
    <row r="207" customFormat="false" ht="15" hidden="false" customHeight="true" outlineLevel="0" collapsed="false">
      <c r="T207" s="1" t="str">
        <f aca="false">IF(AND('Sprint Planning'!$H205&gt;=10,'Sprint Planning'!$H205&lt;=16),IFERROR(MATCH('Sprint Planning'!$C205,Roadmap!$A$4:$A$15,0),99)*100+'Sprint Planning'!$H205+207/100000,"")</f>
        <v/>
      </c>
    </row>
    <row r="208" customFormat="false" ht="15" hidden="false" customHeight="true" outlineLevel="0" collapsed="false">
      <c r="T208" s="1" t="str">
        <f aca="false">IF(AND('Sprint Planning'!$H206&gt;=10,'Sprint Planning'!$H206&lt;=16),IFERROR(MATCH('Sprint Planning'!$C206,Roadmap!$A$4:$A$15,0),99)*100+'Sprint Planning'!$H206+208/100000,"")</f>
        <v/>
      </c>
    </row>
    <row r="209" customFormat="false" ht="15" hidden="false" customHeight="true" outlineLevel="0" collapsed="false">
      <c r="T209" s="1" t="str">
        <f aca="false">IF(AND('Sprint Planning'!$H207&gt;=10,'Sprint Planning'!$H207&lt;=16),IFERROR(MATCH('Sprint Planning'!$C207,Roadmap!$A$4:$A$15,0),99)*100+'Sprint Planning'!$H207+209/100000,"")</f>
        <v/>
      </c>
    </row>
    <row r="210" customFormat="false" ht="15" hidden="false" customHeight="true" outlineLevel="0" collapsed="false">
      <c r="T210" s="1" t="str">
        <f aca="false">IF(AND('Sprint Planning'!$H208&gt;=10,'Sprint Planning'!$H208&lt;=16),IFERROR(MATCH('Sprint Planning'!$C208,Roadmap!$A$4:$A$15,0),99)*100+'Sprint Planning'!$H208+210/100000,"")</f>
        <v/>
      </c>
    </row>
    <row r="211" customFormat="false" ht="15" hidden="false" customHeight="true" outlineLevel="0" collapsed="false">
      <c r="T211" s="1" t="str">
        <f aca="false">IF(AND('Sprint Planning'!$H209&gt;=10,'Sprint Planning'!$H209&lt;=16),IFERROR(MATCH('Sprint Planning'!$C209,Roadmap!$A$4:$A$15,0),99)*100+'Sprint Planning'!$H209+211/100000,"")</f>
        <v/>
      </c>
    </row>
    <row r="212" customFormat="false" ht="15" hidden="false" customHeight="true" outlineLevel="0" collapsed="false">
      <c r="T212" s="1" t="str">
        <f aca="false">IF(AND('Sprint Planning'!$H210&gt;=10,'Sprint Planning'!$H210&lt;=16),IFERROR(MATCH('Sprint Planning'!$C210,Roadmap!$A$4:$A$15,0),99)*100+'Sprint Planning'!$H210+212/100000,"")</f>
        <v/>
      </c>
    </row>
    <row r="213" customFormat="false" ht="15" hidden="false" customHeight="true" outlineLevel="0" collapsed="false">
      <c r="T213" s="1" t="str">
        <f aca="false">IF(AND('Sprint Planning'!$H211&gt;=10,'Sprint Planning'!$H211&lt;=16),IFERROR(MATCH('Sprint Planning'!$C211,Roadmap!$A$4:$A$15,0),99)*100+'Sprint Planning'!$H211+213/100000,"")</f>
        <v/>
      </c>
    </row>
    <row r="214" customFormat="false" ht="15" hidden="false" customHeight="true" outlineLevel="0" collapsed="false">
      <c r="T214" s="1" t="str">
        <f aca="false">IF(AND('Sprint Planning'!$H212&gt;=10,'Sprint Planning'!$H212&lt;=16),IFERROR(MATCH('Sprint Planning'!$C212,Roadmap!$A$4:$A$15,0),99)*100+'Sprint Planning'!$H212+214/100000,"")</f>
        <v/>
      </c>
    </row>
    <row r="215" customFormat="false" ht="15" hidden="false" customHeight="true" outlineLevel="0" collapsed="false">
      <c r="T215" s="1" t="str">
        <f aca="false">IF(AND('Sprint Planning'!$H213&gt;=10,'Sprint Planning'!$H213&lt;=16),IFERROR(MATCH('Sprint Planning'!$C213,Roadmap!$A$4:$A$15,0),99)*100+'Sprint Planning'!$H213+215/100000,"")</f>
        <v/>
      </c>
    </row>
    <row r="216" customFormat="false" ht="15" hidden="false" customHeight="true" outlineLevel="0" collapsed="false">
      <c r="T216" s="1" t="str">
        <f aca="false">IF(AND('Sprint Planning'!$H214&gt;=10,'Sprint Planning'!$H214&lt;=16),IFERROR(MATCH('Sprint Planning'!$C214,Roadmap!$A$4:$A$15,0),99)*100+'Sprint Planning'!$H214+216/100000,"")</f>
        <v/>
      </c>
    </row>
    <row r="217" customFormat="false" ht="15" hidden="false" customHeight="true" outlineLevel="0" collapsed="false">
      <c r="T217" s="1" t="str">
        <f aca="false">IF(AND('Sprint Planning'!$H215&gt;=10,'Sprint Planning'!$H215&lt;=16),IFERROR(MATCH('Sprint Planning'!$C215,Roadmap!$A$4:$A$15,0),99)*100+'Sprint Planning'!$H215+217/100000,"")</f>
        <v/>
      </c>
    </row>
    <row r="218" customFormat="false" ht="15" hidden="false" customHeight="true" outlineLevel="0" collapsed="false">
      <c r="T218" s="1" t="str">
        <f aca="false">IF(AND('Sprint Planning'!$H216&gt;=10,'Sprint Planning'!$H216&lt;=16),IFERROR(MATCH('Sprint Planning'!$C216,Roadmap!$A$4:$A$15,0),99)*100+'Sprint Planning'!$H216+218/100000,"")</f>
        <v/>
      </c>
    </row>
    <row r="219" customFormat="false" ht="15" hidden="false" customHeight="true" outlineLevel="0" collapsed="false">
      <c r="T219" s="1" t="str">
        <f aca="false">IF(AND('Sprint Planning'!$H217&gt;=10,'Sprint Planning'!$H217&lt;=16),IFERROR(MATCH('Sprint Planning'!$C217,Roadmap!$A$4:$A$15,0),99)*100+'Sprint Planning'!$H217+219/100000,"")</f>
        <v/>
      </c>
    </row>
    <row r="220" customFormat="false" ht="15" hidden="false" customHeight="true" outlineLevel="0" collapsed="false">
      <c r="T220" s="1" t="str">
        <f aca="false">IF(AND('Sprint Planning'!$H218&gt;=10,'Sprint Planning'!$H218&lt;=16),IFERROR(MATCH('Sprint Planning'!$C218,Roadmap!$A$4:$A$15,0),99)*100+'Sprint Planning'!$H218+220/100000,"")</f>
        <v/>
      </c>
    </row>
    <row r="221" customFormat="false" ht="15" hidden="false" customHeight="true" outlineLevel="0" collapsed="false">
      <c r="T221" s="1" t="str">
        <f aca="false">IF(AND('Sprint Planning'!$H219&gt;=10,'Sprint Planning'!$H219&lt;=16),IFERROR(MATCH('Sprint Planning'!$C219,Roadmap!$A$4:$A$15,0),99)*100+'Sprint Planning'!$H219+221/100000,"")</f>
        <v/>
      </c>
    </row>
    <row r="222" customFormat="false" ht="15" hidden="false" customHeight="true" outlineLevel="0" collapsed="false">
      <c r="T222" s="1" t="str">
        <f aca="false">IF(AND('Sprint Planning'!$H220&gt;=10,'Sprint Planning'!$H220&lt;=16),IFERROR(MATCH('Sprint Planning'!$C220,Roadmap!$A$4:$A$15,0),99)*100+'Sprint Planning'!$H220+222/100000,"")</f>
        <v/>
      </c>
    </row>
    <row r="223" customFormat="false" ht="15" hidden="false" customHeight="true" outlineLevel="0" collapsed="false">
      <c r="T223" s="1" t="str">
        <f aca="false">IF(AND('Sprint Planning'!$H221&gt;=10,'Sprint Planning'!$H221&lt;=16),IFERROR(MATCH('Sprint Planning'!$C221,Roadmap!$A$4:$A$15,0),99)*100+'Sprint Planning'!$H221+223/100000,"")</f>
        <v/>
      </c>
    </row>
    <row r="224" customFormat="false" ht="15" hidden="false" customHeight="true" outlineLevel="0" collapsed="false">
      <c r="T224" s="1" t="str">
        <f aca="false">IF(AND('Sprint Planning'!$H222&gt;=10,'Sprint Planning'!$H222&lt;=16),IFERROR(MATCH('Sprint Planning'!$C222,Roadmap!$A$4:$A$15,0),99)*100+'Sprint Planning'!$H222+224/100000,"")</f>
        <v/>
      </c>
    </row>
    <row r="225" customFormat="false" ht="15" hidden="false" customHeight="true" outlineLevel="0" collapsed="false">
      <c r="T225" s="1" t="str">
        <f aca="false">IF(AND('Sprint Planning'!$H223&gt;=10,'Sprint Planning'!$H223&lt;=16),IFERROR(MATCH('Sprint Planning'!$C223,Roadmap!$A$4:$A$15,0),99)*100+'Sprint Planning'!$H223+225/100000,"")</f>
        <v/>
      </c>
    </row>
    <row r="226" customFormat="false" ht="15" hidden="false" customHeight="true" outlineLevel="0" collapsed="false">
      <c r="T226" s="1" t="str">
        <f aca="false">IF(AND('Sprint Planning'!$H224&gt;=10,'Sprint Planning'!$H224&lt;=16),IFERROR(MATCH('Sprint Planning'!$C224,Roadmap!$A$4:$A$15,0),99)*100+'Sprint Planning'!$H224+226/100000,"")</f>
        <v/>
      </c>
    </row>
    <row r="227" customFormat="false" ht="15" hidden="false" customHeight="true" outlineLevel="0" collapsed="false">
      <c r="T227" s="1" t="str">
        <f aca="false">IF(AND('Sprint Planning'!$H225&gt;=10,'Sprint Planning'!$H225&lt;=16),IFERROR(MATCH('Sprint Planning'!$C225,Roadmap!$A$4:$A$15,0),99)*100+'Sprint Planning'!$H225+227/100000,"")</f>
        <v/>
      </c>
    </row>
    <row r="228" customFormat="false" ht="15" hidden="false" customHeight="true" outlineLevel="0" collapsed="false">
      <c r="T228" s="1" t="str">
        <f aca="false">IF(AND('Sprint Planning'!$H226&gt;=10,'Sprint Planning'!$H226&lt;=16),IFERROR(MATCH('Sprint Planning'!$C226,Roadmap!$A$4:$A$15,0),99)*100+'Sprint Planning'!$H226+228/100000,"")</f>
        <v/>
      </c>
    </row>
    <row r="229" customFormat="false" ht="15" hidden="false" customHeight="true" outlineLevel="0" collapsed="false">
      <c r="T229" s="1" t="str">
        <f aca="false">IF(AND('Sprint Planning'!$H227&gt;=10,'Sprint Planning'!$H227&lt;=16),IFERROR(MATCH('Sprint Planning'!$C227,Roadmap!$A$4:$A$15,0),99)*100+'Sprint Planning'!$H227+229/100000,"")</f>
        <v/>
      </c>
    </row>
    <row r="230" customFormat="false" ht="15" hidden="false" customHeight="true" outlineLevel="0" collapsed="false">
      <c r="T230" s="1" t="str">
        <f aca="false">IF(AND('Sprint Planning'!$H228&gt;=10,'Sprint Planning'!$H228&lt;=16),IFERROR(MATCH('Sprint Planning'!$C228,Roadmap!$A$4:$A$15,0),99)*100+'Sprint Planning'!$H228+230/100000,"")</f>
        <v/>
      </c>
    </row>
    <row r="231" customFormat="false" ht="15" hidden="false" customHeight="true" outlineLevel="0" collapsed="false">
      <c r="T231" s="1" t="str">
        <f aca="false">IF(AND('Sprint Planning'!$H229&gt;=10,'Sprint Planning'!$H229&lt;=16),IFERROR(MATCH('Sprint Planning'!$C229,Roadmap!$A$4:$A$15,0),99)*100+'Sprint Planning'!$H229+231/100000,"")</f>
        <v/>
      </c>
    </row>
    <row r="232" customFormat="false" ht="15" hidden="false" customHeight="true" outlineLevel="0" collapsed="false">
      <c r="T232" s="1" t="str">
        <f aca="false">IF(AND('Sprint Planning'!$H230&gt;=10,'Sprint Planning'!$H230&lt;=16),IFERROR(MATCH('Sprint Planning'!$C230,Roadmap!$A$4:$A$15,0),99)*100+'Sprint Planning'!$H230+232/100000,"")</f>
        <v/>
      </c>
    </row>
    <row r="233" customFormat="false" ht="15" hidden="false" customHeight="true" outlineLevel="0" collapsed="false">
      <c r="T233" s="1" t="str">
        <f aca="false">IF(AND('Sprint Planning'!$H231&gt;=10,'Sprint Planning'!$H231&lt;=16),IFERROR(MATCH('Sprint Planning'!$C231,Roadmap!$A$4:$A$15,0),99)*100+'Sprint Planning'!$H231+233/100000,"")</f>
        <v/>
      </c>
    </row>
    <row r="234" customFormat="false" ht="15" hidden="false" customHeight="true" outlineLevel="0" collapsed="false">
      <c r="T234" s="1" t="str">
        <f aca="false">IF(AND('Sprint Planning'!$H232&gt;=10,'Sprint Planning'!$H232&lt;=16),IFERROR(MATCH('Sprint Planning'!$C232,Roadmap!$A$4:$A$15,0),99)*100+'Sprint Planning'!$H232+234/100000,"")</f>
        <v/>
      </c>
    </row>
    <row r="235" customFormat="false" ht="15" hidden="false" customHeight="true" outlineLevel="0" collapsed="false">
      <c r="T235" s="1" t="str">
        <f aca="false">IF(AND('Sprint Planning'!$H233&gt;=10,'Sprint Planning'!$H233&lt;=16),IFERROR(MATCH('Sprint Planning'!$C233,Roadmap!$A$4:$A$15,0),99)*100+'Sprint Planning'!$H233+235/100000,"")</f>
        <v/>
      </c>
    </row>
    <row r="236" customFormat="false" ht="15" hidden="false" customHeight="true" outlineLevel="0" collapsed="false">
      <c r="T236" s="1" t="str">
        <f aca="false">IF(AND('Sprint Planning'!$H234&gt;=10,'Sprint Planning'!$H234&lt;=16),IFERROR(MATCH('Sprint Planning'!$C234,Roadmap!$A$4:$A$15,0),99)*100+'Sprint Planning'!$H234+236/100000,"")</f>
        <v/>
      </c>
    </row>
    <row r="237" customFormat="false" ht="15" hidden="false" customHeight="true" outlineLevel="0" collapsed="false">
      <c r="T237" s="1" t="str">
        <f aca="false">IF(AND('Sprint Planning'!$H235&gt;=10,'Sprint Planning'!$H235&lt;=16),IFERROR(MATCH('Sprint Planning'!$C235,Roadmap!$A$4:$A$15,0),99)*100+'Sprint Planning'!$H235+237/100000,"")</f>
        <v/>
      </c>
    </row>
    <row r="238" customFormat="false" ht="15" hidden="false" customHeight="true" outlineLevel="0" collapsed="false">
      <c r="T238" s="1" t="str">
        <f aca="false">IF(AND('Sprint Planning'!$H236&gt;=10,'Sprint Planning'!$H236&lt;=16),IFERROR(MATCH('Sprint Planning'!$C236,Roadmap!$A$4:$A$15,0),99)*100+'Sprint Planning'!$H236+238/100000,"")</f>
        <v/>
      </c>
    </row>
    <row r="239" customFormat="false" ht="15" hidden="false" customHeight="true" outlineLevel="0" collapsed="false">
      <c r="T239" s="1" t="str">
        <f aca="false">IF(AND('Sprint Planning'!$H237&gt;=10,'Sprint Planning'!$H237&lt;=16),IFERROR(MATCH('Sprint Planning'!$C237,Roadmap!$A$4:$A$15,0),99)*100+'Sprint Planning'!$H237+239/100000,"")</f>
        <v/>
      </c>
    </row>
    <row r="240" customFormat="false" ht="15" hidden="false" customHeight="true" outlineLevel="0" collapsed="false">
      <c r="T240" s="1" t="str">
        <f aca="false">IF(AND('Sprint Planning'!$H238&gt;=10,'Sprint Planning'!$H238&lt;=16),IFERROR(MATCH('Sprint Planning'!$C238,Roadmap!$A$4:$A$15,0),99)*100+'Sprint Planning'!$H238+240/100000,"")</f>
        <v/>
      </c>
    </row>
    <row r="241" customFormat="false" ht="15" hidden="false" customHeight="true" outlineLevel="0" collapsed="false">
      <c r="T241" s="1" t="str">
        <f aca="false">IF(AND('Sprint Planning'!$H239&gt;=10,'Sprint Planning'!$H239&lt;=16),IFERROR(MATCH('Sprint Planning'!$C239,Roadmap!$A$4:$A$15,0),99)*100+'Sprint Planning'!$H239+241/100000,"")</f>
        <v/>
      </c>
    </row>
    <row r="242" customFormat="false" ht="15" hidden="false" customHeight="true" outlineLevel="0" collapsed="false">
      <c r="T242" s="1" t="str">
        <f aca="false">IF(AND('Sprint Planning'!$H240&gt;=10,'Sprint Planning'!$H240&lt;=16),IFERROR(MATCH('Sprint Planning'!$C240,Roadmap!$A$4:$A$15,0),99)*100+'Sprint Planning'!$H240+242/100000,"")</f>
        <v/>
      </c>
    </row>
    <row r="243" customFormat="false" ht="15" hidden="false" customHeight="true" outlineLevel="0" collapsed="false">
      <c r="T243" s="1" t="str">
        <f aca="false">IF(AND('Sprint Planning'!$H241&gt;=10,'Sprint Planning'!$H241&lt;=16),IFERROR(MATCH('Sprint Planning'!$C241,Roadmap!$A$4:$A$15,0),99)*100+'Sprint Planning'!$H241+243/100000,"")</f>
        <v/>
      </c>
    </row>
    <row r="244" customFormat="false" ht="15" hidden="false" customHeight="true" outlineLevel="0" collapsed="false">
      <c r="T244" s="1" t="str">
        <f aca="false">IF(AND('Sprint Planning'!$H242&gt;=10,'Sprint Planning'!$H242&lt;=16),IFERROR(MATCH('Sprint Planning'!$C242,Roadmap!$A$4:$A$15,0),99)*100+'Sprint Planning'!$H242+244/100000,"")</f>
        <v/>
      </c>
    </row>
    <row r="245" customFormat="false" ht="15" hidden="false" customHeight="true" outlineLevel="0" collapsed="false">
      <c r="T245" s="1" t="str">
        <f aca="false">IF(AND('Sprint Planning'!$H243&gt;=10,'Sprint Planning'!$H243&lt;=16),IFERROR(MATCH('Sprint Planning'!$C243,Roadmap!$A$4:$A$15,0),99)*100+'Sprint Planning'!$H243+245/100000,"")</f>
        <v/>
      </c>
    </row>
    <row r="246" customFormat="false" ht="15" hidden="false" customHeight="true" outlineLevel="0" collapsed="false">
      <c r="T246" s="1" t="str">
        <f aca="false">IF(AND('Sprint Planning'!$H244&gt;=10,'Sprint Planning'!$H244&lt;=16),IFERROR(MATCH('Sprint Planning'!$C244,Roadmap!$A$4:$A$15,0),99)*100+'Sprint Planning'!$H244+246/100000,"")</f>
        <v/>
      </c>
    </row>
    <row r="247" customFormat="false" ht="15" hidden="false" customHeight="true" outlineLevel="0" collapsed="false">
      <c r="T247" s="1" t="str">
        <f aca="false">IF(AND('Sprint Planning'!$H245&gt;=10,'Sprint Planning'!$H245&lt;=16),IFERROR(MATCH('Sprint Planning'!$C245,Roadmap!$A$4:$A$15,0),99)*100+'Sprint Planning'!$H245+247/100000,"")</f>
        <v/>
      </c>
    </row>
    <row r="248" customFormat="false" ht="15" hidden="false" customHeight="true" outlineLevel="0" collapsed="false">
      <c r="T248" s="1" t="str">
        <f aca="false">IF(AND('Sprint Planning'!$H246&gt;=10,'Sprint Planning'!$H246&lt;=16),IFERROR(MATCH('Sprint Planning'!$C246,Roadmap!$A$4:$A$15,0),99)*100+'Sprint Planning'!$H246+248/100000,"")</f>
        <v/>
      </c>
    </row>
    <row r="249" customFormat="false" ht="15" hidden="false" customHeight="true" outlineLevel="0" collapsed="false">
      <c r="T249" s="1" t="str">
        <f aca="false">IF(AND('Sprint Planning'!$H247&gt;=10,'Sprint Planning'!$H247&lt;=16),IFERROR(MATCH('Sprint Planning'!$C247,Roadmap!$A$4:$A$15,0),99)*100+'Sprint Planning'!$H247+249/100000,"")</f>
        <v/>
      </c>
    </row>
    <row r="250" customFormat="false" ht="15" hidden="false" customHeight="true" outlineLevel="0" collapsed="false">
      <c r="T250" s="1" t="str">
        <f aca="false">IF(AND('Sprint Planning'!$H248&gt;=10,'Sprint Planning'!$H248&lt;=16),IFERROR(MATCH('Sprint Planning'!$C248,Roadmap!$A$4:$A$15,0),99)*100+'Sprint Planning'!$H248+250/100000,"")</f>
        <v/>
      </c>
    </row>
    <row r="251" customFormat="false" ht="15" hidden="false" customHeight="true" outlineLevel="0" collapsed="false">
      <c r="T251" s="1" t="str">
        <f aca="false">IF(AND('Sprint Planning'!$H249&gt;=10,'Sprint Planning'!$H249&lt;=16),IFERROR(MATCH('Sprint Planning'!$C249,Roadmap!$A$4:$A$15,0),99)*100+'Sprint Planning'!$H249+251/100000,"")</f>
        <v/>
      </c>
    </row>
    <row r="252" customFormat="false" ht="15" hidden="false" customHeight="true" outlineLevel="0" collapsed="false">
      <c r="T252" s="1" t="str">
        <f aca="false">IF(AND('Sprint Planning'!$H250&gt;=10,'Sprint Planning'!$H250&lt;=16),IFERROR(MATCH('Sprint Planning'!$C250,Roadmap!$A$4:$A$15,0),99)*100+'Sprint Planning'!$H250+252/100000,"")</f>
        <v/>
      </c>
    </row>
    <row r="253" customFormat="false" ht="15" hidden="false" customHeight="true" outlineLevel="0" collapsed="false">
      <c r="T253" s="1" t="str">
        <f aca="false">IF(AND('Sprint Planning'!$H251&gt;=10,'Sprint Planning'!$H251&lt;=16),IFERROR(MATCH('Sprint Planning'!$C251,Roadmap!$A$4:$A$15,0),99)*100+'Sprint Planning'!$H251+253/100000,"")</f>
        <v/>
      </c>
    </row>
    <row r="254" customFormat="false" ht="15" hidden="false" customHeight="true" outlineLevel="0" collapsed="false">
      <c r="T254" s="1" t="str">
        <f aca="false">IF(AND('Sprint Planning'!$H252&gt;=10,'Sprint Planning'!$H252&lt;=16),IFERROR(MATCH('Sprint Planning'!$C252,Roadmap!$A$4:$A$15,0),99)*100+'Sprint Planning'!$H252+254/100000,"")</f>
        <v/>
      </c>
    </row>
    <row r="255" customFormat="false" ht="15" hidden="false" customHeight="true" outlineLevel="0" collapsed="false">
      <c r="T255" s="1" t="str">
        <f aca="false">IF(AND('Sprint Planning'!$H253&gt;=10,'Sprint Planning'!$H253&lt;=16),IFERROR(MATCH('Sprint Planning'!$C253,Roadmap!$A$4:$A$15,0),99)*100+'Sprint Planning'!$H253+255/100000,"")</f>
        <v/>
      </c>
    </row>
    <row r="256" customFormat="false" ht="15" hidden="false" customHeight="true" outlineLevel="0" collapsed="false">
      <c r="T256" s="1" t="str">
        <f aca="false">IF(AND('Sprint Planning'!$H254&gt;=10,'Sprint Planning'!$H254&lt;=16),IFERROR(MATCH('Sprint Planning'!$C254,Roadmap!$A$4:$A$15,0),99)*100+'Sprint Planning'!$H254+256/100000,"")</f>
        <v/>
      </c>
    </row>
    <row r="257" customFormat="false" ht="15" hidden="false" customHeight="true" outlineLevel="0" collapsed="false">
      <c r="T257" s="1" t="str">
        <f aca="false">IF(AND('Sprint Planning'!$H255&gt;=10,'Sprint Planning'!$H255&lt;=16),IFERROR(MATCH('Sprint Planning'!$C255,Roadmap!$A$4:$A$15,0),99)*100+'Sprint Planning'!$H255+257/100000,"")</f>
        <v/>
      </c>
    </row>
    <row r="258" customFormat="false" ht="15" hidden="false" customHeight="true" outlineLevel="0" collapsed="false">
      <c r="T258" s="1" t="str">
        <f aca="false">IF(AND('Sprint Planning'!$H256&gt;=10,'Sprint Planning'!$H256&lt;=16),IFERROR(MATCH('Sprint Planning'!$C256,Roadmap!$A$4:$A$15,0),99)*100+'Sprint Planning'!$H256+258/100000,"")</f>
        <v/>
      </c>
    </row>
    <row r="259" customFormat="false" ht="15" hidden="false" customHeight="true" outlineLevel="0" collapsed="false">
      <c r="T259" s="1" t="str">
        <f aca="false">IF(AND('Sprint Planning'!$H257&gt;=10,'Sprint Planning'!$H257&lt;=16),IFERROR(MATCH('Sprint Planning'!$C257,Roadmap!$A$4:$A$15,0),99)*100+'Sprint Planning'!$H257+259/100000,"")</f>
        <v/>
      </c>
    </row>
    <row r="260" customFormat="false" ht="15" hidden="false" customHeight="true" outlineLevel="0" collapsed="false">
      <c r="T260" s="1" t="str">
        <f aca="false">IF(AND('Sprint Planning'!$H258&gt;=10,'Sprint Planning'!$H258&lt;=16),IFERROR(MATCH('Sprint Planning'!$C258,Roadmap!$A$4:$A$15,0),99)*100+'Sprint Planning'!$H258+260/100000,"")</f>
        <v/>
      </c>
    </row>
    <row r="261" customFormat="false" ht="15" hidden="false" customHeight="true" outlineLevel="0" collapsed="false">
      <c r="T261" s="1" t="str">
        <f aca="false">IF(AND('Sprint Planning'!$H259&gt;=10,'Sprint Planning'!$H259&lt;=16),IFERROR(MATCH('Sprint Planning'!$C259,Roadmap!$A$4:$A$15,0),99)*100+'Sprint Planning'!$H259+261/100000,"")</f>
        <v/>
      </c>
    </row>
    <row r="262" customFormat="false" ht="15" hidden="false" customHeight="true" outlineLevel="0" collapsed="false">
      <c r="T262" s="1" t="str">
        <f aca="false">IF(AND('Sprint Planning'!$H260&gt;=10,'Sprint Planning'!$H260&lt;=16),IFERROR(MATCH('Sprint Planning'!$C260,Roadmap!$A$4:$A$15,0),99)*100+'Sprint Planning'!$H260+262/100000,"")</f>
        <v/>
      </c>
    </row>
    <row r="263" customFormat="false" ht="15" hidden="false" customHeight="true" outlineLevel="0" collapsed="false">
      <c r="T263" s="1" t="str">
        <f aca="false">IF(AND('Sprint Planning'!$H261&gt;=10,'Sprint Planning'!$H261&lt;=16),IFERROR(MATCH('Sprint Planning'!$C261,Roadmap!$A$4:$A$15,0),99)*100+'Sprint Planning'!$H261+263/100000,"")</f>
        <v/>
      </c>
    </row>
    <row r="264" customFormat="false" ht="15" hidden="false" customHeight="true" outlineLevel="0" collapsed="false">
      <c r="T264" s="1" t="str">
        <f aca="false">IF(AND('Sprint Planning'!$H262&gt;=10,'Sprint Planning'!$H262&lt;=16),IFERROR(MATCH('Sprint Planning'!$C262,Roadmap!$A$4:$A$15,0),99)*100+'Sprint Planning'!$H262+264/100000,"")</f>
        <v/>
      </c>
    </row>
    <row r="265" customFormat="false" ht="15" hidden="false" customHeight="true" outlineLevel="0" collapsed="false">
      <c r="T265" s="1" t="str">
        <f aca="false">IF(AND('Sprint Planning'!$H263&gt;=10,'Sprint Planning'!$H263&lt;=16),IFERROR(MATCH('Sprint Planning'!$C263,Roadmap!$A$4:$A$15,0),99)*100+'Sprint Planning'!$H263+265/100000,"")</f>
        <v/>
      </c>
    </row>
    <row r="266" customFormat="false" ht="15" hidden="false" customHeight="true" outlineLevel="0" collapsed="false">
      <c r="T266" s="1" t="str">
        <f aca="false">IF(AND('Sprint Planning'!$H264&gt;=10,'Sprint Planning'!$H264&lt;=16),IFERROR(MATCH('Sprint Planning'!$C264,Roadmap!$A$4:$A$15,0),99)*100+'Sprint Planning'!$H264+266/100000,"")</f>
        <v/>
      </c>
    </row>
    <row r="267" customFormat="false" ht="15" hidden="false" customHeight="true" outlineLevel="0" collapsed="false">
      <c r="T267" s="1" t="str">
        <f aca="false">IF(AND('Sprint Planning'!$H265&gt;=10,'Sprint Planning'!$H265&lt;=16),IFERROR(MATCH('Sprint Planning'!$C265,Roadmap!$A$4:$A$15,0),99)*100+'Sprint Planning'!$H265+267/100000,"")</f>
        <v/>
      </c>
    </row>
    <row r="268" customFormat="false" ht="15" hidden="false" customHeight="true" outlineLevel="0" collapsed="false">
      <c r="T268" s="1" t="str">
        <f aca="false">IF(AND('Sprint Planning'!$H266&gt;=10,'Sprint Planning'!$H266&lt;=16),IFERROR(MATCH('Sprint Planning'!$C266,Roadmap!$A$4:$A$15,0),99)*100+'Sprint Planning'!$H266+268/100000,"")</f>
        <v/>
      </c>
    </row>
    <row r="269" customFormat="false" ht="15" hidden="false" customHeight="true" outlineLevel="0" collapsed="false">
      <c r="T269" s="1" t="str">
        <f aca="false">IF(AND('Sprint Planning'!$H267&gt;=10,'Sprint Planning'!$H267&lt;=16),IFERROR(MATCH('Sprint Planning'!$C267,Roadmap!$A$4:$A$15,0),99)*100+'Sprint Planning'!$H267+269/100000,"")</f>
        <v/>
      </c>
    </row>
    <row r="270" customFormat="false" ht="15" hidden="false" customHeight="true" outlineLevel="0" collapsed="false">
      <c r="T270" s="1" t="str">
        <f aca="false">IF(AND('Sprint Planning'!$H268&gt;=10,'Sprint Planning'!$H268&lt;=16),IFERROR(MATCH('Sprint Planning'!$C268,Roadmap!$A$4:$A$15,0),99)*100+'Sprint Planning'!$H268+270/100000,"")</f>
        <v/>
      </c>
    </row>
    <row r="271" customFormat="false" ht="15" hidden="false" customHeight="true" outlineLevel="0" collapsed="false">
      <c r="T271" s="1" t="str">
        <f aca="false">IF(AND('Sprint Planning'!$H269&gt;=10,'Sprint Planning'!$H269&lt;=16),IFERROR(MATCH('Sprint Planning'!$C269,Roadmap!$A$4:$A$15,0),99)*100+'Sprint Planning'!$H269+271/100000,"")</f>
        <v/>
      </c>
    </row>
    <row r="272" customFormat="false" ht="15" hidden="false" customHeight="true" outlineLevel="0" collapsed="false">
      <c r="T272" s="1" t="str">
        <f aca="false">IF(AND('Sprint Planning'!$H270&gt;=10,'Sprint Planning'!$H270&lt;=16),IFERROR(MATCH('Sprint Planning'!$C270,Roadmap!$A$4:$A$15,0),99)*100+'Sprint Planning'!$H270+272/100000,"")</f>
        <v/>
      </c>
    </row>
    <row r="273" customFormat="false" ht="15" hidden="false" customHeight="true" outlineLevel="0" collapsed="false">
      <c r="T273" s="1" t="str">
        <f aca="false">IF(AND('Sprint Planning'!$H271&gt;=10,'Sprint Planning'!$H271&lt;=16),IFERROR(MATCH('Sprint Planning'!$C271,Roadmap!$A$4:$A$15,0),99)*100+'Sprint Planning'!$H271+273/100000,"")</f>
        <v/>
      </c>
    </row>
    <row r="274" customFormat="false" ht="15" hidden="false" customHeight="true" outlineLevel="0" collapsed="false">
      <c r="T274" s="1" t="str">
        <f aca="false">IF(AND('Sprint Planning'!$H272&gt;=10,'Sprint Planning'!$H272&lt;=16),IFERROR(MATCH('Sprint Planning'!$C272,Roadmap!$A$4:$A$15,0),99)*100+'Sprint Planning'!$H272+274/100000,"")</f>
        <v/>
      </c>
    </row>
    <row r="275" customFormat="false" ht="15" hidden="false" customHeight="true" outlineLevel="0" collapsed="false">
      <c r="T275" s="1" t="str">
        <f aca="false">IF(AND('Sprint Planning'!$H273&gt;=10,'Sprint Planning'!$H273&lt;=16),IFERROR(MATCH('Sprint Planning'!$C273,Roadmap!$A$4:$A$15,0),99)*100+'Sprint Planning'!$H273+275/100000,"")</f>
        <v/>
      </c>
    </row>
    <row r="276" customFormat="false" ht="15" hidden="false" customHeight="true" outlineLevel="0" collapsed="false">
      <c r="T276" s="1" t="str">
        <f aca="false">IF(AND('Sprint Planning'!$H274&gt;=10,'Sprint Planning'!$H274&lt;=16),IFERROR(MATCH('Sprint Planning'!$C274,Roadmap!$A$4:$A$15,0),99)*100+'Sprint Planning'!$H274+276/100000,"")</f>
        <v/>
      </c>
    </row>
    <row r="277" customFormat="false" ht="15" hidden="false" customHeight="true" outlineLevel="0" collapsed="false">
      <c r="T277" s="1" t="str">
        <f aca="false">IF(AND('Sprint Planning'!$H275&gt;=10,'Sprint Planning'!$H275&lt;=16),IFERROR(MATCH('Sprint Planning'!$C275,Roadmap!$A$4:$A$15,0),99)*100+'Sprint Planning'!$H275+277/100000,"")</f>
        <v/>
      </c>
    </row>
    <row r="278" customFormat="false" ht="15" hidden="false" customHeight="true" outlineLevel="0" collapsed="false">
      <c r="T278" s="1" t="str">
        <f aca="false">IF(AND('Sprint Planning'!$H276&gt;=10,'Sprint Planning'!$H276&lt;=16),IFERROR(MATCH('Sprint Planning'!$C276,Roadmap!$A$4:$A$15,0),99)*100+'Sprint Planning'!$H276+278/100000,"")</f>
        <v/>
      </c>
    </row>
    <row r="279" customFormat="false" ht="15" hidden="false" customHeight="true" outlineLevel="0" collapsed="false">
      <c r="T279" s="1" t="str">
        <f aca="false">IF(AND('Sprint Planning'!$H277&gt;=10,'Sprint Planning'!$H277&lt;=16),IFERROR(MATCH('Sprint Planning'!$C277,Roadmap!$A$4:$A$15,0),99)*100+'Sprint Planning'!$H277+279/100000,"")</f>
        <v/>
      </c>
    </row>
    <row r="280" customFormat="false" ht="15" hidden="false" customHeight="true" outlineLevel="0" collapsed="false">
      <c r="T280" s="1" t="str">
        <f aca="false">IF(AND('Sprint Planning'!$H278&gt;=10,'Sprint Planning'!$H278&lt;=16),IFERROR(MATCH('Sprint Planning'!$C278,Roadmap!$A$4:$A$15,0),99)*100+'Sprint Planning'!$H278+280/100000,"")</f>
        <v/>
      </c>
    </row>
    <row r="281" customFormat="false" ht="15" hidden="false" customHeight="true" outlineLevel="0" collapsed="false">
      <c r="T281" s="1" t="str">
        <f aca="false">IF(AND('Sprint Planning'!$H279&gt;=10,'Sprint Planning'!$H279&lt;=16),IFERROR(MATCH('Sprint Planning'!$C279,Roadmap!$A$4:$A$15,0),99)*100+'Sprint Planning'!$H279+281/100000,"")</f>
        <v/>
      </c>
    </row>
    <row r="282" customFormat="false" ht="15" hidden="false" customHeight="true" outlineLevel="0" collapsed="false">
      <c r="T282" s="1" t="str">
        <f aca="false">IF(AND('Sprint Planning'!$H280&gt;=10,'Sprint Planning'!$H280&lt;=16),IFERROR(MATCH('Sprint Planning'!$C280,Roadmap!$A$4:$A$15,0),99)*100+'Sprint Planning'!$H280+282/100000,"")</f>
        <v/>
      </c>
    </row>
    <row r="283" customFormat="false" ht="15" hidden="false" customHeight="true" outlineLevel="0" collapsed="false">
      <c r="T283" s="1" t="str">
        <f aca="false">IF(AND('Sprint Planning'!$H281&gt;=10,'Sprint Planning'!$H281&lt;=16),IFERROR(MATCH('Sprint Planning'!$C281,Roadmap!$A$4:$A$15,0),99)*100+'Sprint Planning'!$H281+283/100000,"")</f>
        <v/>
      </c>
    </row>
    <row r="284" customFormat="false" ht="15" hidden="false" customHeight="true" outlineLevel="0" collapsed="false">
      <c r="T284" s="1" t="str">
        <f aca="false">IF(AND('Sprint Planning'!$H282&gt;=10,'Sprint Planning'!$H282&lt;=16),IFERROR(MATCH('Sprint Planning'!$C282,Roadmap!$A$4:$A$15,0),99)*100+'Sprint Planning'!$H282+284/100000,"")</f>
        <v/>
      </c>
    </row>
    <row r="285" customFormat="false" ht="15" hidden="false" customHeight="true" outlineLevel="0" collapsed="false">
      <c r="T285" s="1" t="str">
        <f aca="false">IF(AND('Sprint Planning'!$H283&gt;=10,'Sprint Planning'!$H283&lt;=16),IFERROR(MATCH('Sprint Planning'!$C283,Roadmap!$A$4:$A$15,0),99)*100+'Sprint Planning'!$H283+285/100000,"")</f>
        <v/>
      </c>
    </row>
    <row r="286" customFormat="false" ht="15" hidden="false" customHeight="true" outlineLevel="0" collapsed="false">
      <c r="T286" s="1" t="str">
        <f aca="false">IF(AND('Sprint Planning'!$H284&gt;=10,'Sprint Planning'!$H284&lt;=16),IFERROR(MATCH('Sprint Planning'!$C284,Roadmap!$A$4:$A$15,0),99)*100+'Sprint Planning'!$H284+286/100000,"")</f>
        <v/>
      </c>
    </row>
    <row r="287" customFormat="false" ht="15" hidden="false" customHeight="true" outlineLevel="0" collapsed="false">
      <c r="T287" s="1" t="str">
        <f aca="false">IF(AND('Sprint Planning'!$H285&gt;=10,'Sprint Planning'!$H285&lt;=16),IFERROR(MATCH('Sprint Planning'!$C285,Roadmap!$A$4:$A$15,0),99)*100+'Sprint Planning'!$H285+287/100000,"")</f>
        <v/>
      </c>
    </row>
    <row r="288" customFormat="false" ht="15" hidden="false" customHeight="true" outlineLevel="0" collapsed="false">
      <c r="T288" s="1" t="str">
        <f aca="false">IF(AND('Sprint Planning'!$H286&gt;=10,'Sprint Planning'!$H286&lt;=16),IFERROR(MATCH('Sprint Planning'!$C286,Roadmap!$A$4:$A$15,0),99)*100+'Sprint Planning'!$H286+288/100000,"")</f>
        <v/>
      </c>
    </row>
    <row r="289" customFormat="false" ht="15" hidden="false" customHeight="true" outlineLevel="0" collapsed="false">
      <c r="T289" s="1" t="str">
        <f aca="false">IF(AND('Sprint Planning'!$H287&gt;=10,'Sprint Planning'!$H287&lt;=16),IFERROR(MATCH('Sprint Planning'!$C287,Roadmap!$A$4:$A$15,0),99)*100+'Sprint Planning'!$H287+289/100000,"")</f>
        <v/>
      </c>
    </row>
    <row r="290" customFormat="false" ht="15" hidden="false" customHeight="true" outlineLevel="0" collapsed="false">
      <c r="T290" s="1" t="str">
        <f aca="false">IF(AND('Sprint Planning'!$H288&gt;=10,'Sprint Planning'!$H288&lt;=16),IFERROR(MATCH('Sprint Planning'!$C288,Roadmap!$A$4:$A$15,0),99)*100+'Sprint Planning'!$H288+290/100000,"")</f>
        <v/>
      </c>
    </row>
    <row r="291" customFormat="false" ht="15" hidden="false" customHeight="true" outlineLevel="0" collapsed="false">
      <c r="T291" s="1" t="str">
        <f aca="false">IF(AND('Sprint Planning'!$H289&gt;=10,'Sprint Planning'!$H289&lt;=16),IFERROR(MATCH('Sprint Planning'!$C289,Roadmap!$A$4:$A$15,0),99)*100+'Sprint Planning'!$H289+291/100000,"")</f>
        <v/>
      </c>
    </row>
    <row r="292" customFormat="false" ht="15" hidden="false" customHeight="true" outlineLevel="0" collapsed="false">
      <c r="T292" s="1" t="str">
        <f aca="false">IF(AND('Sprint Planning'!$H290&gt;=10,'Sprint Planning'!$H290&lt;=16),IFERROR(MATCH('Sprint Planning'!$C290,Roadmap!$A$4:$A$15,0),99)*100+'Sprint Planning'!$H290+292/100000,"")</f>
        <v/>
      </c>
    </row>
    <row r="293" customFormat="false" ht="15" hidden="false" customHeight="true" outlineLevel="0" collapsed="false">
      <c r="T293" s="1" t="str">
        <f aca="false">IF(AND('Sprint Planning'!$H291&gt;=10,'Sprint Planning'!$H291&lt;=16),IFERROR(MATCH('Sprint Planning'!$C291,Roadmap!$A$4:$A$15,0),99)*100+'Sprint Planning'!$H291+293/100000,"")</f>
        <v/>
      </c>
    </row>
    <row r="294" customFormat="false" ht="15" hidden="false" customHeight="true" outlineLevel="0" collapsed="false">
      <c r="T294" s="1" t="str">
        <f aca="false">IF(AND('Sprint Planning'!$H292&gt;=10,'Sprint Planning'!$H292&lt;=16),IFERROR(MATCH('Sprint Planning'!$C292,Roadmap!$A$4:$A$15,0),99)*100+'Sprint Planning'!$H292+294/100000,"")</f>
        <v/>
      </c>
    </row>
    <row r="295" customFormat="false" ht="15" hidden="false" customHeight="true" outlineLevel="0" collapsed="false">
      <c r="T295" s="1" t="str">
        <f aca="false">IF(AND('Sprint Planning'!$H293&gt;=10,'Sprint Planning'!$H293&lt;=16),IFERROR(MATCH('Sprint Planning'!$C293,Roadmap!$A$4:$A$15,0),99)*100+'Sprint Planning'!$H293+295/100000,"")</f>
        <v/>
      </c>
    </row>
    <row r="296" customFormat="false" ht="15" hidden="false" customHeight="true" outlineLevel="0" collapsed="false">
      <c r="T296" s="1" t="str">
        <f aca="false">IF(AND('Sprint Planning'!$H294&gt;=10,'Sprint Planning'!$H294&lt;=16),IFERROR(MATCH('Sprint Planning'!$C294,Roadmap!$A$4:$A$15,0),99)*100+'Sprint Planning'!$H294+296/100000,"")</f>
        <v/>
      </c>
    </row>
    <row r="297" customFormat="false" ht="15" hidden="false" customHeight="true" outlineLevel="0" collapsed="false">
      <c r="T297" s="1" t="str">
        <f aca="false">IF(AND('Sprint Planning'!$H295&gt;=10,'Sprint Planning'!$H295&lt;=16),IFERROR(MATCH('Sprint Planning'!$C295,Roadmap!$A$4:$A$15,0),99)*100+'Sprint Planning'!$H295+297/100000,"")</f>
        <v/>
      </c>
    </row>
    <row r="298" customFormat="false" ht="15" hidden="false" customHeight="true" outlineLevel="0" collapsed="false">
      <c r="T298" s="1" t="str">
        <f aca="false">IF(AND('Sprint Planning'!$H296&gt;=10,'Sprint Planning'!$H296&lt;=16),IFERROR(MATCH('Sprint Planning'!$C296,Roadmap!$A$4:$A$15,0),99)*100+'Sprint Planning'!$H296+298/100000,"")</f>
        <v/>
      </c>
    </row>
    <row r="299" customFormat="false" ht="15" hidden="false" customHeight="true" outlineLevel="0" collapsed="false">
      <c r="T299" s="1" t="str">
        <f aca="false">IF(AND('Sprint Planning'!$H297&gt;=10,'Sprint Planning'!$H297&lt;=16),IFERROR(MATCH('Sprint Planning'!$C297,Roadmap!$A$4:$A$15,0),99)*100+'Sprint Planning'!$H297+299/100000,"")</f>
        <v/>
      </c>
    </row>
    <row r="300" customFormat="false" ht="15" hidden="false" customHeight="true" outlineLevel="0" collapsed="false">
      <c r="T300" s="1" t="str">
        <f aca="false">IF(AND('Sprint Planning'!$H298&gt;=10,'Sprint Planning'!$H298&lt;=16),IFERROR(MATCH('Sprint Planning'!$C298,Roadmap!$A$4:$A$15,0),99)*100+'Sprint Planning'!$H298+300/100000,"")</f>
        <v/>
      </c>
    </row>
    <row r="301" customFormat="false" ht="15" hidden="false" customHeight="true" outlineLevel="0" collapsed="false">
      <c r="T301" s="1" t="str">
        <f aca="false">IF(AND('Sprint Planning'!$H299&gt;=10,'Sprint Planning'!$H299&lt;=16),IFERROR(MATCH('Sprint Planning'!$C299,Roadmap!$A$4:$A$15,0),99)*100+'Sprint Planning'!$H299+301/100000,"")</f>
        <v/>
      </c>
    </row>
    <row r="302" customFormat="false" ht="15" hidden="false" customHeight="true" outlineLevel="0" collapsed="false">
      <c r="T302" s="1" t="str">
        <f aca="false">IF(AND('Sprint Planning'!$H300&gt;=10,'Sprint Planning'!$H300&lt;=16),IFERROR(MATCH('Sprint Planning'!$C300,Roadmap!$A$4:$A$15,0),99)*100+'Sprint Planning'!$H300+302/100000,"")</f>
        <v/>
      </c>
    </row>
    <row r="303" customFormat="false" ht="15" hidden="false" customHeight="true" outlineLevel="0" collapsed="false">
      <c r="T303" s="1" t="str">
        <f aca="false">IF(AND('Sprint Planning'!$H301&gt;=10,'Sprint Planning'!$H301&lt;=16),IFERROR(MATCH('Sprint Planning'!$C301,Roadmap!$A$4:$A$15,0),99)*100+'Sprint Planning'!$H301+303/100000,"")</f>
        <v/>
      </c>
    </row>
    <row r="304" customFormat="false" ht="15" hidden="false" customHeight="true" outlineLevel="0" collapsed="false">
      <c r="T304" s="1" t="str">
        <f aca="false">IF(AND('Sprint Planning'!$H302&gt;=10,'Sprint Planning'!$H302&lt;=16),IFERROR(MATCH('Sprint Planning'!$C302,Roadmap!$A$4:$A$15,0),99)*100+'Sprint Planning'!$H302+304/100000,"")</f>
        <v/>
      </c>
    </row>
    <row r="305" customFormat="false" ht="15" hidden="false" customHeight="true" outlineLevel="0" collapsed="false">
      <c r="T305" s="1" t="str">
        <f aca="false">IF(AND('Sprint Planning'!$H303&gt;=10,'Sprint Planning'!$H303&lt;=16),IFERROR(MATCH('Sprint Planning'!$C303,Roadmap!$A$4:$A$15,0),99)*100+'Sprint Planning'!$H303+305/100000,"")</f>
        <v/>
      </c>
    </row>
    <row r="306" customFormat="false" ht="15" hidden="false" customHeight="true" outlineLevel="0" collapsed="false">
      <c r="T306" s="1" t="str">
        <f aca="false">IF(AND('Sprint Planning'!$H304&gt;=10,'Sprint Planning'!$H304&lt;=16),IFERROR(MATCH('Sprint Planning'!$C304,Roadmap!$A$4:$A$15,0),99)*100+'Sprint Planning'!$H304+306/100000,"")</f>
        <v/>
      </c>
    </row>
    <row r="307" customFormat="false" ht="15" hidden="false" customHeight="true" outlineLevel="0" collapsed="false">
      <c r="T307" s="1" t="str">
        <f aca="false">IF(AND('Sprint Planning'!$H305&gt;=10,'Sprint Planning'!$H305&lt;=16),IFERROR(MATCH('Sprint Planning'!$C305,Roadmap!$A$4:$A$15,0),99)*100+'Sprint Planning'!$H305+307/100000,"")</f>
        <v/>
      </c>
    </row>
    <row r="308" customFormat="false" ht="15" hidden="false" customHeight="true" outlineLevel="0" collapsed="false">
      <c r="T308" s="1" t="str">
        <f aca="false">IF(AND('Sprint Planning'!$H306&gt;=10,'Sprint Planning'!$H306&lt;=16),IFERROR(MATCH('Sprint Planning'!$C306,Roadmap!$A$4:$A$15,0),99)*100+'Sprint Planning'!$H306+308/100000,"")</f>
        <v/>
      </c>
    </row>
    <row r="309" customFormat="false" ht="15" hidden="false" customHeight="true" outlineLevel="0" collapsed="false">
      <c r="T309" s="1" t="str">
        <f aca="false">IF(AND('Sprint Planning'!$H307&gt;=10,'Sprint Planning'!$H307&lt;=16),IFERROR(MATCH('Sprint Planning'!$C307,Roadmap!$A$4:$A$15,0),99)*100+'Sprint Planning'!$H307+309/100000,"")</f>
        <v/>
      </c>
    </row>
    <row r="310" customFormat="false" ht="15" hidden="false" customHeight="true" outlineLevel="0" collapsed="false">
      <c r="T310" s="1" t="str">
        <f aca="false">IF(AND('Sprint Planning'!$H308&gt;=10,'Sprint Planning'!$H308&lt;=16),IFERROR(MATCH('Sprint Planning'!$C308,Roadmap!$A$4:$A$15,0),99)*100+'Sprint Planning'!$H308+310/100000,"")</f>
        <v/>
      </c>
    </row>
    <row r="311" customFormat="false" ht="15" hidden="false" customHeight="true" outlineLevel="0" collapsed="false">
      <c r="T311" s="1" t="str">
        <f aca="false">IF(AND('Sprint Planning'!$H309&gt;=10,'Sprint Planning'!$H309&lt;=16),IFERROR(MATCH('Sprint Planning'!$C309,Roadmap!$A$4:$A$15,0),99)*100+'Sprint Planning'!$H309+311/100000,"")</f>
        <v/>
      </c>
    </row>
    <row r="312" customFormat="false" ht="15" hidden="false" customHeight="true" outlineLevel="0" collapsed="false">
      <c r="T312" s="1" t="str">
        <f aca="false">IF(AND('Sprint Planning'!$H310&gt;=10,'Sprint Planning'!$H310&lt;=16),IFERROR(MATCH('Sprint Planning'!$C310,Roadmap!$A$4:$A$15,0),99)*100+'Sprint Planning'!$H310+312/100000,"")</f>
        <v/>
      </c>
    </row>
    <row r="313" customFormat="false" ht="15" hidden="false" customHeight="true" outlineLevel="0" collapsed="false">
      <c r="T313" s="1" t="str">
        <f aca="false">IF(AND('Sprint Planning'!$H311&gt;=10,'Sprint Planning'!$H311&lt;=16),IFERROR(MATCH('Sprint Planning'!$C311,Roadmap!$A$4:$A$15,0),99)*100+'Sprint Planning'!$H311+313/100000,"")</f>
        <v/>
      </c>
    </row>
    <row r="314" customFormat="false" ht="15" hidden="false" customHeight="true" outlineLevel="0" collapsed="false">
      <c r="T314" s="1" t="str">
        <f aca="false">IF(AND('Sprint Planning'!$H312&gt;=10,'Sprint Planning'!$H312&lt;=16),IFERROR(MATCH('Sprint Planning'!$C312,Roadmap!$A$4:$A$15,0),99)*100+'Sprint Planning'!$H312+314/100000,"")</f>
        <v/>
      </c>
    </row>
    <row r="315" customFormat="false" ht="15" hidden="false" customHeight="true" outlineLevel="0" collapsed="false">
      <c r="T315" s="1" t="str">
        <f aca="false">IF(AND('Sprint Planning'!$H313&gt;=10,'Sprint Planning'!$H313&lt;=16),IFERROR(MATCH('Sprint Planning'!$C313,Roadmap!$A$4:$A$15,0),99)*100+'Sprint Planning'!$H313+315/100000,"")</f>
        <v/>
      </c>
    </row>
    <row r="316" customFormat="false" ht="15" hidden="false" customHeight="true" outlineLevel="0" collapsed="false">
      <c r="T316" s="1" t="str">
        <f aca="false">IF(AND('Sprint Planning'!$H314&gt;=10,'Sprint Planning'!$H314&lt;=16),IFERROR(MATCH('Sprint Planning'!$C314,Roadmap!$A$4:$A$15,0),99)*100+'Sprint Planning'!$H314+316/100000,"")</f>
        <v/>
      </c>
    </row>
    <row r="317" customFormat="false" ht="15" hidden="false" customHeight="true" outlineLevel="0" collapsed="false">
      <c r="T317" s="1" t="str">
        <f aca="false">IF(AND('Sprint Planning'!$H315&gt;=10,'Sprint Planning'!$H315&lt;=16),IFERROR(MATCH('Sprint Planning'!$C315,Roadmap!$A$4:$A$15,0),99)*100+'Sprint Planning'!$H315+317/100000,"")</f>
        <v/>
      </c>
    </row>
    <row r="318" customFormat="false" ht="15" hidden="false" customHeight="true" outlineLevel="0" collapsed="false">
      <c r="T318" s="1" t="str">
        <f aca="false">IF(AND('Sprint Planning'!$H316&gt;=10,'Sprint Planning'!$H316&lt;=16),IFERROR(MATCH('Sprint Planning'!$C316,Roadmap!$A$4:$A$15,0),99)*100+'Sprint Planning'!$H316+318/100000,"")</f>
        <v/>
      </c>
    </row>
    <row r="319" customFormat="false" ht="15" hidden="false" customHeight="true" outlineLevel="0" collapsed="false">
      <c r="T319" s="1" t="str">
        <f aca="false">IF(AND('Sprint Planning'!$H317&gt;=10,'Sprint Planning'!$H317&lt;=16),IFERROR(MATCH('Sprint Planning'!$C317,Roadmap!$A$4:$A$15,0),99)*100+'Sprint Planning'!$H317+319/100000,"")</f>
        <v/>
      </c>
    </row>
    <row r="320" customFormat="false" ht="15" hidden="false" customHeight="true" outlineLevel="0" collapsed="false">
      <c r="T320" s="1" t="str">
        <f aca="false">IF(AND('Sprint Planning'!$H318&gt;=10,'Sprint Planning'!$H318&lt;=16),IFERROR(MATCH('Sprint Planning'!$C318,Roadmap!$A$4:$A$15,0),99)*100+'Sprint Planning'!$H318+320/100000,"")</f>
        <v/>
      </c>
    </row>
    <row r="321" customFormat="false" ht="15" hidden="false" customHeight="true" outlineLevel="0" collapsed="false">
      <c r="T321" s="1" t="str">
        <f aca="false">IF(AND('Sprint Planning'!$H319&gt;=10,'Sprint Planning'!$H319&lt;=16),IFERROR(MATCH('Sprint Planning'!$C319,Roadmap!$A$4:$A$15,0),99)*100+'Sprint Planning'!$H319+321/100000,"")</f>
        <v/>
      </c>
    </row>
    <row r="322" customFormat="false" ht="15" hidden="false" customHeight="true" outlineLevel="0" collapsed="false">
      <c r="T322" s="1" t="str">
        <f aca="false">IF(AND('Sprint Planning'!$H320&gt;=10,'Sprint Planning'!$H320&lt;=16),IFERROR(MATCH('Sprint Planning'!$C320,Roadmap!$A$4:$A$15,0),99)*100+'Sprint Planning'!$H320+322/100000,"")</f>
        <v/>
      </c>
    </row>
    <row r="323" customFormat="false" ht="15" hidden="false" customHeight="true" outlineLevel="0" collapsed="false">
      <c r="T323" s="1" t="str">
        <f aca="false">IF(AND('Sprint Planning'!$H321&gt;=10,'Sprint Planning'!$H321&lt;=16),IFERROR(MATCH('Sprint Planning'!$C321,Roadmap!$A$4:$A$15,0),99)*100+'Sprint Planning'!$H321+323/100000,"")</f>
        <v/>
      </c>
    </row>
    <row r="324" customFormat="false" ht="15" hidden="false" customHeight="true" outlineLevel="0" collapsed="false">
      <c r="T324" s="1" t="str">
        <f aca="false">IF(AND('Sprint Planning'!$H322&gt;=10,'Sprint Planning'!$H322&lt;=16),IFERROR(MATCH('Sprint Planning'!$C322,Roadmap!$A$4:$A$15,0),99)*100+'Sprint Planning'!$H322+324/100000,"")</f>
        <v/>
      </c>
    </row>
    <row r="325" customFormat="false" ht="15" hidden="false" customHeight="true" outlineLevel="0" collapsed="false">
      <c r="T325" s="1" t="str">
        <f aca="false">IF(AND('Sprint Planning'!$H323&gt;=10,'Sprint Planning'!$H323&lt;=16),IFERROR(MATCH('Sprint Planning'!$C323,Roadmap!$A$4:$A$15,0),99)*100+'Sprint Planning'!$H323+325/100000,"")</f>
        <v/>
      </c>
    </row>
    <row r="326" customFormat="false" ht="15" hidden="false" customHeight="true" outlineLevel="0" collapsed="false">
      <c r="T326" s="1" t="str">
        <f aca="false">IF(AND('Sprint Planning'!$H324&gt;=10,'Sprint Planning'!$H324&lt;=16),IFERROR(MATCH('Sprint Planning'!$C324,Roadmap!$A$4:$A$15,0),99)*100+'Sprint Planning'!$H324+326/100000,"")</f>
        <v/>
      </c>
    </row>
    <row r="327" customFormat="false" ht="15" hidden="false" customHeight="true" outlineLevel="0" collapsed="false">
      <c r="T327" s="1" t="str">
        <f aca="false">IF(AND('Sprint Planning'!$H325&gt;=10,'Sprint Planning'!$H325&lt;=16),IFERROR(MATCH('Sprint Planning'!$C325,Roadmap!$A$4:$A$15,0),99)*100+'Sprint Planning'!$H325+327/100000,"")</f>
        <v/>
      </c>
    </row>
    <row r="328" customFormat="false" ht="15" hidden="false" customHeight="true" outlineLevel="0" collapsed="false">
      <c r="T328" s="1" t="str">
        <f aca="false">IF(AND('Sprint Planning'!$H326&gt;=10,'Sprint Planning'!$H326&lt;=16),IFERROR(MATCH('Sprint Planning'!$C326,Roadmap!$A$4:$A$15,0),99)*100+'Sprint Planning'!$H326+328/100000,"")</f>
        <v/>
      </c>
    </row>
    <row r="329" customFormat="false" ht="15" hidden="false" customHeight="true" outlineLevel="0" collapsed="false">
      <c r="T329" s="1" t="str">
        <f aca="false">IF(AND('Sprint Planning'!$H327&gt;=10,'Sprint Planning'!$H327&lt;=16),IFERROR(MATCH('Sprint Planning'!$C327,Roadmap!$A$4:$A$15,0),99)*100+'Sprint Planning'!$H327+329/100000,"")</f>
        <v/>
      </c>
    </row>
    <row r="330" customFormat="false" ht="15" hidden="false" customHeight="true" outlineLevel="0" collapsed="false">
      <c r="T330" s="1" t="str">
        <f aca="false">IF(AND('Sprint Planning'!$H328&gt;=10,'Sprint Planning'!$H328&lt;=16),IFERROR(MATCH('Sprint Planning'!$C328,Roadmap!$A$4:$A$15,0),99)*100+'Sprint Planning'!$H328+330/100000,"")</f>
        <v/>
      </c>
    </row>
    <row r="331" customFormat="false" ht="15" hidden="false" customHeight="true" outlineLevel="0" collapsed="false">
      <c r="T331" s="1" t="str">
        <f aca="false">IF(AND('Sprint Planning'!$H329&gt;=10,'Sprint Planning'!$H329&lt;=16),IFERROR(MATCH('Sprint Planning'!$C329,Roadmap!$A$4:$A$15,0),99)*100+'Sprint Planning'!$H329+331/100000,"")</f>
        <v/>
      </c>
    </row>
    <row r="332" customFormat="false" ht="15" hidden="false" customHeight="true" outlineLevel="0" collapsed="false">
      <c r="T332" s="1" t="str">
        <f aca="false">IF(AND('Sprint Planning'!$H330&gt;=10,'Sprint Planning'!$H330&lt;=16),IFERROR(MATCH('Sprint Planning'!$C330,Roadmap!$A$4:$A$15,0),99)*100+'Sprint Planning'!$H330+332/100000,"")</f>
        <v/>
      </c>
    </row>
    <row r="333" customFormat="false" ht="15" hidden="false" customHeight="true" outlineLevel="0" collapsed="false">
      <c r="T333" s="1" t="str">
        <f aca="false">IF(AND('Sprint Planning'!$H331&gt;=10,'Sprint Planning'!$H331&lt;=16),IFERROR(MATCH('Sprint Planning'!$C331,Roadmap!$A$4:$A$15,0),99)*100+'Sprint Planning'!$H331+333/100000,"")</f>
        <v/>
      </c>
    </row>
    <row r="334" customFormat="false" ht="15" hidden="false" customHeight="true" outlineLevel="0" collapsed="false">
      <c r="T334" s="1" t="str">
        <f aca="false">IF(AND('Sprint Planning'!$H332&gt;=10,'Sprint Planning'!$H332&lt;=16),IFERROR(MATCH('Sprint Planning'!$C332,Roadmap!$A$4:$A$15,0),99)*100+'Sprint Planning'!$H332+334/100000,"")</f>
        <v/>
      </c>
    </row>
    <row r="335" customFormat="false" ht="15" hidden="false" customHeight="true" outlineLevel="0" collapsed="false">
      <c r="T335" s="1" t="str">
        <f aca="false">IF(AND('Sprint Planning'!$H333&gt;=10,'Sprint Planning'!$H333&lt;=16),IFERROR(MATCH('Sprint Planning'!$C333,Roadmap!$A$4:$A$15,0),99)*100+'Sprint Planning'!$H333+335/100000,"")</f>
        <v/>
      </c>
    </row>
    <row r="336" customFormat="false" ht="15" hidden="false" customHeight="true" outlineLevel="0" collapsed="false">
      <c r="T336" s="1" t="str">
        <f aca="false">IF(AND('Sprint Planning'!$H334&gt;=10,'Sprint Planning'!$H334&lt;=16),IFERROR(MATCH('Sprint Planning'!$C334,Roadmap!$A$4:$A$15,0),99)*100+'Sprint Planning'!$H334+336/100000,"")</f>
        <v/>
      </c>
    </row>
    <row r="337" customFormat="false" ht="15" hidden="false" customHeight="true" outlineLevel="0" collapsed="false">
      <c r="T337" s="1" t="str">
        <f aca="false">IF(AND('Sprint Planning'!$H335&gt;=10,'Sprint Planning'!$H335&lt;=16),IFERROR(MATCH('Sprint Planning'!$C335,Roadmap!$A$4:$A$15,0),99)*100+'Sprint Planning'!$H335+337/100000,"")</f>
        <v/>
      </c>
    </row>
    <row r="338" customFormat="false" ht="15" hidden="false" customHeight="true" outlineLevel="0" collapsed="false">
      <c r="T338" s="1" t="str">
        <f aca="false">IF(AND('Sprint Planning'!$H336&gt;=10,'Sprint Planning'!$H336&lt;=16),IFERROR(MATCH('Sprint Planning'!$C336,Roadmap!$A$4:$A$15,0),99)*100+'Sprint Planning'!$H336+338/100000,"")</f>
        <v/>
      </c>
    </row>
    <row r="339" customFormat="false" ht="15" hidden="false" customHeight="true" outlineLevel="0" collapsed="false">
      <c r="T339" s="1" t="str">
        <f aca="false">IF(AND('Sprint Planning'!$H337&gt;=10,'Sprint Planning'!$H337&lt;=16),IFERROR(MATCH('Sprint Planning'!$C337,Roadmap!$A$4:$A$15,0),99)*100+'Sprint Planning'!$H337+339/100000,"")</f>
        <v/>
      </c>
    </row>
    <row r="340" customFormat="false" ht="15" hidden="false" customHeight="true" outlineLevel="0" collapsed="false">
      <c r="T340" s="1" t="str">
        <f aca="false">IF(AND('Sprint Planning'!$H338&gt;=10,'Sprint Planning'!$H338&lt;=16),IFERROR(MATCH('Sprint Planning'!$C338,Roadmap!$A$4:$A$15,0),99)*100+'Sprint Planning'!$H338+340/100000,"")</f>
        <v/>
      </c>
    </row>
    <row r="341" customFormat="false" ht="15" hidden="false" customHeight="true" outlineLevel="0" collapsed="false">
      <c r="T341" s="1" t="str">
        <f aca="false">IF(AND('Sprint Planning'!$H339&gt;=10,'Sprint Planning'!$H339&lt;=16),IFERROR(MATCH('Sprint Planning'!$C339,Roadmap!$A$4:$A$15,0),99)*100+'Sprint Planning'!$H339+341/100000,"")</f>
        <v/>
      </c>
    </row>
    <row r="342" customFormat="false" ht="15" hidden="false" customHeight="true" outlineLevel="0" collapsed="false">
      <c r="T342" s="1" t="str">
        <f aca="false">IF(AND('Sprint Planning'!$H340&gt;=10,'Sprint Planning'!$H340&lt;=16),IFERROR(MATCH('Sprint Planning'!$C340,Roadmap!$A$4:$A$15,0),99)*100+'Sprint Planning'!$H340+342/100000,"")</f>
        <v/>
      </c>
    </row>
    <row r="343" customFormat="false" ht="15" hidden="false" customHeight="true" outlineLevel="0" collapsed="false">
      <c r="T343" s="1" t="str">
        <f aca="false">IF(AND('Sprint Planning'!$H341&gt;=10,'Sprint Planning'!$H341&lt;=16),IFERROR(MATCH('Sprint Planning'!$C341,Roadmap!$A$4:$A$15,0),99)*100+'Sprint Planning'!$H341+343/100000,"")</f>
        <v/>
      </c>
    </row>
    <row r="344" customFormat="false" ht="15" hidden="false" customHeight="true" outlineLevel="0" collapsed="false">
      <c r="T344" s="1" t="str">
        <f aca="false">IF(AND('Sprint Planning'!$H342&gt;=10,'Sprint Planning'!$H342&lt;=16),IFERROR(MATCH('Sprint Planning'!$C342,Roadmap!$A$4:$A$15,0),99)*100+'Sprint Planning'!$H342+344/100000,"")</f>
        <v/>
      </c>
    </row>
    <row r="345" customFormat="false" ht="15" hidden="false" customHeight="true" outlineLevel="0" collapsed="false">
      <c r="T345" s="1" t="str">
        <f aca="false">IF(AND('Sprint Planning'!$H343&gt;=10,'Sprint Planning'!$H343&lt;=16),IFERROR(MATCH('Sprint Planning'!$C343,Roadmap!$A$4:$A$15,0),99)*100+'Sprint Planning'!$H343+345/100000,"")</f>
        <v/>
      </c>
    </row>
    <row r="346" customFormat="false" ht="15" hidden="false" customHeight="true" outlineLevel="0" collapsed="false">
      <c r="T346" s="1" t="str">
        <f aca="false">IF(AND('Sprint Planning'!$H344&gt;=10,'Sprint Planning'!$H344&lt;=16),IFERROR(MATCH('Sprint Planning'!$C344,Roadmap!$A$4:$A$15,0),99)*100+'Sprint Planning'!$H344+346/100000,"")</f>
        <v/>
      </c>
    </row>
    <row r="347" customFormat="false" ht="15" hidden="false" customHeight="true" outlineLevel="0" collapsed="false">
      <c r="T347" s="1" t="str">
        <f aca="false">IF(AND('Sprint Planning'!$H345&gt;=10,'Sprint Planning'!$H345&lt;=16),IFERROR(MATCH('Sprint Planning'!$C345,Roadmap!$A$4:$A$15,0),99)*100+'Sprint Planning'!$H345+347/100000,"")</f>
        <v/>
      </c>
    </row>
    <row r="348" customFormat="false" ht="15" hidden="false" customHeight="true" outlineLevel="0" collapsed="false">
      <c r="T348" s="1" t="str">
        <f aca="false">IF(AND('Sprint Planning'!$H346&gt;=10,'Sprint Planning'!$H346&lt;=16),IFERROR(MATCH('Sprint Planning'!$C346,Roadmap!$A$4:$A$15,0),99)*100+'Sprint Planning'!$H346+348/100000,"")</f>
        <v/>
      </c>
    </row>
    <row r="349" customFormat="false" ht="15" hidden="false" customHeight="true" outlineLevel="0" collapsed="false">
      <c r="T349" s="1" t="str">
        <f aca="false">IF(AND('Sprint Planning'!$H347&gt;=10,'Sprint Planning'!$H347&lt;=16),IFERROR(MATCH('Sprint Planning'!$C347,Roadmap!$A$4:$A$15,0),99)*100+'Sprint Planning'!$H347+349/100000,"")</f>
        <v/>
      </c>
    </row>
    <row r="350" customFormat="false" ht="15" hidden="false" customHeight="true" outlineLevel="0" collapsed="false">
      <c r="T350" s="1" t="str">
        <f aca="false">IF(AND('Sprint Planning'!$H348&gt;=10,'Sprint Planning'!$H348&lt;=16),IFERROR(MATCH('Sprint Planning'!$C348,Roadmap!$A$4:$A$15,0),99)*100+'Sprint Planning'!$H348+350/100000,"")</f>
        <v/>
      </c>
    </row>
    <row r="351" customFormat="false" ht="15" hidden="false" customHeight="true" outlineLevel="0" collapsed="false">
      <c r="T351" s="1" t="str">
        <f aca="false">IF(AND('Sprint Planning'!$H349&gt;=10,'Sprint Planning'!$H349&lt;=16),IFERROR(MATCH('Sprint Planning'!$C349,Roadmap!$A$4:$A$15,0),99)*100+'Sprint Planning'!$H349+351/100000,"")</f>
        <v/>
      </c>
    </row>
    <row r="352" customFormat="false" ht="15" hidden="false" customHeight="true" outlineLevel="0" collapsed="false">
      <c r="T352" s="1" t="str">
        <f aca="false">IF(AND('Sprint Planning'!$H350&gt;=10,'Sprint Planning'!$H350&lt;=16),IFERROR(MATCH('Sprint Planning'!$C350,Roadmap!$A$4:$A$15,0),99)*100+'Sprint Planning'!$H350+352/100000,"")</f>
        <v/>
      </c>
    </row>
    <row r="353" customFormat="false" ht="15" hidden="false" customHeight="true" outlineLevel="0" collapsed="false">
      <c r="T353" s="1" t="str">
        <f aca="false">IF(AND('Sprint Planning'!$H351&gt;=10,'Sprint Planning'!$H351&lt;=16),IFERROR(MATCH('Sprint Planning'!$C351,Roadmap!$A$4:$A$15,0),99)*100+'Sprint Planning'!$H351+353/100000,"")</f>
        <v/>
      </c>
    </row>
    <row r="354" customFormat="false" ht="15" hidden="false" customHeight="true" outlineLevel="0" collapsed="false">
      <c r="T354" s="1" t="str">
        <f aca="false">IF(AND('Sprint Planning'!$H352&gt;=10,'Sprint Planning'!$H352&lt;=16),IFERROR(MATCH('Sprint Planning'!$C352,Roadmap!$A$4:$A$15,0),99)*100+'Sprint Planning'!$H352+354/100000,"")</f>
        <v/>
      </c>
    </row>
    <row r="355" customFormat="false" ht="15" hidden="false" customHeight="true" outlineLevel="0" collapsed="false">
      <c r="T355" s="1" t="str">
        <f aca="false">IF(AND('Sprint Planning'!$H353&gt;=10,'Sprint Planning'!$H353&lt;=16),IFERROR(MATCH('Sprint Planning'!$C353,Roadmap!$A$4:$A$15,0),99)*100+'Sprint Planning'!$H353+355/100000,"")</f>
        <v/>
      </c>
    </row>
    <row r="356" customFormat="false" ht="15" hidden="false" customHeight="true" outlineLevel="0" collapsed="false">
      <c r="T356" s="1" t="str">
        <f aca="false">IF(AND('Sprint Planning'!$H354&gt;=10,'Sprint Planning'!$H354&lt;=16),IFERROR(MATCH('Sprint Planning'!$C354,Roadmap!$A$4:$A$15,0),99)*100+'Sprint Planning'!$H354+356/100000,"")</f>
        <v/>
      </c>
    </row>
    <row r="357" customFormat="false" ht="15" hidden="false" customHeight="true" outlineLevel="0" collapsed="false">
      <c r="T357" s="1" t="str">
        <f aca="false">IF(AND('Sprint Planning'!$H355&gt;=10,'Sprint Planning'!$H355&lt;=16),IFERROR(MATCH('Sprint Planning'!$C355,Roadmap!$A$4:$A$15,0),99)*100+'Sprint Planning'!$H355+357/100000,"")</f>
        <v/>
      </c>
    </row>
    <row r="358" customFormat="false" ht="15" hidden="false" customHeight="true" outlineLevel="0" collapsed="false">
      <c r="T358" s="1" t="str">
        <f aca="false">IF(AND('Sprint Planning'!$H356&gt;=10,'Sprint Planning'!$H356&lt;=16),IFERROR(MATCH('Sprint Planning'!$C356,Roadmap!$A$4:$A$15,0),99)*100+'Sprint Planning'!$H356+358/100000,"")</f>
        <v/>
      </c>
    </row>
    <row r="359" customFormat="false" ht="15" hidden="false" customHeight="true" outlineLevel="0" collapsed="false">
      <c r="T359" s="1" t="str">
        <f aca="false">IF(AND('Sprint Planning'!$H357&gt;=10,'Sprint Planning'!$H357&lt;=16),IFERROR(MATCH('Sprint Planning'!$C357,Roadmap!$A$4:$A$15,0),99)*100+'Sprint Planning'!$H357+359/100000,"")</f>
        <v/>
      </c>
    </row>
    <row r="360" customFormat="false" ht="15" hidden="false" customHeight="true" outlineLevel="0" collapsed="false">
      <c r="T360" s="1" t="str">
        <f aca="false">IF(AND('Sprint Planning'!$H358&gt;=10,'Sprint Planning'!$H358&lt;=16),IFERROR(MATCH('Sprint Planning'!$C358,Roadmap!$A$4:$A$15,0),99)*100+'Sprint Planning'!$H358+360/100000,"")</f>
        <v/>
      </c>
    </row>
    <row r="361" customFormat="false" ht="15" hidden="false" customHeight="true" outlineLevel="0" collapsed="false">
      <c r="T361" s="1" t="str">
        <f aca="false">IF(AND('Sprint Planning'!$H359&gt;=10,'Sprint Planning'!$H359&lt;=16),IFERROR(MATCH('Sprint Planning'!$C359,Roadmap!$A$4:$A$15,0),99)*100+'Sprint Planning'!$H359+361/100000,"")</f>
        <v/>
      </c>
    </row>
    <row r="362" customFormat="false" ht="15" hidden="false" customHeight="true" outlineLevel="0" collapsed="false">
      <c r="T362" s="1" t="str">
        <f aca="false">IF(AND('Sprint Planning'!$H360&gt;=10,'Sprint Planning'!$H360&lt;=16),IFERROR(MATCH('Sprint Planning'!$C360,Roadmap!$A$4:$A$15,0),99)*100+'Sprint Planning'!$H360+362/100000,"")</f>
        <v/>
      </c>
    </row>
    <row r="363" customFormat="false" ht="15" hidden="false" customHeight="true" outlineLevel="0" collapsed="false">
      <c r="T363" s="1" t="str">
        <f aca="false">IF(AND('Sprint Planning'!$H361&gt;=10,'Sprint Planning'!$H361&lt;=16),IFERROR(MATCH('Sprint Planning'!$C361,Roadmap!$A$4:$A$15,0),99)*100+'Sprint Planning'!$H361+363/100000,"")</f>
        <v/>
      </c>
    </row>
    <row r="364" customFormat="false" ht="15" hidden="false" customHeight="true" outlineLevel="0" collapsed="false">
      <c r="T364" s="1" t="str">
        <f aca="false">IF(AND('Sprint Planning'!$H362&gt;=10,'Sprint Planning'!$H362&lt;=16),IFERROR(MATCH('Sprint Planning'!$C362,Roadmap!$A$4:$A$15,0),99)*100+'Sprint Planning'!$H362+364/100000,"")</f>
        <v/>
      </c>
    </row>
    <row r="365" customFormat="false" ht="15" hidden="false" customHeight="true" outlineLevel="0" collapsed="false">
      <c r="T365" s="1" t="str">
        <f aca="false">IF(AND('Sprint Planning'!$H363&gt;=10,'Sprint Planning'!$H363&lt;=16),IFERROR(MATCH('Sprint Planning'!$C363,Roadmap!$A$4:$A$15,0),99)*100+'Sprint Planning'!$H363+365/100000,"")</f>
        <v/>
      </c>
    </row>
    <row r="366" customFormat="false" ht="15" hidden="false" customHeight="true" outlineLevel="0" collapsed="false">
      <c r="T366" s="1" t="str">
        <f aca="false">IF(AND('Sprint Planning'!$H364&gt;=10,'Sprint Planning'!$H364&lt;=16),IFERROR(MATCH('Sprint Planning'!$C364,Roadmap!$A$4:$A$15,0),99)*100+'Sprint Planning'!$H364+366/100000,"")</f>
        <v/>
      </c>
    </row>
    <row r="367" customFormat="false" ht="15" hidden="false" customHeight="true" outlineLevel="0" collapsed="false">
      <c r="T367" s="1" t="str">
        <f aca="false">IF(AND('Sprint Planning'!$H365&gt;=10,'Sprint Planning'!$H365&lt;=16),IFERROR(MATCH('Sprint Planning'!$C365,Roadmap!$A$4:$A$15,0),99)*100+'Sprint Planning'!$H365+367/100000,"")</f>
        <v/>
      </c>
    </row>
    <row r="368" customFormat="false" ht="15" hidden="false" customHeight="true" outlineLevel="0" collapsed="false">
      <c r="T368" s="1" t="str">
        <f aca="false">IF(AND('Sprint Planning'!$H366&gt;=10,'Sprint Planning'!$H366&lt;=16),IFERROR(MATCH('Sprint Planning'!$C366,Roadmap!$A$4:$A$15,0),99)*100+'Sprint Planning'!$H366+368/100000,"")</f>
        <v/>
      </c>
    </row>
    <row r="369" customFormat="false" ht="15" hidden="false" customHeight="true" outlineLevel="0" collapsed="false">
      <c r="T369" s="1" t="str">
        <f aca="false">IF(AND('Sprint Planning'!$H367&gt;=10,'Sprint Planning'!$H367&lt;=16),IFERROR(MATCH('Sprint Planning'!$C367,Roadmap!$A$4:$A$15,0),99)*100+'Sprint Planning'!$H367+369/100000,"")</f>
        <v/>
      </c>
    </row>
    <row r="370" customFormat="false" ht="15" hidden="false" customHeight="true" outlineLevel="0" collapsed="false">
      <c r="T370" s="1" t="str">
        <f aca="false">IF(AND('Sprint Planning'!$H368&gt;=10,'Sprint Planning'!$H368&lt;=16),IFERROR(MATCH('Sprint Planning'!$C368,Roadmap!$A$4:$A$15,0),99)*100+'Sprint Planning'!$H368+370/100000,"")</f>
        <v/>
      </c>
    </row>
    <row r="371" customFormat="false" ht="15" hidden="false" customHeight="true" outlineLevel="0" collapsed="false">
      <c r="T371" s="1" t="str">
        <f aca="false">IF(AND('Sprint Planning'!$H369&gt;=10,'Sprint Planning'!$H369&lt;=16),IFERROR(MATCH('Sprint Planning'!$C369,Roadmap!$A$4:$A$15,0),99)*100+'Sprint Planning'!$H369+371/100000,"")</f>
        <v/>
      </c>
    </row>
    <row r="372" customFormat="false" ht="15" hidden="false" customHeight="true" outlineLevel="0" collapsed="false">
      <c r="T372" s="1" t="str">
        <f aca="false">IF(AND('Sprint Planning'!$H370&gt;=10,'Sprint Planning'!$H370&lt;=16),IFERROR(MATCH('Sprint Planning'!$C370,Roadmap!$A$4:$A$15,0),99)*100+'Sprint Planning'!$H370+372/100000,"")</f>
        <v/>
      </c>
    </row>
    <row r="373" customFormat="false" ht="15" hidden="false" customHeight="true" outlineLevel="0" collapsed="false">
      <c r="T373" s="1" t="str">
        <f aca="false">IF(AND('Sprint Planning'!$H371&gt;=10,'Sprint Planning'!$H371&lt;=16),IFERROR(MATCH('Sprint Planning'!$C371,Roadmap!$A$4:$A$15,0),99)*100+'Sprint Planning'!$H371+373/100000,"")</f>
        <v/>
      </c>
    </row>
    <row r="374" customFormat="false" ht="15" hidden="false" customHeight="true" outlineLevel="0" collapsed="false">
      <c r="T374" s="1" t="str">
        <f aca="false">IF(AND('Sprint Planning'!$H372&gt;=10,'Sprint Planning'!$H372&lt;=16),IFERROR(MATCH('Sprint Planning'!$C372,Roadmap!$A$4:$A$15,0),99)*100+'Sprint Planning'!$H372+374/100000,"")</f>
        <v/>
      </c>
    </row>
    <row r="375" customFormat="false" ht="15" hidden="false" customHeight="true" outlineLevel="0" collapsed="false">
      <c r="T375" s="1" t="str">
        <f aca="false">IF(AND('Sprint Planning'!$H373&gt;=10,'Sprint Planning'!$H373&lt;=16),IFERROR(MATCH('Sprint Planning'!$C373,Roadmap!$A$4:$A$15,0),99)*100+'Sprint Planning'!$H373+375/100000,"")</f>
        <v/>
      </c>
    </row>
    <row r="376" customFormat="false" ht="15" hidden="false" customHeight="true" outlineLevel="0" collapsed="false">
      <c r="T376" s="1" t="str">
        <f aca="false">IF(AND('Sprint Planning'!$H374&gt;=10,'Sprint Planning'!$H374&lt;=16),IFERROR(MATCH('Sprint Planning'!$C374,Roadmap!$A$4:$A$15,0),99)*100+'Sprint Planning'!$H374+376/100000,"")</f>
        <v/>
      </c>
    </row>
    <row r="377" customFormat="false" ht="15" hidden="false" customHeight="true" outlineLevel="0" collapsed="false">
      <c r="T377" s="1" t="str">
        <f aca="false">IF(AND('Sprint Planning'!$H375&gt;=10,'Sprint Planning'!$H375&lt;=16),IFERROR(MATCH('Sprint Planning'!$C375,Roadmap!$A$4:$A$15,0),99)*100+'Sprint Planning'!$H375+377/100000,"")</f>
        <v/>
      </c>
    </row>
    <row r="378" customFormat="false" ht="15" hidden="false" customHeight="true" outlineLevel="0" collapsed="false">
      <c r="T378" s="1" t="str">
        <f aca="false">IF(AND('Sprint Planning'!$H376&gt;=10,'Sprint Planning'!$H376&lt;=16),IFERROR(MATCH('Sprint Planning'!$C376,Roadmap!$A$4:$A$15,0),99)*100+'Sprint Planning'!$H376+378/100000,"")</f>
        <v/>
      </c>
    </row>
    <row r="379" customFormat="false" ht="15" hidden="false" customHeight="true" outlineLevel="0" collapsed="false">
      <c r="T379" s="1" t="str">
        <f aca="false">IF(AND('Sprint Planning'!$H377&gt;=10,'Sprint Planning'!$H377&lt;=16),IFERROR(MATCH('Sprint Planning'!$C377,Roadmap!$A$4:$A$15,0),99)*100+'Sprint Planning'!$H377+379/100000,"")</f>
        <v/>
      </c>
    </row>
    <row r="380" customFormat="false" ht="15" hidden="false" customHeight="true" outlineLevel="0" collapsed="false">
      <c r="T380" s="1" t="str">
        <f aca="false">IF(AND('Sprint Planning'!$H378&gt;=10,'Sprint Planning'!$H378&lt;=16),IFERROR(MATCH('Sprint Planning'!$C378,Roadmap!$A$4:$A$15,0),99)*100+'Sprint Planning'!$H378+380/100000,"")</f>
        <v/>
      </c>
    </row>
    <row r="381" customFormat="false" ht="15" hidden="false" customHeight="true" outlineLevel="0" collapsed="false">
      <c r="T381" s="1" t="str">
        <f aca="false">IF(AND('Sprint Planning'!$H379&gt;=10,'Sprint Planning'!$H379&lt;=16),IFERROR(MATCH('Sprint Planning'!$C379,Roadmap!$A$4:$A$15,0),99)*100+'Sprint Planning'!$H379+381/100000,"")</f>
        <v/>
      </c>
    </row>
    <row r="382" customFormat="false" ht="15" hidden="false" customHeight="true" outlineLevel="0" collapsed="false">
      <c r="T382" s="1" t="str">
        <f aca="false">IF(AND('Sprint Planning'!$H380&gt;=10,'Sprint Planning'!$H380&lt;=16),IFERROR(MATCH('Sprint Planning'!$C380,Roadmap!$A$4:$A$15,0),99)*100+'Sprint Planning'!$H380+382/100000,"")</f>
        <v/>
      </c>
    </row>
    <row r="383" customFormat="false" ht="15" hidden="false" customHeight="true" outlineLevel="0" collapsed="false">
      <c r="T383" s="1" t="str">
        <f aca="false">IF(AND('Sprint Planning'!$H381&gt;=10,'Sprint Planning'!$H381&lt;=16),IFERROR(MATCH('Sprint Planning'!$C381,Roadmap!$A$4:$A$15,0),99)*100+'Sprint Planning'!$H381+383/100000,"")</f>
        <v/>
      </c>
    </row>
    <row r="384" customFormat="false" ht="15" hidden="false" customHeight="true" outlineLevel="0" collapsed="false">
      <c r="T384" s="1" t="str">
        <f aca="false">IF(AND('Sprint Planning'!$H382&gt;=10,'Sprint Planning'!$H382&lt;=16),IFERROR(MATCH('Sprint Planning'!$C382,Roadmap!$A$4:$A$15,0),99)*100+'Sprint Planning'!$H382+384/100000,"")</f>
        <v/>
      </c>
    </row>
    <row r="385" customFormat="false" ht="15" hidden="false" customHeight="true" outlineLevel="0" collapsed="false">
      <c r="T385" s="1" t="str">
        <f aca="false">IF(AND('Sprint Planning'!$H383&gt;=10,'Sprint Planning'!$H383&lt;=16),IFERROR(MATCH('Sprint Planning'!$C383,Roadmap!$A$4:$A$15,0),99)*100+'Sprint Planning'!$H383+385/100000,"")</f>
        <v/>
      </c>
    </row>
    <row r="386" customFormat="false" ht="15" hidden="false" customHeight="true" outlineLevel="0" collapsed="false">
      <c r="T386" s="1" t="str">
        <f aca="false">IF(AND('Sprint Planning'!$H384&gt;=10,'Sprint Planning'!$H384&lt;=16),IFERROR(MATCH('Sprint Planning'!$C384,Roadmap!$A$4:$A$15,0),99)*100+'Sprint Planning'!$H384+386/100000,"")</f>
        <v/>
      </c>
    </row>
    <row r="387" customFormat="false" ht="15" hidden="false" customHeight="true" outlineLevel="0" collapsed="false">
      <c r="T387" s="1" t="str">
        <f aca="false">IF(AND('Sprint Planning'!$H385&gt;=10,'Sprint Planning'!$H385&lt;=16),IFERROR(MATCH('Sprint Planning'!$C385,Roadmap!$A$4:$A$15,0),99)*100+'Sprint Planning'!$H385+387/100000,"")</f>
        <v/>
      </c>
    </row>
    <row r="388" customFormat="false" ht="15" hidden="false" customHeight="true" outlineLevel="0" collapsed="false">
      <c r="T388" s="1" t="str">
        <f aca="false">IF(AND('Sprint Planning'!$H386&gt;=10,'Sprint Planning'!$H386&lt;=16),IFERROR(MATCH('Sprint Planning'!$C386,Roadmap!$A$4:$A$15,0),99)*100+'Sprint Planning'!$H386+388/100000,"")</f>
        <v/>
      </c>
    </row>
    <row r="389" customFormat="false" ht="15" hidden="false" customHeight="true" outlineLevel="0" collapsed="false">
      <c r="T389" s="1" t="str">
        <f aca="false">IF(AND('Sprint Planning'!$H387&gt;=10,'Sprint Planning'!$H387&lt;=16),IFERROR(MATCH('Sprint Planning'!$C387,Roadmap!$A$4:$A$15,0),99)*100+'Sprint Planning'!$H387+389/100000,"")</f>
        <v/>
      </c>
    </row>
    <row r="390" customFormat="false" ht="15" hidden="false" customHeight="true" outlineLevel="0" collapsed="false">
      <c r="T390" s="1" t="str">
        <f aca="false">IF(AND('Sprint Planning'!$H388&gt;=10,'Sprint Planning'!$H388&lt;=16),IFERROR(MATCH('Sprint Planning'!$C388,Roadmap!$A$4:$A$15,0),99)*100+'Sprint Planning'!$H388+390/100000,"")</f>
        <v/>
      </c>
    </row>
    <row r="391" customFormat="false" ht="15" hidden="false" customHeight="true" outlineLevel="0" collapsed="false">
      <c r="T391" s="1" t="str">
        <f aca="false">IF(AND('Sprint Planning'!$H389&gt;=10,'Sprint Planning'!$H389&lt;=16),IFERROR(MATCH('Sprint Planning'!$C389,Roadmap!$A$4:$A$15,0),99)*100+'Sprint Planning'!$H389+391/100000,"")</f>
        <v/>
      </c>
    </row>
    <row r="392" customFormat="false" ht="15" hidden="false" customHeight="true" outlineLevel="0" collapsed="false">
      <c r="T392" s="1" t="str">
        <f aca="false">IF(AND('Sprint Planning'!$H390&gt;=10,'Sprint Planning'!$H390&lt;=16),IFERROR(MATCH('Sprint Planning'!$C390,Roadmap!$A$4:$A$15,0),99)*100+'Sprint Planning'!$H390+392/100000,"")</f>
        <v/>
      </c>
    </row>
    <row r="393" customFormat="false" ht="15" hidden="false" customHeight="true" outlineLevel="0" collapsed="false">
      <c r="T393" s="1" t="str">
        <f aca="false">IF(AND('Sprint Planning'!$H391&gt;=10,'Sprint Planning'!$H391&lt;=16),IFERROR(MATCH('Sprint Planning'!$C391,Roadmap!$A$4:$A$15,0),99)*100+'Sprint Planning'!$H391+393/100000,"")</f>
        <v/>
      </c>
    </row>
    <row r="394" customFormat="false" ht="15" hidden="false" customHeight="true" outlineLevel="0" collapsed="false">
      <c r="T394" s="1" t="str">
        <f aca="false">IF(AND('Sprint Planning'!$H392&gt;=10,'Sprint Planning'!$H392&lt;=16),IFERROR(MATCH('Sprint Planning'!$C392,Roadmap!$A$4:$A$15,0),99)*100+'Sprint Planning'!$H392+394/100000,"")</f>
        <v/>
      </c>
    </row>
    <row r="395" customFormat="false" ht="15" hidden="false" customHeight="true" outlineLevel="0" collapsed="false">
      <c r="T395" s="1" t="str">
        <f aca="false">IF(AND('Sprint Planning'!$H393&gt;=10,'Sprint Planning'!$H393&lt;=16),IFERROR(MATCH('Sprint Planning'!$C393,Roadmap!$A$4:$A$15,0),99)*100+'Sprint Planning'!$H393+395/100000,"")</f>
        <v/>
      </c>
    </row>
    <row r="396" customFormat="false" ht="15" hidden="false" customHeight="true" outlineLevel="0" collapsed="false">
      <c r="T396" s="1" t="str">
        <f aca="false">IF(AND('Sprint Planning'!$H394&gt;=10,'Sprint Planning'!$H394&lt;=16),IFERROR(MATCH('Sprint Planning'!$C394,Roadmap!$A$4:$A$15,0),99)*100+'Sprint Planning'!$H394+396/100000,"")</f>
        <v/>
      </c>
    </row>
    <row r="397" customFormat="false" ht="15" hidden="false" customHeight="true" outlineLevel="0" collapsed="false">
      <c r="T397" s="1" t="str">
        <f aca="false">IF(AND('Sprint Planning'!$H395&gt;=10,'Sprint Planning'!$H395&lt;=16),IFERROR(MATCH('Sprint Planning'!$C395,Roadmap!$A$4:$A$15,0),99)*100+'Sprint Planning'!$H395+397/100000,"")</f>
        <v/>
      </c>
    </row>
    <row r="398" customFormat="false" ht="15" hidden="false" customHeight="true" outlineLevel="0" collapsed="false">
      <c r="T398" s="1" t="str">
        <f aca="false">IF(AND('Sprint Planning'!$H396&gt;=10,'Sprint Planning'!$H396&lt;=16),IFERROR(MATCH('Sprint Planning'!$C396,Roadmap!$A$4:$A$15,0),99)*100+'Sprint Planning'!$H396+398/100000,"")</f>
        <v/>
      </c>
    </row>
    <row r="399" customFormat="false" ht="15" hidden="false" customHeight="true" outlineLevel="0" collapsed="false">
      <c r="T399" s="1" t="str">
        <f aca="false">IF(AND('Sprint Planning'!$H397&gt;=10,'Sprint Planning'!$H397&lt;=16),IFERROR(MATCH('Sprint Planning'!$C397,Roadmap!$A$4:$A$15,0),99)*100+'Sprint Planning'!$H397+399/100000,"")</f>
        <v/>
      </c>
    </row>
    <row r="400" customFormat="false" ht="15" hidden="false" customHeight="true" outlineLevel="0" collapsed="false">
      <c r="T400" s="1" t="str">
        <f aca="false">IF(AND('Sprint Planning'!$H398&gt;=10,'Sprint Planning'!$H398&lt;=16),IFERROR(MATCH('Sprint Planning'!$C398,Roadmap!$A$4:$A$15,0),99)*100+'Sprint Planning'!$H398+400/100000,"")</f>
        <v/>
      </c>
    </row>
    <row r="401" customFormat="false" ht="15" hidden="false" customHeight="true" outlineLevel="0" collapsed="false">
      <c r="T401" s="1" t="str">
        <f aca="false">IF(AND('Sprint Planning'!$H399&gt;=10,'Sprint Planning'!$H399&lt;=16),IFERROR(MATCH('Sprint Planning'!$C399,Roadmap!$A$4:$A$15,0),99)*100+'Sprint Planning'!$H399+401/100000,"")</f>
        <v/>
      </c>
    </row>
    <row r="402" customFormat="false" ht="15" hidden="false" customHeight="true" outlineLevel="0" collapsed="false">
      <c r="T402" s="1" t="str">
        <f aca="false">IF(AND('Sprint Planning'!$H400&gt;=10,'Sprint Planning'!$H400&lt;=16),IFERROR(MATCH('Sprint Planning'!$C400,Roadmap!$A$4:$A$15,0),99)*100+'Sprint Planning'!$H400+402/100000,"")</f>
        <v/>
      </c>
    </row>
    <row r="403" customFormat="false" ht="15" hidden="false" customHeight="true" outlineLevel="0" collapsed="false">
      <c r="T403" s="1" t="str">
        <f aca="false">IF(AND('Sprint Planning'!$H401&gt;=10,'Sprint Planning'!$H401&lt;=16),IFERROR(MATCH('Sprint Planning'!$C401,Roadmap!$A$4:$A$15,0),99)*100+'Sprint Planning'!$H401+403/100000,"")</f>
        <v/>
      </c>
    </row>
    <row r="404" customFormat="false" ht="15" hidden="false" customHeight="true" outlineLevel="0" collapsed="false">
      <c r="T404" s="1" t="str">
        <f aca="false">IF(AND('Sprint Planning'!$H402&gt;=10,'Sprint Planning'!$H402&lt;=16),IFERROR(MATCH('Sprint Planning'!$C402,Roadmap!$A$4:$A$15,0),99)*100+'Sprint Planning'!$H402+404/100000,"")</f>
        <v/>
      </c>
    </row>
    <row r="405" customFormat="false" ht="15" hidden="false" customHeight="true" outlineLevel="0" collapsed="false">
      <c r="T405" s="1" t="str">
        <f aca="false">IF(AND('Sprint Planning'!$H403&gt;=10,'Sprint Planning'!$H403&lt;=16),IFERROR(MATCH('Sprint Planning'!$C403,Roadmap!$A$4:$A$15,0),99)*100+'Sprint Planning'!$H403+405/100000,"")</f>
        <v/>
      </c>
    </row>
    <row r="406" customFormat="false" ht="15" hidden="false" customHeight="true" outlineLevel="0" collapsed="false">
      <c r="T406" s="1" t="str">
        <f aca="false">IF(AND('Sprint Planning'!$H404&gt;=10,'Sprint Planning'!$H404&lt;=16),IFERROR(MATCH('Sprint Planning'!$C404,Roadmap!$A$4:$A$15,0),99)*100+'Sprint Planning'!$H404+406/100000,"")</f>
        <v/>
      </c>
    </row>
    <row r="407" customFormat="false" ht="15" hidden="false" customHeight="true" outlineLevel="0" collapsed="false">
      <c r="T407" s="1" t="str">
        <f aca="false">IF(AND('Sprint Planning'!$H405&gt;=10,'Sprint Planning'!$H405&lt;=16),IFERROR(MATCH('Sprint Planning'!$C405,Roadmap!$A$4:$A$15,0),99)*100+'Sprint Planning'!$H405+407/100000,"")</f>
        <v/>
      </c>
    </row>
    <row r="408" customFormat="false" ht="15" hidden="false" customHeight="true" outlineLevel="0" collapsed="false">
      <c r="T408" s="1" t="str">
        <f aca="false">IF(AND('Sprint Planning'!$H406&gt;=10,'Sprint Planning'!$H406&lt;=16),IFERROR(MATCH('Sprint Planning'!$C406,Roadmap!$A$4:$A$15,0),99)*100+'Sprint Planning'!$H406+408/100000,"")</f>
        <v/>
      </c>
    </row>
    <row r="409" customFormat="false" ht="15" hidden="false" customHeight="true" outlineLevel="0" collapsed="false">
      <c r="T409" s="1" t="str">
        <f aca="false">IF(AND('Sprint Planning'!$H407&gt;=10,'Sprint Planning'!$H407&lt;=16),IFERROR(MATCH('Sprint Planning'!$C407,Roadmap!$A$4:$A$15,0),99)*100+'Sprint Planning'!$H407+409/100000,"")</f>
        <v/>
      </c>
    </row>
    <row r="410" customFormat="false" ht="15" hidden="false" customHeight="true" outlineLevel="0" collapsed="false">
      <c r="T410" s="1" t="str">
        <f aca="false">IF(AND('Sprint Planning'!$H408&gt;=10,'Sprint Planning'!$H408&lt;=16),IFERROR(MATCH('Sprint Planning'!$C408,Roadmap!$A$4:$A$15,0),99)*100+'Sprint Planning'!$H408+410/100000,"")</f>
        <v/>
      </c>
    </row>
    <row r="411" customFormat="false" ht="15" hidden="false" customHeight="true" outlineLevel="0" collapsed="false">
      <c r="T411" s="1" t="str">
        <f aca="false">IF(AND('Sprint Planning'!$H409&gt;=10,'Sprint Planning'!$H409&lt;=16),IFERROR(MATCH('Sprint Planning'!$C409,Roadmap!$A$4:$A$15,0),99)*100+'Sprint Planning'!$H409+411/100000,"")</f>
        <v/>
      </c>
    </row>
    <row r="412" customFormat="false" ht="15" hidden="false" customHeight="true" outlineLevel="0" collapsed="false">
      <c r="T412" s="1" t="str">
        <f aca="false">IF(AND('Sprint Planning'!$H410&gt;=10,'Sprint Planning'!$H410&lt;=16),IFERROR(MATCH('Sprint Planning'!$C410,Roadmap!$A$4:$A$15,0),99)*100+'Sprint Planning'!$H410+412/100000,"")</f>
        <v/>
      </c>
    </row>
    <row r="413" customFormat="false" ht="15" hidden="false" customHeight="true" outlineLevel="0" collapsed="false">
      <c r="T413" s="1" t="str">
        <f aca="false">IF(AND('Sprint Planning'!$H411&gt;=10,'Sprint Planning'!$H411&lt;=16),IFERROR(MATCH('Sprint Planning'!$C411,Roadmap!$A$4:$A$15,0),99)*100+'Sprint Planning'!$H411+413/100000,"")</f>
        <v/>
      </c>
    </row>
    <row r="414" customFormat="false" ht="15" hidden="false" customHeight="true" outlineLevel="0" collapsed="false">
      <c r="T414" s="1" t="str">
        <f aca="false">IF(AND('Sprint Planning'!$H412&gt;=10,'Sprint Planning'!$H412&lt;=16),IFERROR(MATCH('Sprint Planning'!$C412,Roadmap!$A$4:$A$15,0),99)*100+'Sprint Planning'!$H412+414/100000,"")</f>
        <v/>
      </c>
    </row>
    <row r="415" customFormat="false" ht="15" hidden="false" customHeight="true" outlineLevel="0" collapsed="false">
      <c r="T415" s="1" t="str">
        <f aca="false">IF(AND('Sprint Planning'!$H413&gt;=10,'Sprint Planning'!$H413&lt;=16),IFERROR(MATCH('Sprint Planning'!$C413,Roadmap!$A$4:$A$15,0),99)*100+'Sprint Planning'!$H413+415/100000,"")</f>
        <v/>
      </c>
    </row>
    <row r="416" customFormat="false" ht="15" hidden="false" customHeight="true" outlineLevel="0" collapsed="false">
      <c r="T416" s="1" t="str">
        <f aca="false">IF(AND('Sprint Planning'!$H414&gt;=10,'Sprint Planning'!$H414&lt;=16),IFERROR(MATCH('Sprint Planning'!$C414,Roadmap!$A$4:$A$15,0),99)*100+'Sprint Planning'!$H414+416/100000,"")</f>
        <v/>
      </c>
    </row>
    <row r="417" customFormat="false" ht="15" hidden="false" customHeight="true" outlineLevel="0" collapsed="false">
      <c r="T417" s="1" t="str">
        <f aca="false">IF(AND('Sprint Planning'!$H415&gt;=10,'Sprint Planning'!$H415&lt;=16),IFERROR(MATCH('Sprint Planning'!$C415,Roadmap!$A$4:$A$15,0),99)*100+'Sprint Planning'!$H415+417/100000,"")</f>
        <v/>
      </c>
    </row>
    <row r="418" customFormat="false" ht="15" hidden="false" customHeight="true" outlineLevel="0" collapsed="false">
      <c r="T418" s="1" t="str">
        <f aca="false">IF(AND('Sprint Planning'!$H416&gt;=10,'Sprint Planning'!$H416&lt;=16),IFERROR(MATCH('Sprint Planning'!$C416,Roadmap!$A$4:$A$15,0),99)*100+'Sprint Planning'!$H416+418/100000,"")</f>
        <v/>
      </c>
    </row>
    <row r="419" customFormat="false" ht="15" hidden="false" customHeight="true" outlineLevel="0" collapsed="false">
      <c r="T419" s="1" t="str">
        <f aca="false">IF(AND('Sprint Planning'!$H417&gt;=10,'Sprint Planning'!$H417&lt;=16),IFERROR(MATCH('Sprint Planning'!$C417,Roadmap!$A$4:$A$15,0),99)*100+'Sprint Planning'!$H417+419/100000,"")</f>
        <v/>
      </c>
    </row>
    <row r="420" customFormat="false" ht="15" hidden="false" customHeight="true" outlineLevel="0" collapsed="false">
      <c r="T420" s="1" t="str">
        <f aca="false">IF(AND('Sprint Planning'!$H418&gt;=10,'Sprint Planning'!$H418&lt;=16),IFERROR(MATCH('Sprint Planning'!$C418,Roadmap!$A$4:$A$15,0),99)*100+'Sprint Planning'!$H418+420/100000,"")</f>
        <v/>
      </c>
    </row>
    <row r="421" customFormat="false" ht="15" hidden="false" customHeight="true" outlineLevel="0" collapsed="false">
      <c r="T421" s="1" t="str">
        <f aca="false">IF(AND('Sprint Planning'!$H419&gt;=10,'Sprint Planning'!$H419&lt;=16),IFERROR(MATCH('Sprint Planning'!$C419,Roadmap!$A$4:$A$15,0),99)*100+'Sprint Planning'!$H419+421/100000,"")</f>
        <v/>
      </c>
    </row>
    <row r="422" customFormat="false" ht="15" hidden="false" customHeight="true" outlineLevel="0" collapsed="false">
      <c r="T422" s="1" t="str">
        <f aca="false">IF(AND('Sprint Planning'!$H420&gt;=10,'Sprint Planning'!$H420&lt;=16),IFERROR(MATCH('Sprint Planning'!$C420,Roadmap!$A$4:$A$15,0),99)*100+'Sprint Planning'!$H420+422/100000,"")</f>
        <v/>
      </c>
    </row>
    <row r="423" customFormat="false" ht="15" hidden="false" customHeight="true" outlineLevel="0" collapsed="false">
      <c r="T423" s="1" t="str">
        <f aca="false">IF(AND('Sprint Planning'!$H421&gt;=10,'Sprint Planning'!$H421&lt;=16),IFERROR(MATCH('Sprint Planning'!$C421,Roadmap!$A$4:$A$15,0),99)*100+'Sprint Planning'!$H421+423/100000,"")</f>
        <v/>
      </c>
    </row>
    <row r="424" customFormat="false" ht="15" hidden="false" customHeight="true" outlineLevel="0" collapsed="false">
      <c r="T424" s="1" t="str">
        <f aca="false">IF(AND('Sprint Planning'!$H422&gt;=10,'Sprint Planning'!$H422&lt;=16),IFERROR(MATCH('Sprint Planning'!$C422,Roadmap!$A$4:$A$15,0),99)*100+'Sprint Planning'!$H422+424/100000,"")</f>
        <v/>
      </c>
    </row>
    <row r="425" customFormat="false" ht="15" hidden="false" customHeight="true" outlineLevel="0" collapsed="false">
      <c r="T425" s="1" t="str">
        <f aca="false">IF(AND('Sprint Planning'!$H423&gt;=10,'Sprint Planning'!$H423&lt;=16),IFERROR(MATCH('Sprint Planning'!$C423,Roadmap!$A$4:$A$15,0),99)*100+'Sprint Planning'!$H423+425/100000,"")</f>
        <v/>
      </c>
    </row>
    <row r="426" customFormat="false" ht="15" hidden="false" customHeight="true" outlineLevel="0" collapsed="false">
      <c r="T426" s="1" t="str">
        <f aca="false">IF(AND('Sprint Planning'!$H424&gt;=10,'Sprint Planning'!$H424&lt;=16),IFERROR(MATCH('Sprint Planning'!$C424,Roadmap!$A$4:$A$15,0),99)*100+'Sprint Planning'!$H424+426/100000,"")</f>
        <v/>
      </c>
    </row>
    <row r="427" customFormat="false" ht="15" hidden="false" customHeight="true" outlineLevel="0" collapsed="false">
      <c r="T427" s="1" t="str">
        <f aca="false">IF(AND('Sprint Planning'!$H425&gt;=10,'Sprint Planning'!$H425&lt;=16),IFERROR(MATCH('Sprint Planning'!$C425,Roadmap!$A$4:$A$15,0),99)*100+'Sprint Planning'!$H425+427/100000,"")</f>
        <v/>
      </c>
    </row>
    <row r="428" customFormat="false" ht="15" hidden="false" customHeight="true" outlineLevel="0" collapsed="false">
      <c r="T428" s="1" t="str">
        <f aca="false">IF(AND('Sprint Planning'!$H426&gt;=10,'Sprint Planning'!$H426&lt;=16),IFERROR(MATCH('Sprint Planning'!$C426,Roadmap!$A$4:$A$15,0),99)*100+'Sprint Planning'!$H426+428/100000,"")</f>
        <v/>
      </c>
    </row>
    <row r="429" customFormat="false" ht="15" hidden="false" customHeight="true" outlineLevel="0" collapsed="false">
      <c r="T429" s="1" t="str">
        <f aca="false">IF(AND('Sprint Planning'!$H427&gt;=10,'Sprint Planning'!$H427&lt;=16),IFERROR(MATCH('Sprint Planning'!$C427,Roadmap!$A$4:$A$15,0),99)*100+'Sprint Planning'!$H427+429/100000,"")</f>
        <v/>
      </c>
    </row>
    <row r="430" customFormat="false" ht="15" hidden="false" customHeight="true" outlineLevel="0" collapsed="false">
      <c r="T430" s="1" t="str">
        <f aca="false">IF(AND('Sprint Planning'!$H428&gt;=10,'Sprint Planning'!$H428&lt;=16),IFERROR(MATCH('Sprint Planning'!$C428,Roadmap!$A$4:$A$15,0),99)*100+'Sprint Planning'!$H428+430/100000,"")</f>
        <v/>
      </c>
    </row>
    <row r="431" customFormat="false" ht="15" hidden="false" customHeight="true" outlineLevel="0" collapsed="false">
      <c r="T431" s="1" t="str">
        <f aca="false">IF(AND('Sprint Planning'!$H429&gt;=10,'Sprint Planning'!$H429&lt;=16),IFERROR(MATCH('Sprint Planning'!$C429,Roadmap!$A$4:$A$15,0),99)*100+'Sprint Planning'!$H429+431/100000,"")</f>
        <v/>
      </c>
    </row>
    <row r="432" customFormat="false" ht="15" hidden="false" customHeight="true" outlineLevel="0" collapsed="false">
      <c r="T432" s="1" t="str">
        <f aca="false">IF(AND('Sprint Planning'!$H430&gt;=10,'Sprint Planning'!$H430&lt;=16),IFERROR(MATCH('Sprint Planning'!$C430,Roadmap!$A$4:$A$15,0),99)*100+'Sprint Planning'!$H430+432/100000,"")</f>
        <v/>
      </c>
    </row>
    <row r="433" customFormat="false" ht="15" hidden="false" customHeight="true" outlineLevel="0" collapsed="false">
      <c r="T433" s="1" t="str">
        <f aca="false">IF(AND('Sprint Planning'!$H431&gt;=10,'Sprint Planning'!$H431&lt;=16),IFERROR(MATCH('Sprint Planning'!$C431,Roadmap!$A$4:$A$15,0),99)*100+'Sprint Planning'!$H431+433/100000,"")</f>
        <v/>
      </c>
    </row>
    <row r="434" customFormat="false" ht="15" hidden="false" customHeight="true" outlineLevel="0" collapsed="false">
      <c r="T434" s="1" t="str">
        <f aca="false">IF(AND('Sprint Planning'!$H432&gt;=10,'Sprint Planning'!$H432&lt;=16),IFERROR(MATCH('Sprint Planning'!$C432,Roadmap!$A$4:$A$15,0),99)*100+'Sprint Planning'!$H432+434/100000,"")</f>
        <v/>
      </c>
    </row>
    <row r="435" customFormat="false" ht="15" hidden="false" customHeight="true" outlineLevel="0" collapsed="false">
      <c r="T435" s="1" t="str">
        <f aca="false">IF(AND('Sprint Planning'!$H433&gt;=10,'Sprint Planning'!$H433&lt;=16),IFERROR(MATCH('Sprint Planning'!$C433,Roadmap!$A$4:$A$15,0),99)*100+'Sprint Planning'!$H433+435/100000,"")</f>
        <v/>
      </c>
    </row>
    <row r="436" customFormat="false" ht="15" hidden="false" customHeight="true" outlineLevel="0" collapsed="false">
      <c r="T436" s="1" t="str">
        <f aca="false">IF(AND('Sprint Planning'!$H434&gt;=10,'Sprint Planning'!$H434&lt;=16),IFERROR(MATCH('Sprint Planning'!$C434,Roadmap!$A$4:$A$15,0),99)*100+'Sprint Planning'!$H434+436/100000,"")</f>
        <v/>
      </c>
    </row>
    <row r="437" customFormat="false" ht="15" hidden="false" customHeight="true" outlineLevel="0" collapsed="false">
      <c r="T437" s="1" t="str">
        <f aca="false">IF(AND('Sprint Planning'!$H435&gt;=10,'Sprint Planning'!$H435&lt;=16),IFERROR(MATCH('Sprint Planning'!$C435,Roadmap!$A$4:$A$15,0),99)*100+'Sprint Planning'!$H435+437/100000,"")</f>
        <v/>
      </c>
    </row>
    <row r="438" customFormat="false" ht="15" hidden="false" customHeight="true" outlineLevel="0" collapsed="false">
      <c r="T438" s="1" t="str">
        <f aca="false">IF(AND('Sprint Planning'!$H436&gt;=10,'Sprint Planning'!$H436&lt;=16),IFERROR(MATCH('Sprint Planning'!$C436,Roadmap!$A$4:$A$15,0),99)*100+'Sprint Planning'!$H436+438/100000,"")</f>
        <v/>
      </c>
    </row>
    <row r="439" customFormat="false" ht="15" hidden="false" customHeight="true" outlineLevel="0" collapsed="false">
      <c r="T439" s="1" t="str">
        <f aca="false">IF(AND('Sprint Planning'!$H437&gt;=10,'Sprint Planning'!$H437&lt;=16),IFERROR(MATCH('Sprint Planning'!$C437,Roadmap!$A$4:$A$15,0),99)*100+'Sprint Planning'!$H437+439/100000,"")</f>
        <v/>
      </c>
    </row>
    <row r="440" customFormat="false" ht="15" hidden="false" customHeight="true" outlineLevel="0" collapsed="false">
      <c r="T440" s="1" t="str">
        <f aca="false">IF(AND('Sprint Planning'!$H438&gt;=10,'Sprint Planning'!$H438&lt;=16),IFERROR(MATCH('Sprint Planning'!$C438,Roadmap!$A$4:$A$15,0),99)*100+'Sprint Planning'!$H438+440/100000,"")</f>
        <v/>
      </c>
    </row>
    <row r="441" customFormat="false" ht="15" hidden="false" customHeight="true" outlineLevel="0" collapsed="false">
      <c r="T441" s="1" t="str">
        <f aca="false">IF(AND('Sprint Planning'!$H439&gt;=10,'Sprint Planning'!$H439&lt;=16),IFERROR(MATCH('Sprint Planning'!$C439,Roadmap!$A$4:$A$15,0),99)*100+'Sprint Planning'!$H439+441/100000,"")</f>
        <v/>
      </c>
    </row>
    <row r="442" customFormat="false" ht="15" hidden="false" customHeight="true" outlineLevel="0" collapsed="false">
      <c r="T442" s="1" t="str">
        <f aca="false">IF(AND('Sprint Planning'!$H440&gt;=10,'Sprint Planning'!$H440&lt;=16),IFERROR(MATCH('Sprint Planning'!$C440,Roadmap!$A$4:$A$15,0),99)*100+'Sprint Planning'!$H440+442/100000,"")</f>
        <v/>
      </c>
    </row>
    <row r="443" customFormat="false" ht="15" hidden="false" customHeight="true" outlineLevel="0" collapsed="false">
      <c r="T443" s="1" t="str">
        <f aca="false">IF(AND('Sprint Planning'!$H441&gt;=10,'Sprint Planning'!$H441&lt;=16),IFERROR(MATCH('Sprint Planning'!$C441,Roadmap!$A$4:$A$15,0),99)*100+'Sprint Planning'!$H441+443/100000,"")</f>
        <v/>
      </c>
    </row>
    <row r="444" customFormat="false" ht="15" hidden="false" customHeight="true" outlineLevel="0" collapsed="false">
      <c r="T444" s="1" t="str">
        <f aca="false">IF(AND('Sprint Planning'!$H442&gt;=10,'Sprint Planning'!$H442&lt;=16),IFERROR(MATCH('Sprint Planning'!$C442,Roadmap!$A$4:$A$15,0),99)*100+'Sprint Planning'!$H442+444/100000,"")</f>
        <v/>
      </c>
    </row>
    <row r="445" customFormat="false" ht="15" hidden="false" customHeight="true" outlineLevel="0" collapsed="false">
      <c r="T445" s="1" t="str">
        <f aca="false">IF(AND('Sprint Planning'!$H443&gt;=10,'Sprint Planning'!$H443&lt;=16),IFERROR(MATCH('Sprint Planning'!$C443,Roadmap!$A$4:$A$15,0),99)*100+'Sprint Planning'!$H443+445/100000,"")</f>
        <v/>
      </c>
    </row>
    <row r="446" customFormat="false" ht="15" hidden="false" customHeight="true" outlineLevel="0" collapsed="false">
      <c r="T446" s="1" t="str">
        <f aca="false">IF(AND('Sprint Planning'!$H444&gt;=10,'Sprint Planning'!$H444&lt;=16),IFERROR(MATCH('Sprint Planning'!$C444,Roadmap!$A$4:$A$15,0),99)*100+'Sprint Planning'!$H444+446/100000,"")</f>
        <v/>
      </c>
    </row>
    <row r="447" customFormat="false" ht="15" hidden="false" customHeight="true" outlineLevel="0" collapsed="false">
      <c r="T447" s="1" t="str">
        <f aca="false">IF(AND('Sprint Planning'!$H445&gt;=10,'Sprint Planning'!$H445&lt;=16),IFERROR(MATCH('Sprint Planning'!$C445,Roadmap!$A$4:$A$15,0),99)*100+'Sprint Planning'!$H445+447/100000,"")</f>
        <v/>
      </c>
    </row>
    <row r="448" customFormat="false" ht="15" hidden="false" customHeight="true" outlineLevel="0" collapsed="false">
      <c r="T448" s="1" t="str">
        <f aca="false">IF(AND('Sprint Planning'!$H446&gt;=10,'Sprint Planning'!$H446&lt;=16),IFERROR(MATCH('Sprint Planning'!$C446,Roadmap!$A$4:$A$15,0),99)*100+'Sprint Planning'!$H446+448/100000,"")</f>
        <v/>
      </c>
    </row>
    <row r="449" customFormat="false" ht="15" hidden="false" customHeight="true" outlineLevel="0" collapsed="false">
      <c r="T449" s="1" t="str">
        <f aca="false">IF(AND('Sprint Planning'!$H447&gt;=10,'Sprint Planning'!$H447&lt;=16),IFERROR(MATCH('Sprint Planning'!$C447,Roadmap!$A$4:$A$15,0),99)*100+'Sprint Planning'!$H447+449/100000,"")</f>
        <v/>
      </c>
    </row>
    <row r="450" customFormat="false" ht="15" hidden="false" customHeight="true" outlineLevel="0" collapsed="false">
      <c r="T450" s="1" t="str">
        <f aca="false">IF(AND('Sprint Planning'!$H448&gt;=10,'Sprint Planning'!$H448&lt;=16),IFERROR(MATCH('Sprint Planning'!$C448,Roadmap!$A$4:$A$15,0),99)*100+'Sprint Planning'!$H448+450/100000,"")</f>
        <v/>
      </c>
    </row>
    <row r="451" customFormat="false" ht="15" hidden="false" customHeight="true" outlineLevel="0" collapsed="false">
      <c r="T451" s="1" t="str">
        <f aca="false">IF(AND('Sprint Planning'!$H449&gt;=10,'Sprint Planning'!$H449&lt;=16),IFERROR(MATCH('Sprint Planning'!$C449,Roadmap!$A$4:$A$15,0),99)*100+'Sprint Planning'!$H449+451/100000,"")</f>
        <v/>
      </c>
    </row>
    <row r="452" customFormat="false" ht="15" hidden="false" customHeight="true" outlineLevel="0" collapsed="false">
      <c r="T452" s="1" t="str">
        <f aca="false">IF(AND('Sprint Planning'!$H450&gt;=10,'Sprint Planning'!$H450&lt;=16),IFERROR(MATCH('Sprint Planning'!$C450,Roadmap!$A$4:$A$15,0),99)*100+'Sprint Planning'!$H450+452/100000,"")</f>
        <v/>
      </c>
    </row>
    <row r="453" customFormat="false" ht="15" hidden="false" customHeight="true" outlineLevel="0" collapsed="false">
      <c r="T453" s="1" t="str">
        <f aca="false">IF(AND('Sprint Planning'!$H451&gt;=10,'Sprint Planning'!$H451&lt;=16),IFERROR(MATCH('Sprint Planning'!$C451,Roadmap!$A$4:$A$15,0),99)*100+'Sprint Planning'!$H451+453/100000,"")</f>
        <v/>
      </c>
    </row>
    <row r="454" customFormat="false" ht="15" hidden="false" customHeight="true" outlineLevel="0" collapsed="false">
      <c r="T454" s="1" t="str">
        <f aca="false">IF(AND('Sprint Planning'!$H452&gt;=10,'Sprint Planning'!$H452&lt;=16),IFERROR(MATCH('Sprint Planning'!$C452,Roadmap!$A$4:$A$15,0),99)*100+'Sprint Planning'!$H452+454/100000,"")</f>
        <v/>
      </c>
    </row>
    <row r="455" customFormat="false" ht="15" hidden="false" customHeight="true" outlineLevel="0" collapsed="false">
      <c r="T455" s="1" t="str">
        <f aca="false">IF(AND('Sprint Planning'!$H453&gt;=10,'Sprint Planning'!$H453&lt;=16),IFERROR(MATCH('Sprint Planning'!$C453,Roadmap!$A$4:$A$15,0),99)*100+'Sprint Planning'!$H453+455/100000,"")</f>
        <v/>
      </c>
    </row>
    <row r="456" customFormat="false" ht="15" hidden="false" customHeight="true" outlineLevel="0" collapsed="false">
      <c r="T456" s="1" t="str">
        <f aca="false">IF(AND('Sprint Planning'!$H454&gt;=10,'Sprint Planning'!$H454&lt;=16),IFERROR(MATCH('Sprint Planning'!$C454,Roadmap!$A$4:$A$15,0),99)*100+'Sprint Planning'!$H454+456/100000,"")</f>
        <v/>
      </c>
    </row>
    <row r="457" customFormat="false" ht="15" hidden="false" customHeight="true" outlineLevel="0" collapsed="false">
      <c r="T457" s="1" t="str">
        <f aca="false">IF(AND('Sprint Planning'!$H455&gt;=10,'Sprint Planning'!$H455&lt;=16),IFERROR(MATCH('Sprint Planning'!$C455,Roadmap!$A$4:$A$15,0),99)*100+'Sprint Planning'!$H455+457/100000,"")</f>
        <v/>
      </c>
    </row>
    <row r="458" customFormat="false" ht="15" hidden="false" customHeight="true" outlineLevel="0" collapsed="false">
      <c r="T458" s="1" t="str">
        <f aca="false">IF(AND('Sprint Planning'!$H456&gt;=10,'Sprint Planning'!$H456&lt;=16),IFERROR(MATCH('Sprint Planning'!$C456,Roadmap!$A$4:$A$15,0),99)*100+'Sprint Planning'!$H456+458/100000,"")</f>
        <v/>
      </c>
    </row>
    <row r="459" customFormat="false" ht="15" hidden="false" customHeight="true" outlineLevel="0" collapsed="false">
      <c r="T459" s="1" t="str">
        <f aca="false">IF(AND('Sprint Planning'!$H457&gt;=10,'Sprint Planning'!$H457&lt;=16),IFERROR(MATCH('Sprint Planning'!$C457,Roadmap!$A$4:$A$15,0),99)*100+'Sprint Planning'!$H457+459/100000,"")</f>
        <v/>
      </c>
    </row>
    <row r="460" customFormat="false" ht="15" hidden="false" customHeight="true" outlineLevel="0" collapsed="false">
      <c r="T460" s="1" t="str">
        <f aca="false">IF(AND('Sprint Planning'!$H458&gt;=10,'Sprint Planning'!$H458&lt;=16),IFERROR(MATCH('Sprint Planning'!$C458,Roadmap!$A$4:$A$15,0),99)*100+'Sprint Planning'!$H458+460/100000,"")</f>
        <v/>
      </c>
    </row>
    <row r="461" customFormat="false" ht="15" hidden="false" customHeight="true" outlineLevel="0" collapsed="false">
      <c r="T461" s="1" t="str">
        <f aca="false">IF(AND('Sprint Planning'!$H459&gt;=10,'Sprint Planning'!$H459&lt;=16),IFERROR(MATCH('Sprint Planning'!$C459,Roadmap!$A$4:$A$15,0),99)*100+'Sprint Planning'!$H459+461/100000,"")</f>
        <v/>
      </c>
    </row>
    <row r="462" customFormat="false" ht="15" hidden="false" customHeight="true" outlineLevel="0" collapsed="false">
      <c r="T462" s="1" t="str">
        <f aca="false">IF(AND('Sprint Planning'!$H460&gt;=10,'Sprint Planning'!$H460&lt;=16),IFERROR(MATCH('Sprint Planning'!$C460,Roadmap!$A$4:$A$15,0),99)*100+'Sprint Planning'!$H460+462/100000,"")</f>
        <v/>
      </c>
    </row>
    <row r="463" customFormat="false" ht="15" hidden="false" customHeight="true" outlineLevel="0" collapsed="false">
      <c r="T463" s="1" t="str">
        <f aca="false">IF(AND('Sprint Planning'!$H461&gt;=10,'Sprint Planning'!$H461&lt;=16),IFERROR(MATCH('Sprint Planning'!$C461,Roadmap!$A$4:$A$15,0),99)*100+'Sprint Planning'!$H461+463/100000,"")</f>
        <v/>
      </c>
    </row>
    <row r="464" customFormat="false" ht="15" hidden="false" customHeight="true" outlineLevel="0" collapsed="false">
      <c r="T464" s="1" t="str">
        <f aca="false">IF(AND('Sprint Planning'!$H462&gt;=10,'Sprint Planning'!$H462&lt;=16),IFERROR(MATCH('Sprint Planning'!$C462,Roadmap!$A$4:$A$15,0),99)*100+'Sprint Planning'!$H462+464/100000,"")</f>
        <v/>
      </c>
    </row>
    <row r="465" customFormat="false" ht="15" hidden="false" customHeight="true" outlineLevel="0" collapsed="false">
      <c r="T465" s="1" t="str">
        <f aca="false">IF(AND('Sprint Planning'!$H463&gt;=10,'Sprint Planning'!$H463&lt;=16),IFERROR(MATCH('Sprint Planning'!$C463,Roadmap!$A$4:$A$15,0),99)*100+'Sprint Planning'!$H463+465/100000,"")</f>
        <v/>
      </c>
    </row>
    <row r="466" customFormat="false" ht="15" hidden="false" customHeight="true" outlineLevel="0" collapsed="false">
      <c r="T466" s="1" t="str">
        <f aca="false">IF(AND('Sprint Planning'!$H464&gt;=10,'Sprint Planning'!$H464&lt;=16),IFERROR(MATCH('Sprint Planning'!$C464,Roadmap!$A$4:$A$15,0),99)*100+'Sprint Planning'!$H464+466/100000,"")</f>
        <v/>
      </c>
    </row>
    <row r="467" customFormat="false" ht="15" hidden="false" customHeight="true" outlineLevel="0" collapsed="false">
      <c r="T467" s="1" t="str">
        <f aca="false">IF(AND('Sprint Planning'!$H465&gt;=10,'Sprint Planning'!$H465&lt;=16),IFERROR(MATCH('Sprint Planning'!$C465,Roadmap!$A$4:$A$15,0),99)*100+'Sprint Planning'!$H465+467/100000,"")</f>
        <v/>
      </c>
    </row>
    <row r="468" customFormat="false" ht="15" hidden="false" customHeight="true" outlineLevel="0" collapsed="false">
      <c r="T468" s="1" t="str">
        <f aca="false">IF(AND('Sprint Planning'!$H466&gt;=10,'Sprint Planning'!$H466&lt;=16),IFERROR(MATCH('Sprint Planning'!$C466,Roadmap!$A$4:$A$15,0),99)*100+'Sprint Planning'!$H466+468/100000,"")</f>
        <v/>
      </c>
    </row>
    <row r="469" customFormat="false" ht="15" hidden="false" customHeight="true" outlineLevel="0" collapsed="false">
      <c r="T469" s="1" t="str">
        <f aca="false">IF(AND('Sprint Planning'!$H467&gt;=10,'Sprint Planning'!$H467&lt;=16),IFERROR(MATCH('Sprint Planning'!$C467,Roadmap!$A$4:$A$15,0),99)*100+'Sprint Planning'!$H467+469/100000,"")</f>
        <v/>
      </c>
    </row>
    <row r="470" customFormat="false" ht="15" hidden="false" customHeight="true" outlineLevel="0" collapsed="false">
      <c r="T470" s="1" t="str">
        <f aca="false">IF(AND('Sprint Planning'!$H468&gt;=10,'Sprint Planning'!$H468&lt;=16),IFERROR(MATCH('Sprint Planning'!$C468,Roadmap!$A$4:$A$15,0),99)*100+'Sprint Planning'!$H468+470/100000,"")</f>
        <v/>
      </c>
    </row>
    <row r="471" customFormat="false" ht="15" hidden="false" customHeight="true" outlineLevel="0" collapsed="false">
      <c r="T471" s="1" t="str">
        <f aca="false">IF(AND('Sprint Planning'!$H469&gt;=10,'Sprint Planning'!$H469&lt;=16),IFERROR(MATCH('Sprint Planning'!$C469,Roadmap!$A$4:$A$15,0),99)*100+'Sprint Planning'!$H469+471/100000,"")</f>
        <v/>
      </c>
    </row>
    <row r="472" customFormat="false" ht="15" hidden="false" customHeight="true" outlineLevel="0" collapsed="false">
      <c r="T472" s="1" t="str">
        <f aca="false">IF(AND('Sprint Planning'!$H470&gt;=10,'Sprint Planning'!$H470&lt;=16),IFERROR(MATCH('Sprint Planning'!$C470,Roadmap!$A$4:$A$15,0),99)*100+'Sprint Planning'!$H470+472/100000,"")</f>
        <v/>
      </c>
    </row>
    <row r="473" customFormat="false" ht="15" hidden="false" customHeight="true" outlineLevel="0" collapsed="false">
      <c r="T473" s="1" t="str">
        <f aca="false">IF(AND('Sprint Planning'!$H471&gt;=10,'Sprint Planning'!$H471&lt;=16),IFERROR(MATCH('Sprint Planning'!$C471,Roadmap!$A$4:$A$15,0),99)*100+'Sprint Planning'!$H471+473/100000,"")</f>
        <v/>
      </c>
    </row>
    <row r="474" customFormat="false" ht="15" hidden="false" customHeight="true" outlineLevel="0" collapsed="false">
      <c r="T474" s="1" t="str">
        <f aca="false">IF(AND('Sprint Planning'!$H472&gt;=10,'Sprint Planning'!$H472&lt;=16),IFERROR(MATCH('Sprint Planning'!$C472,Roadmap!$A$4:$A$15,0),99)*100+'Sprint Planning'!$H472+474/100000,"")</f>
        <v/>
      </c>
    </row>
    <row r="475" customFormat="false" ht="15" hidden="false" customHeight="true" outlineLevel="0" collapsed="false">
      <c r="T475" s="1" t="str">
        <f aca="false">IF(AND('Sprint Planning'!$H473&gt;=10,'Sprint Planning'!$H473&lt;=16),IFERROR(MATCH('Sprint Planning'!$C473,Roadmap!$A$4:$A$15,0),99)*100+'Sprint Planning'!$H473+475/100000,"")</f>
        <v/>
      </c>
    </row>
    <row r="476" customFormat="false" ht="15" hidden="false" customHeight="true" outlineLevel="0" collapsed="false">
      <c r="T476" s="1" t="str">
        <f aca="false">IF(AND('Sprint Planning'!$H474&gt;=10,'Sprint Planning'!$H474&lt;=16),IFERROR(MATCH('Sprint Planning'!$C474,Roadmap!$A$4:$A$15,0),99)*100+'Sprint Planning'!$H474+476/100000,"")</f>
        <v/>
      </c>
    </row>
    <row r="477" customFormat="false" ht="15" hidden="false" customHeight="true" outlineLevel="0" collapsed="false">
      <c r="T477" s="1" t="str">
        <f aca="false">IF(AND('Sprint Planning'!$H475&gt;=10,'Sprint Planning'!$H475&lt;=16),IFERROR(MATCH('Sprint Planning'!$C475,Roadmap!$A$4:$A$15,0),99)*100+'Sprint Planning'!$H475+477/100000,"")</f>
        <v/>
      </c>
    </row>
    <row r="478" customFormat="false" ht="15" hidden="false" customHeight="true" outlineLevel="0" collapsed="false">
      <c r="T478" s="1" t="str">
        <f aca="false">IF(AND('Sprint Planning'!$H476&gt;=10,'Sprint Planning'!$H476&lt;=16),IFERROR(MATCH('Sprint Planning'!$C476,Roadmap!$A$4:$A$15,0),99)*100+'Sprint Planning'!$H476+478/100000,"")</f>
        <v/>
      </c>
    </row>
    <row r="479" customFormat="false" ht="15" hidden="false" customHeight="true" outlineLevel="0" collapsed="false">
      <c r="T479" s="1" t="str">
        <f aca="false">IF(AND('Sprint Planning'!$H477&gt;=10,'Sprint Planning'!$H477&lt;=16),IFERROR(MATCH('Sprint Planning'!$C477,Roadmap!$A$4:$A$15,0),99)*100+'Sprint Planning'!$H477+479/100000,"")</f>
        <v/>
      </c>
    </row>
    <row r="480" customFormat="false" ht="15" hidden="false" customHeight="true" outlineLevel="0" collapsed="false">
      <c r="T480" s="1" t="str">
        <f aca="false">IF(AND('Sprint Planning'!$H478&gt;=10,'Sprint Planning'!$H478&lt;=16),IFERROR(MATCH('Sprint Planning'!$C478,Roadmap!$A$4:$A$15,0),99)*100+'Sprint Planning'!$H478+480/100000,"")</f>
        <v/>
      </c>
    </row>
    <row r="481" customFormat="false" ht="15" hidden="false" customHeight="true" outlineLevel="0" collapsed="false">
      <c r="T481" s="1" t="str">
        <f aca="false">IF(AND('Sprint Planning'!$H479&gt;=10,'Sprint Planning'!$H479&lt;=16),IFERROR(MATCH('Sprint Planning'!$C479,Roadmap!$A$4:$A$15,0),99)*100+'Sprint Planning'!$H479+481/100000,"")</f>
        <v/>
      </c>
    </row>
    <row r="482" customFormat="false" ht="15" hidden="false" customHeight="true" outlineLevel="0" collapsed="false">
      <c r="T482" s="1" t="str">
        <f aca="false">IF(AND('Sprint Planning'!$H480&gt;=10,'Sprint Planning'!$H480&lt;=16),IFERROR(MATCH('Sprint Planning'!$C480,Roadmap!$A$4:$A$15,0),99)*100+'Sprint Planning'!$H480+482/100000,"")</f>
        <v/>
      </c>
    </row>
    <row r="483" customFormat="false" ht="15" hidden="false" customHeight="true" outlineLevel="0" collapsed="false">
      <c r="T483" s="1" t="str">
        <f aca="false">IF(AND('Sprint Planning'!$H481&gt;=10,'Sprint Planning'!$H481&lt;=16),IFERROR(MATCH('Sprint Planning'!$C481,Roadmap!$A$4:$A$15,0),99)*100+'Sprint Planning'!$H481+483/100000,"")</f>
        <v/>
      </c>
    </row>
    <row r="484" customFormat="false" ht="15" hidden="false" customHeight="true" outlineLevel="0" collapsed="false">
      <c r="T484" s="1" t="str">
        <f aca="false">IF(AND('Sprint Planning'!$H482&gt;=10,'Sprint Planning'!$H482&lt;=16),IFERROR(MATCH('Sprint Planning'!$C482,Roadmap!$A$4:$A$15,0),99)*100+'Sprint Planning'!$H482+484/100000,"")</f>
        <v/>
      </c>
    </row>
    <row r="485" customFormat="false" ht="15" hidden="false" customHeight="true" outlineLevel="0" collapsed="false">
      <c r="T485" s="1" t="str">
        <f aca="false">IF(AND('Sprint Planning'!$H483&gt;=10,'Sprint Planning'!$H483&lt;=16),IFERROR(MATCH('Sprint Planning'!$C483,Roadmap!$A$4:$A$15,0),99)*100+'Sprint Planning'!$H483+485/100000,"")</f>
        <v/>
      </c>
    </row>
    <row r="486" customFormat="false" ht="15" hidden="false" customHeight="true" outlineLevel="0" collapsed="false">
      <c r="T486" s="1" t="str">
        <f aca="false">IF(AND('Sprint Planning'!$H484&gt;=10,'Sprint Planning'!$H484&lt;=16),IFERROR(MATCH('Sprint Planning'!$C484,Roadmap!$A$4:$A$15,0),99)*100+'Sprint Planning'!$H484+486/100000,"")</f>
        <v/>
      </c>
    </row>
    <row r="487" customFormat="false" ht="15" hidden="false" customHeight="true" outlineLevel="0" collapsed="false">
      <c r="T487" s="1" t="str">
        <f aca="false">IF(AND('Sprint Planning'!$H485&gt;=10,'Sprint Planning'!$H485&lt;=16),IFERROR(MATCH('Sprint Planning'!$C485,Roadmap!$A$4:$A$15,0),99)*100+'Sprint Planning'!$H485+487/100000,"")</f>
        <v/>
      </c>
    </row>
    <row r="488" customFormat="false" ht="15" hidden="false" customHeight="true" outlineLevel="0" collapsed="false">
      <c r="T488" s="1" t="str">
        <f aca="false">IF(AND('Sprint Planning'!$H486&gt;=10,'Sprint Planning'!$H486&lt;=16),IFERROR(MATCH('Sprint Planning'!$C486,Roadmap!$A$4:$A$15,0),99)*100+'Sprint Planning'!$H486+488/100000,"")</f>
        <v/>
      </c>
    </row>
    <row r="489" customFormat="false" ht="15" hidden="false" customHeight="true" outlineLevel="0" collapsed="false">
      <c r="T489" s="1" t="str">
        <f aca="false">IF(AND('Sprint Planning'!$H487&gt;=10,'Sprint Planning'!$H487&lt;=16),IFERROR(MATCH('Sprint Planning'!$C487,Roadmap!$A$4:$A$15,0),99)*100+'Sprint Planning'!$H487+489/100000,"")</f>
        <v/>
      </c>
    </row>
    <row r="490" customFormat="false" ht="15" hidden="false" customHeight="true" outlineLevel="0" collapsed="false">
      <c r="T490" s="1" t="str">
        <f aca="false">IF(AND('Sprint Planning'!$H488&gt;=10,'Sprint Planning'!$H488&lt;=16),IFERROR(MATCH('Sprint Planning'!$C488,Roadmap!$A$4:$A$15,0),99)*100+'Sprint Planning'!$H488+490/100000,"")</f>
        <v/>
      </c>
    </row>
    <row r="491" customFormat="false" ht="15" hidden="false" customHeight="true" outlineLevel="0" collapsed="false">
      <c r="T491" s="1" t="str">
        <f aca="false">IF(AND('Sprint Planning'!$H489&gt;=10,'Sprint Planning'!$H489&lt;=16),IFERROR(MATCH('Sprint Planning'!$C489,Roadmap!$A$4:$A$15,0),99)*100+'Sprint Planning'!$H489+491/100000,"")</f>
        <v/>
      </c>
    </row>
    <row r="492" customFormat="false" ht="15" hidden="false" customHeight="true" outlineLevel="0" collapsed="false">
      <c r="T492" s="1" t="str">
        <f aca="false">IF(AND('Sprint Planning'!$H490&gt;=10,'Sprint Planning'!$H490&lt;=16),IFERROR(MATCH('Sprint Planning'!$C490,Roadmap!$A$4:$A$15,0),99)*100+'Sprint Planning'!$H490+492/100000,"")</f>
        <v/>
      </c>
    </row>
    <row r="493" customFormat="false" ht="15" hidden="false" customHeight="true" outlineLevel="0" collapsed="false">
      <c r="T493" s="1" t="str">
        <f aca="false">IF(AND('Sprint Planning'!$H491&gt;=10,'Sprint Planning'!$H491&lt;=16),IFERROR(MATCH('Sprint Planning'!$C491,Roadmap!$A$4:$A$15,0),99)*100+'Sprint Planning'!$H491+493/100000,"")</f>
        <v/>
      </c>
    </row>
    <row r="494" customFormat="false" ht="15" hidden="false" customHeight="true" outlineLevel="0" collapsed="false">
      <c r="T494" s="1" t="str">
        <f aca="false">IF(AND('Sprint Planning'!$H492&gt;=10,'Sprint Planning'!$H492&lt;=16),IFERROR(MATCH('Sprint Planning'!$C492,Roadmap!$A$4:$A$15,0),99)*100+'Sprint Planning'!$H492+494/100000,"")</f>
        <v/>
      </c>
    </row>
    <row r="495" customFormat="false" ht="15" hidden="false" customHeight="true" outlineLevel="0" collapsed="false">
      <c r="T495" s="1" t="str">
        <f aca="false">IF(AND('Sprint Planning'!$H493&gt;=10,'Sprint Planning'!$H493&lt;=16),IFERROR(MATCH('Sprint Planning'!$C493,Roadmap!$A$4:$A$15,0),99)*100+'Sprint Planning'!$H493+495/100000,"")</f>
        <v/>
      </c>
    </row>
    <row r="496" customFormat="false" ht="15" hidden="false" customHeight="true" outlineLevel="0" collapsed="false">
      <c r="T496" s="1" t="str">
        <f aca="false">IF(AND('Sprint Planning'!$H494&gt;=10,'Sprint Planning'!$H494&lt;=16),IFERROR(MATCH('Sprint Planning'!$C494,Roadmap!$A$4:$A$15,0),99)*100+'Sprint Planning'!$H494+496/100000,"")</f>
        <v/>
      </c>
    </row>
    <row r="497" customFormat="false" ht="15" hidden="false" customHeight="true" outlineLevel="0" collapsed="false">
      <c r="T497" s="1" t="str">
        <f aca="false">IF(AND('Sprint Planning'!$H495&gt;=10,'Sprint Planning'!$H495&lt;=16),IFERROR(MATCH('Sprint Planning'!$C495,Roadmap!$A$4:$A$15,0),99)*100+'Sprint Planning'!$H495+497/100000,"")</f>
        <v/>
      </c>
    </row>
    <row r="498" customFormat="false" ht="15" hidden="false" customHeight="true" outlineLevel="0" collapsed="false">
      <c r="T498" s="1" t="str">
        <f aca="false">IF(AND('Sprint Planning'!$H496&gt;=10,'Sprint Planning'!$H496&lt;=16),IFERROR(MATCH('Sprint Planning'!$C496,Roadmap!$A$4:$A$15,0),99)*100+'Sprint Planning'!$H496+498/100000,"")</f>
        <v/>
      </c>
    </row>
    <row r="499" customFormat="false" ht="15" hidden="false" customHeight="true" outlineLevel="0" collapsed="false">
      <c r="T499" s="1" t="str">
        <f aca="false">IF(AND('Sprint Planning'!$H497&gt;=10,'Sprint Planning'!$H497&lt;=16),IFERROR(MATCH('Sprint Planning'!$C497,Roadmap!$A$4:$A$15,0),99)*100+'Sprint Planning'!$H497+499/100000,"")</f>
        <v/>
      </c>
    </row>
    <row r="500" customFormat="false" ht="15" hidden="false" customHeight="true" outlineLevel="0" collapsed="false">
      <c r="T500" s="1" t="str">
        <f aca="false">IF(AND('Sprint Planning'!$H498&gt;=10,'Sprint Planning'!$H498&lt;=16),IFERROR(MATCH('Sprint Planning'!$C498,Roadmap!$A$4:$A$15,0),99)*100+'Sprint Planning'!$H498+500/100000,"")</f>
        <v/>
      </c>
    </row>
  </sheetData>
  <mergeCells count="1">
    <mergeCell ref="A1:R1"/>
  </mergeCells>
  <conditionalFormatting sqref="A4:R15">
    <cfRule type="expression" priority="2" aboveAverage="0" equalAverage="0" bottom="0" percent="0" rank="0" text="" dxfId="10">
      <formula>$A4="US"</formula>
    </cfRule>
    <cfRule type="expression" priority="3" aboveAverage="0" equalAverage="0" bottom="0" percent="0" rank="0" text="" dxfId="11">
      <formula>$A4="MyMSC"</formula>
    </cfRule>
    <cfRule type="expression" priority="4" aboveAverage="0" equalAverage="0" bottom="0" percent="0" rank="0" text="" dxfId="12">
      <formula>$A4="Rollout"</formula>
    </cfRule>
    <cfRule type="expression" priority="5" aboveAverage="0" equalAverage="0" bottom="0" percent="0" rank="0" text="" dxfId="12">
      <formula>$A4="MVP Rollout"</formula>
    </cfRule>
    <cfRule type="expression" priority="6" aboveAverage="0" equalAverage="0" bottom="0" percent="0" rank="0" text="" dxfId="13">
      <formula>$A4="Backlog"</formula>
    </cfRule>
    <cfRule type="expression" priority="7" aboveAverage="0" equalAverage="0" bottom="0" percent="0" rank="0" text="" dxfId="13">
      <formula>$A4="Growth"</formula>
    </cfRule>
    <cfRule type="expression" priority="8" aboveAverage="0" equalAverage="0" bottom="0" percent="0" rank="0" text="" dxfId="14">
      <formula>$A4="Tech Enhancements"</formula>
    </cfRule>
    <cfRule type="expression" priority="9" aboveAverage="0" equalAverage="0" bottom="0" percent="0" rank="0" text="" dxfId="15">
      <formula>LEFT($A4,2)="PI"</formula>
    </cfRule>
  </conditionalFormatting>
  <conditionalFormatting sqref="A21:J100">
    <cfRule type="expression" priority="10" aboveAverage="0" equalAverage="0" bottom="0" percent="0" rank="0" text="" dxfId="10">
      <formula>$A21="US"</formula>
    </cfRule>
    <cfRule type="expression" priority="11" aboveAverage="0" equalAverage="0" bottom="0" percent="0" rank="0" text="" dxfId="11">
      <formula>$A21="MyMSC"</formula>
    </cfRule>
    <cfRule type="expression" priority="12" aboveAverage="0" equalAverage="0" bottom="0" percent="0" rank="0" text="" dxfId="12">
      <formula>$A21="Rollout"</formula>
    </cfRule>
    <cfRule type="expression" priority="13" aboveAverage="0" equalAverage="0" bottom="0" percent="0" rank="0" text="" dxfId="12">
      <formula>$A21="MVP Rollout"</formula>
    </cfRule>
    <cfRule type="expression" priority="14" aboveAverage="0" equalAverage="0" bottom="0" percent="0" rank="0" text="" dxfId="13">
      <formula>$A21="Backlog"</formula>
    </cfRule>
    <cfRule type="expression" priority="15" aboveAverage="0" equalAverage="0" bottom="0" percent="0" rank="0" text="" dxfId="13">
      <formula>$A21="Growth"</formula>
    </cfRule>
    <cfRule type="expression" priority="16" aboveAverage="0" equalAverage="0" bottom="0" percent="0" rank="0" text="" dxfId="14">
      <formula>$A21="Tech Enhancements"</formula>
    </cfRule>
    <cfRule type="expression" priority="17" aboveAverage="0" equalAverage="0" bottom="0" percent="0" rank="0" text="" dxfId="15">
      <formula>LEFT($A21,2)="PI"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50" activePane="bottomLeft" state="frozen"/>
      <selection pane="topLeft" activeCell="A1" activeCellId="0" sqref="A1"/>
      <selection pane="bottomLeft" activeCell="G177" activeCellId="0" sqref="G177"/>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93"/>
    <col collapsed="false" customWidth="true" hidden="false" outlineLevel="0" max="3" min="3" style="1" width="12"/>
    <col collapsed="false" customWidth="true" hidden="false" outlineLevel="0" max="5" min="4" style="1" width="14"/>
    <col collapsed="false" customWidth="true" hidden="false" outlineLevel="0" max="6" min="6" style="1" width="12"/>
    <col collapsed="false" customWidth="true" hidden="false" outlineLevel="0" max="7" min="7" style="1" width="14"/>
    <col collapsed="false" customWidth="true" hidden="false" outlineLevel="0" max="8" min="8" style="1" width="8"/>
    <col collapsed="false" customWidth="true" hidden="false" outlineLevel="0" max="10" min="10" style="1" width="14"/>
    <col collapsed="false" customWidth="true" hidden="false" outlineLevel="0" max="12" min="11" style="1" width="12"/>
    <col collapsed="false" customWidth="true" hidden="false" outlineLevel="0" max="15" min="13" style="1" width="14"/>
    <col collapsed="false" customWidth="true" hidden="false" outlineLevel="0" max="16" min="16" style="1" width="16"/>
  </cols>
  <sheetData>
    <row r="1" customFormat="false" ht="30" hidden="false" customHeight="true" outlineLevel="0" collapsed="false">
      <c r="A1" s="21" t="s">
        <v>66</v>
      </c>
      <c r="B1" s="22" t="s">
        <v>67</v>
      </c>
      <c r="C1" s="22" t="s">
        <v>69</v>
      </c>
      <c r="D1" s="22" t="s">
        <v>74</v>
      </c>
      <c r="E1" s="22" t="s">
        <v>71</v>
      </c>
      <c r="F1" s="22" t="s">
        <v>72</v>
      </c>
      <c r="G1" s="21" t="s">
        <v>48</v>
      </c>
      <c r="H1" s="22" t="s">
        <v>75</v>
      </c>
      <c r="J1" s="73" t="s">
        <v>440</v>
      </c>
      <c r="K1" s="73"/>
      <c r="L1" s="73"/>
      <c r="M1" s="73"/>
      <c r="N1" s="73"/>
      <c r="O1" s="73"/>
      <c r="P1" s="73"/>
    </row>
    <row r="2" customFormat="false" ht="15" hidden="false" customHeight="true" outlineLevel="0" collapsed="false">
      <c r="A2" s="24" t="s">
        <v>441</v>
      </c>
      <c r="B2" s="26" t="s">
        <v>442</v>
      </c>
      <c r="C2" s="26" t="s">
        <v>84</v>
      </c>
      <c r="D2" s="26" t="s">
        <v>416</v>
      </c>
      <c r="E2" s="26" t="s">
        <v>224</v>
      </c>
      <c r="F2" s="26" t="s">
        <v>87</v>
      </c>
      <c r="G2" s="24" t="s">
        <v>443</v>
      </c>
      <c r="H2" s="26" t="n">
        <v>8</v>
      </c>
      <c r="J2" s="74" t="s">
        <v>48</v>
      </c>
      <c r="K2" s="74" t="s">
        <v>444</v>
      </c>
      <c r="L2" s="74" t="s">
        <v>414</v>
      </c>
      <c r="M2" s="75" t="s">
        <v>445</v>
      </c>
      <c r="N2" s="75" t="s">
        <v>446</v>
      </c>
      <c r="O2" s="75" t="s">
        <v>71</v>
      </c>
      <c r="P2" s="75" t="s">
        <v>447</v>
      </c>
    </row>
    <row r="3" customFormat="false" ht="15" hidden="false" customHeight="true" outlineLevel="0" collapsed="false">
      <c r="A3" s="24" t="s">
        <v>448</v>
      </c>
      <c r="B3" s="26" t="s">
        <v>449</v>
      </c>
      <c r="C3" s="26" t="s">
        <v>435</v>
      </c>
      <c r="D3" s="26" t="s">
        <v>416</v>
      </c>
      <c r="E3" s="26" t="s">
        <v>224</v>
      </c>
      <c r="F3" s="26" t="s">
        <v>87</v>
      </c>
      <c r="G3" s="24" t="s">
        <v>450</v>
      </c>
      <c r="H3" s="26" t="n">
        <v>21</v>
      </c>
      <c r="J3" s="65" t="s">
        <v>451</v>
      </c>
      <c r="K3" s="65" t="n">
        <f aca="false">COUNTIFS(Release[Release],J3)</f>
        <v>0</v>
      </c>
      <c r="L3" s="65" t="n">
        <f aca="false">SUMIFS(Release[HLE],Release[Release],J3)</f>
        <v>0</v>
      </c>
      <c r="M3" s="76"/>
      <c r="N3" s="76"/>
      <c r="O3" s="77"/>
      <c r="P3" s="66"/>
    </row>
    <row r="4" customFormat="false" ht="15" hidden="false" customHeight="true" outlineLevel="0" collapsed="false">
      <c r="A4" s="24" t="s">
        <v>452</v>
      </c>
      <c r="B4" s="26" t="s">
        <v>453</v>
      </c>
      <c r="C4" s="26" t="s">
        <v>84</v>
      </c>
      <c r="D4" s="26" t="s">
        <v>416</v>
      </c>
      <c r="E4" s="26" t="s">
        <v>224</v>
      </c>
      <c r="F4" s="26" t="s">
        <v>87</v>
      </c>
      <c r="G4" s="24" t="s">
        <v>454</v>
      </c>
      <c r="H4" s="26" t="n">
        <v>8</v>
      </c>
      <c r="J4" s="65" t="s">
        <v>455</v>
      </c>
      <c r="K4" s="65" t="n">
        <f aca="false">COUNTIFS(Release[Release],J4)</f>
        <v>1</v>
      </c>
      <c r="L4" s="65" t="n">
        <f aca="false">SUMIFS(Release[HLE],Release[Release],J4)</f>
        <v>7</v>
      </c>
      <c r="M4" s="76"/>
      <c r="N4" s="76"/>
      <c r="O4" s="77"/>
      <c r="P4" s="66"/>
    </row>
    <row r="5" customFormat="false" ht="15" hidden="false" customHeight="true" outlineLevel="0" collapsed="false">
      <c r="A5" s="24" t="s">
        <v>456</v>
      </c>
      <c r="B5" s="26" t="s">
        <v>457</v>
      </c>
      <c r="C5" s="26" t="s">
        <v>84</v>
      </c>
      <c r="D5" s="26" t="s">
        <v>416</v>
      </c>
      <c r="E5" s="26" t="s">
        <v>224</v>
      </c>
      <c r="F5" s="26" t="s">
        <v>87</v>
      </c>
      <c r="G5" s="24" t="s">
        <v>454</v>
      </c>
      <c r="H5" s="26" t="n">
        <v>3</v>
      </c>
      <c r="J5" s="65" t="s">
        <v>450</v>
      </c>
      <c r="K5" s="65" t="n">
        <f aca="false">COUNTIFS(Release[Release],J5)</f>
        <v>1</v>
      </c>
      <c r="L5" s="65" t="n">
        <f aca="false">SUMIFS(Release[HLE],Release[Release],J5)</f>
        <v>21</v>
      </c>
      <c r="M5" s="76"/>
      <c r="N5" s="76"/>
      <c r="O5" s="77"/>
      <c r="P5" s="66"/>
    </row>
    <row r="6" customFormat="false" ht="15" hidden="false" customHeight="true" outlineLevel="0" collapsed="false">
      <c r="A6" s="24" t="s">
        <v>458</v>
      </c>
      <c r="B6" s="26" t="s">
        <v>459</v>
      </c>
      <c r="C6" s="26" t="s">
        <v>135</v>
      </c>
      <c r="D6" s="26" t="s">
        <v>416</v>
      </c>
      <c r="E6" s="26" t="s">
        <v>224</v>
      </c>
      <c r="F6" s="26" t="s">
        <v>87</v>
      </c>
      <c r="G6" s="24" t="s">
        <v>455</v>
      </c>
      <c r="H6" s="26" t="n">
        <v>7</v>
      </c>
      <c r="J6" s="65" t="s">
        <v>460</v>
      </c>
      <c r="K6" s="65" t="n">
        <f aca="false">COUNTIFS(Release[Release],J6)</f>
        <v>0</v>
      </c>
      <c r="L6" s="65" t="n">
        <f aca="false">SUMIFS(Release[HLE],Release[Release],J6)</f>
        <v>0</v>
      </c>
      <c r="M6" s="76"/>
      <c r="N6" s="76"/>
      <c r="O6" s="77"/>
      <c r="P6" s="66"/>
    </row>
    <row r="7" customFormat="false" ht="15" hidden="false" customHeight="true" outlineLevel="0" collapsed="false">
      <c r="A7" s="24" t="s">
        <v>461</v>
      </c>
      <c r="B7" s="26" t="s">
        <v>462</v>
      </c>
      <c r="C7" s="26" t="s">
        <v>28</v>
      </c>
      <c r="D7" s="26" t="s">
        <v>416</v>
      </c>
      <c r="E7" s="26" t="s">
        <v>224</v>
      </c>
      <c r="F7" s="26" t="s">
        <v>87</v>
      </c>
      <c r="G7" s="24" t="s">
        <v>463</v>
      </c>
      <c r="H7" s="26" t="n">
        <v>23</v>
      </c>
      <c r="J7" s="65" t="s">
        <v>464</v>
      </c>
      <c r="K7" s="65" t="n">
        <f aca="false">COUNTIFS(Release[Release],J7)</f>
        <v>0</v>
      </c>
      <c r="L7" s="65" t="n">
        <f aca="false">SUMIFS(Release[HLE],Release[Release],J7)</f>
        <v>0</v>
      </c>
      <c r="M7" s="76"/>
      <c r="N7" s="76"/>
      <c r="O7" s="77"/>
      <c r="P7" s="66"/>
    </row>
    <row r="8" customFormat="false" ht="15" hidden="false" customHeight="true" outlineLevel="0" collapsed="false">
      <c r="A8" s="24" t="s">
        <v>465</v>
      </c>
      <c r="B8" s="26" t="s">
        <v>466</v>
      </c>
      <c r="C8" s="26" t="s">
        <v>279</v>
      </c>
      <c r="D8" s="26" t="s">
        <v>416</v>
      </c>
      <c r="E8" s="26" t="s">
        <v>224</v>
      </c>
      <c r="F8" s="26" t="s">
        <v>87</v>
      </c>
      <c r="G8" s="24"/>
      <c r="H8" s="26" t="n">
        <v>16</v>
      </c>
      <c r="J8" s="65" t="s">
        <v>467</v>
      </c>
      <c r="K8" s="65" t="n">
        <f aca="false">COUNTIFS(Release[Release],J8)</f>
        <v>0</v>
      </c>
      <c r="L8" s="65" t="n">
        <f aca="false">SUMIFS(Release[HLE],Release[Release],J8)</f>
        <v>0</v>
      </c>
      <c r="M8" s="76"/>
      <c r="N8" s="76"/>
      <c r="O8" s="77"/>
      <c r="P8" s="66"/>
    </row>
    <row r="9" customFormat="false" ht="15" hidden="false" customHeight="true" outlineLevel="0" collapsed="false">
      <c r="A9" s="24" t="s">
        <v>468</v>
      </c>
      <c r="B9" s="26" t="s">
        <v>469</v>
      </c>
      <c r="C9" s="26" t="s">
        <v>437</v>
      </c>
      <c r="D9" s="26" t="s">
        <v>416</v>
      </c>
      <c r="E9" s="26" t="s">
        <v>224</v>
      </c>
      <c r="F9" s="26" t="s">
        <v>87</v>
      </c>
      <c r="G9" s="24"/>
      <c r="H9" s="26" t="n">
        <v>8</v>
      </c>
      <c r="J9" s="65" t="s">
        <v>463</v>
      </c>
      <c r="K9" s="65" t="n">
        <f aca="false">COUNTIFS(Release[Release],J9)</f>
        <v>1</v>
      </c>
      <c r="L9" s="65" t="n">
        <f aca="false">SUMIFS(Release[HLE],Release[Release],J9)</f>
        <v>23</v>
      </c>
      <c r="M9" s="76"/>
      <c r="N9" s="76"/>
      <c r="O9" s="77"/>
      <c r="P9" s="66"/>
    </row>
    <row r="10" customFormat="false" ht="15" hidden="false" customHeight="true" outlineLevel="0" collapsed="false">
      <c r="A10" s="24" t="s">
        <v>470</v>
      </c>
      <c r="B10" s="26" t="s">
        <v>471</v>
      </c>
      <c r="C10" s="26" t="s">
        <v>437</v>
      </c>
      <c r="D10" s="26" t="s">
        <v>416</v>
      </c>
      <c r="E10" s="26" t="s">
        <v>224</v>
      </c>
      <c r="F10" s="26" t="s">
        <v>87</v>
      </c>
      <c r="G10" s="24"/>
      <c r="H10" s="26" t="n">
        <v>2</v>
      </c>
      <c r="J10" s="65" t="s">
        <v>472</v>
      </c>
      <c r="K10" s="65" t="n">
        <f aca="false">COUNTIFS(Release[Release],J10)</f>
        <v>0</v>
      </c>
      <c r="L10" s="65" t="n">
        <f aca="false">SUMIFS(Release[HLE],Release[Release],J10)</f>
        <v>0</v>
      </c>
      <c r="M10" s="76"/>
      <c r="N10" s="76"/>
      <c r="O10" s="77"/>
      <c r="P10" s="66"/>
    </row>
    <row r="11" customFormat="false" ht="15" hidden="false" customHeight="true" outlineLevel="0" collapsed="false">
      <c r="A11" s="24" t="s">
        <v>473</v>
      </c>
      <c r="B11" s="26" t="s">
        <v>474</v>
      </c>
      <c r="C11" s="26" t="s">
        <v>436</v>
      </c>
      <c r="D11" s="26" t="s">
        <v>416</v>
      </c>
      <c r="E11" s="26" t="s">
        <v>224</v>
      </c>
      <c r="F11" s="26" t="s">
        <v>87</v>
      </c>
      <c r="G11" s="24"/>
      <c r="H11" s="26" t="n">
        <v>8</v>
      </c>
      <c r="J11" s="65" t="s">
        <v>475</v>
      </c>
      <c r="K11" s="65" t="n">
        <f aca="false">COUNTIFS(Release[Release],J11)</f>
        <v>0</v>
      </c>
      <c r="L11" s="65" t="n">
        <f aca="false">SUMIFS(Release[HLE],Release[Release],J11)</f>
        <v>0</v>
      </c>
      <c r="M11" s="76"/>
      <c r="N11" s="76"/>
      <c r="O11" s="77"/>
      <c r="P11" s="66"/>
    </row>
    <row r="12" customFormat="false" ht="15" hidden="false" customHeight="true" outlineLevel="0" collapsed="false">
      <c r="A12" s="24" t="s">
        <v>476</v>
      </c>
      <c r="B12" s="26" t="s">
        <v>477</v>
      </c>
      <c r="C12" s="26" t="s">
        <v>84</v>
      </c>
      <c r="D12" s="26" t="s">
        <v>417</v>
      </c>
      <c r="E12" s="26" t="s">
        <v>224</v>
      </c>
      <c r="F12" s="26" t="s">
        <v>87</v>
      </c>
      <c r="G12" s="24" t="s">
        <v>454</v>
      </c>
      <c r="H12" s="26" t="n">
        <v>2</v>
      </c>
      <c r="J12" s="65" t="s">
        <v>478</v>
      </c>
      <c r="K12" s="65" t="n">
        <f aca="false">COUNTIFS(Release[Release],J12)</f>
        <v>0</v>
      </c>
      <c r="L12" s="65" t="n">
        <f aca="false">SUMIFS(Release[HLE],Release[Release],J12)</f>
        <v>0</v>
      </c>
      <c r="M12" s="76"/>
      <c r="N12" s="76"/>
      <c r="O12" s="77"/>
      <c r="P12" s="66"/>
    </row>
    <row r="13" customFormat="false" ht="15" hidden="false" customHeight="true" outlineLevel="0" collapsed="false">
      <c r="A13" s="24" t="s">
        <v>479</v>
      </c>
      <c r="B13" s="26" t="s">
        <v>480</v>
      </c>
      <c r="C13" s="26" t="s">
        <v>84</v>
      </c>
      <c r="D13" s="26" t="s">
        <v>417</v>
      </c>
      <c r="E13" s="26" t="s">
        <v>224</v>
      </c>
      <c r="F13" s="26" t="s">
        <v>87</v>
      </c>
      <c r="G13" s="24" t="s">
        <v>454</v>
      </c>
      <c r="H13" s="26" t="n">
        <v>3</v>
      </c>
      <c r="J13" s="65" t="s">
        <v>481</v>
      </c>
      <c r="K13" s="65" t="n">
        <f aca="false">COUNTIFS(Release[Release],J13)</f>
        <v>2</v>
      </c>
      <c r="L13" s="65" t="n">
        <f aca="false">SUMIFS(Release[HLE],Release[Release],J13)</f>
        <v>16</v>
      </c>
      <c r="M13" s="76" t="n">
        <v>46119</v>
      </c>
      <c r="N13" s="76"/>
      <c r="O13" s="77" t="s">
        <v>482</v>
      </c>
      <c r="P13" s="66"/>
    </row>
    <row r="14" customFormat="false" ht="15" hidden="false" customHeight="true" outlineLevel="0" collapsed="false">
      <c r="A14" s="24" t="s">
        <v>483</v>
      </c>
      <c r="B14" s="26" t="s">
        <v>484</v>
      </c>
      <c r="C14" s="26" t="s">
        <v>435</v>
      </c>
      <c r="D14" s="26" t="s">
        <v>417</v>
      </c>
      <c r="E14" s="26" t="s">
        <v>224</v>
      </c>
      <c r="F14" s="26" t="s">
        <v>87</v>
      </c>
      <c r="G14" s="24"/>
      <c r="H14" s="26" t="n">
        <v>2</v>
      </c>
      <c r="J14" s="65" t="s">
        <v>485</v>
      </c>
      <c r="K14" s="65" t="n">
        <f aca="false">COUNTIFS(Release[Release],J14)</f>
        <v>1</v>
      </c>
      <c r="L14" s="65" t="n">
        <f aca="false">SUMIFS(Release[HLE],Release[Release],J14)</f>
        <v>5</v>
      </c>
      <c r="M14" s="76" t="n">
        <v>46128</v>
      </c>
      <c r="N14" s="76"/>
      <c r="O14" s="77" t="s">
        <v>482</v>
      </c>
      <c r="P14" s="66"/>
    </row>
    <row r="15" customFormat="false" ht="15" hidden="false" customHeight="true" outlineLevel="0" collapsed="false">
      <c r="A15" s="24" t="s">
        <v>486</v>
      </c>
      <c r="B15" s="26" t="s">
        <v>487</v>
      </c>
      <c r="C15" s="26" t="s">
        <v>84</v>
      </c>
      <c r="D15" s="26" t="s">
        <v>417</v>
      </c>
      <c r="E15" s="26" t="s">
        <v>224</v>
      </c>
      <c r="F15" s="26" t="s">
        <v>87</v>
      </c>
      <c r="G15" s="24" t="s">
        <v>454</v>
      </c>
      <c r="H15" s="26" t="n">
        <v>3</v>
      </c>
      <c r="J15" s="65" t="s">
        <v>488</v>
      </c>
      <c r="K15" s="65" t="n">
        <f aca="false">COUNTIFS(Release[Release],J15)</f>
        <v>0</v>
      </c>
      <c r="L15" s="65" t="n">
        <f aca="false">SUMIFS(Release[HLE],Release[Release],J15)</f>
        <v>0</v>
      </c>
      <c r="M15" s="76"/>
      <c r="N15" s="76"/>
      <c r="O15" s="77"/>
      <c r="P15" s="66"/>
    </row>
    <row r="16" customFormat="false" ht="15" hidden="false" customHeight="true" outlineLevel="0" collapsed="false">
      <c r="A16" s="24" t="s">
        <v>489</v>
      </c>
      <c r="B16" s="46" t="s">
        <v>490</v>
      </c>
      <c r="C16" s="26" t="s">
        <v>84</v>
      </c>
      <c r="D16" s="26" t="s">
        <v>417</v>
      </c>
      <c r="E16" s="26" t="s">
        <v>224</v>
      </c>
      <c r="F16" s="26" t="s">
        <v>87</v>
      </c>
      <c r="G16" s="24" t="s">
        <v>454</v>
      </c>
      <c r="H16" s="26" t="n">
        <v>3</v>
      </c>
      <c r="J16" s="65" t="s">
        <v>491</v>
      </c>
      <c r="K16" s="65" t="n">
        <f aca="false">COUNTIFS(Release[Release],J16)</f>
        <v>0</v>
      </c>
      <c r="L16" s="65" t="n">
        <f aca="false">SUMIFS(Release[HLE],Release[Release],J16)</f>
        <v>0</v>
      </c>
      <c r="M16" s="76"/>
      <c r="N16" s="76"/>
      <c r="O16" s="77"/>
      <c r="P16" s="66"/>
    </row>
    <row r="17" customFormat="false" ht="23.25" hidden="false" customHeight="true" outlineLevel="0" collapsed="false">
      <c r="A17" s="24" t="s">
        <v>492</v>
      </c>
      <c r="B17" s="26" t="s">
        <v>493</v>
      </c>
      <c r="C17" s="26" t="s">
        <v>168</v>
      </c>
      <c r="D17" s="26" t="s">
        <v>417</v>
      </c>
      <c r="E17" s="26" t="s">
        <v>224</v>
      </c>
      <c r="F17" s="26" t="s">
        <v>87</v>
      </c>
      <c r="G17" s="24" t="s">
        <v>494</v>
      </c>
      <c r="H17" s="26" t="n">
        <v>3</v>
      </c>
      <c r="J17" s="65" t="s">
        <v>495</v>
      </c>
      <c r="K17" s="65" t="n">
        <f aca="false">COUNTIFS(Release[Release],J17)</f>
        <v>0</v>
      </c>
      <c r="L17" s="65" t="n">
        <f aca="false">SUMIFS(Release[HLE],Release[Release],J17)</f>
        <v>0</v>
      </c>
      <c r="M17" s="76"/>
      <c r="N17" s="76"/>
      <c r="O17" s="77"/>
      <c r="P17" s="66"/>
    </row>
    <row r="18" customFormat="false" ht="15" hidden="false" customHeight="true" outlineLevel="0" collapsed="false">
      <c r="A18" s="24" t="s">
        <v>496</v>
      </c>
      <c r="B18" s="26" t="s">
        <v>497</v>
      </c>
      <c r="C18" s="26" t="s">
        <v>135</v>
      </c>
      <c r="D18" s="26" t="s">
        <v>417</v>
      </c>
      <c r="E18" s="26" t="s">
        <v>224</v>
      </c>
      <c r="F18" s="26" t="s">
        <v>87</v>
      </c>
      <c r="G18" s="24"/>
      <c r="H18" s="26" t="n">
        <v>8</v>
      </c>
      <c r="J18" s="65" t="s">
        <v>498</v>
      </c>
      <c r="K18" s="65" t="n">
        <f aca="false">COUNTIFS(Release[Release],J18)</f>
        <v>1</v>
      </c>
      <c r="L18" s="65" t="n">
        <f aca="false">SUMIFS(Release[HLE],Release[Release],J18)</f>
        <v>2</v>
      </c>
      <c r="M18" s="76" t="n">
        <v>46156</v>
      </c>
      <c r="N18" s="76"/>
      <c r="O18" s="77" t="s">
        <v>482</v>
      </c>
      <c r="P18" s="66" t="s">
        <v>499</v>
      </c>
    </row>
    <row r="19" customFormat="false" ht="15" hidden="false" customHeight="true" outlineLevel="0" collapsed="false">
      <c r="A19" s="24" t="s">
        <v>500</v>
      </c>
      <c r="B19" s="26" t="s">
        <v>501</v>
      </c>
      <c r="C19" s="26" t="s">
        <v>135</v>
      </c>
      <c r="D19" s="26" t="s">
        <v>417</v>
      </c>
      <c r="E19" s="26" t="s">
        <v>224</v>
      </c>
      <c r="F19" s="26" t="s">
        <v>87</v>
      </c>
      <c r="G19" s="24"/>
      <c r="H19" s="26" t="n">
        <v>3</v>
      </c>
      <c r="J19" s="65" t="s">
        <v>502</v>
      </c>
      <c r="K19" s="65" t="n">
        <f aca="false">COUNTIFS(Release[Release],J19)</f>
        <v>0</v>
      </c>
      <c r="L19" s="65" t="n">
        <f aca="false">SUMIFS(Release[HLE],Release[Release],J19)</f>
        <v>0</v>
      </c>
      <c r="M19" s="76"/>
      <c r="N19" s="76"/>
      <c r="O19" s="77"/>
      <c r="P19" s="66"/>
    </row>
    <row r="20" customFormat="false" ht="15" hidden="false" customHeight="true" outlineLevel="0" collapsed="false">
      <c r="A20" s="24" t="s">
        <v>503</v>
      </c>
      <c r="B20" s="26" t="s">
        <v>504</v>
      </c>
      <c r="C20" s="26" t="s">
        <v>28</v>
      </c>
      <c r="D20" s="26" t="s">
        <v>418</v>
      </c>
      <c r="E20" s="26" t="s">
        <v>224</v>
      </c>
      <c r="F20" s="26" t="s">
        <v>87</v>
      </c>
      <c r="G20" s="24"/>
      <c r="H20" s="26" t="n">
        <v>42</v>
      </c>
      <c r="J20" s="65" t="s">
        <v>494</v>
      </c>
      <c r="K20" s="65" t="n">
        <f aca="false">COUNTIFS(Release[Release],J20)</f>
        <v>10</v>
      </c>
      <c r="L20" s="65" t="n">
        <f aca="false">SUMIFS(Release[HLE],Release[Release],J20)</f>
        <v>73</v>
      </c>
      <c r="M20" s="76" t="n">
        <v>46177</v>
      </c>
      <c r="N20" s="76"/>
      <c r="O20" s="77" t="s">
        <v>482</v>
      </c>
      <c r="P20" s="66" t="s">
        <v>505</v>
      </c>
    </row>
    <row r="21" customFormat="false" ht="15" hidden="false" customHeight="true" outlineLevel="0" collapsed="false">
      <c r="A21" s="24" t="s">
        <v>506</v>
      </c>
      <c r="B21" s="26" t="s">
        <v>507</v>
      </c>
      <c r="C21" s="26" t="s">
        <v>279</v>
      </c>
      <c r="D21" s="26" t="s">
        <v>417</v>
      </c>
      <c r="E21" s="26" t="s">
        <v>224</v>
      </c>
      <c r="F21" s="26" t="s">
        <v>87</v>
      </c>
      <c r="G21" s="24"/>
      <c r="H21" s="26" t="n">
        <v>21</v>
      </c>
      <c r="J21" s="65" t="s">
        <v>508</v>
      </c>
      <c r="K21" s="65" t="n">
        <f aca="false">COUNTIFS(Release[Release],J21)</f>
        <v>12</v>
      </c>
      <c r="L21" s="65" t="n">
        <f aca="false">SUMIFS(Release[HLE],Release[Release],J21)</f>
        <v>70</v>
      </c>
      <c r="M21" s="76"/>
      <c r="N21" s="76"/>
      <c r="O21" s="77" t="s">
        <v>482</v>
      </c>
      <c r="P21" s="66" t="s">
        <v>509</v>
      </c>
    </row>
    <row r="22" customFormat="false" ht="15" hidden="false" customHeight="true" outlineLevel="0" collapsed="false">
      <c r="A22" s="24" t="s">
        <v>510</v>
      </c>
      <c r="B22" s="26" t="s">
        <v>511</v>
      </c>
      <c r="C22" s="26" t="s">
        <v>437</v>
      </c>
      <c r="D22" s="26" t="s">
        <v>423</v>
      </c>
      <c r="E22" s="26" t="s">
        <v>224</v>
      </c>
      <c r="F22" s="26" t="s">
        <v>87</v>
      </c>
      <c r="G22" s="24" t="s">
        <v>512</v>
      </c>
      <c r="H22" s="26"/>
      <c r="J22" s="65" t="s">
        <v>513</v>
      </c>
      <c r="K22" s="65" t="n">
        <f aca="false">COUNTIFS(Release[Release],J22)</f>
        <v>0</v>
      </c>
      <c r="L22" s="65" t="n">
        <f aca="false">SUMIFS(Release[HLE],Release[Release],J22)</f>
        <v>0</v>
      </c>
      <c r="M22" s="76"/>
      <c r="N22" s="76"/>
      <c r="O22" s="77"/>
      <c r="P22" s="66"/>
    </row>
    <row r="23" customFormat="false" ht="15" hidden="false" customHeight="true" outlineLevel="0" collapsed="false">
      <c r="A23" s="24" t="s">
        <v>514</v>
      </c>
      <c r="B23" s="26" t="s">
        <v>515</v>
      </c>
      <c r="C23" s="26" t="s">
        <v>437</v>
      </c>
      <c r="D23" s="26" t="s">
        <v>417</v>
      </c>
      <c r="E23" s="26" t="s">
        <v>224</v>
      </c>
      <c r="F23" s="26" t="s">
        <v>87</v>
      </c>
      <c r="G23" s="24" t="s">
        <v>516</v>
      </c>
      <c r="H23" s="26" t="n">
        <v>8</v>
      </c>
      <c r="J23" s="65" t="s">
        <v>517</v>
      </c>
      <c r="K23" s="65" t="n">
        <f aca="false">COUNTIFS(Release[Release],J23)</f>
        <v>0</v>
      </c>
      <c r="L23" s="65" t="n">
        <f aca="false">SUMIFS(Release[HLE],Release[Release],J23)</f>
        <v>0</v>
      </c>
      <c r="M23" s="76"/>
      <c r="N23" s="76"/>
      <c r="O23" s="77"/>
      <c r="P23" s="66"/>
    </row>
    <row r="24" customFormat="false" ht="15" hidden="false" customHeight="true" outlineLevel="0" collapsed="false">
      <c r="A24" s="24" t="s">
        <v>518</v>
      </c>
      <c r="B24" s="26" t="s">
        <v>519</v>
      </c>
      <c r="C24" s="26" t="s">
        <v>84</v>
      </c>
      <c r="D24" s="26" t="s">
        <v>418</v>
      </c>
      <c r="E24" s="26" t="s">
        <v>224</v>
      </c>
      <c r="F24" s="26" t="s">
        <v>87</v>
      </c>
      <c r="G24" s="24" t="s">
        <v>443</v>
      </c>
      <c r="H24" s="26"/>
      <c r="J24" s="65" t="s">
        <v>520</v>
      </c>
      <c r="K24" s="65" t="n">
        <f aca="false">COUNTIFS(Release[Release],J24)</f>
        <v>0</v>
      </c>
      <c r="L24" s="65" t="n">
        <f aca="false">SUMIFS(Release[HLE],Release[Release],J24)</f>
        <v>0</v>
      </c>
      <c r="M24" s="76"/>
      <c r="N24" s="76"/>
      <c r="O24" s="77"/>
      <c r="P24" s="66"/>
    </row>
    <row r="25" customFormat="false" ht="15" hidden="false" customHeight="true" outlineLevel="0" collapsed="false">
      <c r="A25" s="24" t="s">
        <v>521</v>
      </c>
      <c r="B25" s="26" t="s">
        <v>522</v>
      </c>
      <c r="C25" s="26" t="s">
        <v>168</v>
      </c>
      <c r="D25" s="26" t="s">
        <v>418</v>
      </c>
      <c r="E25" s="26" t="s">
        <v>224</v>
      </c>
      <c r="F25" s="26" t="s">
        <v>87</v>
      </c>
      <c r="G25" s="24" t="s">
        <v>494</v>
      </c>
      <c r="H25" s="26" t="n">
        <v>3</v>
      </c>
      <c r="J25" s="65" t="s">
        <v>523</v>
      </c>
      <c r="K25" s="65" t="n">
        <f aca="false">COUNTIFS(Release[Release],J25)</f>
        <v>0</v>
      </c>
      <c r="L25" s="65" t="n">
        <f aca="false">SUMIFS(Release[HLE],Release[Release],J25)</f>
        <v>0</v>
      </c>
      <c r="M25" s="76"/>
      <c r="N25" s="76"/>
      <c r="O25" s="77"/>
      <c r="P25" s="66"/>
    </row>
    <row r="26" customFormat="false" ht="15" hidden="false" customHeight="true" outlineLevel="0" collapsed="false">
      <c r="A26" s="24" t="s">
        <v>524</v>
      </c>
      <c r="B26" s="26" t="s">
        <v>525</v>
      </c>
      <c r="C26" s="26" t="s">
        <v>84</v>
      </c>
      <c r="D26" s="26" t="s">
        <v>418</v>
      </c>
      <c r="E26" s="26" t="s">
        <v>224</v>
      </c>
      <c r="F26" s="26" t="s">
        <v>87</v>
      </c>
      <c r="G26" s="24" t="s">
        <v>443</v>
      </c>
      <c r="H26" s="26" t="n">
        <v>3</v>
      </c>
      <c r="J26" s="65" t="s">
        <v>526</v>
      </c>
      <c r="K26" s="65" t="n">
        <f aca="false">COUNTIFS(Release[Release],J26)</f>
        <v>0</v>
      </c>
      <c r="L26" s="65" t="n">
        <f aca="false">SUMIFS(Release[HLE],Release[Release],J26)</f>
        <v>0</v>
      </c>
      <c r="M26" s="76"/>
      <c r="N26" s="76"/>
      <c r="O26" s="77"/>
      <c r="P26" s="66"/>
    </row>
    <row r="27" customFormat="false" ht="15" hidden="false" customHeight="true" outlineLevel="0" collapsed="false">
      <c r="A27" s="24" t="s">
        <v>527</v>
      </c>
      <c r="B27" s="26" t="s">
        <v>528</v>
      </c>
      <c r="C27" s="26" t="s">
        <v>168</v>
      </c>
      <c r="D27" s="26" t="s">
        <v>418</v>
      </c>
      <c r="E27" s="26" t="s">
        <v>224</v>
      </c>
      <c r="F27" s="26" t="s">
        <v>87</v>
      </c>
      <c r="G27" s="24"/>
      <c r="H27" s="26" t="n">
        <v>8</v>
      </c>
      <c r="J27" s="65" t="s">
        <v>516</v>
      </c>
      <c r="K27" s="65" t="n">
        <f aca="false">COUNTIFS(Release[Release],J27)</f>
        <v>12</v>
      </c>
      <c r="L27" s="65" t="n">
        <f aca="false">SUMIFS(Release[HLE],Release[Release],J27)</f>
        <v>73</v>
      </c>
      <c r="M27" s="76" t="n">
        <v>46217</v>
      </c>
      <c r="N27" s="76"/>
      <c r="O27" s="77" t="s">
        <v>482</v>
      </c>
      <c r="P27" s="66" t="s">
        <v>529</v>
      </c>
    </row>
    <row r="28" customFormat="false" ht="15" hidden="false" customHeight="true" outlineLevel="0" collapsed="false">
      <c r="A28" s="24" t="s">
        <v>530</v>
      </c>
      <c r="B28" s="26" t="s">
        <v>531</v>
      </c>
      <c r="C28" s="26" t="s">
        <v>168</v>
      </c>
      <c r="D28" s="26" t="s">
        <v>418</v>
      </c>
      <c r="E28" s="26" t="s">
        <v>224</v>
      </c>
      <c r="F28" s="26" t="s">
        <v>87</v>
      </c>
      <c r="G28" s="24"/>
      <c r="H28" s="26" t="n">
        <v>3</v>
      </c>
      <c r="J28" s="65" t="s">
        <v>532</v>
      </c>
      <c r="K28" s="65" t="n">
        <f aca="false">COUNTIFS(Release[Release],J28)</f>
        <v>0</v>
      </c>
      <c r="L28" s="65" t="n">
        <f aca="false">SUMIFS(Release[HLE],Release[Release],J28)</f>
        <v>0</v>
      </c>
      <c r="M28" s="76"/>
      <c r="N28" s="76"/>
      <c r="O28" s="77"/>
      <c r="P28" s="66"/>
    </row>
    <row r="29" customFormat="false" ht="15" hidden="false" customHeight="true" outlineLevel="0" collapsed="false">
      <c r="A29" s="24" t="s">
        <v>533</v>
      </c>
      <c r="B29" s="46" t="s">
        <v>534</v>
      </c>
      <c r="C29" s="26" t="s">
        <v>28</v>
      </c>
      <c r="D29" s="26" t="s">
        <v>418</v>
      </c>
      <c r="E29" s="26" t="s">
        <v>224</v>
      </c>
      <c r="F29" s="26" t="s">
        <v>87</v>
      </c>
      <c r="G29" s="24"/>
      <c r="H29" s="26" t="n">
        <v>4</v>
      </c>
      <c r="J29" s="65" t="s">
        <v>535</v>
      </c>
      <c r="K29" s="65" t="n">
        <f aca="false">COUNTIFS(Release[Release],J29)</f>
        <v>0</v>
      </c>
      <c r="L29" s="65" t="n">
        <f aca="false">SUMIFS(Release[HLE],Release[Release],J29)</f>
        <v>0</v>
      </c>
      <c r="M29" s="76"/>
      <c r="N29" s="76"/>
      <c r="O29" s="77"/>
      <c r="P29" s="66"/>
    </row>
    <row r="30" customFormat="false" ht="15" hidden="false" customHeight="true" outlineLevel="0" collapsed="false">
      <c r="A30" s="24" t="s">
        <v>536</v>
      </c>
      <c r="B30" s="26" t="s">
        <v>537</v>
      </c>
      <c r="C30" s="26" t="s">
        <v>116</v>
      </c>
      <c r="D30" s="26" t="s">
        <v>418</v>
      </c>
      <c r="E30" s="26" t="s">
        <v>224</v>
      </c>
      <c r="F30" s="26" t="s">
        <v>87</v>
      </c>
      <c r="G30" s="24" t="s">
        <v>481</v>
      </c>
      <c r="H30" s="26" t="n">
        <v>13</v>
      </c>
      <c r="J30" s="65" t="s">
        <v>538</v>
      </c>
      <c r="K30" s="65" t="n">
        <f aca="false">COUNTIFS(Release[Release],J30)</f>
        <v>3</v>
      </c>
      <c r="L30" s="65" t="n">
        <f aca="false">SUMIFS(Release[HLE],Release[Release],J30)</f>
        <v>18</v>
      </c>
      <c r="M30" s="76" t="n">
        <v>46219</v>
      </c>
      <c r="N30" s="76"/>
      <c r="O30" s="77" t="s">
        <v>482</v>
      </c>
      <c r="P30" s="66" t="s">
        <v>539</v>
      </c>
    </row>
    <row r="31" customFormat="false" ht="15" hidden="false" customHeight="true" outlineLevel="0" collapsed="false">
      <c r="A31" s="24" t="s">
        <v>540</v>
      </c>
      <c r="B31" s="26" t="s">
        <v>541</v>
      </c>
      <c r="C31" s="26" t="s">
        <v>116</v>
      </c>
      <c r="D31" s="26" t="s">
        <v>418</v>
      </c>
      <c r="E31" s="26" t="s">
        <v>224</v>
      </c>
      <c r="F31" s="26" t="s">
        <v>87</v>
      </c>
      <c r="G31" s="24"/>
      <c r="H31" s="26" t="n">
        <v>5</v>
      </c>
      <c r="J31" s="65" t="s">
        <v>542</v>
      </c>
      <c r="K31" s="65" t="n">
        <f aca="false">COUNTIFS(Release[Release],J31)</f>
        <v>2</v>
      </c>
      <c r="L31" s="65" t="n">
        <f aca="false">SUMIFS(Release[HLE],Release[Release],J31)</f>
        <v>21</v>
      </c>
      <c r="M31" s="76" t="n">
        <v>45861</v>
      </c>
      <c r="N31" s="76"/>
      <c r="O31" s="77" t="s">
        <v>482</v>
      </c>
      <c r="P31" s="66" t="s">
        <v>543</v>
      </c>
    </row>
    <row r="32" customFormat="false" ht="15" hidden="false" customHeight="true" outlineLevel="0" collapsed="false">
      <c r="A32" s="24" t="s">
        <v>544</v>
      </c>
      <c r="B32" s="26" t="s">
        <v>545</v>
      </c>
      <c r="C32" s="26" t="s">
        <v>84</v>
      </c>
      <c r="D32" s="26" t="s">
        <v>419</v>
      </c>
      <c r="E32" s="26" t="s">
        <v>224</v>
      </c>
      <c r="F32" s="26" t="s">
        <v>87</v>
      </c>
      <c r="G32" s="24" t="s">
        <v>454</v>
      </c>
      <c r="H32" s="26" t="n">
        <v>5</v>
      </c>
      <c r="J32" s="65" t="s">
        <v>512</v>
      </c>
      <c r="K32" s="65" t="n">
        <f aca="false">COUNTIFS(Release[Release],J32)</f>
        <v>1</v>
      </c>
      <c r="L32" s="65" t="n">
        <f aca="false">SUMIFS(Release[HLE],Release[Release],J32)</f>
        <v>0</v>
      </c>
      <c r="M32" s="76"/>
      <c r="N32" s="76"/>
      <c r="O32" s="77" t="s">
        <v>546</v>
      </c>
      <c r="P32" s="66" t="s">
        <v>547</v>
      </c>
    </row>
    <row r="33" customFormat="false" ht="15" hidden="false" customHeight="true" outlineLevel="0" collapsed="false">
      <c r="A33" s="24" t="s">
        <v>548</v>
      </c>
      <c r="B33" s="26" t="s">
        <v>549</v>
      </c>
      <c r="C33" s="26" t="s">
        <v>84</v>
      </c>
      <c r="D33" s="26" t="s">
        <v>419</v>
      </c>
      <c r="E33" s="26" t="s">
        <v>224</v>
      </c>
      <c r="F33" s="26" t="s">
        <v>87</v>
      </c>
      <c r="G33" s="24" t="s">
        <v>454</v>
      </c>
      <c r="H33" s="26" t="n">
        <v>2</v>
      </c>
      <c r="J33" s="65" t="s">
        <v>454</v>
      </c>
      <c r="K33" s="65" t="n">
        <f aca="false">COUNTIFS(Release[Release],J34)</f>
        <v>0</v>
      </c>
      <c r="L33" s="65" t="n">
        <f aca="false">SUMIFS(Release[HLE],Release[Release],J34)</f>
        <v>0</v>
      </c>
      <c r="M33" s="76" t="n">
        <v>46266</v>
      </c>
      <c r="N33" s="76"/>
      <c r="O33" s="77" t="s">
        <v>546</v>
      </c>
      <c r="P33" s="66" t="s">
        <v>550</v>
      </c>
    </row>
    <row r="34" customFormat="false" ht="15" hidden="false" customHeight="true" outlineLevel="0" collapsed="false">
      <c r="A34" s="24" t="s">
        <v>551</v>
      </c>
      <c r="B34" s="26" t="s">
        <v>552</v>
      </c>
      <c r="C34" s="26" t="s">
        <v>84</v>
      </c>
      <c r="D34" s="26" t="s">
        <v>419</v>
      </c>
      <c r="E34" s="26" t="s">
        <v>224</v>
      </c>
      <c r="F34" s="26" t="s">
        <v>87</v>
      </c>
      <c r="G34" s="24" t="s">
        <v>454</v>
      </c>
      <c r="H34" s="26" t="n">
        <v>5</v>
      </c>
      <c r="J34" s="65" t="s">
        <v>553</v>
      </c>
      <c r="K34" s="65" t="n">
        <f aca="false">COUNTBLANK(Release[Release])-COUNTIF(Release[Requirement ID],"")</f>
        <v>74</v>
      </c>
      <c r="L34" s="65" t="n">
        <f aca="false">SUMIFS(Release[HLE],Release[Release],"")</f>
        <v>578</v>
      </c>
      <c r="M34" s="66"/>
      <c r="N34" s="66"/>
      <c r="O34" s="77"/>
      <c r="P34" s="66"/>
    </row>
    <row r="35" customFormat="false" ht="23.25" hidden="false" customHeight="true" outlineLevel="0" collapsed="false">
      <c r="A35" s="24" t="s">
        <v>554</v>
      </c>
      <c r="B35" s="26" t="s">
        <v>555</v>
      </c>
      <c r="C35" s="26" t="s">
        <v>84</v>
      </c>
      <c r="D35" s="26" t="s">
        <v>419</v>
      </c>
      <c r="E35" s="26" t="s">
        <v>224</v>
      </c>
      <c r="F35" s="26" t="s">
        <v>87</v>
      </c>
      <c r="G35" s="24" t="s">
        <v>454</v>
      </c>
      <c r="H35" s="26" t="n">
        <v>5</v>
      </c>
      <c r="I35" s="78"/>
      <c r="J35" s="79"/>
    </row>
    <row r="36" customFormat="false" ht="15" hidden="false" customHeight="true" outlineLevel="0" collapsed="false">
      <c r="A36" s="24" t="s">
        <v>556</v>
      </c>
      <c r="B36" s="26" t="s">
        <v>557</v>
      </c>
      <c r="C36" s="26" t="s">
        <v>84</v>
      </c>
      <c r="D36" s="26" t="s">
        <v>419</v>
      </c>
      <c r="E36" s="26" t="s">
        <v>224</v>
      </c>
      <c r="F36" s="26" t="s">
        <v>87</v>
      </c>
      <c r="G36" s="24" t="s">
        <v>454</v>
      </c>
      <c r="H36" s="26" t="n">
        <v>5</v>
      </c>
      <c r="I36" s="78"/>
      <c r="J36" s="79"/>
    </row>
    <row r="37" customFormat="false" ht="15" hidden="false" customHeight="true" outlineLevel="0" collapsed="false">
      <c r="A37" s="24" t="s">
        <v>558</v>
      </c>
      <c r="B37" s="26" t="s">
        <v>559</v>
      </c>
      <c r="C37" s="26" t="s">
        <v>84</v>
      </c>
      <c r="D37" s="26" t="s">
        <v>419</v>
      </c>
      <c r="E37" s="26" t="s">
        <v>224</v>
      </c>
      <c r="F37" s="26" t="s">
        <v>87</v>
      </c>
      <c r="G37" s="24" t="s">
        <v>454</v>
      </c>
      <c r="H37" s="26" t="n">
        <v>13</v>
      </c>
      <c r="I37" s="78"/>
      <c r="J37" s="79"/>
    </row>
    <row r="38" customFormat="false" ht="15" hidden="false" customHeight="true" outlineLevel="0" collapsed="false">
      <c r="A38" s="24" t="s">
        <v>560</v>
      </c>
      <c r="B38" s="26" t="s">
        <v>561</v>
      </c>
      <c r="C38" s="26" t="s">
        <v>84</v>
      </c>
      <c r="D38" s="26" t="s">
        <v>419</v>
      </c>
      <c r="E38" s="26" t="s">
        <v>224</v>
      </c>
      <c r="F38" s="26" t="s">
        <v>87</v>
      </c>
      <c r="G38" s="24" t="s">
        <v>454</v>
      </c>
      <c r="H38" s="26" t="n">
        <v>5</v>
      </c>
      <c r="I38" s="78"/>
      <c r="J38" s="79"/>
    </row>
    <row r="39" customFormat="false" ht="15" hidden="false" customHeight="true" outlineLevel="0" collapsed="false">
      <c r="A39" s="24" t="s">
        <v>562</v>
      </c>
      <c r="B39" s="26" t="s">
        <v>563</v>
      </c>
      <c r="C39" s="26" t="s">
        <v>84</v>
      </c>
      <c r="D39" s="26" t="s">
        <v>419</v>
      </c>
      <c r="E39" s="26" t="s">
        <v>224</v>
      </c>
      <c r="F39" s="26" t="s">
        <v>87</v>
      </c>
      <c r="G39" s="24" t="s">
        <v>443</v>
      </c>
      <c r="H39" s="26" t="n">
        <v>5</v>
      </c>
      <c r="I39" s="78"/>
      <c r="J39" s="79"/>
    </row>
    <row r="40" customFormat="false" ht="15" hidden="false" customHeight="true" outlineLevel="0" collapsed="false">
      <c r="A40" s="24" t="s">
        <v>564</v>
      </c>
      <c r="B40" s="26" t="s">
        <v>565</v>
      </c>
      <c r="C40" s="26" t="s">
        <v>168</v>
      </c>
      <c r="D40" s="26" t="s">
        <v>419</v>
      </c>
      <c r="E40" s="26" t="s">
        <v>224</v>
      </c>
      <c r="F40" s="26" t="s">
        <v>87</v>
      </c>
      <c r="G40" s="24"/>
      <c r="H40" s="26" t="n">
        <v>13</v>
      </c>
      <c r="I40" s="78"/>
      <c r="J40" s="79"/>
    </row>
    <row r="41" customFormat="false" ht="15" hidden="false" customHeight="true" outlineLevel="0" collapsed="false">
      <c r="A41" s="24" t="s">
        <v>566</v>
      </c>
      <c r="B41" s="26" t="s">
        <v>567</v>
      </c>
      <c r="C41" s="26" t="s">
        <v>168</v>
      </c>
      <c r="D41" s="26" t="s">
        <v>419</v>
      </c>
      <c r="E41" s="26" t="s">
        <v>224</v>
      </c>
      <c r="F41" s="26" t="s">
        <v>87</v>
      </c>
      <c r="G41" s="24" t="s">
        <v>494</v>
      </c>
      <c r="H41" s="26" t="n">
        <v>2</v>
      </c>
      <c r="I41" s="78"/>
      <c r="J41" s="79"/>
    </row>
    <row r="42" customFormat="false" ht="15" hidden="false" customHeight="true" outlineLevel="0" collapsed="false">
      <c r="A42" s="24" t="s">
        <v>568</v>
      </c>
      <c r="B42" s="26" t="s">
        <v>569</v>
      </c>
      <c r="C42" s="26" t="s">
        <v>168</v>
      </c>
      <c r="D42" s="26" t="s">
        <v>419</v>
      </c>
      <c r="E42" s="26" t="s">
        <v>224</v>
      </c>
      <c r="F42" s="26" t="s">
        <v>87</v>
      </c>
      <c r="G42" s="24"/>
      <c r="H42" s="26" t="n">
        <v>3</v>
      </c>
      <c r="I42" s="78"/>
      <c r="J42" s="79"/>
    </row>
    <row r="43" customFormat="false" ht="15" hidden="false" customHeight="true" outlineLevel="0" collapsed="false">
      <c r="A43" s="24" t="s">
        <v>570</v>
      </c>
      <c r="B43" s="26" t="s">
        <v>571</v>
      </c>
      <c r="C43" s="26" t="s">
        <v>28</v>
      </c>
      <c r="D43" s="26" t="s">
        <v>419</v>
      </c>
      <c r="E43" s="26" t="s">
        <v>224</v>
      </c>
      <c r="F43" s="26" t="s">
        <v>87</v>
      </c>
      <c r="G43" s="24" t="s">
        <v>485</v>
      </c>
      <c r="H43" s="26" t="n">
        <v>5</v>
      </c>
      <c r="I43" s="78"/>
      <c r="J43" s="79"/>
    </row>
    <row r="44" customFormat="false" ht="15" hidden="false" customHeight="true" outlineLevel="0" collapsed="false">
      <c r="A44" s="24" t="s">
        <v>572</v>
      </c>
      <c r="B44" s="26" t="s">
        <v>573</v>
      </c>
      <c r="C44" s="26" t="s">
        <v>437</v>
      </c>
      <c r="D44" s="26" t="s">
        <v>419</v>
      </c>
      <c r="E44" s="26" t="s">
        <v>224</v>
      </c>
      <c r="F44" s="26" t="s">
        <v>87</v>
      </c>
      <c r="G44" s="24"/>
      <c r="H44" s="26"/>
      <c r="I44" s="78"/>
      <c r="J44" s="79"/>
    </row>
    <row r="45" customFormat="false" ht="15" hidden="false" customHeight="true" outlineLevel="0" collapsed="false">
      <c r="A45" s="24" t="s">
        <v>574</v>
      </c>
      <c r="B45" s="26" t="s">
        <v>575</v>
      </c>
      <c r="C45" s="26" t="s">
        <v>84</v>
      </c>
      <c r="D45" s="26" t="s">
        <v>420</v>
      </c>
      <c r="E45" s="26" t="s">
        <v>224</v>
      </c>
      <c r="F45" s="26" t="s">
        <v>87</v>
      </c>
      <c r="G45" s="24" t="s">
        <v>443</v>
      </c>
      <c r="H45" s="26" t="n">
        <v>5</v>
      </c>
      <c r="I45" s="78"/>
      <c r="J45" s="79"/>
    </row>
    <row r="46" customFormat="false" ht="15" hidden="false" customHeight="true" outlineLevel="0" collapsed="false">
      <c r="A46" s="24" t="s">
        <v>576</v>
      </c>
      <c r="B46" s="26" t="s">
        <v>577</v>
      </c>
      <c r="C46" s="26" t="s">
        <v>84</v>
      </c>
      <c r="D46" s="26" t="s">
        <v>420</v>
      </c>
      <c r="E46" s="26" t="s">
        <v>224</v>
      </c>
      <c r="F46" s="26" t="s">
        <v>87</v>
      </c>
      <c r="G46" s="24" t="s">
        <v>454</v>
      </c>
      <c r="H46" s="26" t="n">
        <v>13</v>
      </c>
      <c r="I46" s="78"/>
      <c r="J46" s="79"/>
    </row>
    <row r="47" customFormat="false" ht="15" hidden="false" customHeight="true" outlineLevel="0" collapsed="false">
      <c r="A47" s="24" t="s">
        <v>578</v>
      </c>
      <c r="B47" s="26" t="s">
        <v>579</v>
      </c>
      <c r="C47" s="26" t="s">
        <v>168</v>
      </c>
      <c r="D47" s="26" t="s">
        <v>420</v>
      </c>
      <c r="E47" s="26" t="s">
        <v>224</v>
      </c>
      <c r="F47" s="26" t="s">
        <v>87</v>
      </c>
      <c r="G47" s="24" t="s">
        <v>494</v>
      </c>
      <c r="H47" s="26" t="n">
        <v>3</v>
      </c>
      <c r="I47" s="78"/>
      <c r="J47" s="79"/>
    </row>
    <row r="48" customFormat="false" ht="15" hidden="false" customHeight="true" outlineLevel="0" collapsed="false">
      <c r="A48" s="24" t="s">
        <v>580</v>
      </c>
      <c r="B48" s="26" t="s">
        <v>581</v>
      </c>
      <c r="C48" s="26" t="s">
        <v>168</v>
      </c>
      <c r="D48" s="26" t="s">
        <v>420</v>
      </c>
      <c r="E48" s="26" t="s">
        <v>224</v>
      </c>
      <c r="F48" s="26" t="s">
        <v>87</v>
      </c>
      <c r="G48" s="24" t="s">
        <v>494</v>
      </c>
      <c r="H48" s="26" t="n">
        <v>2</v>
      </c>
      <c r="I48" s="78"/>
      <c r="J48" s="79"/>
    </row>
    <row r="49" customFormat="false" ht="15" hidden="false" customHeight="true" outlineLevel="0" collapsed="false">
      <c r="A49" s="24" t="s">
        <v>582</v>
      </c>
      <c r="B49" s="26" t="s">
        <v>583</v>
      </c>
      <c r="C49" s="26" t="s">
        <v>168</v>
      </c>
      <c r="D49" s="26" t="s">
        <v>420</v>
      </c>
      <c r="E49" s="26" t="s">
        <v>224</v>
      </c>
      <c r="F49" s="26" t="s">
        <v>87</v>
      </c>
      <c r="G49" s="24" t="s">
        <v>494</v>
      </c>
      <c r="H49" s="26" t="n">
        <v>8</v>
      </c>
      <c r="I49" s="78"/>
      <c r="J49" s="79"/>
    </row>
    <row r="50" customFormat="false" ht="15" hidden="false" customHeight="true" outlineLevel="0" collapsed="false">
      <c r="A50" s="24" t="s">
        <v>584</v>
      </c>
      <c r="B50" s="26" t="s">
        <v>585</v>
      </c>
      <c r="C50" s="26" t="s">
        <v>168</v>
      </c>
      <c r="D50" s="26" t="s">
        <v>420</v>
      </c>
      <c r="E50" s="26" t="s">
        <v>224</v>
      </c>
      <c r="F50" s="26" t="s">
        <v>87</v>
      </c>
      <c r="G50" s="24" t="s">
        <v>494</v>
      </c>
      <c r="H50" s="26" t="n">
        <v>13</v>
      </c>
      <c r="I50" s="78"/>
      <c r="J50" s="79"/>
    </row>
    <row r="51" customFormat="false" ht="15" hidden="false" customHeight="true" outlineLevel="0" collapsed="false">
      <c r="A51" s="24" t="s">
        <v>586</v>
      </c>
      <c r="B51" s="26" t="s">
        <v>587</v>
      </c>
      <c r="C51" s="26" t="s">
        <v>168</v>
      </c>
      <c r="D51" s="26" t="s">
        <v>420</v>
      </c>
      <c r="E51" s="26" t="s">
        <v>224</v>
      </c>
      <c r="F51" s="26" t="s">
        <v>87</v>
      </c>
      <c r="G51" s="24" t="s">
        <v>494</v>
      </c>
      <c r="H51" s="26" t="n">
        <v>5</v>
      </c>
      <c r="I51" s="78"/>
      <c r="J51" s="79"/>
    </row>
    <row r="52" customFormat="false" ht="15" hidden="false" customHeight="true" outlineLevel="0" collapsed="false">
      <c r="A52" s="24" t="s">
        <v>588</v>
      </c>
      <c r="B52" s="26" t="s">
        <v>589</v>
      </c>
      <c r="C52" s="26" t="s">
        <v>168</v>
      </c>
      <c r="D52" s="26" t="s">
        <v>420</v>
      </c>
      <c r="E52" s="26" t="s">
        <v>224</v>
      </c>
      <c r="F52" s="26" t="s">
        <v>87</v>
      </c>
      <c r="G52" s="24" t="s">
        <v>494</v>
      </c>
      <c r="H52" s="26" t="n">
        <v>13</v>
      </c>
      <c r="I52" s="78"/>
      <c r="J52" s="79"/>
    </row>
    <row r="53" customFormat="false" ht="15" hidden="false" customHeight="true" outlineLevel="0" collapsed="false">
      <c r="A53" s="24" t="s">
        <v>590</v>
      </c>
      <c r="B53" s="26" t="s">
        <v>591</v>
      </c>
      <c r="C53" s="26" t="s">
        <v>84</v>
      </c>
      <c r="D53" s="26" t="s">
        <v>420</v>
      </c>
      <c r="E53" s="26" t="s">
        <v>224</v>
      </c>
      <c r="F53" s="26" t="s">
        <v>87</v>
      </c>
      <c r="G53" s="24" t="s">
        <v>454</v>
      </c>
      <c r="H53" s="26" t="n">
        <v>3</v>
      </c>
      <c r="I53" s="78"/>
      <c r="J53" s="79"/>
    </row>
    <row r="54" customFormat="false" ht="15" hidden="false" customHeight="true" outlineLevel="0" collapsed="false">
      <c r="A54" s="24" t="s">
        <v>592</v>
      </c>
      <c r="B54" s="26" t="s">
        <v>593</v>
      </c>
      <c r="C54" s="26" t="s">
        <v>135</v>
      </c>
      <c r="D54" s="26" t="s">
        <v>420</v>
      </c>
      <c r="E54" s="26" t="s">
        <v>224</v>
      </c>
      <c r="F54" s="26" t="s">
        <v>87</v>
      </c>
      <c r="G54" s="24" t="s">
        <v>498</v>
      </c>
      <c r="H54" s="26" t="n">
        <v>2</v>
      </c>
      <c r="I54" s="78"/>
      <c r="J54" s="79"/>
    </row>
    <row r="55" customFormat="false" ht="15" hidden="false" customHeight="true" outlineLevel="0" collapsed="false">
      <c r="A55" s="24" t="s">
        <v>594</v>
      </c>
      <c r="B55" s="26" t="s">
        <v>595</v>
      </c>
      <c r="C55" s="26" t="s">
        <v>28</v>
      </c>
      <c r="D55" s="26" t="s">
        <v>420</v>
      </c>
      <c r="E55" s="26" t="s">
        <v>224</v>
      </c>
      <c r="F55" s="26" t="s">
        <v>93</v>
      </c>
      <c r="G55" s="24"/>
      <c r="H55" s="26" t="n">
        <v>18</v>
      </c>
      <c r="I55" s="78"/>
      <c r="J55" s="79"/>
    </row>
    <row r="56" customFormat="false" ht="15" hidden="false" customHeight="true" outlineLevel="0" collapsed="false">
      <c r="A56" s="24" t="s">
        <v>596</v>
      </c>
      <c r="B56" s="26" t="s">
        <v>597</v>
      </c>
      <c r="C56" s="26" t="s">
        <v>84</v>
      </c>
      <c r="D56" s="26" t="s">
        <v>420</v>
      </c>
      <c r="E56" s="26" t="s">
        <v>224</v>
      </c>
      <c r="F56" s="26" t="s">
        <v>87</v>
      </c>
      <c r="G56" s="24" t="s">
        <v>454</v>
      </c>
      <c r="H56" s="26" t="n">
        <v>21</v>
      </c>
      <c r="I56" s="78"/>
      <c r="J56" s="79"/>
    </row>
    <row r="57" customFormat="false" ht="15" hidden="false" customHeight="true" outlineLevel="0" collapsed="false">
      <c r="A57" s="24" t="s">
        <v>598</v>
      </c>
      <c r="B57" s="26" t="s">
        <v>599</v>
      </c>
      <c r="C57" s="26" t="s">
        <v>168</v>
      </c>
      <c r="D57" s="26" t="s">
        <v>420</v>
      </c>
      <c r="E57" s="26" t="s">
        <v>224</v>
      </c>
      <c r="F57" s="26" t="s">
        <v>87</v>
      </c>
      <c r="G57" s="24"/>
      <c r="H57" s="26" t="n">
        <v>2</v>
      </c>
      <c r="I57" s="78"/>
      <c r="J57" s="79"/>
    </row>
    <row r="58" customFormat="false" ht="15" hidden="false" customHeight="true" outlineLevel="0" collapsed="false">
      <c r="A58" s="24" t="s">
        <v>600</v>
      </c>
      <c r="B58" s="26" t="s">
        <v>601</v>
      </c>
      <c r="C58" s="26" t="s">
        <v>84</v>
      </c>
      <c r="D58" s="26" t="s">
        <v>420</v>
      </c>
      <c r="E58" s="26" t="s">
        <v>224</v>
      </c>
      <c r="F58" s="26" t="s">
        <v>87</v>
      </c>
      <c r="G58" s="24" t="s">
        <v>454</v>
      </c>
      <c r="H58" s="26" t="n">
        <v>8</v>
      </c>
      <c r="I58" s="78"/>
      <c r="J58" s="79"/>
    </row>
    <row r="59" customFormat="false" ht="15" hidden="false" customHeight="true" outlineLevel="0" collapsed="false">
      <c r="A59" s="24" t="s">
        <v>602</v>
      </c>
      <c r="B59" s="26" t="s">
        <v>603</v>
      </c>
      <c r="C59" s="26" t="s">
        <v>168</v>
      </c>
      <c r="D59" s="26" t="s">
        <v>420</v>
      </c>
      <c r="E59" s="26" t="s">
        <v>224</v>
      </c>
      <c r="F59" s="26" t="s">
        <v>87</v>
      </c>
      <c r="G59" s="24"/>
      <c r="H59" s="26" t="n">
        <v>3</v>
      </c>
      <c r="I59" s="78"/>
      <c r="J59" s="79"/>
    </row>
    <row r="60" customFormat="false" ht="15" hidden="false" customHeight="true" outlineLevel="0" collapsed="false">
      <c r="A60" s="24" t="s">
        <v>604</v>
      </c>
      <c r="B60" s="26" t="s">
        <v>605</v>
      </c>
      <c r="C60" s="26" t="s">
        <v>168</v>
      </c>
      <c r="D60" s="26" t="s">
        <v>420</v>
      </c>
      <c r="E60" s="26" t="s">
        <v>224</v>
      </c>
      <c r="F60" s="26" t="s">
        <v>87</v>
      </c>
      <c r="G60" s="24"/>
      <c r="H60" s="26" t="n">
        <v>5</v>
      </c>
      <c r="I60" s="78"/>
      <c r="J60" s="79"/>
    </row>
    <row r="61" customFormat="false" ht="15" hidden="false" customHeight="true" outlineLevel="0" collapsed="false">
      <c r="A61" s="24" t="s">
        <v>606</v>
      </c>
      <c r="B61" s="26" t="s">
        <v>607</v>
      </c>
      <c r="C61" s="26" t="s">
        <v>168</v>
      </c>
      <c r="D61" s="26" t="s">
        <v>420</v>
      </c>
      <c r="E61" s="26" t="s">
        <v>224</v>
      </c>
      <c r="F61" s="26" t="s">
        <v>87</v>
      </c>
      <c r="G61" s="24"/>
      <c r="H61" s="26" t="n">
        <v>5</v>
      </c>
      <c r="I61" s="78"/>
      <c r="J61" s="79"/>
    </row>
    <row r="62" customFormat="false" ht="15" hidden="false" customHeight="true" outlineLevel="0" collapsed="false">
      <c r="A62" s="24" t="s">
        <v>608</v>
      </c>
      <c r="B62" s="26" t="s">
        <v>609</v>
      </c>
      <c r="C62" s="26" t="s">
        <v>168</v>
      </c>
      <c r="D62" s="26" t="s">
        <v>420</v>
      </c>
      <c r="E62" s="26" t="s">
        <v>224</v>
      </c>
      <c r="F62" s="26" t="s">
        <v>87</v>
      </c>
      <c r="G62" s="24"/>
      <c r="H62" s="26" t="n">
        <v>18</v>
      </c>
      <c r="I62" s="78"/>
      <c r="J62" s="79"/>
    </row>
    <row r="63" customFormat="false" ht="15" hidden="false" customHeight="true" outlineLevel="0" collapsed="false">
      <c r="A63" s="24" t="s">
        <v>610</v>
      </c>
      <c r="B63" s="26" t="s">
        <v>611</v>
      </c>
      <c r="C63" s="26" t="s">
        <v>168</v>
      </c>
      <c r="D63" s="26" t="s">
        <v>420</v>
      </c>
      <c r="E63" s="26" t="s">
        <v>224</v>
      </c>
      <c r="F63" s="26" t="s">
        <v>87</v>
      </c>
      <c r="G63" s="24"/>
      <c r="H63" s="26" t="n">
        <v>13</v>
      </c>
      <c r="I63" s="78"/>
      <c r="J63" s="79"/>
    </row>
    <row r="64" customFormat="false" ht="15" hidden="false" customHeight="true" outlineLevel="0" collapsed="false">
      <c r="A64" s="24" t="s">
        <v>612</v>
      </c>
      <c r="B64" s="26" t="s">
        <v>462</v>
      </c>
      <c r="C64" s="26" t="s">
        <v>168</v>
      </c>
      <c r="D64" s="26" t="s">
        <v>420</v>
      </c>
      <c r="E64" s="26" t="s">
        <v>224</v>
      </c>
      <c r="F64" s="26" t="s">
        <v>87</v>
      </c>
      <c r="G64" s="24"/>
      <c r="H64" s="26" t="n">
        <v>13</v>
      </c>
      <c r="I64" s="78"/>
      <c r="J64" s="79"/>
    </row>
    <row r="65" customFormat="false" ht="15" hidden="false" customHeight="true" outlineLevel="0" collapsed="false">
      <c r="A65" s="24" t="s">
        <v>613</v>
      </c>
      <c r="B65" s="26" t="s">
        <v>614</v>
      </c>
      <c r="C65" s="26" t="s">
        <v>168</v>
      </c>
      <c r="D65" s="26" t="s">
        <v>420</v>
      </c>
      <c r="E65" s="26" t="s">
        <v>224</v>
      </c>
      <c r="F65" s="26" t="s">
        <v>87</v>
      </c>
      <c r="G65" s="24" t="s">
        <v>494</v>
      </c>
      <c r="H65" s="26" t="n">
        <v>21</v>
      </c>
      <c r="I65" s="78"/>
      <c r="J65" s="79"/>
    </row>
    <row r="66" customFormat="false" ht="15" hidden="false" customHeight="true" outlineLevel="0" collapsed="false">
      <c r="A66" s="24" t="s">
        <v>615</v>
      </c>
      <c r="B66" s="26" t="s">
        <v>616</v>
      </c>
      <c r="C66" s="26" t="s">
        <v>120</v>
      </c>
      <c r="D66" s="26" t="s">
        <v>420</v>
      </c>
      <c r="E66" s="26" t="s">
        <v>224</v>
      </c>
      <c r="F66" s="26" t="s">
        <v>87</v>
      </c>
      <c r="G66" s="24"/>
      <c r="H66" s="26" t="n">
        <v>8</v>
      </c>
      <c r="I66" s="78"/>
      <c r="J66" s="79"/>
    </row>
    <row r="67" customFormat="false" ht="15" hidden="false" customHeight="true" outlineLevel="0" collapsed="false">
      <c r="A67" s="24" t="s">
        <v>617</v>
      </c>
      <c r="B67" s="26" t="s">
        <v>618</v>
      </c>
      <c r="C67" s="26" t="s">
        <v>84</v>
      </c>
      <c r="D67" s="26" t="s">
        <v>421</v>
      </c>
      <c r="E67" s="26" t="s">
        <v>224</v>
      </c>
      <c r="F67" s="26" t="s">
        <v>87</v>
      </c>
      <c r="G67" s="24" t="s">
        <v>454</v>
      </c>
      <c r="H67" s="26" t="n">
        <v>8</v>
      </c>
      <c r="I67" s="78"/>
      <c r="J67" s="79"/>
    </row>
    <row r="68" customFormat="false" ht="15" hidden="false" customHeight="true" outlineLevel="0" collapsed="false">
      <c r="A68" s="24" t="s">
        <v>619</v>
      </c>
      <c r="B68" s="26" t="s">
        <v>620</v>
      </c>
      <c r="C68" s="26" t="s">
        <v>84</v>
      </c>
      <c r="D68" s="26" t="s">
        <v>421</v>
      </c>
      <c r="E68" s="26" t="s">
        <v>224</v>
      </c>
      <c r="F68" s="26" t="s">
        <v>87</v>
      </c>
      <c r="G68" s="24" t="s">
        <v>454</v>
      </c>
      <c r="H68" s="26" t="n">
        <v>8</v>
      </c>
      <c r="I68" s="78"/>
      <c r="J68" s="79"/>
    </row>
    <row r="69" customFormat="false" ht="15" hidden="false" customHeight="true" outlineLevel="0" collapsed="false">
      <c r="A69" s="24" t="s">
        <v>621</v>
      </c>
      <c r="B69" s="26" t="s">
        <v>622</v>
      </c>
      <c r="C69" s="26" t="s">
        <v>84</v>
      </c>
      <c r="D69" s="26" t="s">
        <v>421</v>
      </c>
      <c r="E69" s="26" t="s">
        <v>224</v>
      </c>
      <c r="F69" s="26" t="s">
        <v>87</v>
      </c>
      <c r="G69" s="24" t="s">
        <v>443</v>
      </c>
      <c r="H69" s="26" t="n">
        <v>5</v>
      </c>
      <c r="I69" s="78"/>
      <c r="J69" s="79"/>
    </row>
    <row r="70" customFormat="false" ht="15" hidden="false" customHeight="true" outlineLevel="0" collapsed="false">
      <c r="A70" s="24" t="s">
        <v>623</v>
      </c>
      <c r="B70" s="26" t="s">
        <v>624</v>
      </c>
      <c r="C70" s="26" t="s">
        <v>84</v>
      </c>
      <c r="D70" s="26" t="s">
        <v>421</v>
      </c>
      <c r="E70" s="26" t="s">
        <v>224</v>
      </c>
      <c r="F70" s="26" t="s">
        <v>87</v>
      </c>
      <c r="G70" s="24" t="s">
        <v>443</v>
      </c>
      <c r="H70" s="26" t="n">
        <v>3</v>
      </c>
      <c r="I70" s="78"/>
      <c r="J70" s="79"/>
    </row>
    <row r="71" customFormat="false" ht="15" hidden="false" customHeight="true" outlineLevel="0" collapsed="false">
      <c r="A71" s="24" t="s">
        <v>625</v>
      </c>
      <c r="B71" s="26" t="s">
        <v>626</v>
      </c>
      <c r="C71" s="26" t="s">
        <v>84</v>
      </c>
      <c r="D71" s="26" t="s">
        <v>421</v>
      </c>
      <c r="E71" s="26" t="s">
        <v>224</v>
      </c>
      <c r="F71" s="26" t="s">
        <v>87</v>
      </c>
      <c r="G71" s="24" t="s">
        <v>443</v>
      </c>
      <c r="H71" s="26" t="n">
        <v>5</v>
      </c>
      <c r="I71" s="78"/>
      <c r="J71" s="79"/>
    </row>
    <row r="72" customFormat="false" ht="15" hidden="false" customHeight="true" outlineLevel="0" collapsed="false">
      <c r="A72" s="24" t="s">
        <v>627</v>
      </c>
      <c r="B72" s="26" t="s">
        <v>628</v>
      </c>
      <c r="C72" s="26" t="s">
        <v>116</v>
      </c>
      <c r="D72" s="26" t="s">
        <v>421</v>
      </c>
      <c r="E72" s="26" t="s">
        <v>224</v>
      </c>
      <c r="F72" s="26" t="s">
        <v>87</v>
      </c>
      <c r="G72" s="24" t="s">
        <v>508</v>
      </c>
      <c r="H72" s="26" t="n">
        <v>5</v>
      </c>
      <c r="I72" s="78"/>
      <c r="J72" s="79"/>
    </row>
    <row r="73" customFormat="false" ht="15" hidden="false" customHeight="true" outlineLevel="0" collapsed="false">
      <c r="A73" s="24" t="s">
        <v>629</v>
      </c>
      <c r="B73" s="26" t="s">
        <v>630</v>
      </c>
      <c r="C73" s="26" t="s">
        <v>116</v>
      </c>
      <c r="D73" s="26" t="s">
        <v>421</v>
      </c>
      <c r="E73" s="26" t="s">
        <v>224</v>
      </c>
      <c r="F73" s="26" t="s">
        <v>87</v>
      </c>
      <c r="G73" s="24" t="s">
        <v>516</v>
      </c>
      <c r="H73" s="26" t="n">
        <v>8</v>
      </c>
      <c r="I73" s="78"/>
      <c r="J73" s="79"/>
    </row>
    <row r="74" customFormat="false" ht="15" hidden="false" customHeight="true" outlineLevel="0" collapsed="false">
      <c r="A74" s="24" t="s">
        <v>631</v>
      </c>
      <c r="B74" s="26" t="s">
        <v>632</v>
      </c>
      <c r="C74" s="26" t="s">
        <v>168</v>
      </c>
      <c r="D74" s="26" t="s">
        <v>421</v>
      </c>
      <c r="E74" s="26" t="s">
        <v>224</v>
      </c>
      <c r="F74" s="26" t="s">
        <v>87</v>
      </c>
      <c r="G74" s="24" t="s">
        <v>508</v>
      </c>
      <c r="H74" s="26" t="n">
        <v>3</v>
      </c>
      <c r="I74" s="78"/>
      <c r="J74" s="79"/>
    </row>
    <row r="75" customFormat="false" ht="15" hidden="false" customHeight="true" outlineLevel="0" collapsed="false">
      <c r="A75" s="24" t="s">
        <v>633</v>
      </c>
      <c r="B75" s="26" t="s">
        <v>634</v>
      </c>
      <c r="C75" s="26" t="s">
        <v>168</v>
      </c>
      <c r="D75" s="26" t="s">
        <v>421</v>
      </c>
      <c r="E75" s="26" t="s">
        <v>224</v>
      </c>
      <c r="F75" s="26" t="s">
        <v>87</v>
      </c>
      <c r="G75" s="24" t="s">
        <v>508</v>
      </c>
      <c r="H75" s="26" t="n">
        <v>8</v>
      </c>
      <c r="I75" s="78"/>
      <c r="J75" s="79"/>
    </row>
    <row r="76" customFormat="false" ht="15" hidden="false" customHeight="true" outlineLevel="0" collapsed="false">
      <c r="A76" s="24" t="s">
        <v>635</v>
      </c>
      <c r="B76" s="26" t="s">
        <v>636</v>
      </c>
      <c r="C76" s="26" t="s">
        <v>168</v>
      </c>
      <c r="D76" s="26" t="s">
        <v>421</v>
      </c>
      <c r="E76" s="26" t="s">
        <v>224</v>
      </c>
      <c r="F76" s="26" t="s">
        <v>87</v>
      </c>
      <c r="G76" s="24" t="s">
        <v>508</v>
      </c>
      <c r="H76" s="26" t="n">
        <v>5</v>
      </c>
      <c r="I76" s="78"/>
      <c r="J76" s="79"/>
    </row>
    <row r="77" customFormat="false" ht="15" hidden="false" customHeight="true" outlineLevel="0" collapsed="false">
      <c r="A77" s="24" t="s">
        <v>637</v>
      </c>
      <c r="B77" s="26" t="s">
        <v>638</v>
      </c>
      <c r="C77" s="26" t="s">
        <v>168</v>
      </c>
      <c r="D77" s="26" t="s">
        <v>421</v>
      </c>
      <c r="E77" s="26" t="s">
        <v>224</v>
      </c>
      <c r="F77" s="26" t="s">
        <v>87</v>
      </c>
      <c r="G77" s="24"/>
      <c r="H77" s="26" t="n">
        <v>3</v>
      </c>
      <c r="I77" s="78"/>
      <c r="J77" s="79"/>
    </row>
    <row r="78" customFormat="false" ht="15" hidden="false" customHeight="true" outlineLevel="0" collapsed="false">
      <c r="A78" s="24" t="s">
        <v>639</v>
      </c>
      <c r="B78" s="26" t="s">
        <v>640</v>
      </c>
      <c r="C78" s="26" t="s">
        <v>84</v>
      </c>
      <c r="D78" s="26" t="s">
        <v>421</v>
      </c>
      <c r="E78" s="26" t="s">
        <v>224</v>
      </c>
      <c r="F78" s="26" t="s">
        <v>87</v>
      </c>
      <c r="G78" s="24" t="s">
        <v>454</v>
      </c>
      <c r="H78" s="26" t="n">
        <v>2</v>
      </c>
      <c r="I78" s="78"/>
      <c r="J78" s="79"/>
    </row>
    <row r="79" customFormat="false" ht="15" hidden="false" customHeight="true" outlineLevel="0" collapsed="false">
      <c r="A79" s="24" t="s">
        <v>641</v>
      </c>
      <c r="B79" s="26" t="s">
        <v>642</v>
      </c>
      <c r="C79" s="26" t="s">
        <v>84</v>
      </c>
      <c r="D79" s="26" t="s">
        <v>421</v>
      </c>
      <c r="E79" s="26" t="s">
        <v>224</v>
      </c>
      <c r="F79" s="26" t="s">
        <v>87</v>
      </c>
      <c r="G79" s="24" t="s">
        <v>443</v>
      </c>
      <c r="H79" s="26" t="n">
        <v>5</v>
      </c>
      <c r="I79" s="78"/>
      <c r="J79" s="79"/>
    </row>
    <row r="80" customFormat="false" ht="15" hidden="false" customHeight="true" outlineLevel="0" collapsed="false">
      <c r="A80" s="24" t="s">
        <v>643</v>
      </c>
      <c r="B80" s="26" t="s">
        <v>644</v>
      </c>
      <c r="C80" s="26" t="s">
        <v>84</v>
      </c>
      <c r="D80" s="26" t="s">
        <v>421</v>
      </c>
      <c r="E80" s="26" t="s">
        <v>224</v>
      </c>
      <c r="F80" s="26" t="s">
        <v>87</v>
      </c>
      <c r="G80" s="24" t="s">
        <v>443</v>
      </c>
      <c r="H80" s="26" t="n">
        <v>5</v>
      </c>
      <c r="I80" s="78"/>
      <c r="J80" s="79"/>
    </row>
    <row r="81" customFormat="false" ht="15" hidden="false" customHeight="true" outlineLevel="0" collapsed="false">
      <c r="A81" s="24" t="s">
        <v>645</v>
      </c>
      <c r="B81" s="26" t="s">
        <v>646</v>
      </c>
      <c r="C81" s="26" t="s">
        <v>84</v>
      </c>
      <c r="D81" s="26" t="s">
        <v>421</v>
      </c>
      <c r="E81" s="26" t="s">
        <v>224</v>
      </c>
      <c r="F81" s="26" t="s">
        <v>87</v>
      </c>
      <c r="G81" s="24" t="s">
        <v>443</v>
      </c>
      <c r="H81" s="26" t="n">
        <v>8</v>
      </c>
      <c r="I81" s="78"/>
      <c r="J81" s="79"/>
    </row>
    <row r="82" customFormat="false" ht="15" hidden="false" customHeight="true" outlineLevel="0" collapsed="false">
      <c r="A82" s="24" t="s">
        <v>647</v>
      </c>
      <c r="B82" s="26" t="s">
        <v>648</v>
      </c>
      <c r="C82" s="26" t="s">
        <v>84</v>
      </c>
      <c r="D82" s="26" t="s">
        <v>421</v>
      </c>
      <c r="E82" s="26" t="s">
        <v>224</v>
      </c>
      <c r="F82" s="26" t="s">
        <v>87</v>
      </c>
      <c r="G82" s="24" t="s">
        <v>443</v>
      </c>
      <c r="H82" s="26" t="n">
        <v>5</v>
      </c>
      <c r="I82" s="78"/>
      <c r="J82" s="79"/>
    </row>
    <row r="83" customFormat="false" ht="15" hidden="false" customHeight="true" outlineLevel="0" collapsed="false">
      <c r="A83" s="24" t="s">
        <v>649</v>
      </c>
      <c r="B83" s="26" t="s">
        <v>650</v>
      </c>
      <c r="C83" s="26" t="s">
        <v>84</v>
      </c>
      <c r="D83" s="26" t="s">
        <v>421</v>
      </c>
      <c r="E83" s="26" t="s">
        <v>224</v>
      </c>
      <c r="F83" s="26" t="s">
        <v>87</v>
      </c>
      <c r="G83" s="24" t="s">
        <v>454</v>
      </c>
      <c r="H83" s="26" t="n">
        <v>5</v>
      </c>
      <c r="I83" s="78"/>
      <c r="J83" s="79"/>
    </row>
    <row r="84" customFormat="false" ht="15" hidden="false" customHeight="true" outlineLevel="0" collapsed="false">
      <c r="A84" s="24" t="s">
        <v>651</v>
      </c>
      <c r="B84" s="26" t="s">
        <v>652</v>
      </c>
      <c r="C84" s="26" t="s">
        <v>168</v>
      </c>
      <c r="D84" s="26" t="s">
        <v>421</v>
      </c>
      <c r="E84" s="26" t="s">
        <v>224</v>
      </c>
      <c r="F84" s="26" t="s">
        <v>87</v>
      </c>
      <c r="G84" s="24" t="s">
        <v>508</v>
      </c>
      <c r="H84" s="26" t="n">
        <v>5</v>
      </c>
      <c r="I84" s="78"/>
      <c r="J84" s="79"/>
    </row>
    <row r="85" customFormat="false" ht="15" hidden="false" customHeight="true" outlineLevel="0" collapsed="false">
      <c r="A85" s="24" t="s">
        <v>653</v>
      </c>
      <c r="B85" s="26" t="s">
        <v>654</v>
      </c>
      <c r="C85" s="26" t="s">
        <v>168</v>
      </c>
      <c r="D85" s="26" t="s">
        <v>421</v>
      </c>
      <c r="E85" s="26" t="s">
        <v>224</v>
      </c>
      <c r="F85" s="26" t="s">
        <v>87</v>
      </c>
      <c r="G85" s="24"/>
      <c r="H85" s="26" t="n">
        <v>5</v>
      </c>
      <c r="I85" s="78"/>
      <c r="J85" s="79"/>
    </row>
    <row r="86" customFormat="false" ht="15" hidden="false" customHeight="true" outlineLevel="0" collapsed="false">
      <c r="A86" s="24" t="s">
        <v>655</v>
      </c>
      <c r="B86" s="26" t="s">
        <v>656</v>
      </c>
      <c r="C86" s="26" t="s">
        <v>168</v>
      </c>
      <c r="D86" s="26" t="s">
        <v>421</v>
      </c>
      <c r="E86" s="26" t="s">
        <v>224</v>
      </c>
      <c r="F86" s="26" t="s">
        <v>87</v>
      </c>
      <c r="G86" s="24"/>
      <c r="H86" s="26" t="n">
        <v>8</v>
      </c>
      <c r="I86" s="78"/>
      <c r="J86" s="79"/>
    </row>
    <row r="87" customFormat="false" ht="15" hidden="false" customHeight="true" outlineLevel="0" collapsed="false">
      <c r="A87" s="24" t="s">
        <v>657</v>
      </c>
      <c r="B87" s="26" t="s">
        <v>658</v>
      </c>
      <c r="C87" s="26" t="s">
        <v>168</v>
      </c>
      <c r="D87" s="26" t="s">
        <v>421</v>
      </c>
      <c r="E87" s="26" t="s">
        <v>224</v>
      </c>
      <c r="F87" s="26" t="s">
        <v>87</v>
      </c>
      <c r="G87" s="24" t="s">
        <v>508</v>
      </c>
      <c r="H87" s="26" t="n">
        <v>3</v>
      </c>
      <c r="I87" s="78"/>
      <c r="J87" s="79"/>
    </row>
    <row r="88" customFormat="false" ht="15" hidden="false" customHeight="true" outlineLevel="0" collapsed="false">
      <c r="A88" s="24" t="s">
        <v>659</v>
      </c>
      <c r="B88" s="26" t="s">
        <v>660</v>
      </c>
      <c r="C88" s="26" t="s">
        <v>168</v>
      </c>
      <c r="D88" s="26" t="s">
        <v>421</v>
      </c>
      <c r="E88" s="26" t="s">
        <v>224</v>
      </c>
      <c r="F88" s="26" t="s">
        <v>87</v>
      </c>
      <c r="G88" s="24" t="s">
        <v>508</v>
      </c>
      <c r="H88" s="26" t="n">
        <v>8</v>
      </c>
      <c r="I88" s="78"/>
      <c r="J88" s="79"/>
    </row>
    <row r="89" customFormat="false" ht="15" hidden="false" customHeight="true" outlineLevel="0" collapsed="false">
      <c r="A89" s="24" t="s">
        <v>661</v>
      </c>
      <c r="B89" s="26" t="s">
        <v>662</v>
      </c>
      <c r="C89" s="26" t="s">
        <v>168</v>
      </c>
      <c r="D89" s="26" t="s">
        <v>421</v>
      </c>
      <c r="E89" s="26" t="s">
        <v>224</v>
      </c>
      <c r="F89" s="26" t="s">
        <v>87</v>
      </c>
      <c r="G89" s="24" t="s">
        <v>508</v>
      </c>
      <c r="H89" s="26" t="n">
        <v>2</v>
      </c>
      <c r="I89" s="78"/>
      <c r="J89" s="79"/>
    </row>
    <row r="90" customFormat="false" ht="15" hidden="false" customHeight="true" outlineLevel="0" collapsed="false">
      <c r="A90" s="24" t="s">
        <v>663</v>
      </c>
      <c r="B90" s="26" t="s">
        <v>664</v>
      </c>
      <c r="C90" s="26" t="s">
        <v>116</v>
      </c>
      <c r="D90" s="26" t="s">
        <v>421</v>
      </c>
      <c r="E90" s="26" t="s">
        <v>224</v>
      </c>
      <c r="F90" s="26" t="s">
        <v>87</v>
      </c>
      <c r="G90" s="24" t="s">
        <v>516</v>
      </c>
      <c r="H90" s="26" t="n">
        <v>5</v>
      </c>
      <c r="I90" s="78"/>
      <c r="J90" s="79"/>
    </row>
    <row r="91" customFormat="false" ht="15" hidden="false" customHeight="true" outlineLevel="0" collapsed="false">
      <c r="A91" s="24" t="s">
        <v>665</v>
      </c>
      <c r="B91" s="26" t="s">
        <v>666</v>
      </c>
      <c r="C91" s="26" t="s">
        <v>116</v>
      </c>
      <c r="D91" s="26" t="s">
        <v>421</v>
      </c>
      <c r="E91" s="26" t="s">
        <v>224</v>
      </c>
      <c r="F91" s="26" t="s">
        <v>87</v>
      </c>
      <c r="G91" s="24" t="s">
        <v>508</v>
      </c>
      <c r="H91" s="26" t="n">
        <v>21</v>
      </c>
      <c r="I91" s="78"/>
      <c r="J91" s="79"/>
    </row>
    <row r="92" customFormat="false" ht="15" hidden="false" customHeight="true" outlineLevel="0" collapsed="false">
      <c r="A92" s="24" t="s">
        <v>667</v>
      </c>
      <c r="B92" s="26" t="s">
        <v>668</v>
      </c>
      <c r="C92" s="26" t="s">
        <v>120</v>
      </c>
      <c r="D92" s="26" t="s">
        <v>421</v>
      </c>
      <c r="E92" s="26" t="s">
        <v>224</v>
      </c>
      <c r="F92" s="26" t="s">
        <v>87</v>
      </c>
      <c r="G92" s="24" t="s">
        <v>508</v>
      </c>
      <c r="H92" s="26" t="n">
        <v>5</v>
      </c>
      <c r="I92" s="78"/>
      <c r="J92" s="79"/>
    </row>
    <row r="93" customFormat="false" ht="15" hidden="false" customHeight="true" outlineLevel="0" collapsed="false">
      <c r="A93" s="24" t="s">
        <v>669</v>
      </c>
      <c r="B93" s="26" t="s">
        <v>670</v>
      </c>
      <c r="C93" s="26" t="s">
        <v>84</v>
      </c>
      <c r="D93" s="26" t="s">
        <v>422</v>
      </c>
      <c r="E93" s="26" t="s">
        <v>224</v>
      </c>
      <c r="F93" s="26" t="s">
        <v>87</v>
      </c>
      <c r="G93" s="24" t="s">
        <v>443</v>
      </c>
      <c r="H93" s="26"/>
      <c r="I93" s="78"/>
      <c r="J93" s="79"/>
    </row>
    <row r="94" customFormat="false" ht="15" hidden="false" customHeight="true" outlineLevel="0" collapsed="false">
      <c r="A94" s="24" t="s">
        <v>671</v>
      </c>
      <c r="B94" s="26" t="s">
        <v>672</v>
      </c>
      <c r="C94" s="26" t="s">
        <v>84</v>
      </c>
      <c r="D94" s="26" t="s">
        <v>422</v>
      </c>
      <c r="E94" s="26" t="s">
        <v>224</v>
      </c>
      <c r="F94" s="26" t="s">
        <v>87</v>
      </c>
      <c r="G94" s="24" t="s">
        <v>443</v>
      </c>
      <c r="H94" s="26"/>
      <c r="I94" s="78"/>
      <c r="J94" s="79"/>
    </row>
    <row r="95" customFormat="false" ht="15" hidden="false" customHeight="true" outlineLevel="0" collapsed="false">
      <c r="A95" s="24" t="s">
        <v>673</v>
      </c>
      <c r="B95" s="26" t="s">
        <v>674</v>
      </c>
      <c r="C95" s="26" t="s">
        <v>84</v>
      </c>
      <c r="D95" s="26" t="s">
        <v>422</v>
      </c>
      <c r="E95" s="26" t="s">
        <v>224</v>
      </c>
      <c r="F95" s="26" t="s">
        <v>87</v>
      </c>
      <c r="G95" s="24" t="s">
        <v>443</v>
      </c>
      <c r="H95" s="26"/>
      <c r="I95" s="78"/>
      <c r="J95" s="79"/>
    </row>
    <row r="96" customFormat="false" ht="15" hidden="false" customHeight="true" outlineLevel="0" collapsed="false">
      <c r="A96" s="24" t="s">
        <v>675</v>
      </c>
      <c r="B96" s="26" t="s">
        <v>676</v>
      </c>
      <c r="C96" s="26" t="s">
        <v>84</v>
      </c>
      <c r="D96" s="26" t="s">
        <v>422</v>
      </c>
      <c r="E96" s="26" t="s">
        <v>224</v>
      </c>
      <c r="F96" s="26" t="s">
        <v>87</v>
      </c>
      <c r="G96" s="24" t="s">
        <v>443</v>
      </c>
      <c r="H96" s="26" t="n">
        <v>3</v>
      </c>
      <c r="I96" s="78"/>
      <c r="J96" s="79"/>
    </row>
    <row r="97" customFormat="false" ht="15" hidden="false" customHeight="true" outlineLevel="0" collapsed="false">
      <c r="A97" s="24" t="s">
        <v>677</v>
      </c>
      <c r="B97" s="26" t="s">
        <v>678</v>
      </c>
      <c r="C97" s="26" t="s">
        <v>84</v>
      </c>
      <c r="D97" s="26" t="s">
        <v>422</v>
      </c>
      <c r="E97" s="26" t="s">
        <v>224</v>
      </c>
      <c r="F97" s="26" t="s">
        <v>87</v>
      </c>
      <c r="G97" s="24" t="s">
        <v>454</v>
      </c>
      <c r="H97" s="26" t="n">
        <v>5</v>
      </c>
      <c r="I97" s="78"/>
      <c r="J97" s="79"/>
    </row>
    <row r="98" customFormat="false" ht="15" hidden="false" customHeight="true" outlineLevel="0" collapsed="false">
      <c r="A98" s="24" t="s">
        <v>679</v>
      </c>
      <c r="B98" s="26" t="s">
        <v>680</v>
      </c>
      <c r="C98" s="26" t="s">
        <v>168</v>
      </c>
      <c r="D98" s="26" t="s">
        <v>422</v>
      </c>
      <c r="E98" s="26" t="s">
        <v>224</v>
      </c>
      <c r="F98" s="26" t="s">
        <v>87</v>
      </c>
      <c r="G98" s="24"/>
      <c r="H98" s="26"/>
      <c r="I98" s="78"/>
      <c r="J98" s="79"/>
    </row>
    <row r="99" customFormat="false" ht="15" hidden="false" customHeight="true" outlineLevel="0" collapsed="false">
      <c r="A99" s="24" t="s">
        <v>681</v>
      </c>
      <c r="B99" s="26" t="s">
        <v>682</v>
      </c>
      <c r="C99" s="26" t="s">
        <v>84</v>
      </c>
      <c r="D99" s="26" t="s">
        <v>422</v>
      </c>
      <c r="E99" s="26" t="s">
        <v>224</v>
      </c>
      <c r="F99" s="26" t="s">
        <v>87</v>
      </c>
      <c r="G99" s="24" t="s">
        <v>443</v>
      </c>
      <c r="H99" s="26" t="n">
        <v>5</v>
      </c>
      <c r="I99" s="78"/>
      <c r="J99" s="79"/>
    </row>
    <row r="100" customFormat="false" ht="15" hidden="false" customHeight="true" outlineLevel="0" collapsed="false">
      <c r="A100" s="24" t="s">
        <v>683</v>
      </c>
      <c r="B100" s="26" t="s">
        <v>684</v>
      </c>
      <c r="C100" s="26" t="s">
        <v>168</v>
      </c>
      <c r="D100" s="26" t="s">
        <v>422</v>
      </c>
      <c r="E100" s="26" t="s">
        <v>224</v>
      </c>
      <c r="F100" s="26" t="s">
        <v>87</v>
      </c>
      <c r="G100" s="24" t="s">
        <v>508</v>
      </c>
      <c r="H100" s="26" t="n">
        <v>3</v>
      </c>
      <c r="I100" s="78"/>
      <c r="J100" s="79"/>
    </row>
    <row r="101" customFormat="false" ht="15" hidden="false" customHeight="true" outlineLevel="0" collapsed="false">
      <c r="A101" s="24" t="s">
        <v>685</v>
      </c>
      <c r="B101" s="26" t="s">
        <v>686</v>
      </c>
      <c r="C101" s="26" t="s">
        <v>687</v>
      </c>
      <c r="D101" s="26" t="s">
        <v>422</v>
      </c>
      <c r="E101" s="26" t="s">
        <v>224</v>
      </c>
      <c r="F101" s="26" t="s">
        <v>87</v>
      </c>
      <c r="G101" s="24" t="s">
        <v>516</v>
      </c>
      <c r="H101" s="26" t="n">
        <v>8</v>
      </c>
      <c r="I101" s="78"/>
      <c r="J101" s="79"/>
    </row>
    <row r="102" customFormat="false" ht="15" hidden="false" customHeight="true" outlineLevel="0" collapsed="false">
      <c r="A102" s="24" t="s">
        <v>688</v>
      </c>
      <c r="B102" s="26" t="s">
        <v>689</v>
      </c>
      <c r="C102" s="26" t="s">
        <v>687</v>
      </c>
      <c r="D102" s="26" t="s">
        <v>422</v>
      </c>
      <c r="E102" s="26" t="s">
        <v>224</v>
      </c>
      <c r="F102" s="26" t="s">
        <v>87</v>
      </c>
      <c r="G102" s="24"/>
      <c r="H102" s="26" t="n">
        <v>5</v>
      </c>
      <c r="I102" s="78"/>
      <c r="J102" s="79"/>
    </row>
    <row r="103" customFormat="false" ht="15" hidden="false" customHeight="true" outlineLevel="0" collapsed="false">
      <c r="A103" s="24" t="s">
        <v>690</v>
      </c>
      <c r="B103" s="26" t="s">
        <v>691</v>
      </c>
      <c r="C103" s="26" t="s">
        <v>84</v>
      </c>
      <c r="D103" s="26" t="s">
        <v>422</v>
      </c>
      <c r="E103" s="26" t="s">
        <v>224</v>
      </c>
      <c r="F103" s="26" t="s">
        <v>87</v>
      </c>
      <c r="G103" s="24" t="s">
        <v>443</v>
      </c>
      <c r="H103" s="26" t="n">
        <v>2</v>
      </c>
      <c r="I103" s="78"/>
      <c r="J103" s="79"/>
    </row>
    <row r="104" customFormat="false" ht="15" hidden="false" customHeight="true" outlineLevel="0" collapsed="false">
      <c r="A104" s="24" t="s">
        <v>692</v>
      </c>
      <c r="B104" s="26" t="s">
        <v>693</v>
      </c>
      <c r="C104" s="26" t="s">
        <v>84</v>
      </c>
      <c r="D104" s="26" t="s">
        <v>422</v>
      </c>
      <c r="E104" s="26" t="s">
        <v>224</v>
      </c>
      <c r="F104" s="26" t="s">
        <v>87</v>
      </c>
      <c r="G104" s="24" t="s">
        <v>443</v>
      </c>
      <c r="H104" s="26" t="n">
        <v>21</v>
      </c>
      <c r="I104" s="78"/>
      <c r="J104" s="79"/>
    </row>
    <row r="105" customFormat="false" ht="15" hidden="false" customHeight="true" outlineLevel="0" collapsed="false">
      <c r="A105" s="24" t="s">
        <v>694</v>
      </c>
      <c r="B105" s="26" t="s">
        <v>695</v>
      </c>
      <c r="C105" s="26" t="s">
        <v>84</v>
      </c>
      <c r="D105" s="26" t="s">
        <v>422</v>
      </c>
      <c r="E105" s="26" t="s">
        <v>224</v>
      </c>
      <c r="F105" s="26" t="s">
        <v>87</v>
      </c>
      <c r="G105" s="24" t="s">
        <v>443</v>
      </c>
      <c r="H105" s="26" t="n">
        <v>8</v>
      </c>
      <c r="I105" s="78"/>
      <c r="J105" s="79"/>
    </row>
    <row r="106" customFormat="false" ht="15" hidden="false" customHeight="true" outlineLevel="0" collapsed="false">
      <c r="A106" s="24" t="s">
        <v>88</v>
      </c>
      <c r="B106" s="26" t="str">
        <f aca="false">IFERROR(IF(ISBLANK(INDEX(Backlog[Requirement Name],MATCH($A106,Backlog[Requirement ID],0))),"",INDEX(Backlog[Requirement Name],MATCH($A106,Backlog[Requirement ID],0))),"")</f>
        <v>Outbound leads - Abandoned Cart - Replacement of Salescycle</v>
      </c>
      <c r="C106" s="26" t="str">
        <f aca="false">IFERROR(IF(ISBLANK(INDEX(Backlog[Stream],MATCH($A106,Backlog[Requirement ID],0))),"",INDEX(Backlog[Stream],MATCH($A106,Backlog[Requirement ID],0))),"")</f>
        <v>US</v>
      </c>
      <c r="D106" s="26" t="str">
        <f aca="false">IFERROR(IF(ISBLANK(INDEX(SprintPlanning[Sprint],MATCH($A106,SprintPlanning[Requirement ID],0))),"",INDEX(SprintPlanning[Sprint],MATCH($A106,SprintPlanning[Requirement ID],0))),"")</f>
        <v>To Plan</v>
      </c>
      <c r="E106" s="26" t="str">
        <f aca="false">IFERROR(IF(ISBLANK(INDEX(Backlog[Status],MATCH($A106,Backlog[Requirement ID],0))),"",INDEX(Backlog[Status],MATCH($A106,Backlog[Requirement ID],0))),"")</f>
        <v>ON HOLD</v>
      </c>
      <c r="F106" s="26" t="str">
        <f aca="false">IFERROR(IF(ISBLANK(INDEX(Backlog[Priority],MATCH($A106,Backlog[Requirement ID],0))),"",INDEX(Backlog[Priority],MATCH($A106,Backlog[Requirement ID],0))),"")</f>
        <v>Medium</v>
      </c>
      <c r="G106" s="24"/>
      <c r="H106" s="26" t="str">
        <f aca="false">IFERROR(IF(ISBLANK(INDEX(Backlog[HLE],MATCH($A106,Backlog[Requirement ID],0))),"",INDEX(Backlog[HLE],MATCH($A106,Backlog[Requirement ID],0))),"")</f>
        <v/>
      </c>
      <c r="I106" s="78"/>
      <c r="J106" s="79"/>
    </row>
    <row r="107" customFormat="false" ht="15" hidden="false" customHeight="true" outlineLevel="0" collapsed="false">
      <c r="A107" s="24" t="s">
        <v>696</v>
      </c>
      <c r="B107" s="26" t="s">
        <v>697</v>
      </c>
      <c r="C107" s="26" t="s">
        <v>84</v>
      </c>
      <c r="D107" s="26" t="s">
        <v>422</v>
      </c>
      <c r="E107" s="26" t="s">
        <v>224</v>
      </c>
      <c r="F107" s="26" t="s">
        <v>87</v>
      </c>
      <c r="G107" s="24" t="s">
        <v>443</v>
      </c>
      <c r="H107" s="26" t="n">
        <v>3</v>
      </c>
      <c r="I107" s="78"/>
      <c r="J107" s="79"/>
    </row>
    <row r="108" customFormat="false" ht="15" hidden="false" customHeight="true" outlineLevel="0" collapsed="false">
      <c r="A108" s="24" t="s">
        <v>698</v>
      </c>
      <c r="B108" s="26" t="s">
        <v>699</v>
      </c>
      <c r="C108" s="26" t="s">
        <v>84</v>
      </c>
      <c r="D108" s="26" t="s">
        <v>422</v>
      </c>
      <c r="E108" s="26" t="s">
        <v>224</v>
      </c>
      <c r="F108" s="26" t="s">
        <v>87</v>
      </c>
      <c r="G108" s="24" t="s">
        <v>443</v>
      </c>
      <c r="H108" s="26" t="n">
        <v>5</v>
      </c>
      <c r="I108" s="78"/>
      <c r="J108" s="79"/>
    </row>
    <row r="109" customFormat="false" ht="15" hidden="false" customHeight="true" outlineLevel="0" collapsed="false">
      <c r="A109" s="24" t="s">
        <v>700</v>
      </c>
      <c r="B109" s="26" t="s">
        <v>701</v>
      </c>
      <c r="C109" s="26" t="s">
        <v>168</v>
      </c>
      <c r="D109" s="26" t="s">
        <v>422</v>
      </c>
      <c r="E109" s="26" t="s">
        <v>224</v>
      </c>
      <c r="F109" s="26" t="s">
        <v>87</v>
      </c>
      <c r="G109" s="24" t="s">
        <v>508</v>
      </c>
      <c r="H109" s="26" t="n">
        <v>2</v>
      </c>
      <c r="I109" s="78"/>
      <c r="J109" s="79"/>
    </row>
    <row r="110" customFormat="false" ht="15" hidden="false" customHeight="true" outlineLevel="0" collapsed="false">
      <c r="A110" s="24" t="s">
        <v>702</v>
      </c>
      <c r="B110" s="26" t="s">
        <v>703</v>
      </c>
      <c r="C110" s="26" t="s">
        <v>168</v>
      </c>
      <c r="D110" s="26" t="s">
        <v>422</v>
      </c>
      <c r="E110" s="26" t="s">
        <v>224</v>
      </c>
      <c r="F110" s="26" t="s">
        <v>87</v>
      </c>
      <c r="G110" s="24"/>
      <c r="H110" s="26" t="n">
        <v>3</v>
      </c>
      <c r="I110" s="78"/>
      <c r="J110" s="79"/>
    </row>
    <row r="111" customFormat="false" ht="15" hidden="false" customHeight="true" outlineLevel="0" collapsed="false">
      <c r="A111" s="24" t="s">
        <v>704</v>
      </c>
      <c r="B111" s="26" t="s">
        <v>705</v>
      </c>
      <c r="C111" s="26" t="s">
        <v>168</v>
      </c>
      <c r="D111" s="26" t="s">
        <v>422</v>
      </c>
      <c r="E111" s="26" t="s">
        <v>224</v>
      </c>
      <c r="F111" s="26" t="s">
        <v>87</v>
      </c>
      <c r="G111" s="24" t="s">
        <v>516</v>
      </c>
      <c r="H111" s="26" t="n">
        <v>2</v>
      </c>
      <c r="I111" s="78"/>
      <c r="J111" s="79"/>
    </row>
    <row r="112" customFormat="false" ht="15" hidden="false" customHeight="true" outlineLevel="0" collapsed="false">
      <c r="A112" s="24" t="s">
        <v>706</v>
      </c>
      <c r="B112" s="26" t="s">
        <v>707</v>
      </c>
      <c r="C112" s="26" t="s">
        <v>120</v>
      </c>
      <c r="D112" s="26" t="s">
        <v>422</v>
      </c>
      <c r="E112" s="26" t="s">
        <v>224</v>
      </c>
      <c r="F112" s="26" t="s">
        <v>87</v>
      </c>
      <c r="G112" s="24" t="s">
        <v>538</v>
      </c>
      <c r="H112" s="26" t="n">
        <v>5</v>
      </c>
      <c r="I112" s="78"/>
      <c r="J112" s="79"/>
    </row>
    <row r="113" customFormat="false" ht="15" hidden="false" customHeight="true" outlineLevel="0" collapsed="false">
      <c r="A113" s="24" t="s">
        <v>708</v>
      </c>
      <c r="B113" s="26" t="s">
        <v>709</v>
      </c>
      <c r="C113" s="26" t="s">
        <v>120</v>
      </c>
      <c r="D113" s="26" t="s">
        <v>422</v>
      </c>
      <c r="E113" s="26" t="s">
        <v>224</v>
      </c>
      <c r="F113" s="26" t="s">
        <v>87</v>
      </c>
      <c r="G113" s="24" t="s">
        <v>538</v>
      </c>
      <c r="H113" s="26" t="n">
        <v>5</v>
      </c>
      <c r="I113" s="78"/>
      <c r="J113" s="79"/>
    </row>
    <row r="114" customFormat="false" ht="15" hidden="false" customHeight="true" outlineLevel="0" collapsed="false">
      <c r="A114" s="24" t="s">
        <v>710</v>
      </c>
      <c r="B114" s="26" t="s">
        <v>711</v>
      </c>
      <c r="C114" s="26" t="s">
        <v>84</v>
      </c>
      <c r="D114" s="26" t="s">
        <v>423</v>
      </c>
      <c r="E114" s="26" t="s">
        <v>224</v>
      </c>
      <c r="F114" s="26" t="s">
        <v>87</v>
      </c>
      <c r="G114" s="24" t="s">
        <v>443</v>
      </c>
      <c r="H114" s="26" t="n">
        <v>5</v>
      </c>
      <c r="I114" s="78"/>
      <c r="J114" s="79"/>
    </row>
    <row r="115" customFormat="false" ht="15" hidden="false" customHeight="true" outlineLevel="0" collapsed="false">
      <c r="A115" s="24" t="s">
        <v>712</v>
      </c>
      <c r="B115" s="26" t="s">
        <v>713</v>
      </c>
      <c r="C115" s="26" t="s">
        <v>84</v>
      </c>
      <c r="D115" s="26" t="s">
        <v>423</v>
      </c>
      <c r="E115" s="26" t="s">
        <v>224</v>
      </c>
      <c r="F115" s="26" t="s">
        <v>87</v>
      </c>
      <c r="G115" s="24" t="s">
        <v>443</v>
      </c>
      <c r="H115" s="26" t="n">
        <v>5</v>
      </c>
      <c r="I115" s="78"/>
      <c r="J115" s="79"/>
    </row>
    <row r="116" customFormat="false" ht="15" hidden="false" customHeight="true" outlineLevel="0" collapsed="false">
      <c r="A116" s="24" t="s">
        <v>714</v>
      </c>
      <c r="B116" s="26" t="s">
        <v>715</v>
      </c>
      <c r="C116" s="26" t="s">
        <v>168</v>
      </c>
      <c r="D116" s="26" t="s">
        <v>423</v>
      </c>
      <c r="E116" s="26" t="s">
        <v>224</v>
      </c>
      <c r="F116" s="26" t="s">
        <v>87</v>
      </c>
      <c r="G116" s="24" t="s">
        <v>516</v>
      </c>
      <c r="H116" s="26" t="n">
        <v>3</v>
      </c>
      <c r="I116" s="78"/>
      <c r="J116" s="79"/>
    </row>
    <row r="117" customFormat="false" ht="15" hidden="false" customHeight="true" outlineLevel="0" collapsed="false">
      <c r="A117" s="24" t="s">
        <v>716</v>
      </c>
      <c r="B117" s="26" t="s">
        <v>717</v>
      </c>
      <c r="C117" s="26" t="s">
        <v>168</v>
      </c>
      <c r="D117" s="26" t="s">
        <v>423</v>
      </c>
      <c r="E117" s="26" t="s">
        <v>224</v>
      </c>
      <c r="F117" s="26" t="s">
        <v>87</v>
      </c>
      <c r="G117" s="24"/>
      <c r="H117" s="26" t="n">
        <v>2</v>
      </c>
      <c r="I117" s="78"/>
      <c r="J117" s="79"/>
    </row>
    <row r="118" customFormat="false" ht="15" hidden="false" customHeight="true" outlineLevel="0" collapsed="false">
      <c r="A118" s="24" t="s">
        <v>718</v>
      </c>
      <c r="B118" s="26" t="s">
        <v>719</v>
      </c>
      <c r="C118" s="26" t="s">
        <v>168</v>
      </c>
      <c r="D118" s="26" t="s">
        <v>423</v>
      </c>
      <c r="E118" s="26" t="s">
        <v>224</v>
      </c>
      <c r="F118" s="26" t="s">
        <v>87</v>
      </c>
      <c r="G118" s="24"/>
      <c r="H118" s="26" t="n">
        <v>3</v>
      </c>
      <c r="I118" s="78"/>
      <c r="J118" s="79"/>
    </row>
    <row r="119" customFormat="false" ht="15" hidden="false" customHeight="true" outlineLevel="0" collapsed="false">
      <c r="A119" s="24" t="s">
        <v>720</v>
      </c>
      <c r="B119" s="26" t="s">
        <v>721</v>
      </c>
      <c r="C119" s="26" t="s">
        <v>84</v>
      </c>
      <c r="D119" s="26" t="s">
        <v>423</v>
      </c>
      <c r="E119" s="26" t="s">
        <v>224</v>
      </c>
      <c r="F119" s="26" t="s">
        <v>87</v>
      </c>
      <c r="G119" s="24" t="s">
        <v>443</v>
      </c>
      <c r="H119" s="26" t="n">
        <v>10</v>
      </c>
      <c r="I119" s="78"/>
      <c r="J119" s="79"/>
    </row>
    <row r="120" customFormat="false" ht="15" hidden="false" customHeight="true" outlineLevel="0" collapsed="false">
      <c r="A120" s="24" t="s">
        <v>722</v>
      </c>
      <c r="B120" s="26" t="s">
        <v>723</v>
      </c>
      <c r="C120" s="26" t="s">
        <v>84</v>
      </c>
      <c r="D120" s="26" t="s">
        <v>423</v>
      </c>
      <c r="E120" s="26" t="s">
        <v>224</v>
      </c>
      <c r="F120" s="26" t="s">
        <v>87</v>
      </c>
      <c r="G120" s="24" t="s">
        <v>443</v>
      </c>
      <c r="H120" s="26" t="n">
        <v>6</v>
      </c>
      <c r="I120" s="78"/>
      <c r="J120" s="79"/>
    </row>
    <row r="121" customFormat="false" ht="15" hidden="false" customHeight="true" outlineLevel="0" collapsed="false">
      <c r="A121" s="24" t="s">
        <v>724</v>
      </c>
      <c r="B121" s="26" t="s">
        <v>725</v>
      </c>
      <c r="C121" s="26" t="s">
        <v>84</v>
      </c>
      <c r="D121" s="26" t="s">
        <v>423</v>
      </c>
      <c r="E121" s="26" t="s">
        <v>224</v>
      </c>
      <c r="F121" s="26" t="s">
        <v>87</v>
      </c>
      <c r="G121" s="24" t="s">
        <v>443</v>
      </c>
      <c r="H121" s="26" t="n">
        <v>5</v>
      </c>
      <c r="I121" s="78"/>
      <c r="J121" s="79"/>
    </row>
    <row r="122" customFormat="false" ht="15" hidden="false" customHeight="true" outlineLevel="0" collapsed="false">
      <c r="A122" s="24" t="s">
        <v>726</v>
      </c>
      <c r="B122" s="26" t="s">
        <v>727</v>
      </c>
      <c r="C122" s="26" t="s">
        <v>168</v>
      </c>
      <c r="D122" s="26" t="s">
        <v>423</v>
      </c>
      <c r="E122" s="26" t="s">
        <v>224</v>
      </c>
      <c r="F122" s="26" t="s">
        <v>87</v>
      </c>
      <c r="G122" s="24"/>
      <c r="H122" s="26" t="n">
        <v>16</v>
      </c>
      <c r="I122" s="78"/>
      <c r="J122" s="79"/>
    </row>
    <row r="123" customFormat="false" ht="15" hidden="false" customHeight="true" outlineLevel="0" collapsed="false">
      <c r="A123" s="24" t="s">
        <v>728</v>
      </c>
      <c r="B123" s="26" t="s">
        <v>729</v>
      </c>
      <c r="C123" s="26" t="s">
        <v>168</v>
      </c>
      <c r="D123" s="26" t="s">
        <v>423</v>
      </c>
      <c r="E123" s="26" t="s">
        <v>224</v>
      </c>
      <c r="F123" s="26" t="s">
        <v>87</v>
      </c>
      <c r="G123" s="24" t="s">
        <v>542</v>
      </c>
      <c r="H123" s="26" t="n">
        <v>8</v>
      </c>
      <c r="I123" s="78"/>
      <c r="J123" s="79"/>
    </row>
    <row r="124" customFormat="false" ht="15" hidden="false" customHeight="true" outlineLevel="0" collapsed="false">
      <c r="A124" s="24" t="s">
        <v>730</v>
      </c>
      <c r="B124" s="26" t="s">
        <v>731</v>
      </c>
      <c r="C124" s="26" t="s">
        <v>168</v>
      </c>
      <c r="D124" s="26" t="s">
        <v>423</v>
      </c>
      <c r="E124" s="26" t="s">
        <v>224</v>
      </c>
      <c r="F124" s="26" t="s">
        <v>87</v>
      </c>
      <c r="G124" s="24" t="s">
        <v>516</v>
      </c>
      <c r="H124" s="26" t="n">
        <v>8</v>
      </c>
      <c r="I124" s="78"/>
      <c r="J124" s="79"/>
    </row>
    <row r="125" customFormat="false" ht="15" hidden="false" customHeight="true" outlineLevel="0" collapsed="false">
      <c r="A125" s="24" t="s">
        <v>732</v>
      </c>
      <c r="B125" s="26" t="s">
        <v>733</v>
      </c>
      <c r="C125" s="26" t="s">
        <v>28</v>
      </c>
      <c r="D125" s="26" t="s">
        <v>423</v>
      </c>
      <c r="E125" s="26" t="s">
        <v>224</v>
      </c>
      <c r="F125" s="26" t="s">
        <v>87</v>
      </c>
      <c r="G125" s="24" t="s">
        <v>538</v>
      </c>
      <c r="H125" s="26" t="n">
        <v>8</v>
      </c>
      <c r="I125" s="78"/>
      <c r="J125" s="79"/>
    </row>
    <row r="126" customFormat="false" ht="15" hidden="false" customHeight="true" outlineLevel="0" collapsed="false">
      <c r="A126" s="24" t="s">
        <v>734</v>
      </c>
      <c r="B126" s="26" t="s">
        <v>735</v>
      </c>
      <c r="C126" s="26" t="s">
        <v>28</v>
      </c>
      <c r="D126" s="26" t="s">
        <v>423</v>
      </c>
      <c r="E126" s="26" t="s">
        <v>224</v>
      </c>
      <c r="F126" s="26" t="s">
        <v>87</v>
      </c>
      <c r="G126" s="24"/>
      <c r="H126" s="26" t="n">
        <v>5</v>
      </c>
      <c r="I126" s="78"/>
      <c r="J126" s="79"/>
    </row>
    <row r="127" customFormat="false" ht="15" hidden="false" customHeight="true" outlineLevel="0" collapsed="false">
      <c r="A127" s="24" t="s">
        <v>736</v>
      </c>
      <c r="B127" s="26" t="s">
        <v>737</v>
      </c>
      <c r="C127" s="26" t="s">
        <v>84</v>
      </c>
      <c r="D127" s="26" t="s">
        <v>424</v>
      </c>
      <c r="E127" s="26" t="s">
        <v>224</v>
      </c>
      <c r="F127" s="26" t="s">
        <v>87</v>
      </c>
      <c r="G127" s="24" t="s">
        <v>443</v>
      </c>
      <c r="H127" s="26" t="n">
        <v>40</v>
      </c>
      <c r="I127" s="78"/>
      <c r="J127" s="79"/>
    </row>
    <row r="128" customFormat="false" ht="15" hidden="false" customHeight="true" outlineLevel="0" collapsed="false">
      <c r="A128" s="24" t="s">
        <v>738</v>
      </c>
      <c r="B128" s="26" t="s">
        <v>739</v>
      </c>
      <c r="C128" s="26" t="s">
        <v>84</v>
      </c>
      <c r="D128" s="26" t="s">
        <v>424</v>
      </c>
      <c r="E128" s="26" t="s">
        <v>224</v>
      </c>
      <c r="F128" s="26" t="s">
        <v>87</v>
      </c>
      <c r="G128" s="24" t="s">
        <v>443</v>
      </c>
      <c r="H128" s="26" t="n">
        <v>8</v>
      </c>
      <c r="I128" s="78"/>
      <c r="J128" s="79"/>
    </row>
    <row r="129" customFormat="false" ht="15" hidden="false" customHeight="true" outlineLevel="0" collapsed="false">
      <c r="A129" s="24" t="s">
        <v>740</v>
      </c>
      <c r="B129" s="26" t="s">
        <v>741</v>
      </c>
      <c r="C129" s="26" t="s">
        <v>84</v>
      </c>
      <c r="D129" s="26" t="s">
        <v>424</v>
      </c>
      <c r="E129" s="26" t="s">
        <v>224</v>
      </c>
      <c r="F129" s="26" t="s">
        <v>87</v>
      </c>
      <c r="G129" s="24" t="s">
        <v>443</v>
      </c>
      <c r="H129" s="26" t="n">
        <v>8</v>
      </c>
      <c r="I129" s="78"/>
      <c r="J129" s="79"/>
    </row>
    <row r="130" customFormat="false" ht="15" hidden="false" customHeight="true" outlineLevel="0" collapsed="false">
      <c r="A130" s="24" t="s">
        <v>742</v>
      </c>
      <c r="B130" s="26" t="s">
        <v>743</v>
      </c>
      <c r="C130" s="26" t="s">
        <v>84</v>
      </c>
      <c r="D130" s="26" t="s">
        <v>424</v>
      </c>
      <c r="E130" s="26" t="s">
        <v>224</v>
      </c>
      <c r="F130" s="26" t="s">
        <v>87</v>
      </c>
      <c r="G130" s="24" t="s">
        <v>443</v>
      </c>
      <c r="H130" s="26" t="n">
        <v>13</v>
      </c>
      <c r="I130" s="78"/>
      <c r="J130" s="79"/>
    </row>
    <row r="131" customFormat="false" ht="15" hidden="false" customHeight="true" outlineLevel="0" collapsed="false">
      <c r="A131" s="24" t="s">
        <v>744</v>
      </c>
      <c r="B131" s="26" t="s">
        <v>745</v>
      </c>
      <c r="C131" s="26" t="s">
        <v>84</v>
      </c>
      <c r="D131" s="26" t="s">
        <v>424</v>
      </c>
      <c r="E131" s="26" t="s">
        <v>224</v>
      </c>
      <c r="F131" s="26" t="s">
        <v>93</v>
      </c>
      <c r="G131" s="24" t="s">
        <v>443</v>
      </c>
      <c r="H131" s="26" t="n">
        <v>5</v>
      </c>
      <c r="I131" s="78"/>
      <c r="J131" s="79"/>
    </row>
    <row r="132" customFormat="false" ht="15" hidden="false" customHeight="true" outlineLevel="0" collapsed="false">
      <c r="A132" s="24" t="s">
        <v>746</v>
      </c>
      <c r="B132" s="26" t="s">
        <v>747</v>
      </c>
      <c r="C132" s="26" t="s">
        <v>168</v>
      </c>
      <c r="D132" s="26" t="s">
        <v>424</v>
      </c>
      <c r="E132" s="26" t="s">
        <v>224</v>
      </c>
      <c r="F132" s="26" t="s">
        <v>87</v>
      </c>
      <c r="G132" s="24" t="s">
        <v>443</v>
      </c>
      <c r="H132" s="26" t="n">
        <v>8</v>
      </c>
      <c r="I132" s="78"/>
      <c r="J132" s="79"/>
    </row>
    <row r="133" customFormat="false" ht="15" hidden="false" customHeight="true" outlineLevel="0" collapsed="false">
      <c r="A133" s="24" t="s">
        <v>748</v>
      </c>
      <c r="B133" s="26" t="s">
        <v>749</v>
      </c>
      <c r="C133" s="26" t="s">
        <v>131</v>
      </c>
      <c r="D133" s="26" t="s">
        <v>424</v>
      </c>
      <c r="E133" s="26" t="s">
        <v>224</v>
      </c>
      <c r="F133" s="26" t="s">
        <v>93</v>
      </c>
      <c r="G133" s="24" t="s">
        <v>443</v>
      </c>
      <c r="H133" s="26" t="n">
        <v>21</v>
      </c>
      <c r="I133" s="78"/>
      <c r="J133" s="79"/>
    </row>
    <row r="134" customFormat="false" ht="15" hidden="false" customHeight="true" outlineLevel="0" collapsed="false">
      <c r="A134" s="24" t="s">
        <v>750</v>
      </c>
      <c r="B134" s="26" t="s">
        <v>751</v>
      </c>
      <c r="C134" s="26" t="s">
        <v>116</v>
      </c>
      <c r="D134" s="26" t="s">
        <v>424</v>
      </c>
      <c r="E134" s="26" t="s">
        <v>224</v>
      </c>
      <c r="F134" s="26" t="s">
        <v>93</v>
      </c>
      <c r="G134" s="24" t="s">
        <v>443</v>
      </c>
      <c r="H134" s="26" t="n">
        <v>5</v>
      </c>
      <c r="I134" s="78"/>
      <c r="J134" s="79"/>
    </row>
    <row r="135" customFormat="false" ht="15" hidden="false" customHeight="true" outlineLevel="0" collapsed="false">
      <c r="A135" s="24" t="s">
        <v>122</v>
      </c>
      <c r="B135" s="26" t="str">
        <f aca="false">IFERROR(IF(ISBLANK(INDEX(Backlog[Requirement Name],MATCH($A135,Backlog[Requirement ID],0))),"",INDEX(Backlog[Requirement Name],MATCH($A135,Backlog[Requirement ID],0))),"")</f>
        <v>[DTTP] Implementation of Online Post-Cruise Complaint Form – Salesforce Integration_EA</v>
      </c>
      <c r="C135" s="26" t="str">
        <f aca="false">IFERROR(IF(ISBLANK(INDEX(Backlog[Stream],MATCH($A135,Backlog[Requirement ID],0))),"",INDEX(Backlog[Stream],MATCH($A135,Backlog[Requirement ID],0))),"")</f>
        <v>PI10</v>
      </c>
      <c r="D135" s="26" t="str">
        <f aca="false">IFERROR(IF(ISBLANK(INDEX(SprintPlanning[Sprint],MATCH($A135,SprintPlanning[Requirement ID],0))),"",INDEX(SprintPlanning[Sprint],MATCH($A135,SprintPlanning[Requirement ID],0))),"")</f>
        <v>Sprint 10</v>
      </c>
      <c r="E135" s="26" t="str">
        <f aca="false">IFERROR(IF(ISBLANK(INDEX(Backlog[Status],MATCH($A135,Backlog[Requirement ID],0))),"",INDEX(Backlog[Status],MATCH($A135,Backlog[Requirement ID],0))),"")</f>
        <v>IN PROGRESS</v>
      </c>
      <c r="F135" s="26" t="str">
        <f aca="false">IFERROR(IF(ISBLANK(INDEX(Backlog[Priority],MATCH($A135,Backlog[Requirement ID],0))),"",INDEX(Backlog[Priority],MATCH($A135,Backlog[Requirement ID],0))),"")</f>
        <v>Medium</v>
      </c>
      <c r="G135" s="24"/>
      <c r="H135" s="26" t="n">
        <f aca="false">IFERROR(IF(ISBLANK(INDEX(Backlog[HLE],MATCH($A135,Backlog[Requirement ID],0))),"",INDEX(Backlog[HLE],MATCH($A135,Backlog[Requirement ID],0))),"")</f>
        <v>8</v>
      </c>
      <c r="I135" s="78"/>
      <c r="J135" s="79"/>
    </row>
    <row r="136" customFormat="false" ht="15" hidden="false" customHeight="true" outlineLevel="0" collapsed="false">
      <c r="A136" s="24" t="s">
        <v>752</v>
      </c>
      <c r="B136" s="26" t="s">
        <v>753</v>
      </c>
      <c r="C136" s="26" t="s">
        <v>120</v>
      </c>
      <c r="D136" s="26" t="s">
        <v>424</v>
      </c>
      <c r="E136" s="26" t="s">
        <v>224</v>
      </c>
      <c r="F136" s="26" t="s">
        <v>93</v>
      </c>
      <c r="G136" s="24"/>
      <c r="H136" s="26" t="n">
        <v>3</v>
      </c>
      <c r="I136" s="78"/>
      <c r="J136" s="79"/>
    </row>
    <row r="137" customFormat="false" ht="15" hidden="false" customHeight="true" outlineLevel="0" collapsed="false">
      <c r="A137" s="24" t="s">
        <v>96</v>
      </c>
      <c r="B137" s="26" t="str">
        <f aca="false">IFERROR(IF(ISBLANK(INDEX(Backlog[Requirement Name],MATCH($A137,Backlog[Requirement ID],0))),"",INDEX(Backlog[Requirement Name],MATCH($A137,Backlog[Requirement ID],0))),"")</f>
        <v>API Prod Configurations - Attentive / Webforms</v>
      </c>
      <c r="C137" s="26" t="str">
        <f aca="false">IFERROR(IF(ISBLANK(INDEX(Backlog[Stream],MATCH($A137,Backlog[Requirement ID],0))),"",INDEX(Backlog[Stream],MATCH($A137,Backlog[Requirement ID],0))),"")</f>
        <v>US</v>
      </c>
      <c r="D137" s="26" t="str">
        <f aca="false">IFERROR(IF(ISBLANK(INDEX(SprintPlanning[Sprint],MATCH($A137,SprintPlanning[Requirement ID],0))),"",INDEX(SprintPlanning[Sprint],MATCH($A137,SprintPlanning[Requirement ID],0))),"")</f>
        <v>Sprint 10</v>
      </c>
      <c r="E137" s="26" t="str">
        <f aca="false">IFERROR(IF(ISBLANK(INDEX(Backlog[Status],MATCH($A137,Backlog[Requirement ID],0))),"",INDEX(Backlog[Status],MATCH($A137,Backlog[Requirement ID],0))),"")</f>
        <v>IN PROGRESS</v>
      </c>
      <c r="F137" s="26" t="str">
        <f aca="false">IFERROR(IF(ISBLANK(INDEX(Backlog[Priority],MATCH($A137,Backlog[Requirement ID],0))),"",INDEX(Backlog[Priority],MATCH($A137,Backlog[Requirement ID],0))),"")</f>
        <v>High</v>
      </c>
      <c r="G137" s="24" t="s">
        <v>454</v>
      </c>
      <c r="H137" s="26" t="n">
        <f aca="false">IFERROR(IF(ISBLANK(INDEX(Backlog[HLE],MATCH($A137,Backlog[Requirement ID],0))),"",INDEX(Backlog[HLE],MATCH($A137,Backlog[Requirement ID],0))),"")</f>
        <v>8</v>
      </c>
      <c r="I137" s="78"/>
      <c r="J137" s="79"/>
    </row>
    <row r="138" customFormat="false" ht="15" hidden="false" customHeight="true" outlineLevel="0" collapsed="false">
      <c r="A138" s="24" t="s">
        <v>100</v>
      </c>
      <c r="B138" s="26" t="str">
        <f aca="false">IFERROR(IF(ISBLANK(INDEX(Backlog[Requirement Name],MATCH($A138,Backlog[Requirement ID],0))),"",INDEX(Backlog[Requirement Name],MATCH($A138,Backlog[Requirement ID],0))),"")</f>
        <v>CR - Attentive Error Scenarios INT 175</v>
      </c>
      <c r="C138" s="26" t="str">
        <f aca="false">IFERROR(IF(ISBLANK(INDEX(Backlog[Stream],MATCH($A138,Backlog[Requirement ID],0))),"",INDEX(Backlog[Stream],MATCH($A138,Backlog[Requirement ID],0))),"")</f>
        <v>US</v>
      </c>
      <c r="D138" s="26" t="str">
        <f aca="false">IFERROR(IF(ISBLANK(INDEX(SprintPlanning[Sprint],MATCH($A138,SprintPlanning[Requirement ID],0))),"",INDEX(SprintPlanning[Sprint],MATCH($A138,SprintPlanning[Requirement ID],0))),"")</f>
        <v>Sprint 10</v>
      </c>
      <c r="E138" s="26" t="str">
        <f aca="false">IFERROR(IF(ISBLANK(INDEX(Backlog[Status],MATCH($A138,Backlog[Requirement ID],0))),"",INDEX(Backlog[Status],MATCH($A138,Backlog[Requirement ID],0))),"")</f>
        <v>IN PROGRESS</v>
      </c>
      <c r="F138" s="26" t="str">
        <f aca="false">IFERROR(IF(ISBLANK(INDEX(Backlog[Priority],MATCH($A138,Backlog[Requirement ID],0))),"",INDEX(Backlog[Priority],MATCH($A138,Backlog[Requirement ID],0))),"")</f>
        <v>Medium</v>
      </c>
      <c r="G138" s="24" t="s">
        <v>454</v>
      </c>
      <c r="H138" s="26" t="n">
        <f aca="false">IFERROR(IF(ISBLANK(INDEX(Backlog[HLE],MATCH($A138,Backlog[Requirement ID],0))),"",INDEX(Backlog[HLE],MATCH($A138,Backlog[Requirement ID],0))),"")</f>
        <v>5</v>
      </c>
      <c r="I138" s="78"/>
      <c r="J138" s="79"/>
    </row>
    <row r="139" customFormat="false" ht="15" hidden="false" customHeight="true" outlineLevel="0" collapsed="false">
      <c r="A139" s="24" t="s">
        <v>103</v>
      </c>
      <c r="B139" s="26" t="str">
        <f aca="false">IFERROR(IF(ISBLANK(INDEX(Backlog[Requirement Name],MATCH($A139,Backlog[Requirement ID],0))),"",INDEX(Backlog[Requirement Name],MATCH($A139,Backlog[Requirement ID],0))),"")</f>
        <v>US Configuration myMSC - Production</v>
      </c>
      <c r="C139" s="26" t="str">
        <f aca="false">IFERROR(IF(ISBLANK(INDEX(Backlog[Stream],MATCH($A139,Backlog[Requirement ID],0))),"",INDEX(Backlog[Stream],MATCH($A139,Backlog[Requirement ID],0))),"")</f>
        <v>US</v>
      </c>
      <c r="D139" s="26" t="str">
        <f aca="false">IFERROR(IF(ISBLANK(INDEX(SprintPlanning[Sprint],MATCH($A139,SprintPlanning[Requirement ID],0))),"",INDEX(SprintPlanning[Sprint],MATCH($A139,SprintPlanning[Requirement ID],0))),"")</f>
        <v>Sprint 10</v>
      </c>
      <c r="E139" s="26" t="str">
        <f aca="false">IFERROR(IF(ISBLANK(INDEX(Backlog[Status],MATCH($A139,Backlog[Requirement ID],0))),"",INDEX(Backlog[Status],MATCH($A139,Backlog[Requirement ID],0))),"")</f>
        <v>IN PROGRESS</v>
      </c>
      <c r="F139" s="26" t="str">
        <f aca="false">IFERROR(IF(ISBLANK(INDEX(Backlog[Priority],MATCH($A139,Backlog[Requirement ID],0))),"",INDEX(Backlog[Priority],MATCH($A139,Backlog[Requirement ID],0))),"")</f>
        <v>High</v>
      </c>
      <c r="G139" s="24" t="s">
        <v>454</v>
      </c>
      <c r="H139" s="26" t="n">
        <f aca="false">IFERROR(IF(ISBLANK(INDEX(Backlog[HLE],MATCH($A139,Backlog[Requirement ID],0))),"",INDEX(Backlog[HLE],MATCH($A139,Backlog[Requirement ID],0))),"")</f>
        <v>8</v>
      </c>
      <c r="I139" s="78"/>
      <c r="J139" s="79"/>
    </row>
    <row r="140" customFormat="false" ht="15" hidden="false" customHeight="true" outlineLevel="0" collapsed="false">
      <c r="A140" s="24" t="s">
        <v>108</v>
      </c>
      <c r="B140" s="26" t="str">
        <f aca="false">IFERROR(IF(ISBLANK(INDEX(Backlog[Requirement Name],MATCH($A140,Backlog[Requirement ID],0))),"",INDEX(Backlog[Requirement Name],MATCH($A140,Backlog[Requirement ID],0))),"")</f>
        <v>Load Test + Performance Enhancements - Part 1</v>
      </c>
      <c r="C140" s="26" t="str">
        <f aca="false">IFERROR(IF(ISBLANK(INDEX(Backlog[Stream],MATCH($A140,Backlog[Requirement ID],0))),"",INDEX(Backlog[Stream],MATCH($A140,Backlog[Requirement ID],0))),"")</f>
        <v>US</v>
      </c>
      <c r="D140" s="26" t="str">
        <f aca="false">IFERROR(IF(ISBLANK(INDEX(SprintPlanning[Sprint],MATCH($A140,SprintPlanning[Requirement ID],0))),"",INDEX(SprintPlanning[Sprint],MATCH($A140,SprintPlanning[Requirement ID],0))),"")</f>
        <v>Sprint 10</v>
      </c>
      <c r="E140" s="26" t="str">
        <f aca="false">IFERROR(IF(ISBLANK(INDEX(Backlog[Status],MATCH($A140,Backlog[Requirement ID],0))),"",INDEX(Backlog[Status],MATCH($A140,Backlog[Requirement ID],0))),"")</f>
        <v>IN PROGRESS</v>
      </c>
      <c r="F140" s="26" t="str">
        <f aca="false">IFERROR(IF(ISBLANK(INDEX(Backlog[Priority],MATCH($A140,Backlog[Requirement ID],0))),"",INDEX(Backlog[Priority],MATCH($A140,Backlog[Requirement ID],0))),"")</f>
        <v>High</v>
      </c>
      <c r="G140" s="24" t="s">
        <v>454</v>
      </c>
      <c r="H140" s="26" t="n">
        <f aca="false">IFERROR(IF(ISBLANK(INDEX(Backlog[HLE],MATCH($A140,Backlog[Requirement ID],0))),"",INDEX(Backlog[HLE],MATCH($A140,Backlog[Requirement ID],0))),"")</f>
        <v>21</v>
      </c>
      <c r="I140" s="78"/>
      <c r="J140" s="79"/>
    </row>
    <row r="141" customFormat="false" ht="15" hidden="false" customHeight="true" outlineLevel="0" collapsed="false">
      <c r="A141" s="24" t="s">
        <v>754</v>
      </c>
      <c r="B141" s="26" t="s">
        <v>755</v>
      </c>
      <c r="C141" s="26" t="s">
        <v>116</v>
      </c>
      <c r="D141" s="26" t="s">
        <v>422</v>
      </c>
      <c r="E141" s="26" t="s">
        <v>224</v>
      </c>
      <c r="F141" s="26" t="s">
        <v>354</v>
      </c>
      <c r="G141" s="24" t="s">
        <v>516</v>
      </c>
      <c r="H141" s="26" t="n">
        <v>5</v>
      </c>
      <c r="I141" s="78"/>
      <c r="J141" s="79"/>
    </row>
    <row r="142" customFormat="false" ht="15" hidden="false" customHeight="true" outlineLevel="0" collapsed="false">
      <c r="A142" s="24" t="s">
        <v>137</v>
      </c>
      <c r="B142" s="26" t="str">
        <f aca="false">IFERROR(IF(ISBLANK(INDEX(Backlog[Requirement Name],MATCH($A142,Backlog[Requirement ID],0))),"",INDEX(Backlog[Requirement Name],MATCH($A142,Backlog[Requirement ID],0))),"")</f>
        <v>ZAF Rollout - Market Configurations in CHAIN1 &amp; CHAIN2 and PROD</v>
      </c>
      <c r="C142" s="26" t="str">
        <f aca="false">IFERROR(IF(ISBLANK(INDEX(Backlog[Stream],MATCH($A142,Backlog[Requirement ID],0))),"",INDEX(Backlog[Stream],MATCH($A142,Backlog[Requirement ID],0))),"")</f>
        <v>MVP Rollout</v>
      </c>
      <c r="D142" s="26" t="str">
        <f aca="false">IFERROR(IF(ISBLANK(INDEX(SprintPlanning[Sprint],MATCH($A142,SprintPlanning[Requirement ID],0))),"",INDEX(SprintPlanning[Sprint],MATCH($A142,SprintPlanning[Requirement ID],0))),"")</f>
        <v>Sprint 11</v>
      </c>
      <c r="E142" s="26" t="str">
        <f aca="false">IFERROR(IF(ISBLANK(INDEX(Backlog[Status],MATCH($A142,Backlog[Requirement ID],0))),"",INDEX(Backlog[Status],MATCH($A142,Backlog[Requirement ID],0))),"")</f>
        <v>NEW</v>
      </c>
      <c r="F142" s="26" t="str">
        <f aca="false">IFERROR(IF(ISBLANK(INDEX(Backlog[Priority],MATCH($A142,Backlog[Requirement ID],0))),"",INDEX(Backlog[Priority],MATCH($A142,Backlog[Requirement ID],0))),"")</f>
        <v>Medium</v>
      </c>
      <c r="G142" s="24"/>
      <c r="H142" s="26" t="n">
        <f aca="false">IFERROR(IF(ISBLANK(INDEX(Backlog[HLE],MATCH($A142,Backlog[Requirement ID],0))),"",INDEX(Backlog[HLE],MATCH($A142,Backlog[Requirement ID],0))),"")</f>
        <v>8</v>
      </c>
      <c r="I142" s="78"/>
      <c r="J142" s="79"/>
    </row>
    <row r="143" customFormat="false" ht="15" hidden="false" customHeight="true" outlineLevel="0" collapsed="false">
      <c r="A143" s="24" t="s">
        <v>140</v>
      </c>
      <c r="B143" s="26" t="str">
        <f aca="false">IFERROR(IF(ISBLANK(INDEX(Backlog[Requirement Name],MATCH($A143,Backlog[Requirement ID],0))),"",INDEX(Backlog[Requirement Name],MATCH($A143,Backlog[Requirement ID],0))),"")</f>
        <v>ZAFRollout - Market Configurations in Production</v>
      </c>
      <c r="C143" s="26" t="str">
        <f aca="false">IFERROR(IF(ISBLANK(INDEX(Backlog[Stream],MATCH($A143,Backlog[Requirement ID],0))),"",INDEX(Backlog[Stream],MATCH($A143,Backlog[Requirement ID],0))),"")</f>
        <v>MVP Rollout</v>
      </c>
      <c r="D143" s="26" t="str">
        <f aca="false">IFERROR(IF(ISBLANK(INDEX(SprintPlanning[Sprint],MATCH($A143,SprintPlanning[Requirement ID],0))),"",INDEX(SprintPlanning[Sprint],MATCH($A143,SprintPlanning[Requirement ID],0))),"")</f>
        <v>To Plan</v>
      </c>
      <c r="E143" s="26" t="str">
        <f aca="false">IFERROR(IF(ISBLANK(INDEX(Backlog[Status],MATCH($A143,Backlog[Requirement ID],0))),"",INDEX(Backlog[Status],MATCH($A143,Backlog[Requirement ID],0))),"")</f>
        <v>NA</v>
      </c>
      <c r="F143" s="26" t="str">
        <f aca="false">IFERROR(IF(ISBLANK(INDEX(Backlog[Priority],MATCH($A143,Backlog[Requirement ID],0))),"",INDEX(Backlog[Priority],MATCH($A143,Backlog[Requirement ID],0))),"")</f>
        <v>Medium</v>
      </c>
      <c r="G143" s="24"/>
      <c r="H143" s="26" t="n">
        <f aca="false">IFERROR(IF(ISBLANK(INDEX(Backlog[HLE],MATCH($A143,Backlog[Requirement ID],0))),"",INDEX(Backlog[HLE],MATCH($A143,Backlog[Requirement ID],0))),"")</f>
        <v>8</v>
      </c>
      <c r="I143" s="78"/>
      <c r="J143" s="79"/>
    </row>
    <row r="144" customFormat="false" ht="15" hidden="false" customHeight="true" outlineLevel="0" collapsed="false">
      <c r="A144" s="24" t="s">
        <v>190</v>
      </c>
      <c r="B144" s="26" t="str">
        <f aca="false">IFERROR(IF(ISBLANK(INDEX(Backlog[Requirement Name],MATCH($A144,Backlog[Requirement ID],0))),"",INDEX(Backlog[Requirement Name],MATCH($A144,Backlog[Requirement ID],0))),"")</f>
        <v>PI11-03 [B2C] Flight Enhancement - DTTP25-38915</v>
      </c>
      <c r="C144" s="26" t="str">
        <f aca="false">IFERROR(IF(ISBLANK(INDEX(Backlog[Stream],MATCH($A144,Backlog[Requirement ID],0))),"",INDEX(Backlog[Stream],MATCH($A144,Backlog[Requirement ID],0))),"")</f>
        <v>PI11</v>
      </c>
      <c r="D144" s="26" t="str">
        <f aca="false">IFERROR(IF(ISBLANK(INDEX(SprintPlanning[Sprint],MATCH($A144,SprintPlanning[Requirement ID],0))),"",INDEX(SprintPlanning[Sprint],MATCH($A144,SprintPlanning[Requirement ID],0))),"")</f>
        <v>Sprint 12</v>
      </c>
      <c r="E144" s="26" t="str">
        <f aca="false">IFERROR(IF(ISBLANK(INDEX(Backlog[Status],MATCH($A144,Backlog[Requirement ID],0))),"",INDEX(Backlog[Status],MATCH($A144,Backlog[Requirement ID],0))),"")</f>
        <v>NEW</v>
      </c>
      <c r="F144" s="26" t="str">
        <f aca="false">IFERROR(IF(ISBLANK(INDEX(Backlog[Priority],MATCH($A144,Backlog[Requirement ID],0))),"",INDEX(Backlog[Priority],MATCH($A144,Backlog[Requirement ID],0))),"")</f>
        <v>Medium</v>
      </c>
      <c r="G144" s="24"/>
      <c r="H144" s="26" t="n">
        <f aca="false">IFERROR(IF(ISBLANK(INDEX(Backlog[HLE],MATCH($A144,Backlog[Requirement ID],0))),"",INDEX(Backlog[HLE],MATCH($A144,Backlog[Requirement ID],0))),"")</f>
        <v>5</v>
      </c>
      <c r="I144" s="78"/>
      <c r="J144" s="79"/>
    </row>
    <row r="145" customFormat="false" ht="15" hidden="false" customHeight="true" outlineLevel="0" collapsed="false">
      <c r="A145" s="24" t="s">
        <v>193</v>
      </c>
      <c r="B145" s="26" t="str">
        <f aca="false">IFERROR(IF(ISBLANK(INDEX(Backlog[Requirement Name],MATCH($A145,Backlog[Requirement ID],0))),"",INDEX(Backlog[Requirement Name],MATCH($A145,Backlog[Requirement ID],0))),"")</f>
        <v>PI11-14 [CRM] [EA-1722] CRM Dependency - Lead Management - Price Description info in CDP</v>
      </c>
      <c r="C145" s="26" t="str">
        <f aca="false">IFERROR(IF(ISBLANK(INDEX(Backlog[Stream],MATCH($A145,Backlog[Requirement ID],0))),"",INDEX(Backlog[Stream],MATCH($A145,Backlog[Requirement ID],0))),"")</f>
        <v>PI11</v>
      </c>
      <c r="D145" s="26" t="str">
        <f aca="false">IFERROR(IF(ISBLANK(INDEX(SprintPlanning[Sprint],MATCH($A145,SprintPlanning[Requirement ID],0))),"",INDEX(SprintPlanning[Sprint],MATCH($A145,SprintPlanning[Requirement ID],0))),"")</f>
        <v>Sprint 12</v>
      </c>
      <c r="E145" s="26" t="str">
        <f aca="false">IFERROR(IF(ISBLANK(INDEX(Backlog[Status],MATCH($A145,Backlog[Requirement ID],0))),"",INDEX(Backlog[Status],MATCH($A145,Backlog[Requirement ID],0))),"")</f>
        <v>NEW</v>
      </c>
      <c r="F145" s="26" t="str">
        <f aca="false">IFERROR(IF(ISBLANK(INDEX(Backlog[Priority],MATCH($A145,Backlog[Requirement ID],0))),"",INDEX(Backlog[Priority],MATCH($A145,Backlog[Requirement ID],0))),"")</f>
        <v>Medium</v>
      </c>
      <c r="G145" s="24"/>
      <c r="H145" s="26" t="n">
        <f aca="false">IFERROR(IF(ISBLANK(INDEX(Backlog[HLE],MATCH($A145,Backlog[Requirement ID],0))),"",INDEX(Backlog[HLE],MATCH($A145,Backlog[Requirement ID],0))),"")</f>
        <v>8</v>
      </c>
      <c r="I145" s="78"/>
      <c r="J145" s="79"/>
    </row>
    <row r="146" customFormat="false" ht="15" hidden="false" customHeight="true" outlineLevel="0" collapsed="false">
      <c r="A146" s="24" t="s">
        <v>222</v>
      </c>
      <c r="B146" s="26" t="str">
        <f aca="false">IFERROR(IF(ISBLANK(INDEX(Backlog[Requirement Name],MATCH($A146,Backlog[Requirement ID],0))),"",INDEX(Backlog[Requirement Name],MATCH($A146,Backlog[Requirement ID],0))),"")</f>
        <v>[EAINT] [CR][INT026][INT133][INT130] Split calls to CMS for excursion/OBS data into chunks</v>
      </c>
      <c r="C146" s="26" t="str">
        <f aca="false">IFERROR(IF(ISBLANK(INDEX(Backlog[Stream],MATCH($A146,Backlog[Requirement ID],0))),"",INDEX(Backlog[Stream],MATCH($A146,Backlog[Requirement ID],0))),"")</f>
        <v>MyMSC</v>
      </c>
      <c r="D146" s="26" t="str">
        <f aca="false">IFERROR(IF(ISBLANK(INDEX(SprintPlanning[Sprint],MATCH($A146,SprintPlanning[Requirement ID],0))),"",INDEX(SprintPlanning[Sprint],MATCH($A146,SprintPlanning[Requirement ID],0))),"")</f>
        <v>To Plan</v>
      </c>
      <c r="E146" s="26" t="str">
        <f aca="false">IFERROR(IF(ISBLANK(INDEX(Backlog[Status],MATCH($A146,Backlog[Requirement ID],0))),"",INDEX(Backlog[Status],MATCH($A146,Backlog[Requirement ID],0))),"")</f>
        <v>NEW</v>
      </c>
      <c r="F146" s="26" t="str">
        <f aca="false">IFERROR(IF(ISBLANK(INDEX(Backlog[Priority],MATCH($A146,Backlog[Requirement ID],0))),"",INDEX(Backlog[Priority],MATCH($A146,Backlog[Requirement ID],0))),"")</f>
        <v>Medium</v>
      </c>
      <c r="G146" s="24"/>
      <c r="H146" s="26" t="n">
        <f aca="false">IFERROR(IF(ISBLANK(INDEX(Backlog[HLE],MATCH($A146,Backlog[Requirement ID],0))),"",INDEX(Backlog[HLE],MATCH($A146,Backlog[Requirement ID],0))),"")</f>
        <v>8</v>
      </c>
      <c r="I146" s="78"/>
      <c r="J146" s="79"/>
    </row>
    <row r="147" customFormat="false" ht="15" hidden="false" customHeight="true" outlineLevel="0" collapsed="false">
      <c r="A147" s="24" t="s">
        <v>111</v>
      </c>
      <c r="B147" s="26" t="str">
        <f aca="false">IFERROR(IF(ISBLANK(INDEX(Backlog[Requirement Name],MATCH($A147,Backlog[Requirement ID],0))),"",INDEX(Backlog[Requirement Name],MATCH($A147,Backlog[Requirement ID],0))),"")</f>
        <v>E2E Ticket Support - FAT and Canary Tests</v>
      </c>
      <c r="C147" s="26" t="str">
        <f aca="false">IFERROR(IF(ISBLANK(INDEX(Backlog[Stream],MATCH($A147,Backlog[Requirement ID],0))),"",INDEX(Backlog[Stream],MATCH($A147,Backlog[Requirement ID],0))),"")</f>
        <v>US</v>
      </c>
      <c r="D147" s="26" t="str">
        <f aca="false">IFERROR(IF(ISBLANK(INDEX(SprintPlanning[Sprint],MATCH($A147,SprintPlanning[Requirement ID],0))),"",INDEX(SprintPlanning[Sprint],MATCH($A147,SprintPlanning[Requirement ID],0))),"")</f>
        <v>Sprint 10</v>
      </c>
      <c r="E147" s="26" t="str">
        <f aca="false">IFERROR(IF(ISBLANK(INDEX(Backlog[Status],MATCH($A147,Backlog[Requirement ID],0))),"",INDEX(Backlog[Status],MATCH($A147,Backlog[Requirement ID],0))),"")</f>
        <v>IN PROGRESS</v>
      </c>
      <c r="F147" s="26" t="str">
        <f aca="false">IFERROR(IF(ISBLANK(INDEX(Backlog[Priority],MATCH($A147,Backlog[Requirement ID],0))),"",INDEX(Backlog[Priority],MATCH($A147,Backlog[Requirement ID],0))),"")</f>
        <v>High</v>
      </c>
      <c r="G147" s="24" t="s">
        <v>454</v>
      </c>
      <c r="H147" s="26" t="n">
        <f aca="false">IFERROR(IF(ISBLANK(INDEX(Backlog[HLE],MATCH($A147,Backlog[Requirement ID],0))),"",INDEX(Backlog[HLE],MATCH($A147,Backlog[Requirement ID],0))),"")</f>
        <v>13</v>
      </c>
      <c r="I147" s="78"/>
      <c r="J147" s="79"/>
    </row>
    <row r="148" customFormat="false" ht="15" hidden="false" customHeight="true" outlineLevel="0" collapsed="false">
      <c r="A148" s="24" t="s">
        <v>114</v>
      </c>
      <c r="B148" s="26" t="str">
        <f aca="false">IFERROR(IF(ISBLANK(INDEX(Backlog[Requirement Name],MATCH($A148,Backlog[Requirement ID],0))),"",INDEX(Backlog[Requirement Name],MATCH($A148,Backlog[Requirement ID],0))),"")</f>
        <v>[EINT] [Tech Task] INT172 INT174 - Attentive Error Scenarios</v>
      </c>
      <c r="C148" s="26" t="str">
        <f aca="false">IFERROR(IF(ISBLANK(INDEX(Backlog[Stream],MATCH($A148,Backlog[Requirement ID],0))),"",INDEX(Backlog[Stream],MATCH($A148,Backlog[Requirement ID],0))),"")</f>
        <v>US</v>
      </c>
      <c r="D148" s="26" t="str">
        <f aca="false">IFERROR(IF(ISBLANK(INDEX(SprintPlanning[Sprint],MATCH($A148,SprintPlanning[Requirement ID],0))),"",INDEX(SprintPlanning[Sprint],MATCH($A148,SprintPlanning[Requirement ID],0))),"")</f>
        <v>Sprint 10</v>
      </c>
      <c r="E148" s="26" t="str">
        <f aca="false">IFERROR(IF(ISBLANK(INDEX(Backlog[Status],MATCH($A148,Backlog[Requirement ID],0))),"",INDEX(Backlog[Status],MATCH($A148,Backlog[Requirement ID],0))),"")</f>
        <v>IN PROGRESS</v>
      </c>
      <c r="F148" s="26" t="str">
        <f aca="false">IFERROR(IF(ISBLANK(INDEX(Backlog[Priority],MATCH($A148,Backlog[Requirement ID],0))),"",INDEX(Backlog[Priority],MATCH($A148,Backlog[Requirement ID],0))),"")</f>
        <v>Medium</v>
      </c>
      <c r="G148" s="24" t="s">
        <v>454</v>
      </c>
      <c r="H148" s="26" t="n">
        <f aca="false">IFERROR(IF(ISBLANK(INDEX(Backlog[HLE],MATCH($A148,Backlog[Requirement ID],0))),"",INDEX(Backlog[HLE],MATCH($A148,Backlog[Requirement ID],0))),"")</f>
        <v>5</v>
      </c>
      <c r="I148" s="78"/>
      <c r="J148" s="79"/>
    </row>
    <row r="149" customFormat="false" ht="15" hidden="false" customHeight="true" outlineLevel="0" collapsed="false">
      <c r="A149" s="24" t="s">
        <v>239</v>
      </c>
      <c r="B149" s="26" t="str">
        <f aca="false">IFERROR(IF(ISBLANK(INDEX(Backlog[Requirement Name],MATCH($A149,Backlog[Requirement ID],0))),"",INDEX(Backlog[Requirement Name],MATCH($A149,Backlog[Requirement ID],0))),"")</f>
        <v>Bug fix for cabin logic in INT135.1/135.2</v>
      </c>
      <c r="C149" s="26" t="str">
        <f aca="false">IFERROR(IF(ISBLANK(INDEX(Backlog[Stream],MATCH($A149,Backlog[Requirement ID],0))),"",INDEX(Backlog[Stream],MATCH($A149,Backlog[Requirement ID],0))),"")</f>
        <v>MyMSC</v>
      </c>
      <c r="D149" s="26" t="str">
        <f aca="false">IFERROR(IF(ISBLANK(INDEX(SprintPlanning[Sprint],MATCH($A149,SprintPlanning[Requirement ID],0))),"",INDEX(SprintPlanning[Sprint],MATCH($A149,SprintPlanning[Requirement ID],0))),"")</f>
        <v>Sprint 11</v>
      </c>
      <c r="E149" s="26" t="str">
        <f aca="false">IFERROR(IF(ISBLANK(INDEX(Backlog[Status],MATCH($A149,Backlog[Requirement ID],0))),"",INDEX(Backlog[Status],MATCH($A149,Backlog[Requirement ID],0))),"")</f>
        <v>NEW</v>
      </c>
      <c r="F149" s="26" t="str">
        <f aca="false">IFERROR(IF(ISBLANK(INDEX(Backlog[Priority],MATCH($A149,Backlog[Requirement ID],0))),"",INDEX(Backlog[Priority],MATCH($A149,Backlog[Requirement ID],0))),"")</f>
        <v>Medium</v>
      </c>
      <c r="G149" s="24"/>
      <c r="H149" s="26" t="n">
        <f aca="false">IFERROR(IF(ISBLANK(INDEX(Backlog[HLE],MATCH($A149,Backlog[Requirement ID],0))),"",INDEX(Backlog[HLE],MATCH($A149,Backlog[Requirement ID],0))),"")</f>
        <v>5</v>
      </c>
      <c r="I149" s="78"/>
      <c r="J149" s="79"/>
    </row>
    <row r="150" customFormat="false" ht="15" hidden="false" customHeight="true" outlineLevel="0" collapsed="false">
      <c r="A150" s="24" t="s">
        <v>118</v>
      </c>
      <c r="B150" s="26" t="str">
        <f aca="false">IFERROR(IF(ISBLANK(INDEX(Backlog[Requirement Name],MATCH($A150,Backlog[Requirement ID],0))),"",INDEX(Backlog[Requirement Name],MATCH($A150,Backlog[Requirement ID],0))),"")</f>
        <v>MyMSC US | [INT112][INT137][INT140][INT146][INT153][INT154][INT188] Add per-country/language MyMSC campaign config check to skip optional marketing automation calls</v>
      </c>
      <c r="C150" s="26" t="str">
        <f aca="false">IFERROR(IF(ISBLANK(INDEX(Backlog[Stream],MATCH($A150,Backlog[Requirement ID],0))),"",INDEX(Backlog[Stream],MATCH($A150,Backlog[Requirement ID],0))),"")</f>
        <v>Growth</v>
      </c>
      <c r="D150" s="26" t="str">
        <f aca="false">IFERROR(IF(ISBLANK(INDEX(SprintPlanning[Sprint],MATCH($A150,SprintPlanning[Requirement ID],0))),"",INDEX(SprintPlanning[Sprint],MATCH($A150,SprintPlanning[Requirement ID],0))),"")</f>
        <v>Sprint 10</v>
      </c>
      <c r="E150" s="26" t="str">
        <f aca="false">IFERROR(IF(ISBLANK(INDEX(Backlog[Status],MATCH($A150,Backlog[Requirement ID],0))),"",INDEX(Backlog[Status],MATCH($A150,Backlog[Requirement ID],0))),"")</f>
        <v>IN PROGRESS</v>
      </c>
      <c r="F150" s="26" t="str">
        <f aca="false">IFERROR(IF(ISBLANK(INDEX(Backlog[Priority],MATCH($A150,Backlog[Requirement ID],0))),"",INDEX(Backlog[Priority],MATCH($A150,Backlog[Requirement ID],0))),"")</f>
        <v>High</v>
      </c>
      <c r="G150" s="24" t="s">
        <v>454</v>
      </c>
      <c r="H150" s="26" t="n">
        <f aca="false">IFERROR(IF(ISBLANK(INDEX(Backlog[HLE],MATCH($A150,Backlog[Requirement ID],0))),"",INDEX(Backlog[HLE],MATCH($A150,Backlog[Requirement ID],0))),"")</f>
        <v>8</v>
      </c>
      <c r="I150" s="78"/>
      <c r="J150" s="79"/>
    </row>
    <row r="151" customFormat="false" ht="15" hidden="false" customHeight="true" outlineLevel="0" collapsed="false">
      <c r="A151" s="24" t="s">
        <v>329</v>
      </c>
      <c r="B151" s="26" t="str">
        <f aca="false">IFERROR(IF(ISBLANK(INDEX(Backlog[Requirement Name],MATCH($A151,Backlog[Requirement ID],0))),"",INDEX(Backlog[Requirement Name],MATCH($A151,Backlog[Requirement ID],0))),"")</f>
        <v>PI11-04 [B2C] Post Cruise Complaint Form Part 2 (Multiple Attachment) - DTTP25-38913</v>
      </c>
      <c r="C151" s="26" t="str">
        <f aca="false">IFERROR(IF(ISBLANK(INDEX(Backlog[Stream],MATCH($A151,Backlog[Requirement ID],0))),"",INDEX(Backlog[Stream],MATCH($A151,Backlog[Requirement ID],0))),"")</f>
        <v>PI11</v>
      </c>
      <c r="D151" s="26" t="str">
        <f aca="false">IFERROR(IF(ISBLANK(INDEX(SprintPlanning[Sprint],MATCH($A151,SprintPlanning[Requirement ID],0))),"",INDEX(SprintPlanning[Sprint],MATCH($A151,SprintPlanning[Requirement ID],0))),"")</f>
        <v>To Plan</v>
      </c>
      <c r="E151" s="26" t="str">
        <f aca="false">IFERROR(IF(ISBLANK(INDEX(Backlog[Status],MATCH($A151,Backlog[Requirement ID],0))),"",INDEX(Backlog[Status],MATCH($A151,Backlog[Requirement ID],0))),"")</f>
        <v>NEW</v>
      </c>
      <c r="F151" s="26" t="str">
        <f aca="false">IFERROR(IF(ISBLANK(INDEX(Backlog[Priority],MATCH($A151,Backlog[Requirement ID],0))),"",INDEX(Backlog[Priority],MATCH($A151,Backlog[Requirement ID],0))),"")</f>
        <v>Medium</v>
      </c>
      <c r="G151" s="24"/>
      <c r="H151" s="26" t="n">
        <f aca="false">IFERROR(IF(ISBLANK(INDEX(Backlog[HLE],MATCH($A151,Backlog[Requirement ID],0))),"",INDEX(Backlog[HLE],MATCH($A151,Backlog[Requirement ID],0))),"")</f>
        <v>21</v>
      </c>
      <c r="I151" s="78"/>
      <c r="J151" s="79"/>
    </row>
    <row r="152" customFormat="false" ht="15" hidden="false" customHeight="true" outlineLevel="0" collapsed="false">
      <c r="A152" s="24" t="s">
        <v>332</v>
      </c>
      <c r="B152" s="26" t="str">
        <f aca="false">IFERROR(IF(ISBLANK(INDEX(Backlog[Requirement Name],MATCH($A152,Backlog[Requirement ID],0))),"",INDEX(Backlog[Requirement Name],MATCH($A152,Backlog[Requirement ID],0))),"")</f>
        <v>PI11-05 [B2C] Accessibility Form - DTTP25-38914</v>
      </c>
      <c r="C152" s="26" t="str">
        <f aca="false">IFERROR(IF(ISBLANK(INDEX(Backlog[Stream],MATCH($A152,Backlog[Requirement ID],0))),"",INDEX(Backlog[Stream],MATCH($A152,Backlog[Requirement ID],0))),"")</f>
        <v>PI11</v>
      </c>
      <c r="D152" s="26" t="str">
        <f aca="false">IFERROR(IF(ISBLANK(INDEX(SprintPlanning[Sprint],MATCH($A152,SprintPlanning[Requirement ID],0))),"",INDEX(SprintPlanning[Sprint],MATCH($A152,SprintPlanning[Requirement ID],0))),"")</f>
        <v>To Plan</v>
      </c>
      <c r="E152" s="26" t="str">
        <f aca="false">IFERROR(IF(ISBLANK(INDEX(Backlog[Status],MATCH($A152,Backlog[Requirement ID],0))),"",INDEX(Backlog[Status],MATCH($A152,Backlog[Requirement ID],0))),"")</f>
        <v>NEW</v>
      </c>
      <c r="F152" s="26" t="str">
        <f aca="false">IFERROR(IF(ISBLANK(INDEX(Backlog[Priority],MATCH($A152,Backlog[Requirement ID],0))),"",INDEX(Backlog[Priority],MATCH($A152,Backlog[Requirement ID],0))),"")</f>
        <v>Medium</v>
      </c>
      <c r="G152" s="24"/>
      <c r="H152" s="26" t="str">
        <f aca="false">IFERROR(IF(ISBLANK(INDEX(Backlog[HLE],MATCH($A152,Backlog[Requirement ID],0))),"",INDEX(Backlog[HLE],MATCH($A152,Backlog[Requirement ID],0))),"")</f>
        <v/>
      </c>
      <c r="I152" s="78"/>
      <c r="J152" s="79"/>
    </row>
    <row r="153" customFormat="false" ht="15" hidden="false" customHeight="true" outlineLevel="0" collapsed="false">
      <c r="A153" s="24" t="s">
        <v>335</v>
      </c>
      <c r="B153" s="26" t="str">
        <f aca="false">IFERROR(IF(ISBLANK(INDEX(Backlog[Requirement Name],MATCH($A153,Backlog[Requirement ID],0))),"",INDEX(Backlog[Requirement Name],MATCH($A153,Backlog[Requirement ID],0))),"")</f>
        <v>PI11-06 [B2C] Cabin Position - DTTP25-40042</v>
      </c>
      <c r="C153" s="26" t="str">
        <f aca="false">IFERROR(IF(ISBLANK(INDEX(Backlog[Stream],MATCH($A153,Backlog[Requirement ID],0))),"",INDEX(Backlog[Stream],MATCH($A153,Backlog[Requirement ID],0))),"")</f>
        <v>PI11</v>
      </c>
      <c r="D153" s="26" t="str">
        <f aca="false">IFERROR(IF(ISBLANK(INDEX(SprintPlanning[Sprint],MATCH($A153,SprintPlanning[Requirement ID],0))),"",INDEX(SprintPlanning[Sprint],MATCH($A153,SprintPlanning[Requirement ID],0))),"")</f>
        <v>To Plan</v>
      </c>
      <c r="E153" s="26" t="str">
        <f aca="false">IFERROR(IF(ISBLANK(INDEX(Backlog[Status],MATCH($A153,Backlog[Requirement ID],0))),"",INDEX(Backlog[Status],MATCH($A153,Backlog[Requirement ID],0))),"")</f>
        <v>NEW</v>
      </c>
      <c r="F153" s="26" t="str">
        <f aca="false">IFERROR(IF(ISBLANK(INDEX(Backlog[Priority],MATCH($A153,Backlog[Requirement ID],0))),"",INDEX(Backlog[Priority],MATCH($A153,Backlog[Requirement ID],0))),"")</f>
        <v>Medium</v>
      </c>
      <c r="G153" s="24"/>
      <c r="H153" s="26" t="n">
        <f aca="false">IFERROR(IF(ISBLANK(INDEX(Backlog[HLE],MATCH($A153,Backlog[Requirement ID],0))),"",INDEX(Backlog[HLE],MATCH($A153,Backlog[Requirement ID],0))),"")</f>
        <v>5</v>
      </c>
      <c r="I153" s="78"/>
      <c r="J153" s="79"/>
    </row>
    <row r="154" customFormat="false" ht="15" hidden="false" customHeight="true" outlineLevel="0" collapsed="false">
      <c r="A154" s="24" t="s">
        <v>144</v>
      </c>
      <c r="B154" s="26" t="str">
        <f aca="false">IFERROR(IF(ISBLANK(INDEX(Backlog[Requirement Name],MATCH($A154,Backlog[Requirement ID],0))),"",INDEX(Backlog[Requirement Name],MATCH($A154,Backlog[Requirement ID],0))),"")</f>
        <v>PI11-13 [CRM] [INTP-25] CRM Dependency - Marketing Automation - Calculated fields Booking B2B/B2C</v>
      </c>
      <c r="C154" s="26" t="str">
        <f aca="false">IFERROR(IF(ISBLANK(INDEX(Backlog[Stream],MATCH($A154,Backlog[Requirement ID],0))),"",INDEX(Backlog[Stream],MATCH($A154,Backlog[Requirement ID],0))),"")</f>
        <v>PI11</v>
      </c>
      <c r="D154" s="26" t="str">
        <f aca="false">IFERROR(IF(ISBLANK(INDEX(SprintPlanning[Sprint],MATCH($A154,SprintPlanning[Requirement ID],0))),"",INDEX(SprintPlanning[Sprint],MATCH($A154,SprintPlanning[Requirement ID],0))),"")</f>
        <v>Sprint 12</v>
      </c>
      <c r="E154" s="26" t="str">
        <f aca="false">IFERROR(IF(ISBLANK(INDEX(Backlog[Status],MATCH($A154,Backlog[Requirement ID],0))),"",INDEX(Backlog[Status],MATCH($A154,Backlog[Requirement ID],0))),"")</f>
        <v>NEW</v>
      </c>
      <c r="F154" s="26" t="str">
        <f aca="false">IFERROR(IF(ISBLANK(INDEX(Backlog[Priority],MATCH($A154,Backlog[Requirement ID],0))),"",INDEX(Backlog[Priority],MATCH($A154,Backlog[Requirement ID],0))),"")</f>
        <v>Medium</v>
      </c>
      <c r="G154" s="24"/>
      <c r="H154" s="26" t="n">
        <f aca="false">IFERROR(IF(ISBLANK(INDEX(Backlog[HLE],MATCH($A154,Backlog[Requirement ID],0))),"",INDEX(Backlog[HLE],MATCH($A154,Backlog[Requirement ID],0))),"")</f>
        <v>13</v>
      </c>
      <c r="I154" s="78"/>
      <c r="J154" s="79"/>
    </row>
    <row r="155" customFormat="false" ht="15" hidden="false" customHeight="true" outlineLevel="0" collapsed="false">
      <c r="A155" s="24" t="s">
        <v>147</v>
      </c>
      <c r="B155" s="26" t="str">
        <f aca="false">IFERROR(IF(ISBLANK(INDEX(Backlog[Requirement Name],MATCH($A155,Backlog[Requirement ID],0))),"",INDEX(Backlog[Requirement Name],MATCH($A155,Backlog[Requirement ID],0))),"")</f>
        <v>PI11-15 [CRM] [EA-1662] CRM Dependency - Lead Management - Hold option additional event fields in CDP</v>
      </c>
      <c r="C155" s="26" t="str">
        <f aca="false">IFERROR(IF(ISBLANK(INDEX(Backlog[Stream],MATCH($A155,Backlog[Requirement ID],0))),"",INDEX(Backlog[Stream],MATCH($A155,Backlog[Requirement ID],0))),"")</f>
        <v>PI11</v>
      </c>
      <c r="D155" s="26" t="str">
        <f aca="false">IFERROR(IF(ISBLANK(INDEX(SprintPlanning[Sprint],MATCH($A155,SprintPlanning[Requirement ID],0))),"",INDEX(SprintPlanning[Sprint],MATCH($A155,SprintPlanning[Requirement ID],0))),"")</f>
        <v>Sprint 12</v>
      </c>
      <c r="E155" s="26" t="str">
        <f aca="false">IFERROR(IF(ISBLANK(INDEX(Backlog[Status],MATCH($A155,Backlog[Requirement ID],0))),"",INDEX(Backlog[Status],MATCH($A155,Backlog[Requirement ID],0))),"")</f>
        <v>NEW</v>
      </c>
      <c r="F155" s="26" t="str">
        <f aca="false">IFERROR(IF(ISBLANK(INDEX(Backlog[Priority],MATCH($A155,Backlog[Requirement ID],0))),"",INDEX(Backlog[Priority],MATCH($A155,Backlog[Requirement ID],0))),"")</f>
        <v>Medium</v>
      </c>
      <c r="G155" s="24"/>
      <c r="H155" s="26" t="n">
        <f aca="false">IFERROR(IF(ISBLANK(INDEX(Backlog[HLE],MATCH($A155,Backlog[Requirement ID],0))),"",INDEX(Backlog[HLE],MATCH($A155,Backlog[Requirement ID],0))),"")</f>
        <v>13</v>
      </c>
      <c r="I155" s="78"/>
      <c r="J155" s="79"/>
    </row>
    <row r="156" customFormat="false" ht="15" hidden="false" customHeight="true" outlineLevel="0" collapsed="false">
      <c r="A156" s="24" t="s">
        <v>150</v>
      </c>
      <c r="B156" s="26" t="str">
        <f aca="false">IFERROR(IF(ISBLANK(INDEX(Backlog[Requirement Name],MATCH($A156,Backlog[Requirement ID],0))),"",INDEX(Backlog[Requirement Name],MATCH($A156,Backlog[Requirement ID],0))),"")</f>
        <v>Nordics SWE, DEN, NOR, FIN Rollout - Market Configurations in CHAIN1 &amp; CHAIN2</v>
      </c>
      <c r="C156" s="26" t="str">
        <f aca="false">IFERROR(IF(ISBLANK(INDEX(Backlog[Stream],MATCH($A156,Backlog[Requirement ID],0))),"",INDEX(Backlog[Stream],MATCH($A156,Backlog[Requirement ID],0))),"")</f>
        <v>MVP Rollout</v>
      </c>
      <c r="D156" s="26" t="str">
        <f aca="false">IFERROR(IF(ISBLANK(INDEX(SprintPlanning[Sprint],MATCH($A156,SprintPlanning[Requirement ID],0))),"",INDEX(SprintPlanning[Sprint],MATCH($A156,SprintPlanning[Requirement ID],0))),"")</f>
        <v>To Plan</v>
      </c>
      <c r="E156" s="26" t="str">
        <f aca="false">IFERROR(IF(ISBLANK(INDEX(Backlog[Status],MATCH($A156,Backlog[Requirement ID],0))),"",INDEX(Backlog[Status],MATCH($A156,Backlog[Requirement ID],0))),"")</f>
        <v>NEW</v>
      </c>
      <c r="F156" s="26" t="str">
        <f aca="false">IFERROR(IF(ISBLANK(INDEX(Backlog[Priority],MATCH($A156,Backlog[Requirement ID],0))),"",INDEX(Backlog[Priority],MATCH($A156,Backlog[Requirement ID],0))),"")</f>
        <v>Medium</v>
      </c>
      <c r="G156" s="24"/>
      <c r="H156" s="26" t="n">
        <f aca="false">IFERROR(IF(ISBLANK(INDEX(Backlog[HLE],MATCH($A156,Backlog[Requirement ID],0))),"",INDEX(Backlog[HLE],MATCH($A156,Backlog[Requirement ID],0))),"")</f>
        <v>8</v>
      </c>
      <c r="I156" s="78"/>
      <c r="J156" s="79"/>
    </row>
    <row r="157" customFormat="false" ht="15" hidden="false" customHeight="true" outlineLevel="0" collapsed="false">
      <c r="A157" s="24" t="s">
        <v>152</v>
      </c>
      <c r="B157" s="26" t="str">
        <f aca="false">IFERROR(IF(ISBLANK(INDEX(Backlog[Requirement Name],MATCH($A157,Backlog[Requirement ID],0))),"",INDEX(Backlog[Requirement Name],MATCH($A157,Backlog[Requirement ID],0))),"")</f>
        <v>Nordics SWE, DEN, NOR, FIN Rollout - Market Configurations in Production</v>
      </c>
      <c r="C157" s="26" t="str">
        <f aca="false">IFERROR(IF(ISBLANK(INDEX(Backlog[Stream],MATCH($A157,Backlog[Requirement ID],0))),"",INDEX(Backlog[Stream],MATCH($A157,Backlog[Requirement ID],0))),"")</f>
        <v>MVP Rollout</v>
      </c>
      <c r="D157" s="26" t="str">
        <f aca="false">IFERROR(IF(ISBLANK(INDEX(SprintPlanning[Sprint],MATCH($A157,SprintPlanning[Requirement ID],0))),"",INDEX(SprintPlanning[Sprint],MATCH($A157,SprintPlanning[Requirement ID],0))),"")</f>
        <v>To Plan</v>
      </c>
      <c r="E157" s="26" t="str">
        <f aca="false">IFERROR(IF(ISBLANK(INDEX(Backlog[Status],MATCH($A157,Backlog[Requirement ID],0))),"",INDEX(Backlog[Status],MATCH($A157,Backlog[Requirement ID],0))),"")</f>
        <v>NEW</v>
      </c>
      <c r="F157" s="26" t="str">
        <f aca="false">IFERROR(IF(ISBLANK(INDEX(Backlog[Priority],MATCH($A157,Backlog[Requirement ID],0))),"",INDEX(Backlog[Priority],MATCH($A157,Backlog[Requirement ID],0))),"")</f>
        <v>Medium</v>
      </c>
      <c r="G157" s="24"/>
      <c r="H157" s="26" t="n">
        <f aca="false">IFERROR(IF(ISBLANK(INDEX(Backlog[HLE],MATCH($A157,Backlog[Requirement ID],0))),"",INDEX(Backlog[HLE],MATCH($A157,Backlog[Requirement ID],0))),"")</f>
        <v>8</v>
      </c>
      <c r="I157" s="78"/>
      <c r="J157" s="79"/>
    </row>
    <row r="158" customFormat="false" ht="15" hidden="false" customHeight="true" outlineLevel="0" collapsed="false">
      <c r="A158" s="24" t="s">
        <v>235</v>
      </c>
      <c r="B158" s="26" t="str">
        <f aca="false">IFERROR(IF(ISBLANK(INDEX(Backlog[Requirement Name],MATCH($A158,Backlog[Requirement ID],0))),"",INDEX(Backlog[Requirement Name],MATCH($A158,Backlog[Requirement ID],0))),"")</f>
        <v>Remove of login endpoints from MyMSC EAPI</v>
      </c>
      <c r="C158" s="26" t="str">
        <f aca="false">IFERROR(IF(ISBLANK(INDEX(Backlog[Stream],MATCH($A158,Backlog[Requirement ID],0))),"",INDEX(Backlog[Stream],MATCH($A158,Backlog[Requirement ID],0))),"")</f>
        <v>MyMSC</v>
      </c>
      <c r="D158" s="26" t="str">
        <f aca="false">IFERROR(IF(ISBLANK(INDEX(SprintPlanning[Sprint],MATCH($A158,SprintPlanning[Requirement ID],0))),"",INDEX(SprintPlanning[Sprint],MATCH($A158,SprintPlanning[Requirement ID],0))),"")</f>
        <v>To Plan</v>
      </c>
      <c r="E158" s="26" t="str">
        <f aca="false">IFERROR(IF(ISBLANK(INDEX(Backlog[Status],MATCH($A158,Backlog[Requirement ID],0))),"",INDEX(Backlog[Status],MATCH($A158,Backlog[Requirement ID],0))),"")</f>
        <v>NEW</v>
      </c>
      <c r="F158" s="26" t="str">
        <f aca="false">IFERROR(IF(ISBLANK(INDEX(Backlog[Priority],MATCH($A158,Backlog[Requirement ID],0))),"",INDEX(Backlog[Priority],MATCH($A158,Backlog[Requirement ID],0))),"")</f>
        <v>Medium</v>
      </c>
      <c r="G158" s="24"/>
      <c r="H158" s="26" t="n">
        <f aca="false">IFERROR(IF(ISBLANK(INDEX(Backlog[HLE],MATCH($A158,Backlog[Requirement ID],0))),"",INDEX(Backlog[HLE],MATCH($A158,Backlog[Requirement ID],0))),"")</f>
        <v>8</v>
      </c>
      <c r="I158" s="78"/>
      <c r="J158" s="79"/>
    </row>
    <row r="159" customFormat="false" ht="15" hidden="false" customHeight="true" outlineLevel="0" collapsed="false">
      <c r="A159" s="24" t="s">
        <v>175</v>
      </c>
      <c r="B159" s="26" t="str">
        <f aca="false">IFERROR(IF(ISBLANK(INDEX(Backlog[Requirement Name],MATCH($A159,Backlog[Requirement ID],0))),"",INDEX(Backlog[Requirement Name],MATCH($A159,Backlog[Requirement ID],0))),"")</f>
        <v>Hypercare</v>
      </c>
      <c r="C159" s="26" t="str">
        <f aca="false">IFERROR(IF(ISBLANK(INDEX(Backlog[Stream],MATCH($A159,Backlog[Requirement ID],0))),"",INDEX(Backlog[Stream],MATCH($A159,Backlog[Requirement ID],0))),"")</f>
        <v>US</v>
      </c>
      <c r="D159" s="26" t="str">
        <f aca="false">IFERROR(IF(ISBLANK(INDEX(SprintPlanning[Sprint],MATCH($A159,SprintPlanning[Requirement ID],0))),"",INDEX(SprintPlanning[Sprint],MATCH($A159,SprintPlanning[Requirement ID],0))),"")</f>
        <v>Sprint 12</v>
      </c>
      <c r="E159" s="26" t="str">
        <f aca="false">IFERROR(IF(ISBLANK(INDEX(Backlog[Status],MATCH($A159,Backlog[Requirement ID],0))),"",INDEX(Backlog[Status],MATCH($A159,Backlog[Requirement ID],0))),"")</f>
        <v>NEW</v>
      </c>
      <c r="F159" s="26" t="str">
        <f aca="false">IFERROR(IF(ISBLANK(INDEX(Backlog[Priority],MATCH($A159,Backlog[Requirement ID],0))),"",INDEX(Backlog[Priority],MATCH($A159,Backlog[Requirement ID],0))),"")</f>
        <v>High</v>
      </c>
      <c r="G159" s="24"/>
      <c r="H159" s="26" t="str">
        <f aca="false">IFERROR(IF(ISBLANK(INDEX(Backlog[HLE],MATCH($A159,Backlog[Requirement ID],0))),"",INDEX(Backlog[HLE],MATCH($A159,Backlog[Requirement ID],0))),"")</f>
        <v/>
      </c>
      <c r="I159" s="78"/>
      <c r="J159" s="79"/>
    </row>
    <row r="160" customFormat="false" ht="15" hidden="false" customHeight="true" outlineLevel="0" collapsed="false">
      <c r="A160" s="24" t="s">
        <v>326</v>
      </c>
      <c r="B160" s="26" t="str">
        <f aca="false">IFERROR(IF(ISBLANK(INDEX(Backlog[Requirement Name],MATCH($A160,Backlog[Requirement ID],0))),"",INDEX(Backlog[Requirement Name],MATCH($A160,Backlog[Requirement ID],0))),"")</f>
        <v>PI11-07 [B2C] Hold Option (Placeholder - MuleSoft should not be involved)</v>
      </c>
      <c r="C160" s="26" t="str">
        <f aca="false">IFERROR(IF(ISBLANK(INDEX(Backlog[Stream],MATCH($A160,Backlog[Requirement ID],0))),"",INDEX(Backlog[Stream],MATCH($A160,Backlog[Requirement ID],0))),"")</f>
        <v>PI11</v>
      </c>
      <c r="D160" s="26" t="str">
        <f aca="false">IFERROR(IF(ISBLANK(INDEX(SprintPlanning[Sprint],MATCH($A160,SprintPlanning[Requirement ID],0))),"",INDEX(SprintPlanning[Sprint],MATCH($A160,SprintPlanning[Requirement ID],0))),"")</f>
        <v>To Plan</v>
      </c>
      <c r="E160" s="26" t="str">
        <f aca="false">IFERROR(IF(ISBLANK(INDEX(Backlog[Status],MATCH($A160,Backlog[Requirement ID],0))),"",INDEX(Backlog[Status],MATCH($A160,Backlog[Requirement ID],0))),"")</f>
        <v>NEW</v>
      </c>
      <c r="F160" s="26" t="str">
        <f aca="false">IFERROR(IF(ISBLANK(INDEX(Backlog[Priority],MATCH($A160,Backlog[Requirement ID],0))),"",INDEX(Backlog[Priority],MATCH($A160,Backlog[Requirement ID],0))),"")</f>
        <v>Medium</v>
      </c>
      <c r="G160" s="24"/>
      <c r="H160" s="26" t="str">
        <f aca="false">IFERROR(IF(ISBLANK(INDEX(Backlog[HLE],MATCH($A160,Backlog[Requirement ID],0))),"",INDEX(Backlog[HLE],MATCH($A160,Backlog[Requirement ID],0))),"")</f>
        <v/>
      </c>
      <c r="I160" s="78"/>
      <c r="J160" s="79"/>
    </row>
    <row r="161" customFormat="false" ht="15" hidden="false" customHeight="true" outlineLevel="0" collapsed="false">
      <c r="A161" s="24" t="s">
        <v>178</v>
      </c>
      <c r="B161" s="26" t="str">
        <f aca="false">IFERROR(IF(ISBLANK(INDEX(Backlog[Requirement Name],MATCH($A161,Backlog[Requirement ID],0))),"",INDEX(Backlog[Requirement Name],MATCH($A161,Backlog[Requirement ID],0))),"")</f>
        <v>PI11-08 [CDP] [INTP-21] Lead Management - Option event creation in CDP</v>
      </c>
      <c r="C161" s="26" t="str">
        <f aca="false">IFERROR(IF(ISBLANK(INDEX(Backlog[Stream],MATCH($A161,Backlog[Requirement ID],0))),"",INDEX(Backlog[Stream],MATCH($A161,Backlog[Requirement ID],0))),"")</f>
        <v>PI11</v>
      </c>
      <c r="D161" s="26" t="str">
        <f aca="false">IFERROR(IF(ISBLANK(INDEX(SprintPlanning[Sprint],MATCH($A161,SprintPlanning[Requirement ID],0))),"",INDEX(SprintPlanning[Sprint],MATCH($A161,SprintPlanning[Requirement ID],0))),"")</f>
        <v>Sprint 12</v>
      </c>
      <c r="E161" s="26" t="str">
        <f aca="false">IFERROR(IF(ISBLANK(INDEX(Backlog[Status],MATCH($A161,Backlog[Requirement ID],0))),"",INDEX(Backlog[Status],MATCH($A161,Backlog[Requirement ID],0))),"")</f>
        <v>NEW</v>
      </c>
      <c r="F161" s="26" t="str">
        <f aca="false">IFERROR(IF(ISBLANK(INDEX(Backlog[Priority],MATCH($A161,Backlog[Requirement ID],0))),"",INDEX(Backlog[Priority],MATCH($A161,Backlog[Requirement ID],0))),"")</f>
        <v>Medium</v>
      </c>
      <c r="G161" s="24"/>
      <c r="H161" s="26" t="n">
        <f aca="false">IFERROR(IF(ISBLANK(INDEX(Backlog[HLE],MATCH($A161,Backlog[Requirement ID],0))),"",INDEX(Backlog[HLE],MATCH($A161,Backlog[Requirement ID],0))),"")</f>
        <v>5</v>
      </c>
      <c r="I161" s="78"/>
      <c r="J161" s="79"/>
    </row>
    <row r="162" customFormat="false" ht="15" hidden="false" customHeight="true" outlineLevel="0" collapsed="false">
      <c r="A162" s="24" t="s">
        <v>181</v>
      </c>
      <c r="B162" s="26" t="str">
        <f aca="false">IFERROR(IF(ISBLANK(INDEX(Backlog[Requirement Name],MATCH($A162,Backlog[Requirement ID],0))),"",INDEX(Backlog[Requirement Name],MATCH($A162,Backlog[Requirement ID],0))),"")</f>
        <v>PI11-11 [CRM] [EA-1008] DTTP - Lead Management - FCC new outbound sources</v>
      </c>
      <c r="C162" s="26" t="str">
        <f aca="false">IFERROR(IF(ISBLANK(INDEX(Backlog[Stream],MATCH($A162,Backlog[Requirement ID],0))),"",INDEX(Backlog[Stream],MATCH($A162,Backlog[Requirement ID],0))),"")</f>
        <v>PI11</v>
      </c>
      <c r="D162" s="26" t="str">
        <f aca="false">IFERROR(IF(ISBLANK(INDEX(SprintPlanning[Sprint],MATCH($A162,SprintPlanning[Requirement ID],0))),"",INDEX(SprintPlanning[Sprint],MATCH($A162,SprintPlanning[Requirement ID],0))),"")</f>
        <v>Sprint 12</v>
      </c>
      <c r="E162" s="26" t="str">
        <f aca="false">IFERROR(IF(ISBLANK(INDEX(Backlog[Status],MATCH($A162,Backlog[Requirement ID],0))),"",INDEX(Backlog[Status],MATCH($A162,Backlog[Requirement ID],0))),"")</f>
        <v>NEW</v>
      </c>
      <c r="F162" s="26" t="str">
        <f aca="false">IFERROR(IF(ISBLANK(INDEX(Backlog[Priority],MATCH($A162,Backlog[Requirement ID],0))),"",INDEX(Backlog[Priority],MATCH($A162,Backlog[Requirement ID],0))),"")</f>
        <v>Medium</v>
      </c>
      <c r="G162" s="24"/>
      <c r="H162" s="26" t="n">
        <f aca="false">IFERROR(IF(ISBLANK(INDEX(Backlog[HLE],MATCH($A162,Backlog[Requirement ID],0))),"",INDEX(Backlog[HLE],MATCH($A162,Backlog[Requirement ID],0))),"")</f>
        <v>8</v>
      </c>
      <c r="I162" s="78"/>
      <c r="J162" s="79"/>
    </row>
    <row r="163" customFormat="false" ht="15" hidden="false" customHeight="true" outlineLevel="0" collapsed="false">
      <c r="A163" s="24" t="s">
        <v>184</v>
      </c>
      <c r="B163" s="26" t="str">
        <f aca="false">IFERROR(IF(ISBLANK(INDEX(Backlog[Requirement Name],MATCH($A163,Backlog[Requirement ID],0))),"",INDEX(Backlog[Requirement Name],MATCH($A163,Backlog[Requirement ID],0))),"")</f>
        <v>PI11-12 [CDP/CRM] CRM2-11097 / [INTP-20] Lead Management - IRL Outbound Sources Activation &amp; Form Creation</v>
      </c>
      <c r="C163" s="26" t="str">
        <f aca="false">IFERROR(IF(ISBLANK(INDEX(Backlog[Stream],MATCH($A163,Backlog[Requirement ID],0))),"",INDEX(Backlog[Stream],MATCH($A163,Backlog[Requirement ID],0))),"")</f>
        <v>PI11</v>
      </c>
      <c r="D163" s="26" t="str">
        <f aca="false">IFERROR(IF(ISBLANK(INDEX(SprintPlanning[Sprint],MATCH($A163,SprintPlanning[Requirement ID],0))),"",INDEX(SprintPlanning[Sprint],MATCH($A163,SprintPlanning[Requirement ID],0))),"")</f>
        <v>Sprint 12</v>
      </c>
      <c r="E163" s="26" t="str">
        <f aca="false">IFERROR(IF(ISBLANK(INDEX(Backlog[Status],MATCH($A163,Backlog[Requirement ID],0))),"",INDEX(Backlog[Status],MATCH($A163,Backlog[Requirement ID],0))),"")</f>
        <v>NEW</v>
      </c>
      <c r="F163" s="26" t="str">
        <f aca="false">IFERROR(IF(ISBLANK(INDEX(Backlog[Priority],MATCH($A163,Backlog[Requirement ID],0))),"",INDEX(Backlog[Priority],MATCH($A163,Backlog[Requirement ID],0))),"")</f>
        <v>Medium</v>
      </c>
      <c r="G163" s="24"/>
      <c r="H163" s="26" t="n">
        <f aca="false">IFERROR(IF(ISBLANK(INDEX(Backlog[HLE],MATCH($A163,Backlog[Requirement ID],0))),"",INDEX(Backlog[HLE],MATCH($A163,Backlog[Requirement ID],0))),"")</f>
        <v>5</v>
      </c>
      <c r="I163" s="78"/>
      <c r="J163" s="79"/>
    </row>
    <row r="164" customFormat="false" ht="15" hidden="false" customHeight="true" outlineLevel="0" collapsed="false">
      <c r="A164" s="24" t="s">
        <v>162</v>
      </c>
      <c r="B164" s="26" t="str">
        <f aca="false">IFERROR(IF(ISBLANK(INDEX(Backlog[Requirement Name],MATCH($A164,Backlog[Requirement ID],0))),"",INDEX(Backlog[Requirement Name],MATCH($A164,Backlog[Requirement ID],0))),"")</f>
        <v>Whatsapp Subscription (Phase 1)</v>
      </c>
      <c r="C164" s="26" t="str">
        <f aca="false">IFERROR(IF(ISBLANK(INDEX(Backlog[Stream],MATCH($A164,Backlog[Requirement ID],0))),"",INDEX(Backlog[Stream],MATCH($A164,Backlog[Requirement ID],0))),"")</f>
        <v>Backlog</v>
      </c>
      <c r="D164" s="26" t="str">
        <f aca="false">IFERROR(IF(ISBLANK(INDEX(SprintPlanning[Sprint],MATCH($A164,SprintPlanning[Requirement ID],0))),"",INDEX(SprintPlanning[Sprint],MATCH($A164,SprintPlanning[Requirement ID],0))),"")</f>
        <v>Sprint 12</v>
      </c>
      <c r="E164" s="26" t="str">
        <f aca="false">IFERROR(IF(ISBLANK(INDEX(Backlog[Status],MATCH($A164,Backlog[Requirement ID],0))),"",INDEX(Backlog[Status],MATCH($A164,Backlog[Requirement ID],0))),"")</f>
        <v>NEW</v>
      </c>
      <c r="F164" s="26" t="str">
        <f aca="false">IFERROR(IF(ISBLANK(INDEX(Backlog[Priority],MATCH($A164,Backlog[Requirement ID],0))),"",INDEX(Backlog[Priority],MATCH($A164,Backlog[Requirement ID],0))),"")</f>
        <v>Medium</v>
      </c>
      <c r="G164" s="24"/>
      <c r="H164" s="26" t="n">
        <f aca="false">IFERROR(IF(ISBLANK(INDEX(Backlog[HLE],MATCH($A164,Backlog[Requirement ID],0))),"",INDEX(Backlog[HLE],MATCH($A164,Backlog[Requirement ID],0))),"")</f>
        <v>13</v>
      </c>
      <c r="I164" s="78"/>
      <c r="J164" s="79"/>
    </row>
    <row r="165" customFormat="false" ht="15" hidden="false" customHeight="true" outlineLevel="0" collapsed="false">
      <c r="A165" s="24" t="s">
        <v>166</v>
      </c>
      <c r="B165" s="26" t="str">
        <f aca="false">IFERROR(IF(ISBLANK(INDEX(Backlog[Requirement Name],MATCH($A165,Backlog[Requirement ID],0))),"",INDEX(Backlog[Requirement Name],MATCH($A165,Backlog[Requirement ID],0))),"")</f>
        <v>Friends and Family INT 157</v>
      </c>
      <c r="C165" s="26" t="str">
        <f aca="false">IFERROR(IF(ISBLANK(INDEX(Backlog[Stream],MATCH($A165,Backlog[Requirement ID],0))),"",INDEX(Backlog[Stream],MATCH($A165,Backlog[Requirement ID],0))),"")</f>
        <v>Backlog</v>
      </c>
      <c r="D165" s="26" t="str">
        <f aca="false">IFERROR(IF(ISBLANK(INDEX(SprintPlanning[Sprint],MATCH($A165,SprintPlanning[Requirement ID],0))),"",INDEX(SprintPlanning[Sprint],MATCH($A165,SprintPlanning[Requirement ID],0))),"")</f>
        <v>Sprint 12</v>
      </c>
      <c r="E165" s="26" t="str">
        <f aca="false">IFERROR(IF(ISBLANK(INDEX(Backlog[Status],MATCH($A165,Backlog[Requirement ID],0))),"",INDEX(Backlog[Status],MATCH($A165,Backlog[Requirement ID],0))),"")</f>
        <v>NEW</v>
      </c>
      <c r="F165" s="26" t="str">
        <f aca="false">IFERROR(IF(ISBLANK(INDEX(Backlog[Priority],MATCH($A165,Backlog[Requirement ID],0))),"",INDEX(Backlog[Priority],MATCH($A165,Backlog[Requirement ID],0))),"")</f>
        <v>Medium</v>
      </c>
      <c r="G165" s="24"/>
      <c r="H165" s="26" t="n">
        <f aca="false">IFERROR(IF(ISBLANK(INDEX(Backlog[HLE],MATCH($A165,Backlog[Requirement ID],0))),"",INDEX(Backlog[HLE],MATCH($A165,Backlog[Requirement ID],0))),"")</f>
        <v>13</v>
      </c>
      <c r="I165" s="78"/>
      <c r="J165" s="79"/>
    </row>
    <row r="166" customFormat="false" ht="15" hidden="false" customHeight="true" outlineLevel="0" collapsed="false">
      <c r="A166" s="24" t="s">
        <v>170</v>
      </c>
      <c r="B166" s="26" t="str">
        <f aca="false">IFERROR(IF(ISBLANK(INDEX(Backlog[Requirement Name],MATCH($A166,Backlog[Requirement ID],0))),"",INDEX(Backlog[Requirement Name],MATCH($A166,Backlog[Requirement ID],0))),"")</f>
        <v>MYMSC All inc CR remove logic from AEM</v>
      </c>
      <c r="C166" s="26" t="str">
        <f aca="false">IFERROR(IF(ISBLANK(INDEX(Backlog[Stream],MATCH($A166,Backlog[Requirement ID],0))),"",INDEX(Backlog[Stream],MATCH($A166,Backlog[Requirement ID],0))),"")</f>
        <v>MyMSC</v>
      </c>
      <c r="D166" s="26" t="str">
        <f aca="false">IFERROR(IF(ISBLANK(INDEX(SprintPlanning[Sprint],MATCH($A166,SprintPlanning[Requirement ID],0))),"",INDEX(SprintPlanning[Sprint],MATCH($A166,SprintPlanning[Requirement ID],0))),"")</f>
        <v>Sprint 11</v>
      </c>
      <c r="E166" s="26" t="str">
        <f aca="false">IFERROR(IF(ISBLANK(INDEX(Backlog[Status],MATCH($A166,Backlog[Requirement ID],0))),"",INDEX(Backlog[Status],MATCH($A166,Backlog[Requirement ID],0))),"")</f>
        <v>NEW</v>
      </c>
      <c r="F166" s="26" t="str">
        <f aca="false">IFERROR(IF(ISBLANK(INDEX(Backlog[Priority],MATCH($A166,Backlog[Requirement ID],0))),"",INDEX(Backlog[Priority],MATCH($A166,Backlog[Requirement ID],0))),"")</f>
        <v>Medium</v>
      </c>
      <c r="G166" s="24"/>
      <c r="H166" s="26" t="n">
        <f aca="false">IFERROR(IF(ISBLANK(INDEX(Backlog[HLE],MATCH($A166,Backlog[Requirement ID],0))),"",INDEX(Backlog[HLE],MATCH($A166,Backlog[Requirement ID],0))),"")</f>
        <v>23</v>
      </c>
      <c r="I166" s="78"/>
      <c r="J166" s="79"/>
    </row>
    <row r="167" customFormat="false" ht="15" hidden="false" customHeight="true" outlineLevel="0" collapsed="false">
      <c r="A167" s="24" t="s">
        <v>173</v>
      </c>
      <c r="B167" s="26" t="str">
        <f aca="false">IFERROR(IF(ISBLANK(INDEX(Backlog[Requirement Name],MATCH($A167,Backlog[Requirement ID],0))),"",INDEX(Backlog[Requirement Name],MATCH($A167,Backlog[Requirement ID],0))),"")</f>
        <v>Handling of additional errors INT 139/ INT 140</v>
      </c>
      <c r="C167" s="26" t="str">
        <f aca="false">IFERROR(IF(ISBLANK(INDEX(Backlog[Stream],MATCH($A167,Backlog[Requirement ID],0))),"",INDEX(Backlog[Stream],MATCH($A167,Backlog[Requirement ID],0))),"")</f>
        <v>MyMSC</v>
      </c>
      <c r="D167" s="26" t="str">
        <f aca="false">IFERROR(IF(ISBLANK(INDEX(SprintPlanning[Sprint],MATCH($A167,SprintPlanning[Requirement ID],0))),"",INDEX(SprintPlanning[Sprint],MATCH($A167,SprintPlanning[Requirement ID],0))),"")</f>
        <v>Sprint 12</v>
      </c>
      <c r="E167" s="26" t="str">
        <f aca="false">IFERROR(IF(ISBLANK(INDEX(Backlog[Status],MATCH($A167,Backlog[Requirement ID],0))),"",INDEX(Backlog[Status],MATCH($A167,Backlog[Requirement ID],0))),"")</f>
        <v>NEW</v>
      </c>
      <c r="F167" s="26" t="str">
        <f aca="false">IFERROR(IF(ISBLANK(INDEX(Backlog[Priority],MATCH($A167,Backlog[Requirement ID],0))),"",INDEX(Backlog[Priority],MATCH($A167,Backlog[Requirement ID],0))),"")</f>
        <v>Medium</v>
      </c>
      <c r="G167" s="24"/>
      <c r="H167" s="26" t="n">
        <f aca="false">IFERROR(IF(ISBLANK(INDEX(Backlog[HLE],MATCH($A167,Backlog[Requirement ID],0))),"",INDEX(Backlog[HLE],MATCH($A167,Backlog[Requirement ID],0))),"")</f>
        <v>8</v>
      </c>
      <c r="I167" s="78"/>
      <c r="J167" s="79"/>
    </row>
    <row r="168" customFormat="false" ht="15" hidden="false" customHeight="true" outlineLevel="0" collapsed="false">
      <c r="A168" s="24" t="s">
        <v>756</v>
      </c>
      <c r="B168" s="26" t="s">
        <v>757</v>
      </c>
      <c r="C168" s="26" t="s">
        <v>168</v>
      </c>
      <c r="D168" s="26" t="s">
        <v>424</v>
      </c>
      <c r="E168" s="26" t="s">
        <v>224</v>
      </c>
      <c r="F168" s="26" t="s">
        <v>87</v>
      </c>
      <c r="G168" s="24"/>
      <c r="H168" s="26" t="n">
        <v>8</v>
      </c>
      <c r="I168" s="78"/>
      <c r="J168" s="79"/>
    </row>
    <row r="169" customFormat="false" ht="15" hidden="false" customHeight="true" outlineLevel="0" collapsed="false">
      <c r="A169" s="1" t="s">
        <v>758</v>
      </c>
      <c r="B169" s="1" t="s">
        <v>759</v>
      </c>
      <c r="C169" s="1" t="s">
        <v>168</v>
      </c>
      <c r="D169" s="1" t="s">
        <v>424</v>
      </c>
      <c r="E169" s="1" t="s">
        <v>224</v>
      </c>
      <c r="F169" s="1" t="s">
        <v>87</v>
      </c>
      <c r="G169" s="23" t="s">
        <v>443</v>
      </c>
      <c r="H169" s="1" t="n">
        <v>5</v>
      </c>
      <c r="I169" s="78"/>
      <c r="J169" s="79"/>
    </row>
    <row r="170" customFormat="false" ht="15" hidden="false" customHeight="true" outlineLevel="0" collapsed="false">
      <c r="A170" s="1" t="s">
        <v>760</v>
      </c>
      <c r="B170" s="1" t="s">
        <v>761</v>
      </c>
      <c r="C170" s="1" t="s">
        <v>135</v>
      </c>
      <c r="D170" s="1" t="s">
        <v>423</v>
      </c>
      <c r="E170" s="1" t="s">
        <v>224</v>
      </c>
      <c r="F170" s="1" t="s">
        <v>87</v>
      </c>
      <c r="G170" s="23" t="s">
        <v>443</v>
      </c>
      <c r="H170" s="1" t="n">
        <v>8</v>
      </c>
      <c r="I170" s="78"/>
      <c r="J170" s="79"/>
    </row>
    <row r="171" customFormat="false" ht="15" hidden="false" customHeight="true" outlineLevel="0" collapsed="false">
      <c r="A171" s="1" t="s">
        <v>762</v>
      </c>
      <c r="B171" s="1" t="s">
        <v>763</v>
      </c>
      <c r="C171" s="1" t="s">
        <v>168</v>
      </c>
      <c r="D171" s="1" t="s">
        <v>423</v>
      </c>
      <c r="E171" s="1" t="s">
        <v>224</v>
      </c>
      <c r="F171" s="1" t="s">
        <v>87</v>
      </c>
      <c r="G171" s="23" t="s">
        <v>542</v>
      </c>
      <c r="H171" s="1" t="n">
        <v>13</v>
      </c>
      <c r="I171" s="78"/>
      <c r="J171" s="79"/>
    </row>
    <row r="172" customFormat="false" ht="15" hidden="false" customHeight="true" outlineLevel="0" collapsed="false">
      <c r="A172" s="1" t="s">
        <v>764</v>
      </c>
      <c r="B172" s="1" t="s">
        <v>765</v>
      </c>
      <c r="C172" s="1" t="s">
        <v>116</v>
      </c>
      <c r="D172" s="1" t="s">
        <v>418</v>
      </c>
      <c r="E172" s="1" t="s">
        <v>224</v>
      </c>
      <c r="F172" s="1" t="s">
        <v>87</v>
      </c>
      <c r="G172" s="23" t="s">
        <v>516</v>
      </c>
      <c r="I172" s="78"/>
      <c r="J172" s="79"/>
    </row>
    <row r="173" customFormat="false" ht="15" hidden="false" customHeight="true" outlineLevel="0" collapsed="false">
      <c r="A173" s="1" t="s">
        <v>766</v>
      </c>
      <c r="B173" s="1" t="s">
        <v>767</v>
      </c>
      <c r="C173" s="1" t="s">
        <v>116</v>
      </c>
      <c r="D173" s="1" t="s">
        <v>422</v>
      </c>
      <c r="E173" s="1" t="s">
        <v>224</v>
      </c>
      <c r="F173" s="1" t="s">
        <v>354</v>
      </c>
      <c r="G173" s="23" t="s">
        <v>516</v>
      </c>
      <c r="H173" s="1" t="n">
        <v>13</v>
      </c>
      <c r="I173" s="78"/>
      <c r="J173" s="79"/>
    </row>
    <row r="174" customFormat="false" ht="15" hidden="false" customHeight="true" outlineLevel="0" collapsed="false">
      <c r="A174" s="1" t="s">
        <v>768</v>
      </c>
      <c r="B174" s="1" t="s">
        <v>769</v>
      </c>
      <c r="C174" s="1" t="s">
        <v>116</v>
      </c>
      <c r="D174" s="1" t="s">
        <v>422</v>
      </c>
      <c r="E174" s="1" t="s">
        <v>224</v>
      </c>
      <c r="F174" s="1" t="s">
        <v>354</v>
      </c>
      <c r="G174" s="23" t="s">
        <v>516</v>
      </c>
      <c r="H174" s="1" t="n">
        <v>5</v>
      </c>
      <c r="I174" s="78"/>
      <c r="J174" s="79"/>
    </row>
    <row r="175" customFormat="false" ht="15" hidden="false" customHeight="true" outlineLevel="0" collapsed="false">
      <c r="A175" s="1" t="s">
        <v>770</v>
      </c>
      <c r="B175" s="1" t="s">
        <v>771</v>
      </c>
      <c r="C175" s="1" t="s">
        <v>135</v>
      </c>
      <c r="D175" s="1" t="s">
        <v>422</v>
      </c>
      <c r="E175" s="1" t="s">
        <v>224</v>
      </c>
      <c r="F175" s="1" t="s">
        <v>87</v>
      </c>
      <c r="G175" s="23" t="s">
        <v>516</v>
      </c>
      <c r="H175" s="1" t="n">
        <v>8</v>
      </c>
      <c r="I175" s="78"/>
      <c r="J175" s="79"/>
    </row>
    <row r="176" customFormat="false" ht="15" hidden="false" customHeight="true" outlineLevel="0" collapsed="false">
      <c r="A176" s="1" t="s">
        <v>772</v>
      </c>
      <c r="B176" s="1" t="s">
        <v>773</v>
      </c>
      <c r="C176" s="1" t="s">
        <v>116</v>
      </c>
      <c r="D176" s="1" t="s">
        <v>418</v>
      </c>
      <c r="E176" s="1" t="s">
        <v>224</v>
      </c>
      <c r="F176" s="1" t="s">
        <v>87</v>
      </c>
      <c r="G176" s="23" t="s">
        <v>481</v>
      </c>
      <c r="H176" s="1" t="n">
        <v>3</v>
      </c>
      <c r="I176" s="78"/>
      <c r="J176" s="79"/>
    </row>
    <row r="177" customFormat="false" ht="15" hidden="false" customHeight="true" outlineLevel="0" collapsed="false">
      <c r="A177" s="1" t="s">
        <v>127</v>
      </c>
      <c r="B177" s="1" t="str">
        <f aca="false">IFERROR(IF(ISBLANK(INDEX(Backlog[Requirement Name],MATCH($A177,Backlog[Requirement ID],0))),"",INDEX(Backlog[Requirement Name],MATCH($A177,Backlog[Requirement ID],0))),"")</f>
        <v>US Growth - B2CW Payment billing data/ US Release ACS Check - Part 1 (Adding the new fields to INT007, INT140, INT146)</v>
      </c>
      <c r="C177" s="1" t="str">
        <f aca="false">IFERROR(IF(ISBLANK(INDEX(Backlog[Stream],MATCH($A177,Backlog[Requirement ID],0))),"",INDEX(Backlog[Stream],MATCH($A177,Backlog[Requirement ID],0))),"")</f>
        <v>Growth</v>
      </c>
      <c r="D177" s="1" t="str">
        <f aca="false">IFERROR(IF(ISBLANK(INDEX(SprintPlanning[Sprint],MATCH($A177,SprintPlanning[Requirement ID],0))),"",INDEX(SprintPlanning[Sprint],MATCH($A177,SprintPlanning[Requirement ID],0))),"")</f>
        <v>Sprint 10</v>
      </c>
      <c r="E177" s="1" t="str">
        <f aca="false">IFERROR(IF(ISBLANK(INDEX(Backlog[Status],MATCH($A177,Backlog[Requirement ID],0))),"",INDEX(Backlog[Status],MATCH($A177,Backlog[Requirement ID],0))),"")</f>
        <v>NEW</v>
      </c>
      <c r="F177" s="1" t="str">
        <f aca="false">IFERROR(IF(ISBLANK(INDEX(Backlog[Priority],MATCH($A177,Backlog[Requirement ID],0))),"",INDEX(Backlog[Priority],MATCH($A177,Backlog[Requirement ID],0))),"")</f>
        <v>High</v>
      </c>
      <c r="G177" s="23"/>
      <c r="H177" s="1" t="n">
        <f aca="false">IFERROR(IF(ISBLANK(INDEX(Backlog[HLE],MATCH($A177,Backlog[Requirement ID],0))),"",INDEX(Backlog[HLE],MATCH($A177,Backlog[Requirement ID],0))),"")</f>
        <v>5</v>
      </c>
      <c r="I177" s="78"/>
      <c r="J177" s="79"/>
    </row>
    <row r="178" customFormat="false" ht="15" hidden="false" customHeight="true" outlineLevel="0" collapsed="false">
      <c r="A178" s="1" t="s">
        <v>155</v>
      </c>
      <c r="B178" s="1" t="str">
        <f aca="false">IFERROR(IF(ISBLANK(INDEX(Backlog[Requirement Name],MATCH($A178,Backlog[Requirement ID],0))),"",INDEX(Backlog[Requirement Name],MATCH($A178,Backlog[Requirement ID],0))),"")</f>
        <v>US Growth - B2CW Payment billing data/ US Release AVS Check - Part 2 (Wiring the new fields to Datatrans in INT007, INT140, INT146)</v>
      </c>
      <c r="C178" s="1" t="str">
        <f aca="false">IFERROR(IF(ISBLANK(INDEX(Backlog[Stream],MATCH($A178,Backlog[Requirement ID],0))),"",INDEX(Backlog[Stream],MATCH($A178,Backlog[Requirement ID],0))),"")</f>
        <v>Growth</v>
      </c>
      <c r="D178" s="1" t="str">
        <f aca="false">IFERROR(IF(ISBLANK(INDEX(SprintPlanning[Sprint],MATCH($A178,SprintPlanning[Requirement ID],0))),"",INDEX(SprintPlanning[Sprint],MATCH($A178,SprintPlanning[Requirement ID],0))),"")</f>
        <v>Sprint 11</v>
      </c>
      <c r="E178" s="1" t="str">
        <f aca="false">IFERROR(IF(ISBLANK(INDEX(Backlog[Status],MATCH($A178,Backlog[Requirement ID],0))),"",INDEX(Backlog[Status],MATCH($A178,Backlog[Requirement ID],0))),"")</f>
        <v>NEW</v>
      </c>
      <c r="F178" s="1" t="str">
        <f aca="false">IFERROR(IF(ISBLANK(INDEX(Backlog[Priority],MATCH($A178,Backlog[Requirement ID],0))),"",INDEX(Backlog[Priority],MATCH($A178,Backlog[Requirement ID],0))),"")</f>
        <v>High</v>
      </c>
      <c r="G178" s="23"/>
      <c r="H178" s="1" t="n">
        <f aca="false">IFERROR(IF(ISBLANK(INDEX(Backlog[HLE],MATCH($A178,Backlog[Requirement ID],0))),"",INDEX(Backlog[HLE],MATCH($A178,Backlog[Requirement ID],0))),"")</f>
        <v>13</v>
      </c>
      <c r="I178" s="78"/>
      <c r="J178" s="79"/>
    </row>
    <row r="179" customFormat="false" ht="15" hidden="false" customHeight="true" outlineLevel="0" collapsed="false">
      <c r="A179" s="1" t="s">
        <v>158</v>
      </c>
      <c r="B179" s="1" t="str">
        <f aca="false">IFERROR(IF(ISBLANK(INDEX(Backlog[Requirement Name],MATCH($A179,Backlog[Requirement ID],0))),"",INDEX(Backlog[Requirement Name],MATCH($A179,Backlog[Requirement ID],0))),"")</f>
        <v>US Growth - M4M Payment billing data/ US Release AVS Check (Adding the fields in M4M transaction init)</v>
      </c>
      <c r="C179" s="1" t="str">
        <f aca="false">IFERROR(IF(ISBLANK(INDEX(Backlog[Stream],MATCH($A179,Backlog[Requirement ID],0))),"",INDEX(Backlog[Stream],MATCH($A179,Backlog[Requirement ID],0))),"")</f>
        <v>Growth</v>
      </c>
      <c r="D179" s="1" t="str">
        <f aca="false">IFERROR(IF(ISBLANK(INDEX(SprintPlanning[Sprint],MATCH($A179,SprintPlanning[Requirement ID],0))),"",INDEX(SprintPlanning[Sprint],MATCH($A179,SprintPlanning[Requirement ID],0))),"")</f>
        <v>Sprint 12</v>
      </c>
      <c r="E179" s="1" t="str">
        <f aca="false">IFERROR(IF(ISBLANK(INDEX(Backlog[Status],MATCH($A179,Backlog[Requirement ID],0))),"",INDEX(Backlog[Status],MATCH($A179,Backlog[Requirement ID],0))),"")</f>
        <v>ON HOLD</v>
      </c>
      <c r="F179" s="1" t="str">
        <f aca="false">IFERROR(IF(ISBLANK(INDEX(Backlog[Priority],MATCH($A179,Backlog[Requirement ID],0))),"",INDEX(Backlog[Priority],MATCH($A179,Backlog[Requirement ID],0))),"")</f>
        <v>High</v>
      </c>
      <c r="G179" s="23"/>
      <c r="H179" s="1" t="n">
        <f aca="false">IFERROR(IF(ISBLANK(INDEX(Backlog[HLE],MATCH($A179,Backlog[Requirement ID],0))),"",INDEX(Backlog[HLE],MATCH($A179,Backlog[Requirement ID],0))),"")</f>
        <v>8</v>
      </c>
      <c r="I179" s="78"/>
      <c r="J179" s="79"/>
    </row>
    <row r="180" customFormat="false" ht="15" hidden="false" customHeight="true" outlineLevel="0" collapsed="false">
      <c r="A180" s="1" t="s">
        <v>129</v>
      </c>
      <c r="B180" s="1" t="str">
        <f aca="false">IFERROR(IF(ISBLANK(INDEX(Backlog[Requirement Name],MATCH($A180,Backlog[Requirement ID],0))),"",INDEX(Backlog[Requirement Name],MATCH($A180,Backlog[Requirement ID],0))),"")</f>
        <v>Load Test Perf - Support &amp; Analysis</v>
      </c>
      <c r="C180" s="1" t="str">
        <f aca="false">IFERROR(IF(ISBLANK(INDEX(Backlog[Stream],MATCH($A180,Backlog[Requirement ID],0))),"",INDEX(Backlog[Stream],MATCH($A180,Backlog[Requirement ID],0))),"")</f>
        <v>US</v>
      </c>
      <c r="D180" s="1" t="str">
        <f aca="false">IFERROR(IF(ISBLANK(INDEX(SprintPlanning[Sprint],MATCH($A180,SprintPlanning[Requirement ID],0))),"",INDEX(SprintPlanning[Sprint],MATCH($A180,SprintPlanning[Requirement ID],0))),"")</f>
        <v>Sprint 10</v>
      </c>
      <c r="E180" s="1" t="str">
        <f aca="false">IFERROR(IF(ISBLANK(INDEX(Backlog[Status],MATCH($A180,Backlog[Requirement ID],0))),"",INDEX(Backlog[Status],MATCH($A180,Backlog[Requirement ID],0))),"")</f>
        <v>IN PROGRESS</v>
      </c>
      <c r="F180" s="1" t="str">
        <f aca="false">IFERROR(IF(ISBLANK(INDEX(Backlog[Priority],MATCH($A180,Backlog[Requirement ID],0))),"",INDEX(Backlog[Priority],MATCH($A180,Backlog[Requirement ID],0))),"")</f>
        <v>High</v>
      </c>
      <c r="G180" s="23"/>
      <c r="H180" s="1" t="n">
        <f aca="false">IFERROR(IF(ISBLANK(INDEX(Backlog[HLE],MATCH($A180,Backlog[Requirement ID],0))),"",INDEX(Backlog[HLE],MATCH($A180,Backlog[Requirement ID],0))),"")</f>
        <v>21</v>
      </c>
      <c r="I180" s="78"/>
      <c r="J180" s="79"/>
    </row>
    <row r="181" customFormat="false" ht="15" hidden="false" customHeight="true" outlineLevel="0" collapsed="false">
      <c r="A181" s="1" t="s">
        <v>133</v>
      </c>
      <c r="B181" s="1" t="str">
        <f aca="false">IFERROR(IF(ISBLANK(INDEX(Backlog[Requirement Name],MATCH($A181,Backlog[Requirement ID],0))),"",INDEX(Backlog[Requirement Name],MATCH($A181,Backlog[Requirement ID],0))),"")</f>
        <v>US 0.1 Release Preparation - Aug 24</v>
      </c>
      <c r="C181" s="1" t="str">
        <f aca="false">IFERROR(IF(ISBLANK(INDEX(Backlog[Stream],MATCH($A181,Backlog[Requirement ID],0))),"",INDEX(Backlog[Stream],MATCH($A181,Backlog[Requirement ID],0))),"")</f>
        <v>Cross</v>
      </c>
      <c r="D181" s="1" t="str">
        <f aca="false">IFERROR(IF(ISBLANK(INDEX(SprintPlanning[Sprint],MATCH($A181,SprintPlanning[Requirement ID],0))),"",INDEX(SprintPlanning[Sprint],MATCH($A181,SprintPlanning[Requirement ID],0))),"")</f>
        <v>Sprint 10</v>
      </c>
      <c r="E181" s="1" t="str">
        <f aca="false">IFERROR(IF(ISBLANK(INDEX(Backlog[Status],MATCH($A181,Backlog[Requirement ID],0))),"",INDEX(Backlog[Status],MATCH($A181,Backlog[Requirement ID],0))),"")</f>
        <v>IN PROGRESS</v>
      </c>
      <c r="F181" s="1" t="str">
        <f aca="false">IFERROR(IF(ISBLANK(INDEX(Backlog[Priority],MATCH($A181,Backlog[Requirement ID],0))),"",INDEX(Backlog[Priority],MATCH($A181,Backlog[Requirement ID],0))),"")</f>
        <v>High</v>
      </c>
      <c r="G181" s="23"/>
      <c r="H181" s="1" t="n">
        <f aca="false">IFERROR(IF(ISBLANK(INDEX(Backlog[HLE],MATCH($A181,Backlog[Requirement ID],0))),"",INDEX(Backlog[HLE],MATCH($A181,Backlog[Requirement ID],0))),"")</f>
        <v>13</v>
      </c>
      <c r="I181" s="78"/>
      <c r="J181" s="79"/>
    </row>
    <row r="182" customFormat="false" ht="15" hidden="false" customHeight="true" outlineLevel="0" collapsed="false">
      <c r="A182" s="1" t="s">
        <v>774</v>
      </c>
      <c r="B182" s="1" t="s">
        <v>775</v>
      </c>
      <c r="C182" s="1" t="s">
        <v>28</v>
      </c>
      <c r="D182" s="1" t="s">
        <v>418</v>
      </c>
      <c r="E182" s="1" t="s">
        <v>224</v>
      </c>
      <c r="F182" s="1" t="s">
        <v>87</v>
      </c>
      <c r="G182" s="23"/>
      <c r="I182" s="78"/>
      <c r="J182" s="79"/>
    </row>
    <row r="183" customFormat="false" ht="15" hidden="false" customHeight="true" outlineLevel="0" collapsed="false">
      <c r="A183" s="1" t="s">
        <v>776</v>
      </c>
      <c r="B183" s="1" t="s">
        <v>777</v>
      </c>
      <c r="C183" s="1" t="s">
        <v>28</v>
      </c>
      <c r="D183" s="1" t="s">
        <v>418</v>
      </c>
      <c r="E183" s="1" t="s">
        <v>224</v>
      </c>
      <c r="F183" s="1" t="s">
        <v>87</v>
      </c>
      <c r="G183" s="23"/>
      <c r="I183" s="78"/>
      <c r="J183" s="79"/>
    </row>
    <row r="184" customFormat="false" ht="15" hidden="false" customHeight="true" outlineLevel="0" collapsed="false">
      <c r="A184" s="1" t="s">
        <v>778</v>
      </c>
      <c r="B184" s="1" t="s">
        <v>779</v>
      </c>
      <c r="C184" s="1" t="s">
        <v>120</v>
      </c>
      <c r="D184" s="1" t="s">
        <v>424</v>
      </c>
      <c r="E184" s="1" t="s">
        <v>224</v>
      </c>
      <c r="F184" s="1" t="s">
        <v>93</v>
      </c>
      <c r="G184" s="23"/>
      <c r="H184" s="1" t="n">
        <v>3</v>
      </c>
      <c r="I184" s="78"/>
      <c r="J184" s="79"/>
    </row>
    <row r="185" customFormat="false" ht="15" hidden="false" customHeight="true" outlineLevel="0" collapsed="false">
      <c r="A185" s="1" t="s">
        <v>780</v>
      </c>
      <c r="B185" s="1" t="s">
        <v>781</v>
      </c>
      <c r="C185" s="1" t="s">
        <v>120</v>
      </c>
      <c r="D185" s="1" t="s">
        <v>424</v>
      </c>
      <c r="E185" s="1" t="s">
        <v>224</v>
      </c>
      <c r="F185" s="1" t="s">
        <v>93</v>
      </c>
      <c r="G185" s="23"/>
      <c r="H185" s="1" t="n">
        <v>3</v>
      </c>
    </row>
    <row r="186" customFormat="false" ht="15" hidden="false" customHeight="true" outlineLevel="0" collapsed="false">
      <c r="A186" s="1" t="s">
        <v>782</v>
      </c>
      <c r="B186" s="1" t="s">
        <v>783</v>
      </c>
      <c r="C186" s="1" t="s">
        <v>120</v>
      </c>
      <c r="D186" s="1" t="s">
        <v>424</v>
      </c>
      <c r="E186" s="1" t="s">
        <v>224</v>
      </c>
      <c r="F186" s="1" t="s">
        <v>93</v>
      </c>
      <c r="G186" s="23"/>
      <c r="H186" s="1" t="n">
        <v>3</v>
      </c>
    </row>
    <row r="187" customFormat="false" ht="15" hidden="false" customHeight="true" outlineLevel="0" collapsed="false">
      <c r="A187" s="1" t="s">
        <v>187</v>
      </c>
      <c r="B187" s="1" t="str">
        <f aca="false">IFERROR(IF(ISBLANK(INDEX(Backlog[Requirement Name],MATCH($A187,Backlog[Requirement ID],0))),"",INDEX(Backlog[Requirement Name],MATCH($A187,Backlog[Requirement ID],0))),"")</f>
        <v>INT139 / INT140 - speciality restaurants CR to handle dining inventory errors</v>
      </c>
      <c r="C187" s="1" t="str">
        <f aca="false">IFERROR(IF(ISBLANK(INDEX(Backlog[Stream],MATCH($A187,Backlog[Requirement ID],0))),"",INDEX(Backlog[Stream],MATCH($A187,Backlog[Requirement ID],0))),"")</f>
        <v>MyMSC</v>
      </c>
      <c r="D187" s="1" t="str">
        <f aca="false">IFERROR(IF(ISBLANK(INDEX(SprintPlanning[Sprint],MATCH($A187,SprintPlanning[Requirement ID],0))),"",INDEX(SprintPlanning[Sprint],MATCH($A187,SprintPlanning[Requirement ID],0))),"")</f>
        <v>Sprint 12</v>
      </c>
      <c r="E187" s="1" t="str">
        <f aca="false">IFERROR(IF(ISBLANK(INDEX(Backlog[Status],MATCH($A187,Backlog[Requirement ID],0))),"",INDEX(Backlog[Status],MATCH($A187,Backlog[Requirement ID],0))),"")</f>
        <v>NEW</v>
      </c>
      <c r="F187" s="1" t="str">
        <f aca="false">IFERROR(IF(ISBLANK(INDEX(Backlog[Priority],MATCH($A187,Backlog[Requirement ID],0))),"",INDEX(Backlog[Priority],MATCH($A187,Backlog[Requirement ID],0))),"")</f>
        <v>Medium</v>
      </c>
      <c r="G187" s="23"/>
      <c r="H187" s="1" t="n">
        <f aca="false">IFERROR(IF(ISBLANK(INDEX(Backlog[HLE],MATCH($A187,Backlog[Requirement ID],0))),"",INDEX(Backlog[HLE],MATCH($A187,Backlog[Requirement ID],0))),"")</f>
        <v>8</v>
      </c>
    </row>
    <row r="188" customFormat="false" ht="15" hidden="false" customHeight="true" outlineLevel="0" collapsed="false">
      <c r="A188" s="1" t="s">
        <v>784</v>
      </c>
      <c r="B188" s="1" t="s">
        <v>785</v>
      </c>
      <c r="C188" s="1" t="s">
        <v>168</v>
      </c>
      <c r="D188" s="1" t="s">
        <v>424</v>
      </c>
      <c r="E188" s="1" t="s">
        <v>224</v>
      </c>
      <c r="F188" s="1" t="s">
        <v>87</v>
      </c>
      <c r="G188" s="23"/>
      <c r="H188" s="1" t="n">
        <v>8</v>
      </c>
    </row>
    <row r="189" customFormat="false" ht="15" hidden="false" customHeight="true" outlineLevel="0" collapsed="false">
      <c r="G189" s="23"/>
    </row>
    <row r="190" customFormat="false" ht="15" hidden="false" customHeight="true" outlineLevel="0" collapsed="false">
      <c r="G190" s="23"/>
    </row>
    <row r="191" customFormat="false" ht="15" hidden="false" customHeight="true" outlineLevel="0" collapsed="false">
      <c r="G191" s="23"/>
    </row>
    <row r="192" customFormat="false" ht="15" hidden="false" customHeight="true" outlineLevel="0" collapsed="false">
      <c r="G192" s="23"/>
    </row>
    <row r="193" customFormat="false" ht="15" hidden="false" customHeight="true" outlineLevel="0" collapsed="false">
      <c r="G193" s="23"/>
    </row>
    <row r="194" customFormat="false" ht="15" hidden="false" customHeight="true" outlineLevel="0" collapsed="false">
      <c r="G194" s="23"/>
    </row>
    <row r="195" customFormat="false" ht="15" hidden="false" customHeight="true" outlineLevel="0" collapsed="false">
      <c r="G195" s="23"/>
    </row>
    <row r="196" customFormat="false" ht="15" hidden="false" customHeight="true" outlineLevel="0" collapsed="false">
      <c r="G196" s="23"/>
    </row>
    <row r="197" customFormat="false" ht="15" hidden="false" customHeight="true" outlineLevel="0" collapsed="false">
      <c r="G197" s="23"/>
    </row>
    <row r="198" customFormat="false" ht="15" hidden="false" customHeight="true" outlineLevel="0" collapsed="false">
      <c r="G198" s="23"/>
    </row>
    <row r="199" customFormat="false" ht="15" hidden="false" customHeight="true" outlineLevel="0" collapsed="false">
      <c r="G199" s="23"/>
    </row>
    <row r="200" customFormat="false" ht="15" hidden="false" customHeight="true" outlineLevel="0" collapsed="false">
      <c r="G200" s="23"/>
    </row>
    <row r="201" customFormat="false" ht="15" hidden="false" customHeight="true" outlineLevel="0" collapsed="false">
      <c r="G201" s="23"/>
    </row>
    <row r="202" customFormat="false" ht="15" hidden="false" customHeight="true" outlineLevel="0" collapsed="false">
      <c r="G202" s="23"/>
    </row>
    <row r="203" customFormat="false" ht="15" hidden="false" customHeight="true" outlineLevel="0" collapsed="false">
      <c r="G203" s="23"/>
    </row>
    <row r="204" customFormat="false" ht="15" hidden="false" customHeight="true" outlineLevel="0" collapsed="false">
      <c r="G204" s="23"/>
    </row>
    <row r="205" customFormat="false" ht="15" hidden="false" customHeight="true" outlineLevel="0" collapsed="false">
      <c r="G205" s="23"/>
    </row>
    <row r="206" customFormat="false" ht="15" hidden="false" customHeight="true" outlineLevel="0" collapsed="false">
      <c r="G206" s="23"/>
    </row>
    <row r="207" customFormat="false" ht="15" hidden="false" customHeight="true" outlineLevel="0" collapsed="false">
      <c r="G207" s="23"/>
    </row>
    <row r="208" customFormat="false" ht="15" hidden="false" customHeight="true" outlineLevel="0" collapsed="false">
      <c r="G208" s="23"/>
    </row>
    <row r="209" customFormat="false" ht="15" hidden="false" customHeight="true" outlineLevel="0" collapsed="false">
      <c r="G209" s="23"/>
    </row>
    <row r="210" customFormat="false" ht="15" hidden="false" customHeight="true" outlineLevel="0" collapsed="false">
      <c r="G210" s="23"/>
    </row>
    <row r="211" customFormat="false" ht="15" hidden="false" customHeight="true" outlineLevel="0" collapsed="false">
      <c r="G211" s="23"/>
    </row>
    <row r="212" customFormat="false" ht="15" hidden="false" customHeight="true" outlineLevel="0" collapsed="false">
      <c r="G212" s="23"/>
    </row>
    <row r="213" customFormat="false" ht="15" hidden="false" customHeight="true" outlineLevel="0" collapsed="false">
      <c r="G213" s="23"/>
    </row>
    <row r="214" customFormat="false" ht="15" hidden="false" customHeight="true" outlineLevel="0" collapsed="false">
      <c r="G214" s="23"/>
    </row>
    <row r="215" customFormat="false" ht="15" hidden="false" customHeight="true" outlineLevel="0" collapsed="false">
      <c r="G215" s="23"/>
    </row>
    <row r="216" customFormat="false" ht="15" hidden="false" customHeight="true" outlineLevel="0" collapsed="false">
      <c r="G216" s="23"/>
    </row>
    <row r="217" customFormat="false" ht="15" hidden="false" customHeight="true" outlineLevel="0" collapsed="false">
      <c r="G217" s="23"/>
    </row>
    <row r="218" customFormat="false" ht="15" hidden="false" customHeight="true" outlineLevel="0" collapsed="false">
      <c r="G218" s="23"/>
    </row>
    <row r="219" customFormat="false" ht="15" hidden="false" customHeight="true" outlineLevel="0" collapsed="false">
      <c r="G219" s="23"/>
    </row>
    <row r="220" customFormat="false" ht="15" hidden="false" customHeight="true" outlineLevel="0" collapsed="false">
      <c r="G220" s="23"/>
    </row>
    <row r="221" customFormat="false" ht="15" hidden="false" customHeight="true" outlineLevel="0" collapsed="false">
      <c r="G221" s="23"/>
    </row>
    <row r="222" customFormat="false" ht="15" hidden="false" customHeight="true" outlineLevel="0" collapsed="false">
      <c r="G222" s="23"/>
    </row>
    <row r="223" customFormat="false" ht="15" hidden="false" customHeight="true" outlineLevel="0" collapsed="false">
      <c r="G223" s="23"/>
    </row>
    <row r="224" customFormat="false" ht="15" hidden="false" customHeight="true" outlineLevel="0" collapsed="false">
      <c r="G224" s="23"/>
    </row>
    <row r="225" customFormat="false" ht="15" hidden="false" customHeight="true" outlineLevel="0" collapsed="false">
      <c r="G225" s="23"/>
    </row>
    <row r="226" customFormat="false" ht="15" hidden="false" customHeight="true" outlineLevel="0" collapsed="false">
      <c r="G226" s="23"/>
    </row>
    <row r="227" customFormat="false" ht="15" hidden="false" customHeight="true" outlineLevel="0" collapsed="false">
      <c r="G227" s="23"/>
    </row>
    <row r="228" customFormat="false" ht="15" hidden="false" customHeight="true" outlineLevel="0" collapsed="false">
      <c r="G228" s="23"/>
    </row>
    <row r="229" customFormat="false" ht="15" hidden="false" customHeight="true" outlineLevel="0" collapsed="false">
      <c r="G229" s="23"/>
    </row>
    <row r="230" customFormat="false" ht="15" hidden="false" customHeight="true" outlineLevel="0" collapsed="false">
      <c r="G230" s="23"/>
    </row>
    <row r="231" customFormat="false" ht="15" hidden="false" customHeight="true" outlineLevel="0" collapsed="false">
      <c r="G231" s="23"/>
    </row>
    <row r="232" customFormat="false" ht="15" hidden="false" customHeight="true" outlineLevel="0" collapsed="false">
      <c r="G232" s="23"/>
    </row>
    <row r="233" customFormat="false" ht="15" hidden="false" customHeight="true" outlineLevel="0" collapsed="false">
      <c r="G233" s="23"/>
    </row>
    <row r="234" customFormat="false" ht="15" hidden="false" customHeight="true" outlineLevel="0" collapsed="false">
      <c r="G234" s="23"/>
    </row>
    <row r="235" customFormat="false" ht="15" hidden="false" customHeight="true" outlineLevel="0" collapsed="false">
      <c r="G235" s="23"/>
    </row>
    <row r="236" customFormat="false" ht="15" hidden="false" customHeight="true" outlineLevel="0" collapsed="false">
      <c r="G236" s="23"/>
    </row>
    <row r="237" customFormat="false" ht="15" hidden="false" customHeight="true" outlineLevel="0" collapsed="false">
      <c r="G237" s="23"/>
    </row>
    <row r="238" customFormat="false" ht="15" hidden="false" customHeight="true" outlineLevel="0" collapsed="false">
      <c r="G238" s="23"/>
    </row>
    <row r="239" customFormat="false" ht="15" hidden="false" customHeight="true" outlineLevel="0" collapsed="false">
      <c r="G239" s="23"/>
    </row>
    <row r="240" customFormat="false" ht="15" hidden="false" customHeight="true" outlineLevel="0" collapsed="false">
      <c r="G240" s="23"/>
    </row>
    <row r="241" customFormat="false" ht="15" hidden="false" customHeight="true" outlineLevel="0" collapsed="false">
      <c r="G241" s="23"/>
    </row>
    <row r="242" customFormat="false" ht="15" hidden="false" customHeight="true" outlineLevel="0" collapsed="false">
      <c r="G242" s="23"/>
    </row>
    <row r="243" customFormat="false" ht="15" hidden="false" customHeight="true" outlineLevel="0" collapsed="false">
      <c r="G243" s="23"/>
    </row>
    <row r="244" customFormat="false" ht="15" hidden="false" customHeight="true" outlineLevel="0" collapsed="false">
      <c r="G244" s="23"/>
    </row>
    <row r="245" customFormat="false" ht="15" hidden="false" customHeight="true" outlineLevel="0" collapsed="false">
      <c r="G245" s="23"/>
    </row>
    <row r="246" customFormat="false" ht="15" hidden="false" customHeight="true" outlineLevel="0" collapsed="false">
      <c r="G246" s="23"/>
    </row>
    <row r="247" customFormat="false" ht="15" hidden="false" customHeight="true" outlineLevel="0" collapsed="false">
      <c r="G247" s="23"/>
    </row>
    <row r="248" customFormat="false" ht="15" hidden="false" customHeight="true" outlineLevel="0" collapsed="false">
      <c r="G248" s="23"/>
    </row>
    <row r="249" customFormat="false" ht="15" hidden="false" customHeight="true" outlineLevel="0" collapsed="false">
      <c r="G249" s="23"/>
    </row>
    <row r="250" customFormat="false" ht="15" hidden="false" customHeight="true" outlineLevel="0" collapsed="false">
      <c r="G250" s="23"/>
    </row>
    <row r="251" customFormat="false" ht="15" hidden="false" customHeight="true" outlineLevel="0" collapsed="false">
      <c r="G251" s="23"/>
    </row>
    <row r="252" customFormat="false" ht="15" hidden="false" customHeight="true" outlineLevel="0" collapsed="false">
      <c r="G252" s="23"/>
    </row>
    <row r="253" customFormat="false" ht="15" hidden="false" customHeight="true" outlineLevel="0" collapsed="false">
      <c r="G253" s="23"/>
    </row>
    <row r="254" customFormat="false" ht="15" hidden="false" customHeight="true" outlineLevel="0" collapsed="false">
      <c r="G254" s="23"/>
    </row>
    <row r="255" customFormat="false" ht="15" hidden="false" customHeight="true" outlineLevel="0" collapsed="false">
      <c r="G255" s="23"/>
    </row>
    <row r="256" customFormat="false" ht="15" hidden="false" customHeight="true" outlineLevel="0" collapsed="false">
      <c r="G256" s="23"/>
    </row>
    <row r="257" customFormat="false" ht="15" hidden="false" customHeight="true" outlineLevel="0" collapsed="false">
      <c r="G257" s="23"/>
    </row>
    <row r="258" customFormat="false" ht="15" hidden="false" customHeight="true" outlineLevel="0" collapsed="false">
      <c r="G258" s="23"/>
    </row>
    <row r="259" customFormat="false" ht="15" hidden="false" customHeight="true" outlineLevel="0" collapsed="false">
      <c r="G259" s="23"/>
    </row>
    <row r="260" customFormat="false" ht="15" hidden="false" customHeight="true" outlineLevel="0" collapsed="false">
      <c r="G260" s="23"/>
    </row>
    <row r="261" customFormat="false" ht="15" hidden="false" customHeight="true" outlineLevel="0" collapsed="false">
      <c r="G261" s="23"/>
    </row>
    <row r="262" customFormat="false" ht="15" hidden="false" customHeight="true" outlineLevel="0" collapsed="false">
      <c r="G262" s="23"/>
    </row>
    <row r="263" customFormat="false" ht="15" hidden="false" customHeight="true" outlineLevel="0" collapsed="false">
      <c r="G263" s="23"/>
    </row>
    <row r="264" customFormat="false" ht="15" hidden="false" customHeight="true" outlineLevel="0" collapsed="false">
      <c r="G264" s="23"/>
    </row>
    <row r="265" customFormat="false" ht="15" hidden="false" customHeight="true" outlineLevel="0" collapsed="false">
      <c r="G265" s="23"/>
    </row>
    <row r="266" customFormat="false" ht="15" hidden="false" customHeight="true" outlineLevel="0" collapsed="false">
      <c r="G266" s="23"/>
    </row>
    <row r="267" customFormat="false" ht="15" hidden="false" customHeight="true" outlineLevel="0" collapsed="false">
      <c r="G267" s="23"/>
    </row>
    <row r="268" customFormat="false" ht="15" hidden="false" customHeight="true" outlineLevel="0" collapsed="false">
      <c r="G268" s="23"/>
    </row>
    <row r="269" customFormat="false" ht="15" hidden="false" customHeight="true" outlineLevel="0" collapsed="false">
      <c r="G269" s="23"/>
    </row>
    <row r="270" customFormat="false" ht="15" hidden="false" customHeight="true" outlineLevel="0" collapsed="false">
      <c r="G270" s="23"/>
    </row>
    <row r="271" customFormat="false" ht="15" hidden="false" customHeight="true" outlineLevel="0" collapsed="false">
      <c r="G271" s="23"/>
    </row>
    <row r="272" customFormat="false" ht="15" hidden="false" customHeight="true" outlineLevel="0" collapsed="false">
      <c r="G272" s="23"/>
    </row>
    <row r="273" customFormat="false" ht="15" hidden="false" customHeight="true" outlineLevel="0" collapsed="false">
      <c r="G273" s="23"/>
    </row>
    <row r="274" customFormat="false" ht="15" hidden="false" customHeight="true" outlineLevel="0" collapsed="false">
      <c r="G274" s="23"/>
    </row>
    <row r="275" customFormat="false" ht="15" hidden="false" customHeight="true" outlineLevel="0" collapsed="false">
      <c r="G275" s="23"/>
    </row>
    <row r="276" customFormat="false" ht="15" hidden="false" customHeight="true" outlineLevel="0" collapsed="false">
      <c r="G276" s="23"/>
    </row>
    <row r="277" customFormat="false" ht="15" hidden="false" customHeight="true" outlineLevel="0" collapsed="false">
      <c r="G277" s="23"/>
    </row>
    <row r="278" customFormat="false" ht="15" hidden="false" customHeight="true" outlineLevel="0" collapsed="false">
      <c r="G278" s="23"/>
    </row>
    <row r="279" customFormat="false" ht="15" hidden="false" customHeight="true" outlineLevel="0" collapsed="false">
      <c r="G279" s="23"/>
    </row>
    <row r="280" customFormat="false" ht="15" hidden="false" customHeight="true" outlineLevel="0" collapsed="false">
      <c r="G280" s="23"/>
    </row>
    <row r="281" customFormat="false" ht="15" hidden="false" customHeight="true" outlineLevel="0" collapsed="false">
      <c r="G281" s="23"/>
    </row>
    <row r="282" customFormat="false" ht="15" hidden="false" customHeight="true" outlineLevel="0" collapsed="false">
      <c r="G282" s="23"/>
    </row>
    <row r="283" customFormat="false" ht="15" hidden="false" customHeight="true" outlineLevel="0" collapsed="false">
      <c r="G283" s="23"/>
    </row>
    <row r="284" customFormat="false" ht="15" hidden="false" customHeight="true" outlineLevel="0" collapsed="false">
      <c r="G284" s="23"/>
    </row>
    <row r="285" customFormat="false" ht="15" hidden="false" customHeight="true" outlineLevel="0" collapsed="false">
      <c r="G285" s="23"/>
    </row>
    <row r="286" customFormat="false" ht="15" hidden="false" customHeight="true" outlineLevel="0" collapsed="false">
      <c r="G286" s="23"/>
    </row>
    <row r="287" customFormat="false" ht="15" hidden="false" customHeight="true" outlineLevel="0" collapsed="false">
      <c r="G287" s="23"/>
    </row>
    <row r="288" customFormat="false" ht="15" hidden="false" customHeight="true" outlineLevel="0" collapsed="false">
      <c r="G288" s="23"/>
    </row>
    <row r="289" customFormat="false" ht="15" hidden="false" customHeight="true" outlineLevel="0" collapsed="false">
      <c r="G289" s="23"/>
    </row>
    <row r="290" customFormat="false" ht="15" hidden="false" customHeight="true" outlineLevel="0" collapsed="false">
      <c r="G290" s="23"/>
    </row>
    <row r="291" customFormat="false" ht="15" hidden="false" customHeight="true" outlineLevel="0" collapsed="false">
      <c r="G291" s="23"/>
    </row>
    <row r="292" customFormat="false" ht="15" hidden="false" customHeight="true" outlineLevel="0" collapsed="false">
      <c r="G292" s="23"/>
    </row>
    <row r="293" customFormat="false" ht="15" hidden="false" customHeight="true" outlineLevel="0" collapsed="false">
      <c r="G293" s="23"/>
    </row>
    <row r="294" customFormat="false" ht="15" hidden="false" customHeight="true" outlineLevel="0" collapsed="false">
      <c r="G294" s="23"/>
    </row>
    <row r="295" customFormat="false" ht="15" hidden="false" customHeight="true" outlineLevel="0" collapsed="false">
      <c r="G295" s="23"/>
    </row>
    <row r="296" customFormat="false" ht="15" hidden="false" customHeight="true" outlineLevel="0" collapsed="false">
      <c r="G296" s="23"/>
    </row>
    <row r="297" customFormat="false" ht="15" hidden="false" customHeight="true" outlineLevel="0" collapsed="false">
      <c r="G297" s="23"/>
    </row>
    <row r="298" customFormat="false" ht="15" hidden="false" customHeight="true" outlineLevel="0" collapsed="false">
      <c r="G298" s="23"/>
    </row>
    <row r="299" customFormat="false" ht="15" hidden="false" customHeight="true" outlineLevel="0" collapsed="false">
      <c r="G299" s="23"/>
    </row>
    <row r="300" customFormat="false" ht="15" hidden="false" customHeight="true" outlineLevel="0" collapsed="false">
      <c r="G300" s="23"/>
    </row>
    <row r="301" customFormat="false" ht="15" hidden="false" customHeight="true" outlineLevel="0" collapsed="false">
      <c r="G301" s="23"/>
    </row>
    <row r="302" customFormat="false" ht="15" hidden="false" customHeight="true" outlineLevel="0" collapsed="false">
      <c r="G302" s="23"/>
    </row>
    <row r="303" customFormat="false" ht="15" hidden="false" customHeight="true" outlineLevel="0" collapsed="false">
      <c r="G303" s="23"/>
    </row>
    <row r="304" customFormat="false" ht="15" hidden="false" customHeight="true" outlineLevel="0" collapsed="false">
      <c r="G304" s="23"/>
    </row>
    <row r="305" customFormat="false" ht="15" hidden="false" customHeight="true" outlineLevel="0" collapsed="false">
      <c r="G305" s="23"/>
    </row>
    <row r="306" customFormat="false" ht="15" hidden="false" customHeight="true" outlineLevel="0" collapsed="false">
      <c r="G306" s="23"/>
    </row>
    <row r="307" customFormat="false" ht="15" hidden="false" customHeight="true" outlineLevel="0" collapsed="false">
      <c r="G307" s="23"/>
    </row>
    <row r="308" customFormat="false" ht="15" hidden="false" customHeight="true" outlineLevel="0" collapsed="false">
      <c r="G308" s="23"/>
    </row>
    <row r="309" customFormat="false" ht="15" hidden="false" customHeight="true" outlineLevel="0" collapsed="false">
      <c r="G309" s="23"/>
    </row>
    <row r="310" customFormat="false" ht="15" hidden="false" customHeight="true" outlineLevel="0" collapsed="false">
      <c r="G310" s="23"/>
    </row>
    <row r="311" customFormat="false" ht="15" hidden="false" customHeight="true" outlineLevel="0" collapsed="false">
      <c r="G311" s="23"/>
    </row>
    <row r="312" customFormat="false" ht="15" hidden="false" customHeight="true" outlineLevel="0" collapsed="false">
      <c r="G312" s="23"/>
    </row>
    <row r="313" customFormat="false" ht="15" hidden="false" customHeight="true" outlineLevel="0" collapsed="false">
      <c r="G313" s="23"/>
    </row>
    <row r="314" customFormat="false" ht="15" hidden="false" customHeight="true" outlineLevel="0" collapsed="false">
      <c r="G314" s="23"/>
    </row>
    <row r="315" customFormat="false" ht="15" hidden="false" customHeight="true" outlineLevel="0" collapsed="false">
      <c r="G315" s="23"/>
    </row>
    <row r="316" customFormat="false" ht="15" hidden="false" customHeight="true" outlineLevel="0" collapsed="false">
      <c r="G316" s="23"/>
    </row>
    <row r="317" customFormat="false" ht="15" hidden="false" customHeight="true" outlineLevel="0" collapsed="false">
      <c r="G317" s="23"/>
    </row>
    <row r="318" customFormat="false" ht="15" hidden="false" customHeight="true" outlineLevel="0" collapsed="false">
      <c r="G318" s="23"/>
    </row>
    <row r="319" customFormat="false" ht="15" hidden="false" customHeight="true" outlineLevel="0" collapsed="false">
      <c r="G319" s="23"/>
    </row>
    <row r="320" customFormat="false" ht="15" hidden="false" customHeight="true" outlineLevel="0" collapsed="false">
      <c r="G320" s="23"/>
    </row>
    <row r="321" customFormat="false" ht="15" hidden="false" customHeight="true" outlineLevel="0" collapsed="false">
      <c r="G321" s="23"/>
    </row>
    <row r="322" customFormat="false" ht="15" hidden="false" customHeight="true" outlineLevel="0" collapsed="false">
      <c r="G322" s="23"/>
    </row>
    <row r="323" customFormat="false" ht="15" hidden="false" customHeight="true" outlineLevel="0" collapsed="false">
      <c r="G323" s="23"/>
    </row>
    <row r="324" customFormat="false" ht="15" hidden="false" customHeight="true" outlineLevel="0" collapsed="false">
      <c r="G324" s="23"/>
    </row>
    <row r="325" customFormat="false" ht="15" hidden="false" customHeight="true" outlineLevel="0" collapsed="false">
      <c r="G325" s="23"/>
    </row>
    <row r="326" customFormat="false" ht="15" hidden="false" customHeight="true" outlineLevel="0" collapsed="false">
      <c r="G326" s="23"/>
    </row>
    <row r="327" customFormat="false" ht="15" hidden="false" customHeight="true" outlineLevel="0" collapsed="false">
      <c r="G327" s="23"/>
    </row>
    <row r="328" customFormat="false" ht="15" hidden="false" customHeight="true" outlineLevel="0" collapsed="false">
      <c r="G328" s="23"/>
    </row>
    <row r="329" customFormat="false" ht="15" hidden="false" customHeight="true" outlineLevel="0" collapsed="false">
      <c r="G329" s="23"/>
    </row>
    <row r="330" customFormat="false" ht="15" hidden="false" customHeight="true" outlineLevel="0" collapsed="false">
      <c r="G330" s="23"/>
    </row>
    <row r="331" customFormat="false" ht="15" hidden="false" customHeight="true" outlineLevel="0" collapsed="false">
      <c r="G331" s="23"/>
    </row>
    <row r="332" customFormat="false" ht="15" hidden="false" customHeight="true" outlineLevel="0" collapsed="false">
      <c r="G332" s="23"/>
    </row>
    <row r="333" customFormat="false" ht="15" hidden="false" customHeight="true" outlineLevel="0" collapsed="false">
      <c r="G333" s="23"/>
    </row>
    <row r="334" customFormat="false" ht="15" hidden="false" customHeight="true" outlineLevel="0" collapsed="false">
      <c r="G334" s="23"/>
    </row>
    <row r="335" customFormat="false" ht="15" hidden="false" customHeight="true" outlineLevel="0" collapsed="false">
      <c r="G335" s="23"/>
    </row>
    <row r="336" customFormat="false" ht="15" hidden="false" customHeight="true" outlineLevel="0" collapsed="false">
      <c r="G336" s="23"/>
    </row>
    <row r="337" customFormat="false" ht="15" hidden="false" customHeight="true" outlineLevel="0" collapsed="false">
      <c r="G337" s="23"/>
    </row>
    <row r="338" customFormat="false" ht="15" hidden="false" customHeight="true" outlineLevel="0" collapsed="false">
      <c r="G338" s="23"/>
    </row>
    <row r="339" customFormat="false" ht="15" hidden="false" customHeight="true" outlineLevel="0" collapsed="false">
      <c r="G339" s="23"/>
    </row>
    <row r="340" customFormat="false" ht="15" hidden="false" customHeight="true" outlineLevel="0" collapsed="false">
      <c r="G340" s="23"/>
    </row>
    <row r="341" customFormat="false" ht="15" hidden="false" customHeight="true" outlineLevel="0" collapsed="false">
      <c r="G341" s="23"/>
    </row>
    <row r="342" customFormat="false" ht="15" hidden="false" customHeight="true" outlineLevel="0" collapsed="false">
      <c r="G342" s="23"/>
    </row>
    <row r="343" customFormat="false" ht="15" hidden="false" customHeight="true" outlineLevel="0" collapsed="false">
      <c r="G343" s="23"/>
    </row>
    <row r="344" customFormat="false" ht="15" hidden="false" customHeight="true" outlineLevel="0" collapsed="false">
      <c r="G344" s="23"/>
    </row>
    <row r="345" customFormat="false" ht="15" hidden="false" customHeight="true" outlineLevel="0" collapsed="false">
      <c r="G345" s="23"/>
    </row>
    <row r="346" customFormat="false" ht="15" hidden="false" customHeight="true" outlineLevel="0" collapsed="false">
      <c r="G346" s="23"/>
    </row>
    <row r="347" customFormat="false" ht="15" hidden="false" customHeight="true" outlineLevel="0" collapsed="false">
      <c r="G347" s="23"/>
    </row>
    <row r="348" customFormat="false" ht="15" hidden="false" customHeight="true" outlineLevel="0" collapsed="false">
      <c r="G348" s="23"/>
    </row>
    <row r="349" customFormat="false" ht="15" hidden="false" customHeight="true" outlineLevel="0" collapsed="false">
      <c r="G349" s="23"/>
    </row>
    <row r="350" customFormat="false" ht="15" hidden="false" customHeight="true" outlineLevel="0" collapsed="false">
      <c r="G350" s="23"/>
    </row>
    <row r="351" customFormat="false" ht="15" hidden="false" customHeight="true" outlineLevel="0" collapsed="false">
      <c r="G351" s="23"/>
    </row>
    <row r="352" customFormat="false" ht="15" hidden="false" customHeight="true" outlineLevel="0" collapsed="false">
      <c r="G352" s="23"/>
    </row>
    <row r="353" customFormat="false" ht="15" hidden="false" customHeight="true" outlineLevel="0" collapsed="false">
      <c r="G353" s="23"/>
    </row>
    <row r="354" customFormat="false" ht="15" hidden="false" customHeight="true" outlineLevel="0" collapsed="false">
      <c r="G354" s="23"/>
    </row>
    <row r="355" customFormat="false" ht="15" hidden="false" customHeight="true" outlineLevel="0" collapsed="false">
      <c r="G355" s="23"/>
    </row>
    <row r="356" customFormat="false" ht="15" hidden="false" customHeight="true" outlineLevel="0" collapsed="false">
      <c r="G356" s="23"/>
    </row>
    <row r="357" customFormat="false" ht="15" hidden="false" customHeight="true" outlineLevel="0" collapsed="false">
      <c r="G357" s="23"/>
    </row>
    <row r="358" customFormat="false" ht="15" hidden="false" customHeight="true" outlineLevel="0" collapsed="false">
      <c r="G358" s="23"/>
    </row>
    <row r="359" customFormat="false" ht="15" hidden="false" customHeight="true" outlineLevel="0" collapsed="false">
      <c r="G359" s="23"/>
    </row>
    <row r="360" customFormat="false" ht="15" hidden="false" customHeight="true" outlineLevel="0" collapsed="false">
      <c r="G360" s="23"/>
    </row>
    <row r="361" customFormat="false" ht="15" hidden="false" customHeight="true" outlineLevel="0" collapsed="false">
      <c r="G361" s="23"/>
    </row>
    <row r="362" customFormat="false" ht="15" hidden="false" customHeight="true" outlineLevel="0" collapsed="false">
      <c r="G362" s="23"/>
    </row>
    <row r="363" customFormat="false" ht="15" hidden="false" customHeight="true" outlineLevel="0" collapsed="false">
      <c r="G363" s="23"/>
    </row>
    <row r="364" customFormat="false" ht="15" hidden="false" customHeight="true" outlineLevel="0" collapsed="false">
      <c r="G364" s="23"/>
    </row>
    <row r="365" customFormat="false" ht="15" hidden="false" customHeight="true" outlineLevel="0" collapsed="false">
      <c r="G365" s="23"/>
    </row>
    <row r="366" customFormat="false" ht="15" hidden="false" customHeight="true" outlineLevel="0" collapsed="false">
      <c r="G366" s="23"/>
    </row>
    <row r="367" customFormat="false" ht="15" hidden="false" customHeight="true" outlineLevel="0" collapsed="false">
      <c r="G367" s="23"/>
    </row>
    <row r="368" customFormat="false" ht="15" hidden="false" customHeight="true" outlineLevel="0" collapsed="false">
      <c r="G368" s="23"/>
    </row>
    <row r="369" customFormat="false" ht="15" hidden="false" customHeight="true" outlineLevel="0" collapsed="false">
      <c r="G369" s="23"/>
    </row>
    <row r="370" customFormat="false" ht="15" hidden="false" customHeight="true" outlineLevel="0" collapsed="false">
      <c r="G370" s="23"/>
    </row>
    <row r="371" customFormat="false" ht="15" hidden="false" customHeight="true" outlineLevel="0" collapsed="false">
      <c r="G371" s="23"/>
    </row>
    <row r="372" customFormat="false" ht="15" hidden="false" customHeight="true" outlineLevel="0" collapsed="false">
      <c r="G372" s="23"/>
    </row>
    <row r="373" customFormat="false" ht="15" hidden="false" customHeight="true" outlineLevel="0" collapsed="false">
      <c r="G373" s="23"/>
    </row>
    <row r="374" customFormat="false" ht="15" hidden="false" customHeight="true" outlineLevel="0" collapsed="false">
      <c r="G374" s="23"/>
    </row>
    <row r="375" customFormat="false" ht="15" hidden="false" customHeight="true" outlineLevel="0" collapsed="false">
      <c r="G375" s="23"/>
    </row>
    <row r="376" customFormat="false" ht="15" hidden="false" customHeight="true" outlineLevel="0" collapsed="false">
      <c r="G376" s="23"/>
    </row>
    <row r="377" customFormat="false" ht="15" hidden="false" customHeight="true" outlineLevel="0" collapsed="false">
      <c r="G377" s="23"/>
    </row>
    <row r="378" customFormat="false" ht="15" hidden="false" customHeight="true" outlineLevel="0" collapsed="false">
      <c r="G378" s="23"/>
    </row>
    <row r="379" customFormat="false" ht="15" hidden="false" customHeight="true" outlineLevel="0" collapsed="false">
      <c r="G379" s="23"/>
    </row>
    <row r="380" customFormat="false" ht="15" hidden="false" customHeight="true" outlineLevel="0" collapsed="false">
      <c r="G380" s="23"/>
    </row>
    <row r="381" customFormat="false" ht="15" hidden="false" customHeight="true" outlineLevel="0" collapsed="false">
      <c r="G381" s="23"/>
    </row>
    <row r="382" customFormat="false" ht="15" hidden="false" customHeight="true" outlineLevel="0" collapsed="false">
      <c r="G382" s="23"/>
    </row>
    <row r="383" customFormat="false" ht="15" hidden="false" customHeight="true" outlineLevel="0" collapsed="false">
      <c r="G383" s="23"/>
    </row>
    <row r="384" customFormat="false" ht="15" hidden="false" customHeight="true" outlineLevel="0" collapsed="false">
      <c r="G384" s="23"/>
    </row>
    <row r="385" customFormat="false" ht="15" hidden="false" customHeight="true" outlineLevel="0" collapsed="false">
      <c r="G385" s="23"/>
    </row>
    <row r="386" customFormat="false" ht="15" hidden="false" customHeight="true" outlineLevel="0" collapsed="false">
      <c r="G386" s="23"/>
    </row>
    <row r="387" customFormat="false" ht="15" hidden="false" customHeight="true" outlineLevel="0" collapsed="false">
      <c r="G387" s="23"/>
    </row>
    <row r="388" customFormat="false" ht="15" hidden="false" customHeight="true" outlineLevel="0" collapsed="false">
      <c r="G388" s="23"/>
    </row>
    <row r="389" customFormat="false" ht="15" hidden="false" customHeight="true" outlineLevel="0" collapsed="false">
      <c r="G389" s="23"/>
    </row>
    <row r="390" customFormat="false" ht="15" hidden="false" customHeight="true" outlineLevel="0" collapsed="false">
      <c r="G390" s="23"/>
    </row>
    <row r="391" customFormat="false" ht="15" hidden="false" customHeight="true" outlineLevel="0" collapsed="false">
      <c r="G391" s="23"/>
    </row>
    <row r="392" customFormat="false" ht="15" hidden="false" customHeight="true" outlineLevel="0" collapsed="false">
      <c r="G392" s="23"/>
    </row>
    <row r="393" customFormat="false" ht="15" hidden="false" customHeight="true" outlineLevel="0" collapsed="false">
      <c r="G393" s="23"/>
    </row>
    <row r="394" customFormat="false" ht="15" hidden="false" customHeight="true" outlineLevel="0" collapsed="false">
      <c r="G394" s="23"/>
    </row>
    <row r="395" customFormat="false" ht="15" hidden="false" customHeight="true" outlineLevel="0" collapsed="false">
      <c r="G395" s="23"/>
    </row>
    <row r="396" customFormat="false" ht="15" hidden="false" customHeight="true" outlineLevel="0" collapsed="false">
      <c r="G396" s="23"/>
    </row>
    <row r="397" customFormat="false" ht="15" hidden="false" customHeight="true" outlineLevel="0" collapsed="false">
      <c r="G397" s="23"/>
    </row>
    <row r="398" customFormat="false" ht="15" hidden="false" customHeight="true" outlineLevel="0" collapsed="false">
      <c r="G398" s="23"/>
    </row>
    <row r="399" customFormat="false" ht="15" hidden="false" customHeight="true" outlineLevel="0" collapsed="false">
      <c r="G399" s="23"/>
    </row>
    <row r="400" customFormat="false" ht="15" hidden="false" customHeight="true" outlineLevel="0" collapsed="false">
      <c r="G400" s="23"/>
    </row>
    <row r="401" customFormat="false" ht="15" hidden="false" customHeight="true" outlineLevel="0" collapsed="false">
      <c r="G401" s="23"/>
    </row>
    <row r="402" customFormat="false" ht="15" hidden="false" customHeight="true" outlineLevel="0" collapsed="false">
      <c r="G402" s="23"/>
    </row>
    <row r="403" customFormat="false" ht="15" hidden="false" customHeight="true" outlineLevel="0" collapsed="false">
      <c r="G403" s="23"/>
    </row>
    <row r="404" customFormat="false" ht="15" hidden="false" customHeight="true" outlineLevel="0" collapsed="false">
      <c r="G404" s="23"/>
    </row>
    <row r="405" customFormat="false" ht="15" hidden="false" customHeight="true" outlineLevel="0" collapsed="false">
      <c r="G405" s="23"/>
    </row>
    <row r="406" customFormat="false" ht="15" hidden="false" customHeight="true" outlineLevel="0" collapsed="false">
      <c r="G406" s="23"/>
    </row>
    <row r="407" customFormat="false" ht="15" hidden="false" customHeight="true" outlineLevel="0" collapsed="false">
      <c r="G407" s="23"/>
    </row>
    <row r="408" customFormat="false" ht="15" hidden="false" customHeight="true" outlineLevel="0" collapsed="false">
      <c r="G408" s="23"/>
    </row>
    <row r="409" customFormat="false" ht="15" hidden="false" customHeight="true" outlineLevel="0" collapsed="false">
      <c r="G409" s="23"/>
    </row>
    <row r="410" customFormat="false" ht="15" hidden="false" customHeight="true" outlineLevel="0" collapsed="false">
      <c r="G410" s="23"/>
    </row>
    <row r="411" customFormat="false" ht="15" hidden="false" customHeight="true" outlineLevel="0" collapsed="false">
      <c r="G411" s="23"/>
    </row>
    <row r="412" customFormat="false" ht="15" hidden="false" customHeight="true" outlineLevel="0" collapsed="false">
      <c r="G412" s="23"/>
    </row>
    <row r="413" customFormat="false" ht="15" hidden="false" customHeight="true" outlineLevel="0" collapsed="false">
      <c r="G413" s="23"/>
    </row>
    <row r="414" customFormat="false" ht="15" hidden="false" customHeight="true" outlineLevel="0" collapsed="false">
      <c r="G414" s="23"/>
    </row>
    <row r="415" customFormat="false" ht="15" hidden="false" customHeight="true" outlineLevel="0" collapsed="false">
      <c r="G415" s="23"/>
    </row>
    <row r="416" customFormat="false" ht="15" hidden="false" customHeight="true" outlineLevel="0" collapsed="false">
      <c r="G416" s="23"/>
    </row>
    <row r="417" customFormat="false" ht="15" hidden="false" customHeight="true" outlineLevel="0" collapsed="false">
      <c r="G417" s="23"/>
    </row>
    <row r="418" customFormat="false" ht="15" hidden="false" customHeight="true" outlineLevel="0" collapsed="false">
      <c r="G418" s="23"/>
    </row>
    <row r="419" customFormat="false" ht="15" hidden="false" customHeight="true" outlineLevel="0" collapsed="false">
      <c r="G419" s="23"/>
    </row>
    <row r="420" customFormat="false" ht="15" hidden="false" customHeight="true" outlineLevel="0" collapsed="false">
      <c r="G420" s="23"/>
    </row>
    <row r="421" customFormat="false" ht="15" hidden="false" customHeight="true" outlineLevel="0" collapsed="false">
      <c r="G421" s="23"/>
    </row>
    <row r="422" customFormat="false" ht="15" hidden="false" customHeight="true" outlineLevel="0" collapsed="false">
      <c r="G422" s="23"/>
    </row>
    <row r="423" customFormat="false" ht="15" hidden="false" customHeight="true" outlineLevel="0" collapsed="false">
      <c r="G423" s="23"/>
    </row>
    <row r="424" customFormat="false" ht="15" hidden="false" customHeight="true" outlineLevel="0" collapsed="false">
      <c r="G424" s="23"/>
    </row>
    <row r="425" customFormat="false" ht="15" hidden="false" customHeight="true" outlineLevel="0" collapsed="false">
      <c r="G425" s="23"/>
    </row>
    <row r="426" customFormat="false" ht="15" hidden="false" customHeight="true" outlineLevel="0" collapsed="false">
      <c r="G426" s="23"/>
    </row>
    <row r="427" customFormat="false" ht="15" hidden="false" customHeight="true" outlineLevel="0" collapsed="false">
      <c r="G427" s="23"/>
    </row>
    <row r="428" customFormat="false" ht="15" hidden="false" customHeight="true" outlineLevel="0" collapsed="false">
      <c r="G428" s="23"/>
    </row>
    <row r="429" customFormat="false" ht="15" hidden="false" customHeight="true" outlineLevel="0" collapsed="false">
      <c r="G429" s="23"/>
    </row>
    <row r="430" customFormat="false" ht="15" hidden="false" customHeight="true" outlineLevel="0" collapsed="false">
      <c r="G430" s="23"/>
    </row>
    <row r="431" customFormat="false" ht="15" hidden="false" customHeight="true" outlineLevel="0" collapsed="false">
      <c r="G431" s="23"/>
    </row>
    <row r="432" customFormat="false" ht="15" hidden="false" customHeight="true" outlineLevel="0" collapsed="false">
      <c r="G432" s="23"/>
    </row>
    <row r="433" customFormat="false" ht="15" hidden="false" customHeight="true" outlineLevel="0" collapsed="false">
      <c r="G433" s="23"/>
    </row>
    <row r="434" customFormat="false" ht="15" hidden="false" customHeight="true" outlineLevel="0" collapsed="false">
      <c r="G434" s="23"/>
    </row>
    <row r="435" customFormat="false" ht="15" hidden="false" customHeight="true" outlineLevel="0" collapsed="false">
      <c r="G435" s="23"/>
    </row>
    <row r="436" customFormat="false" ht="15" hidden="false" customHeight="true" outlineLevel="0" collapsed="false">
      <c r="G436" s="23"/>
    </row>
    <row r="437" customFormat="false" ht="15" hidden="false" customHeight="true" outlineLevel="0" collapsed="false">
      <c r="G437" s="23"/>
    </row>
    <row r="438" customFormat="false" ht="15" hidden="false" customHeight="true" outlineLevel="0" collapsed="false">
      <c r="G438" s="23"/>
    </row>
    <row r="439" customFormat="false" ht="15" hidden="false" customHeight="true" outlineLevel="0" collapsed="false">
      <c r="G439" s="23"/>
    </row>
    <row r="440" customFormat="false" ht="15" hidden="false" customHeight="true" outlineLevel="0" collapsed="false">
      <c r="G440" s="23"/>
    </row>
    <row r="441" customFormat="false" ht="15" hidden="false" customHeight="true" outlineLevel="0" collapsed="false">
      <c r="G441" s="23"/>
    </row>
    <row r="442" customFormat="false" ht="15" hidden="false" customHeight="true" outlineLevel="0" collapsed="false">
      <c r="G442" s="23"/>
    </row>
    <row r="443" customFormat="false" ht="15" hidden="false" customHeight="true" outlineLevel="0" collapsed="false">
      <c r="G443" s="23"/>
    </row>
    <row r="444" customFormat="false" ht="15" hidden="false" customHeight="true" outlineLevel="0" collapsed="false">
      <c r="G444" s="23"/>
    </row>
    <row r="445" customFormat="false" ht="15" hidden="false" customHeight="true" outlineLevel="0" collapsed="false">
      <c r="G445" s="23"/>
    </row>
    <row r="446" customFormat="false" ht="15" hidden="false" customHeight="true" outlineLevel="0" collapsed="false">
      <c r="G446" s="23"/>
    </row>
    <row r="447" customFormat="false" ht="15" hidden="false" customHeight="true" outlineLevel="0" collapsed="false">
      <c r="G447" s="23"/>
    </row>
    <row r="448" customFormat="false" ht="15" hidden="false" customHeight="true" outlineLevel="0" collapsed="false">
      <c r="G448" s="23"/>
    </row>
    <row r="449" customFormat="false" ht="15" hidden="false" customHeight="true" outlineLevel="0" collapsed="false">
      <c r="G449" s="23"/>
    </row>
    <row r="450" customFormat="false" ht="15" hidden="false" customHeight="true" outlineLevel="0" collapsed="false">
      <c r="G450" s="23"/>
    </row>
    <row r="451" customFormat="false" ht="15" hidden="false" customHeight="true" outlineLevel="0" collapsed="false">
      <c r="G451" s="23"/>
    </row>
    <row r="452" customFormat="false" ht="15" hidden="false" customHeight="true" outlineLevel="0" collapsed="false">
      <c r="G452" s="23"/>
    </row>
    <row r="453" customFormat="false" ht="15" hidden="false" customHeight="true" outlineLevel="0" collapsed="false">
      <c r="G453" s="23"/>
    </row>
    <row r="454" customFormat="false" ht="15" hidden="false" customHeight="true" outlineLevel="0" collapsed="false">
      <c r="G454" s="23"/>
    </row>
    <row r="455" customFormat="false" ht="15" hidden="false" customHeight="true" outlineLevel="0" collapsed="false">
      <c r="G455" s="23"/>
    </row>
    <row r="456" customFormat="false" ht="15" hidden="false" customHeight="true" outlineLevel="0" collapsed="false">
      <c r="G456" s="23"/>
    </row>
    <row r="457" customFormat="false" ht="15" hidden="false" customHeight="true" outlineLevel="0" collapsed="false">
      <c r="G457" s="23"/>
    </row>
    <row r="458" customFormat="false" ht="15" hidden="false" customHeight="true" outlineLevel="0" collapsed="false">
      <c r="G458" s="23"/>
    </row>
    <row r="459" customFormat="false" ht="15" hidden="false" customHeight="true" outlineLevel="0" collapsed="false">
      <c r="G459" s="23"/>
    </row>
    <row r="460" customFormat="false" ht="15" hidden="false" customHeight="true" outlineLevel="0" collapsed="false">
      <c r="G460" s="23"/>
    </row>
    <row r="461" customFormat="false" ht="15" hidden="false" customHeight="true" outlineLevel="0" collapsed="false">
      <c r="G461" s="23"/>
    </row>
    <row r="462" customFormat="false" ht="15" hidden="false" customHeight="true" outlineLevel="0" collapsed="false">
      <c r="G462" s="23"/>
    </row>
    <row r="463" customFormat="false" ht="15" hidden="false" customHeight="true" outlineLevel="0" collapsed="false">
      <c r="G463" s="23"/>
    </row>
    <row r="464" customFormat="false" ht="15" hidden="false" customHeight="true" outlineLevel="0" collapsed="false">
      <c r="G464" s="23"/>
    </row>
    <row r="465" customFormat="false" ht="15" hidden="false" customHeight="true" outlineLevel="0" collapsed="false">
      <c r="G465" s="23"/>
    </row>
    <row r="466" customFormat="false" ht="15" hidden="false" customHeight="true" outlineLevel="0" collapsed="false">
      <c r="G466" s="23"/>
    </row>
    <row r="467" customFormat="false" ht="15" hidden="false" customHeight="true" outlineLevel="0" collapsed="false">
      <c r="G467" s="23"/>
    </row>
    <row r="468" customFormat="false" ht="15" hidden="false" customHeight="true" outlineLevel="0" collapsed="false">
      <c r="G468" s="23"/>
    </row>
    <row r="469" customFormat="false" ht="15" hidden="false" customHeight="true" outlineLevel="0" collapsed="false">
      <c r="G469" s="23"/>
    </row>
    <row r="470" customFormat="false" ht="15" hidden="false" customHeight="true" outlineLevel="0" collapsed="false">
      <c r="G470" s="23"/>
    </row>
    <row r="471" customFormat="false" ht="15" hidden="false" customHeight="true" outlineLevel="0" collapsed="false">
      <c r="G471" s="23"/>
    </row>
    <row r="472" customFormat="false" ht="15" hidden="false" customHeight="true" outlineLevel="0" collapsed="false">
      <c r="G472" s="23"/>
    </row>
    <row r="473" customFormat="false" ht="15" hidden="false" customHeight="true" outlineLevel="0" collapsed="false">
      <c r="G473" s="23"/>
    </row>
    <row r="474" customFormat="false" ht="15" hidden="false" customHeight="true" outlineLevel="0" collapsed="false">
      <c r="G474" s="23"/>
    </row>
    <row r="475" customFormat="false" ht="15" hidden="false" customHeight="true" outlineLevel="0" collapsed="false">
      <c r="G475" s="23"/>
    </row>
    <row r="476" customFormat="false" ht="15" hidden="false" customHeight="true" outlineLevel="0" collapsed="false">
      <c r="G476" s="23"/>
    </row>
    <row r="477" customFormat="false" ht="15" hidden="false" customHeight="true" outlineLevel="0" collapsed="false">
      <c r="G477" s="23"/>
    </row>
    <row r="478" customFormat="false" ht="15" hidden="false" customHeight="true" outlineLevel="0" collapsed="false">
      <c r="G478" s="23"/>
    </row>
    <row r="479" customFormat="false" ht="15" hidden="false" customHeight="true" outlineLevel="0" collapsed="false">
      <c r="G479" s="23"/>
    </row>
    <row r="480" customFormat="false" ht="15" hidden="false" customHeight="true" outlineLevel="0" collapsed="false">
      <c r="G480" s="23"/>
    </row>
    <row r="481" customFormat="false" ht="15" hidden="false" customHeight="true" outlineLevel="0" collapsed="false">
      <c r="G481" s="23"/>
    </row>
    <row r="482" customFormat="false" ht="15" hidden="false" customHeight="true" outlineLevel="0" collapsed="false">
      <c r="G482" s="23"/>
    </row>
    <row r="483" customFormat="false" ht="15" hidden="false" customHeight="true" outlineLevel="0" collapsed="false">
      <c r="G483" s="23"/>
    </row>
    <row r="484" customFormat="false" ht="15" hidden="false" customHeight="true" outlineLevel="0" collapsed="false">
      <c r="G484" s="23"/>
    </row>
    <row r="485" customFormat="false" ht="15" hidden="false" customHeight="true" outlineLevel="0" collapsed="false">
      <c r="G485" s="23"/>
    </row>
    <row r="486" customFormat="false" ht="15" hidden="false" customHeight="true" outlineLevel="0" collapsed="false">
      <c r="G486" s="23"/>
    </row>
    <row r="487" customFormat="false" ht="15" hidden="false" customHeight="true" outlineLevel="0" collapsed="false">
      <c r="G487" s="23"/>
    </row>
    <row r="488" customFormat="false" ht="15" hidden="false" customHeight="true" outlineLevel="0" collapsed="false">
      <c r="G488" s="23"/>
    </row>
    <row r="489" customFormat="false" ht="15" hidden="false" customHeight="true" outlineLevel="0" collapsed="false">
      <c r="G489" s="23"/>
    </row>
    <row r="490" customFormat="false" ht="15" hidden="false" customHeight="true" outlineLevel="0" collapsed="false">
      <c r="G490" s="23"/>
    </row>
    <row r="491" customFormat="false" ht="15" hidden="false" customHeight="true" outlineLevel="0" collapsed="false">
      <c r="G491" s="23"/>
    </row>
    <row r="492" customFormat="false" ht="15" hidden="false" customHeight="true" outlineLevel="0" collapsed="false">
      <c r="G492" s="23"/>
    </row>
    <row r="493" customFormat="false" ht="15" hidden="false" customHeight="true" outlineLevel="0" collapsed="false">
      <c r="G493" s="23"/>
    </row>
    <row r="494" customFormat="false" ht="15" hidden="false" customHeight="true" outlineLevel="0" collapsed="false">
      <c r="G494" s="23"/>
    </row>
    <row r="495" customFormat="false" ht="15" hidden="false" customHeight="true" outlineLevel="0" collapsed="false">
      <c r="G495" s="23"/>
    </row>
    <row r="496" customFormat="false" ht="15" hidden="false" customHeight="true" outlineLevel="0" collapsed="false">
      <c r="G496" s="23"/>
    </row>
    <row r="497" customFormat="false" ht="15" hidden="false" customHeight="true" outlineLevel="0" collapsed="false">
      <c r="G497" s="23"/>
    </row>
    <row r="498" customFormat="false" ht="15" hidden="false" customHeight="true" outlineLevel="0" collapsed="false">
      <c r="G498" s="23"/>
    </row>
    <row r="499" customFormat="false" ht="15" hidden="false" customHeight="true" outlineLevel="0" collapsed="false">
      <c r="G499" s="23"/>
    </row>
    <row r="500" customFormat="false" ht="15" hidden="false" customHeight="true" outlineLevel="0" collapsed="false">
      <c r="G500" s="23"/>
    </row>
  </sheetData>
  <mergeCells count="1">
    <mergeCell ref="J1:P1"/>
  </mergeCells>
  <conditionalFormatting sqref="A2:H1000">
    <cfRule type="expression" priority="2" aboveAverage="0" equalAverage="0" bottom="0" percent="0" rank="0" text="" dxfId="10">
      <formula>$C2="US"</formula>
    </cfRule>
    <cfRule type="expression" priority="3" aboveAverage="0" equalAverage="0" bottom="0" percent="0" rank="0" text="" dxfId="11">
      <formula>$C2="MyMSC"</formula>
    </cfRule>
    <cfRule type="expression" priority="4" aboveAverage="0" equalAverage="0" bottom="0" percent="0" rank="0" text="" dxfId="12">
      <formula>$C2="Rollout"</formula>
    </cfRule>
    <cfRule type="expression" priority="5" aboveAverage="0" equalAverage="0" bottom="0" percent="0" rank="0" text="" dxfId="12">
      <formula>$C2="MVP Rollout"</formula>
    </cfRule>
    <cfRule type="expression" priority="6" aboveAverage="0" equalAverage="0" bottom="0" percent="0" rank="0" text="" dxfId="13">
      <formula>$C2="Backlog"</formula>
    </cfRule>
    <cfRule type="expression" priority="7" aboveAverage="0" equalAverage="0" bottom="0" percent="0" rank="0" text="" dxfId="13">
      <formula>$C2="Growth"</formula>
    </cfRule>
    <cfRule type="expression" priority="8" aboveAverage="0" equalAverage="0" bottom="0" percent="0" rank="0" text="" dxfId="14">
      <formula>$C2="Tech Enhancements"</formula>
    </cfRule>
    <cfRule type="expression" priority="9" aboveAverage="0" equalAverage="0" bottom="0" percent="0" rank="0" text="" dxfId="15">
      <formula>LEFT($C2,2)="PI"</formula>
    </cfRule>
  </conditionalFormatting>
  <dataValidations count="2">
    <dataValidation allowBlank="true" errorStyle="stop" operator="between" showDropDown="false" showErrorMessage="false" showInputMessage="false" sqref="O3:O100" type="list">
      <formula1>"To Plan,Planned,In Progress,Completed"</formula1>
      <formula2>0</formula2>
    </dataValidation>
    <dataValidation allowBlank="true" errorStyle="stop" operator="between" showDropDown="false" showErrorMessage="false" showInputMessage="false" sqref="G2:G500" type="list">
      <formula1>ReleaseList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L1" activeCellId="0" sqref="L1"/>
    </sheetView>
  </sheetViews>
  <sheetFormatPr defaultColWidth="8.66796875" defaultRowHeight="15" customHeight="false" zeroHeight="false" outlineLevelRow="0" outlineLevelCol="0"/>
  <cols>
    <col collapsed="false" customWidth="true" hidden="false" outlineLevel="0" max="1" min="1" style="5" width="12"/>
    <col collapsed="false" customWidth="true" hidden="false" outlineLevel="0" max="3" min="2" style="5" width="10"/>
    <col collapsed="false" customWidth="true" hidden="false" outlineLevel="0" max="4" min="4" style="5" width="30.83"/>
    <col collapsed="false" customWidth="true" hidden="false" outlineLevel="0" max="5" min="5" style="5" width="45.83"/>
    <col collapsed="false" customWidth="true" hidden="false" outlineLevel="0" max="6" min="6" style="5" width="46"/>
    <col collapsed="false" customWidth="true" hidden="false" outlineLevel="0" max="7" min="7" style="5" width="11.83"/>
    <col collapsed="false" customWidth="true" hidden="false" outlineLevel="0" max="8" min="8" style="5" width="7.5"/>
    <col collapsed="false" customWidth="true" hidden="true" outlineLevel="0" max="9" min="9" style="5" width="38.83"/>
    <col collapsed="false" customWidth="true" hidden="false" outlineLevel="0" max="10" min="10" style="5" width="34.83"/>
    <col collapsed="false" customWidth="true" hidden="false" outlineLevel="0" max="11" min="11" style="5" width="34.33"/>
    <col collapsed="false" customWidth="false" hidden="false" outlineLevel="0" max="16384" min="12" style="5" width="8.67"/>
  </cols>
  <sheetData>
    <row r="1" customFormat="false" ht="15" hidden="false" customHeight="true" outlineLevel="0" collapsed="false">
      <c r="A1" s="80" t="s">
        <v>786</v>
      </c>
      <c r="B1" s="80" t="s">
        <v>69</v>
      </c>
      <c r="C1" s="80" t="s">
        <v>70</v>
      </c>
      <c r="D1" s="80" t="s">
        <v>74</v>
      </c>
      <c r="E1" s="80" t="s">
        <v>78</v>
      </c>
      <c r="F1" s="80" t="s">
        <v>787</v>
      </c>
      <c r="G1" s="80" t="s">
        <v>71</v>
      </c>
      <c r="H1" s="80" t="s">
        <v>75</v>
      </c>
      <c r="I1" s="80" t="s">
        <v>788</v>
      </c>
      <c r="J1" s="80" t="s">
        <v>789</v>
      </c>
      <c r="K1" s="80" t="s">
        <v>790</v>
      </c>
    </row>
    <row r="2" customFormat="false" ht="111.75" hidden="false" customHeight="true" outlineLevel="0" collapsed="false">
      <c r="A2" s="5" t="s">
        <v>122</v>
      </c>
      <c r="B2" s="5" t="str">
        <f aca="false">IFERROR(INDEX(Backlog[Stream],MATCH($A2,Backlog[Requirement ID],0)),IFERROR(INDEX('Q1 Backlog Report 2026'!$D:$D,MATCH($A2,'Q1 Backlog Report 2026'!$A:$A,0)),IFERROR(INDEX('Q2 Backlog Report 2026'!$D:$D,MATCH($A2,'Q2 Backlog Report 2026'!$A:$A,0)),IFERROR(INDEX('Q3 Backlog Report 2026'!$D:$D,MATCH($A2,'Q3 Backlog Report 2026'!$A:$A,0)),IFERROR(INDEX('Q4 Backlog Report 2026'!$D:$D,MATCH($A2,'Q4 Backlog Report 2026'!$A:$A,0)),"")))))</f>
        <v>PI10</v>
      </c>
      <c r="C2" s="5" t="str">
        <f aca="false">IFERROR(INDEX(Backlog[Stream Owner],MATCH($A2,Backlog[Requirement ID],0)),IFERROR(INDEX('Q1 Backlog Report 2026'!$E:$E,MATCH($A2,'Q1 Backlog Report 2026'!$A:$A,0)),IFERROR(INDEX('Q2 Backlog Report 2026'!$E:$E,MATCH($A2,'Q2 Backlog Report 2026'!$A:$A,0)),IFERROR(INDEX('Q3 Backlog Report 2026'!$E:$E,MATCH($A2,'Q3 Backlog Report 2026'!$A:$A,0)),IFERROR(INDEX('Q4 Backlog Report 2026'!$E:$E,MATCH($A2,'Q4 Backlog Report 2026'!$A:$A,0)),"")))))</f>
        <v>B2CW</v>
      </c>
      <c r="D2" s="5" t="str">
        <f aca="false">IFERROR(INDEX(Backlog[Sprint],MATCH($A2,Backlog[Requirement ID],0)),IFERROR(INDEX('Q1 Backlog Report 2026'!$I:$I,MATCH($A2,'Q1 Backlog Report 2026'!$A:$A,0)),IFERROR(INDEX('Q2 Backlog Report 2026'!$I:$I,MATCH($A2,'Q2 Backlog Report 2026'!$A:$A,0)),IFERROR(INDEX('Q3 Backlog Report 2026'!$I:$I,MATCH($A2,'Q3 Backlog Report 2026'!$A:$A,0)),IFERROR(INDEX('Q4 Backlog Report 2026'!$I:$I,MATCH($A2,'Q4 Backlog Report 2026'!$A:$A,0)),"")))))</f>
        <v>Sprint 10</v>
      </c>
      <c r="E2" s="5" t="str">
        <f aca="false">IFERROR(INDEX(Backlog[Jira Link],MATCH($A2,Backlog[Requirement ID],0)),IFERROR(INDEX('Q1 Backlog Report 2026'!$G:$G,MATCH($A2,'Q1 Backlog Report 2026'!$A:$A,0)),IFERROR(INDEX('Q2 Backlog Report 2026'!$G:$G,MATCH($A2,'Q2 Backlog Report 2026'!$A:$A,0)),IFERROR(INDEX('Q3 Backlog Report 2026'!$G:$G,MATCH($A2,'Q3 Backlog Report 2026'!$A:$A,0)),IFERROR(INDEX('Q4 Backlog Report 2026'!$G:$G,MATCH($A2,'Q4 Backlog Report 2026'!$A:$A,0)),"")))))</f>
        <v>https://smartship.atlassian.net/browse/DTTP25-40322</v>
      </c>
      <c r="F2" s="5" t="str">
        <f aca="false">IFERROR(INDEX(Backlog[Requirement Name],MATCH($A2,Backlog[Requirement ID],0)),IFERROR(INDEX('Q1 Backlog Report 2026'!$B:$B,MATCH($A2,'Q1 Backlog Report 2026'!$A:$A,0)),IFERROR(INDEX('Q2 Backlog Report 2026'!$B:$B,MATCH($A2,'Q2 Backlog Report 2026'!$A:$A,0)),IFERROR(INDEX('Q3 Backlog Report 2026'!$B:$B,MATCH($A2,'Q3 Backlog Report 2026'!$A:$A,0)),IFERROR(INDEX('Q4 Backlog Report 2026'!$B:$B,MATCH($A2,'Q4 Backlog Report 2026'!$A:$A,0)),"")))))</f>
        <v>[DTTP] Implementation of Online Post-Cruise Complaint Form – Salesforce Integration_EA</v>
      </c>
      <c r="G2" s="5" t="str">
        <f aca="false">IFERROR(INDEX(Backlog[Status],MATCH($A2,Backlog[Requirement ID],0)),IFERROR(INDEX('Q1 Backlog Report 2026'!$F:$F,MATCH($A2,'Q1 Backlog Report 2026'!$A:$A,0)),IFERROR(INDEX('Q2 Backlog Report 2026'!$F:$F,MATCH($A2,'Q2 Backlog Report 2026'!$A:$A,0)),IFERROR(INDEX('Q3 Backlog Report 2026'!$F:$F,MATCH($A2,'Q3 Backlog Report 2026'!$A:$A,0)),IFERROR(INDEX('Q4 Backlog Report 2026'!$F:$F,MATCH($A2,'Q4 Backlog Report 2026'!$A:$A,0)),"")))))</f>
        <v>IN PROGRESS</v>
      </c>
      <c r="H2" s="5" t="n">
        <f aca="false">IFERROR(INDEX(Backlog[HLE],MATCH($A2,Backlog[Requirement ID],0)),IFERROR(INDEX('Q1 Backlog Report 2026'!$K:$K,MATCH($A2,'Q1 Backlog Report 2026'!$A:$A,0)),IFERROR(INDEX('Q2 Backlog Report 2026'!$K:$K,MATCH($A2,'Q2 Backlog Report 2026'!$A:$A,0)),IFERROR(INDEX('Q3 Backlog Report 2026'!$K:$K,MATCH($A2,'Q3 Backlog Report 2026'!$A:$A,0)),IFERROR(INDEX('Q4 Backlog Report 2026'!$K:$K,MATCH($A2,'Q4 Backlog Report 2026'!$A:$A,0)),"")))))</f>
        <v>8</v>
      </c>
      <c r="I2" s="81" t="s">
        <v>791</v>
      </c>
      <c r="J2" s="81" t="s">
        <v>792</v>
      </c>
      <c r="K2" s="81" t="s">
        <v>793</v>
      </c>
    </row>
    <row r="3" customFormat="false" ht="63.75" hidden="false" customHeight="true" outlineLevel="0" collapsed="false">
      <c r="A3" s="5" t="s">
        <v>144</v>
      </c>
      <c r="B3" s="5" t="str">
        <f aca="false">IFERROR(INDEX(Backlog[Stream],MATCH($A3,Backlog[Requirement ID],0)),IFERROR(INDEX('Q1 Backlog Report 2026'!$D:$D,MATCH($A3,'Q1 Backlog Report 2026'!$A:$A,0)),IFERROR(INDEX('Q2 Backlog Report 2026'!$D:$D,MATCH($A3,'Q2 Backlog Report 2026'!$A:$A,0)),IFERROR(INDEX('Q3 Backlog Report 2026'!$D:$D,MATCH($A3,'Q3 Backlog Report 2026'!$A:$A,0)),IFERROR(INDEX('Q4 Backlog Report 2026'!$D:$D,MATCH($A3,'Q4 Backlog Report 2026'!$A:$A,0)),"")))))</f>
        <v>PI11</v>
      </c>
      <c r="C3" s="5" t="str">
        <f aca="false">IFERROR(INDEX(Backlog[Stream Owner],MATCH($A3,Backlog[Requirement ID],0)),IFERROR(INDEX('Q1 Backlog Report 2026'!$E:$E,MATCH($A3,'Q1 Backlog Report 2026'!$A:$A,0)),IFERROR(INDEX('Q2 Backlog Report 2026'!$E:$E,MATCH($A3,'Q2 Backlog Report 2026'!$A:$A,0)),IFERROR(INDEX('Q3 Backlog Report 2026'!$E:$E,MATCH($A3,'Q3 Backlog Report 2026'!$A:$A,0)),IFERROR(INDEX('Q4 Backlog Report 2026'!$E:$E,MATCH($A3,'Q4 Backlog Report 2026'!$A:$A,0)),"")))))</f>
        <v>MA</v>
      </c>
      <c r="D3" s="5" t="str">
        <f aca="false">IFERROR(INDEX(Backlog[Sprint],MATCH($A3,Backlog[Requirement ID],0)),IFERROR(INDEX('Q1 Backlog Report 2026'!$I:$I,MATCH($A3,'Q1 Backlog Report 2026'!$A:$A,0)),IFERROR(INDEX('Q2 Backlog Report 2026'!$I:$I,MATCH($A3,'Q2 Backlog Report 2026'!$A:$A,0)),IFERROR(INDEX('Q3 Backlog Report 2026'!$I:$I,MATCH($A3,'Q3 Backlog Report 2026'!$A:$A,0)),IFERROR(INDEX('Q4 Backlog Report 2026'!$I:$I,MATCH($A3,'Q4 Backlog Report 2026'!$A:$A,0)),"")))))</f>
        <v>Sprint 12</v>
      </c>
      <c r="E3" s="5" t="str">
        <f aca="false">IFERROR(INDEX(Backlog[Jira Link],MATCH($A3,Backlog[Requirement ID],0)),IFERROR(INDEX('Q1 Backlog Report 2026'!$G:$G,MATCH($A3,'Q1 Backlog Report 2026'!$A:$A,0)),IFERROR(INDEX('Q2 Backlog Report 2026'!$G:$G,MATCH($A3,'Q2 Backlog Report 2026'!$A:$A,0)),IFERROR(INDEX('Q3 Backlog Report 2026'!$G:$G,MATCH($A3,'Q3 Backlog Report 2026'!$A:$A,0)),IFERROR(INDEX('Q4 Backlog Report 2026'!$G:$G,MATCH($A3,'Q4 Backlog Report 2026'!$A:$A,0)),"")))))</f>
        <v>https://smartship.atlassian.net/browse/DTTP25-41935</v>
      </c>
      <c r="F3" s="5" t="str">
        <f aca="false">IFERROR(INDEX(Backlog[Requirement Name],MATCH($A3,Backlog[Requirement ID],0)),IFERROR(INDEX('Q1 Backlog Report 2026'!$B:$B,MATCH($A3,'Q1 Backlog Report 2026'!$A:$A,0)),IFERROR(INDEX('Q2 Backlog Report 2026'!$B:$B,MATCH($A3,'Q2 Backlog Report 2026'!$A:$A,0)),IFERROR(INDEX('Q3 Backlog Report 2026'!$B:$B,MATCH($A3,'Q3 Backlog Report 2026'!$A:$A,0)),IFERROR(INDEX('Q4 Backlog Report 2026'!$B:$B,MATCH($A3,'Q4 Backlog Report 2026'!$A:$A,0)),"")))))</f>
        <v>PI11-13 [CRM] [INTP-25] CRM Dependency - Marketing Automation - Calculated fields Booking B2B/B2C</v>
      </c>
      <c r="G3" s="5" t="str">
        <f aca="false">IFERROR(INDEX(Backlog[Status],MATCH($A3,Backlog[Requirement ID],0)),IFERROR(INDEX('Q1 Backlog Report 2026'!$F:$F,MATCH($A3,'Q1 Backlog Report 2026'!$A:$A,0)),IFERROR(INDEX('Q2 Backlog Report 2026'!$F:$F,MATCH($A3,'Q2 Backlog Report 2026'!$A:$A,0)),IFERROR(INDEX('Q3 Backlog Report 2026'!$F:$F,MATCH($A3,'Q3 Backlog Report 2026'!$A:$A,0)),IFERROR(INDEX('Q4 Backlog Report 2026'!$F:$F,MATCH($A3,'Q4 Backlog Report 2026'!$A:$A,0)),"")))))</f>
        <v>NEW</v>
      </c>
      <c r="H3" s="5" t="n">
        <f aca="false">IFERROR(INDEX(Backlog[HLE],MATCH($A3,Backlog[Requirement ID],0)),IFERROR(INDEX('Q1 Backlog Report 2026'!$K:$K,MATCH($A3,'Q1 Backlog Report 2026'!$A:$A,0)),IFERROR(INDEX('Q2 Backlog Report 2026'!$K:$K,MATCH($A3,'Q2 Backlog Report 2026'!$A:$A,0)),IFERROR(INDEX('Q3 Backlog Report 2026'!$K:$K,MATCH($A3,'Q3 Backlog Report 2026'!$A:$A,0)),IFERROR(INDEX('Q4 Backlog Report 2026'!$K:$K,MATCH($A3,'Q4 Backlog Report 2026'!$A:$A,0)),"")))))</f>
        <v>13</v>
      </c>
      <c r="I3" s="81" t="s">
        <v>794</v>
      </c>
      <c r="J3" s="81" t="s">
        <v>795</v>
      </c>
      <c r="K3" s="81" t="s">
        <v>796</v>
      </c>
    </row>
    <row r="4" customFormat="false" ht="52.5" hidden="false" customHeight="true" outlineLevel="0" collapsed="false">
      <c r="A4" s="5" t="s">
        <v>147</v>
      </c>
      <c r="B4" s="5" t="str">
        <f aca="false">IFERROR(INDEX(Backlog[Stream],MATCH($A4,Backlog[Requirement ID],0)),IFERROR(INDEX('Q1 Backlog Report 2026'!$D:$D,MATCH($A4,'Q1 Backlog Report 2026'!$A:$A,0)),IFERROR(INDEX('Q2 Backlog Report 2026'!$D:$D,MATCH($A4,'Q2 Backlog Report 2026'!$A:$A,0)),IFERROR(INDEX('Q3 Backlog Report 2026'!$D:$D,MATCH($A4,'Q3 Backlog Report 2026'!$A:$A,0)),IFERROR(INDEX('Q4 Backlog Report 2026'!$D:$D,MATCH($A4,'Q4 Backlog Report 2026'!$A:$A,0)),"")))))</f>
        <v>PI11</v>
      </c>
      <c r="C4" s="5" t="str">
        <f aca="false">IFERROR(INDEX(Backlog[Stream Owner],MATCH($A4,Backlog[Requirement ID],0)),IFERROR(INDEX('Q1 Backlog Report 2026'!$E:$E,MATCH($A4,'Q1 Backlog Report 2026'!$A:$A,0)),IFERROR(INDEX('Q2 Backlog Report 2026'!$E:$E,MATCH($A4,'Q2 Backlog Report 2026'!$A:$A,0)),IFERROR(INDEX('Q3 Backlog Report 2026'!$E:$E,MATCH($A4,'Q3 Backlog Report 2026'!$A:$A,0)),IFERROR(INDEX('Q4 Backlog Report 2026'!$E:$E,MATCH($A4,'Q4 Backlog Report 2026'!$A:$A,0)),"")))))</f>
        <v>MA</v>
      </c>
      <c r="D4" s="5" t="str">
        <f aca="false">IFERROR(INDEX(Backlog[Sprint],MATCH($A4,Backlog[Requirement ID],0)),IFERROR(INDEX('Q1 Backlog Report 2026'!$I:$I,MATCH($A4,'Q1 Backlog Report 2026'!$A:$A,0)),IFERROR(INDEX('Q2 Backlog Report 2026'!$I:$I,MATCH($A4,'Q2 Backlog Report 2026'!$A:$A,0)),IFERROR(INDEX('Q3 Backlog Report 2026'!$I:$I,MATCH($A4,'Q3 Backlog Report 2026'!$A:$A,0)),IFERROR(INDEX('Q4 Backlog Report 2026'!$I:$I,MATCH($A4,'Q4 Backlog Report 2026'!$A:$A,0)),"")))))</f>
        <v>Sprint 12</v>
      </c>
      <c r="E4" s="5" t="str">
        <f aca="false">IFERROR(INDEX(Backlog[Jira Link],MATCH($A4,Backlog[Requirement ID],0)),IFERROR(INDEX('Q1 Backlog Report 2026'!$G:$G,MATCH($A4,'Q1 Backlog Report 2026'!$A:$A,0)),IFERROR(INDEX('Q2 Backlog Report 2026'!$G:$G,MATCH($A4,'Q2 Backlog Report 2026'!$A:$A,0)),IFERROR(INDEX('Q3 Backlog Report 2026'!$G:$G,MATCH($A4,'Q3 Backlog Report 2026'!$A:$A,0)),IFERROR(INDEX('Q4 Backlog Report 2026'!$G:$G,MATCH($A4,'Q4 Backlog Report 2026'!$A:$A,0)),"")))))</f>
        <v>https://smartship.atlassian.net/browse/DTTP25-41936</v>
      </c>
      <c r="F4" s="5" t="str">
        <f aca="false">IFERROR(INDEX(Backlog[Requirement Name],MATCH($A4,Backlog[Requirement ID],0)),IFERROR(INDEX('Q1 Backlog Report 2026'!$B:$B,MATCH($A4,'Q1 Backlog Report 2026'!$A:$A,0)),IFERROR(INDEX('Q2 Backlog Report 2026'!$B:$B,MATCH($A4,'Q2 Backlog Report 2026'!$A:$A,0)),IFERROR(INDEX('Q3 Backlog Report 2026'!$B:$B,MATCH($A4,'Q3 Backlog Report 2026'!$A:$A,0)),IFERROR(INDEX('Q4 Backlog Report 2026'!$B:$B,MATCH($A4,'Q4 Backlog Report 2026'!$A:$A,0)),"")))))</f>
        <v>PI11-15 [CRM] [EA-1662] CRM Dependency - Lead Management - Hold option additional event fields in CDP</v>
      </c>
      <c r="G4" s="5" t="str">
        <f aca="false">IFERROR(INDEX(Backlog[Status],MATCH($A4,Backlog[Requirement ID],0)),IFERROR(INDEX('Q1 Backlog Report 2026'!$F:$F,MATCH($A4,'Q1 Backlog Report 2026'!$A:$A,0)),IFERROR(INDEX('Q2 Backlog Report 2026'!$F:$F,MATCH($A4,'Q2 Backlog Report 2026'!$A:$A,0)),IFERROR(INDEX('Q3 Backlog Report 2026'!$F:$F,MATCH($A4,'Q3 Backlog Report 2026'!$A:$A,0)),IFERROR(INDEX('Q4 Backlog Report 2026'!$F:$F,MATCH($A4,'Q4 Backlog Report 2026'!$A:$A,0)),"")))))</f>
        <v>NEW</v>
      </c>
      <c r="H4" s="5" t="n">
        <f aca="false">IFERROR(INDEX(Backlog[HLE],MATCH($A4,Backlog[Requirement ID],0)),IFERROR(INDEX('Q1 Backlog Report 2026'!$K:$K,MATCH($A4,'Q1 Backlog Report 2026'!$A:$A,0)),IFERROR(INDEX('Q2 Backlog Report 2026'!$K:$K,MATCH($A4,'Q2 Backlog Report 2026'!$A:$A,0)),IFERROR(INDEX('Q3 Backlog Report 2026'!$K:$K,MATCH($A4,'Q3 Backlog Report 2026'!$A:$A,0)),IFERROR(INDEX('Q4 Backlog Report 2026'!$K:$K,MATCH($A4,'Q4 Backlog Report 2026'!$A:$A,0)),"")))))</f>
        <v>13</v>
      </c>
      <c r="I4" s="81" t="s">
        <v>797</v>
      </c>
      <c r="J4" s="81" t="s">
        <v>798</v>
      </c>
      <c r="K4" s="81" t="s">
        <v>799</v>
      </c>
    </row>
    <row r="5" customFormat="false" ht="72" hidden="false" customHeight="true" outlineLevel="0" collapsed="false">
      <c r="A5" s="5" t="s">
        <v>178</v>
      </c>
      <c r="B5" s="5" t="str">
        <f aca="false">IFERROR(INDEX(Backlog[Stream],MATCH($A5,Backlog[Requirement ID],0)),IFERROR(INDEX('Q1 Backlog Report 2026'!$D:$D,MATCH($A5,'Q1 Backlog Report 2026'!$A:$A,0)),IFERROR(INDEX('Q2 Backlog Report 2026'!$D:$D,MATCH($A5,'Q2 Backlog Report 2026'!$A:$A,0)),IFERROR(INDEX('Q3 Backlog Report 2026'!$D:$D,MATCH($A5,'Q3 Backlog Report 2026'!$A:$A,0)),IFERROR(INDEX('Q4 Backlog Report 2026'!$D:$D,MATCH($A5,'Q4 Backlog Report 2026'!$A:$A,0)),"")))))</f>
        <v>PI11</v>
      </c>
      <c r="C5" s="5" t="str">
        <f aca="false">IFERROR(INDEX(Backlog[Stream Owner],MATCH($A5,Backlog[Requirement ID],0)),IFERROR(INDEX('Q1 Backlog Report 2026'!$E:$E,MATCH($A5,'Q1 Backlog Report 2026'!$A:$A,0)),IFERROR(INDEX('Q2 Backlog Report 2026'!$E:$E,MATCH($A5,'Q2 Backlog Report 2026'!$A:$A,0)),IFERROR(INDEX('Q3 Backlog Report 2026'!$E:$E,MATCH($A5,'Q3 Backlog Report 2026'!$A:$A,0)),IFERROR(INDEX('Q4 Backlog Report 2026'!$E:$E,MATCH($A5,'Q4 Backlog Report 2026'!$A:$A,0)),"")))))</f>
        <v>MA</v>
      </c>
      <c r="D5" s="5" t="str">
        <f aca="false">IFERROR(INDEX(Backlog[Sprint],MATCH($A5,Backlog[Requirement ID],0)),IFERROR(INDEX('Q1 Backlog Report 2026'!$I:$I,MATCH($A5,'Q1 Backlog Report 2026'!$A:$A,0)),IFERROR(INDEX('Q2 Backlog Report 2026'!$I:$I,MATCH($A5,'Q2 Backlog Report 2026'!$A:$A,0)),IFERROR(INDEX('Q3 Backlog Report 2026'!$I:$I,MATCH($A5,'Q3 Backlog Report 2026'!$A:$A,0)),IFERROR(INDEX('Q4 Backlog Report 2026'!$I:$I,MATCH($A5,'Q4 Backlog Report 2026'!$A:$A,0)),"")))))</f>
        <v>Sprint 12</v>
      </c>
      <c r="E5" s="5" t="str">
        <f aca="false">IFERROR(INDEX(Backlog[Jira Link],MATCH($A5,Backlog[Requirement ID],0)),IFERROR(INDEX('Q1 Backlog Report 2026'!$G:$G,MATCH($A5,'Q1 Backlog Report 2026'!$A:$A,0)),IFERROR(INDEX('Q2 Backlog Report 2026'!$G:$G,MATCH($A5,'Q2 Backlog Report 2026'!$A:$A,0)),IFERROR(INDEX('Q3 Backlog Report 2026'!$G:$G,MATCH($A5,'Q3 Backlog Report 2026'!$A:$A,0)),IFERROR(INDEX('Q4 Backlog Report 2026'!$G:$G,MATCH($A5,'Q4 Backlog Report 2026'!$A:$A,0)),"")))))</f>
        <v>https://smartship.atlassian.net/browse/DTTP25-41937</v>
      </c>
      <c r="F5" s="5" t="str">
        <f aca="false">IFERROR(INDEX(Backlog[Requirement Name],MATCH($A5,Backlog[Requirement ID],0)),IFERROR(INDEX('Q1 Backlog Report 2026'!$B:$B,MATCH($A5,'Q1 Backlog Report 2026'!$A:$A,0)),IFERROR(INDEX('Q2 Backlog Report 2026'!$B:$B,MATCH($A5,'Q2 Backlog Report 2026'!$A:$A,0)),IFERROR(INDEX('Q3 Backlog Report 2026'!$B:$B,MATCH($A5,'Q3 Backlog Report 2026'!$A:$A,0)),IFERROR(INDEX('Q4 Backlog Report 2026'!$B:$B,MATCH($A5,'Q4 Backlog Report 2026'!$A:$A,0)),"")))))</f>
        <v>PI11-08 [CDP] [INTP-21] Lead Management - Option event creation in CDP</v>
      </c>
      <c r="G5" s="5" t="str">
        <f aca="false">IFERROR(INDEX(Backlog[Status],MATCH($A5,Backlog[Requirement ID],0)),IFERROR(INDEX('Q1 Backlog Report 2026'!$F:$F,MATCH($A5,'Q1 Backlog Report 2026'!$A:$A,0)),IFERROR(INDEX('Q2 Backlog Report 2026'!$F:$F,MATCH($A5,'Q2 Backlog Report 2026'!$A:$A,0)),IFERROR(INDEX('Q3 Backlog Report 2026'!$F:$F,MATCH($A5,'Q3 Backlog Report 2026'!$A:$A,0)),IFERROR(INDEX('Q4 Backlog Report 2026'!$F:$F,MATCH($A5,'Q4 Backlog Report 2026'!$A:$A,0)),"")))))</f>
        <v>NEW</v>
      </c>
      <c r="H5" s="5" t="n">
        <f aca="false">IFERROR(INDEX(Backlog[HLE],MATCH($A5,Backlog[Requirement ID],0)),IFERROR(INDEX('Q1 Backlog Report 2026'!$K:$K,MATCH($A5,'Q1 Backlog Report 2026'!$A:$A,0)),IFERROR(INDEX('Q2 Backlog Report 2026'!$K:$K,MATCH($A5,'Q2 Backlog Report 2026'!$A:$A,0)),IFERROR(INDEX('Q3 Backlog Report 2026'!$K:$K,MATCH($A5,'Q3 Backlog Report 2026'!$A:$A,0)),IFERROR(INDEX('Q4 Backlog Report 2026'!$K:$K,MATCH($A5,'Q4 Backlog Report 2026'!$A:$A,0)),"")))))</f>
        <v>5</v>
      </c>
      <c r="I5" s="81" t="s">
        <v>800</v>
      </c>
      <c r="J5" s="81" t="s">
        <v>801</v>
      </c>
      <c r="K5" s="81" t="s">
        <v>802</v>
      </c>
    </row>
    <row r="6" customFormat="false" ht="15" hidden="false" customHeight="true" outlineLevel="0" collapsed="false">
      <c r="A6" s="5" t="s">
        <v>181</v>
      </c>
      <c r="B6" s="5" t="str">
        <f aca="false">IFERROR(INDEX(Backlog[Stream],MATCH($A6,Backlog[Requirement ID],0)),IFERROR(INDEX('Q1 Backlog Report 2026'!$D:$D,MATCH($A6,'Q1 Backlog Report 2026'!$A:$A,0)),IFERROR(INDEX('Q2 Backlog Report 2026'!$D:$D,MATCH($A6,'Q2 Backlog Report 2026'!$A:$A,0)),IFERROR(INDEX('Q3 Backlog Report 2026'!$D:$D,MATCH($A6,'Q3 Backlog Report 2026'!$A:$A,0)),IFERROR(INDEX('Q4 Backlog Report 2026'!$D:$D,MATCH($A6,'Q4 Backlog Report 2026'!$A:$A,0)),"")))))</f>
        <v>PI11</v>
      </c>
      <c r="C6" s="5" t="str">
        <f aca="false">IFERROR(INDEX(Backlog[Stream Owner],MATCH($A6,Backlog[Requirement ID],0)),IFERROR(INDEX('Q1 Backlog Report 2026'!$E:$E,MATCH($A6,'Q1 Backlog Report 2026'!$A:$A,0)),IFERROR(INDEX('Q2 Backlog Report 2026'!$E:$E,MATCH($A6,'Q2 Backlog Report 2026'!$A:$A,0)),IFERROR(INDEX('Q3 Backlog Report 2026'!$E:$E,MATCH($A6,'Q3 Backlog Report 2026'!$A:$A,0)),IFERROR(INDEX('Q4 Backlog Report 2026'!$E:$E,MATCH($A6,'Q4 Backlog Report 2026'!$A:$A,0)),"")))))</f>
        <v>MA</v>
      </c>
      <c r="D6" s="5" t="str">
        <f aca="false">IFERROR(INDEX(Backlog[Sprint],MATCH($A6,Backlog[Requirement ID],0)),IFERROR(INDEX('Q1 Backlog Report 2026'!$I:$I,MATCH($A6,'Q1 Backlog Report 2026'!$A:$A,0)),IFERROR(INDEX('Q2 Backlog Report 2026'!$I:$I,MATCH($A6,'Q2 Backlog Report 2026'!$A:$A,0)),IFERROR(INDEX('Q3 Backlog Report 2026'!$I:$I,MATCH($A6,'Q3 Backlog Report 2026'!$A:$A,0)),IFERROR(INDEX('Q4 Backlog Report 2026'!$I:$I,MATCH($A6,'Q4 Backlog Report 2026'!$A:$A,0)),"")))))</f>
        <v>Sprint 12</v>
      </c>
      <c r="E6" s="5" t="str">
        <f aca="false">IFERROR(INDEX(Backlog[Jira Link],MATCH($A6,Backlog[Requirement ID],0)),IFERROR(INDEX('Q1 Backlog Report 2026'!$G:$G,MATCH($A6,'Q1 Backlog Report 2026'!$A:$A,0)),IFERROR(INDEX('Q2 Backlog Report 2026'!$G:$G,MATCH($A6,'Q2 Backlog Report 2026'!$A:$A,0)),IFERROR(INDEX('Q3 Backlog Report 2026'!$G:$G,MATCH($A6,'Q3 Backlog Report 2026'!$A:$A,0)),IFERROR(INDEX('Q4 Backlog Report 2026'!$G:$G,MATCH($A6,'Q4 Backlog Report 2026'!$A:$A,0)),"")))))</f>
        <v>https://smartship.atlassian.net/browse/DTTP25-41939</v>
      </c>
      <c r="F6" s="5" t="str">
        <f aca="false">IFERROR(INDEX(Backlog[Requirement Name],MATCH($A6,Backlog[Requirement ID],0)),IFERROR(INDEX('Q1 Backlog Report 2026'!$B:$B,MATCH($A6,'Q1 Backlog Report 2026'!$A:$A,0)),IFERROR(INDEX('Q2 Backlog Report 2026'!$B:$B,MATCH($A6,'Q2 Backlog Report 2026'!$A:$A,0)),IFERROR(INDEX('Q3 Backlog Report 2026'!$B:$B,MATCH($A6,'Q3 Backlog Report 2026'!$A:$A,0)),IFERROR(INDEX('Q4 Backlog Report 2026'!$B:$B,MATCH($A6,'Q4 Backlog Report 2026'!$A:$A,0)),"")))))</f>
        <v>PI11-11 [CRM] [EA-1008] DTTP - Lead Management - FCC new outbound sources</v>
      </c>
      <c r="G6" s="5" t="str">
        <f aca="false">IFERROR(INDEX(Backlog[Status],MATCH($A6,Backlog[Requirement ID],0)),IFERROR(INDEX('Q1 Backlog Report 2026'!$F:$F,MATCH($A6,'Q1 Backlog Report 2026'!$A:$A,0)),IFERROR(INDEX('Q2 Backlog Report 2026'!$F:$F,MATCH($A6,'Q2 Backlog Report 2026'!$A:$A,0)),IFERROR(INDEX('Q3 Backlog Report 2026'!$F:$F,MATCH($A6,'Q3 Backlog Report 2026'!$A:$A,0)),IFERROR(INDEX('Q4 Backlog Report 2026'!$F:$F,MATCH($A6,'Q4 Backlog Report 2026'!$A:$A,0)),"")))))</f>
        <v>NEW</v>
      </c>
      <c r="H6" s="5" t="n">
        <f aca="false">IFERROR(INDEX(Backlog[HLE],MATCH($A6,Backlog[Requirement ID],0)),IFERROR(INDEX('Q1 Backlog Report 2026'!$K:$K,MATCH($A6,'Q1 Backlog Report 2026'!$A:$A,0)),IFERROR(INDEX('Q2 Backlog Report 2026'!$K:$K,MATCH($A6,'Q2 Backlog Report 2026'!$A:$A,0)),IFERROR(INDEX('Q3 Backlog Report 2026'!$K:$K,MATCH($A6,'Q3 Backlog Report 2026'!$A:$A,0)),IFERROR(INDEX('Q4 Backlog Report 2026'!$K:$K,MATCH($A6,'Q4 Backlog Report 2026'!$A:$A,0)),"")))))</f>
        <v>8</v>
      </c>
      <c r="I6" s="81" t="s">
        <v>803</v>
      </c>
      <c r="J6" s="81" t="s">
        <v>803</v>
      </c>
      <c r="K6" s="81" t="s">
        <v>804</v>
      </c>
    </row>
    <row r="7" customFormat="false" ht="15" hidden="false" customHeight="true" outlineLevel="0" collapsed="false">
      <c r="A7" s="5" t="s">
        <v>184</v>
      </c>
      <c r="B7" s="5" t="str">
        <f aca="false">IFERROR(INDEX(Backlog[Stream],MATCH($A7,Backlog[Requirement ID],0)),IFERROR(INDEX('Q1 Backlog Report 2026'!$D:$D,MATCH($A7,'Q1 Backlog Report 2026'!$A:$A,0)),IFERROR(INDEX('Q2 Backlog Report 2026'!$D:$D,MATCH($A7,'Q2 Backlog Report 2026'!$A:$A,0)),IFERROR(INDEX('Q3 Backlog Report 2026'!$D:$D,MATCH($A7,'Q3 Backlog Report 2026'!$A:$A,0)),IFERROR(INDEX('Q4 Backlog Report 2026'!$D:$D,MATCH($A7,'Q4 Backlog Report 2026'!$A:$A,0)),"")))))</f>
        <v>PI11</v>
      </c>
      <c r="C7" s="5" t="str">
        <f aca="false">IFERROR(INDEX(Backlog[Stream Owner],MATCH($A7,Backlog[Requirement ID],0)),IFERROR(INDEX('Q1 Backlog Report 2026'!$E:$E,MATCH($A7,'Q1 Backlog Report 2026'!$A:$A,0)),IFERROR(INDEX('Q2 Backlog Report 2026'!$E:$E,MATCH($A7,'Q2 Backlog Report 2026'!$A:$A,0)),IFERROR(INDEX('Q3 Backlog Report 2026'!$E:$E,MATCH($A7,'Q3 Backlog Report 2026'!$A:$A,0)),IFERROR(INDEX('Q4 Backlog Report 2026'!$E:$E,MATCH($A7,'Q4 Backlog Report 2026'!$A:$A,0)),"")))))</f>
        <v>MA</v>
      </c>
      <c r="D7" s="5" t="str">
        <f aca="false">IFERROR(INDEX(Backlog[Sprint],MATCH($A7,Backlog[Requirement ID],0)),IFERROR(INDEX('Q1 Backlog Report 2026'!$I:$I,MATCH($A7,'Q1 Backlog Report 2026'!$A:$A,0)),IFERROR(INDEX('Q2 Backlog Report 2026'!$I:$I,MATCH($A7,'Q2 Backlog Report 2026'!$A:$A,0)),IFERROR(INDEX('Q3 Backlog Report 2026'!$I:$I,MATCH($A7,'Q3 Backlog Report 2026'!$A:$A,0)),IFERROR(INDEX('Q4 Backlog Report 2026'!$I:$I,MATCH($A7,'Q4 Backlog Report 2026'!$A:$A,0)),"")))))</f>
        <v>Sprint 12</v>
      </c>
      <c r="E7" s="5" t="str">
        <f aca="false">IFERROR(INDEX(Backlog[Jira Link],MATCH($A7,Backlog[Requirement ID],0)),IFERROR(INDEX('Q1 Backlog Report 2026'!$G:$G,MATCH($A7,'Q1 Backlog Report 2026'!$A:$A,0)),IFERROR(INDEX('Q2 Backlog Report 2026'!$G:$G,MATCH($A7,'Q2 Backlog Report 2026'!$A:$A,0)),IFERROR(INDEX('Q3 Backlog Report 2026'!$G:$G,MATCH($A7,'Q3 Backlog Report 2026'!$A:$A,0)),IFERROR(INDEX('Q4 Backlog Report 2026'!$G:$G,MATCH($A7,'Q4 Backlog Report 2026'!$A:$A,0)),"")))))</f>
        <v>https://smartship.atlassian.net/browse/DTTP25-41940</v>
      </c>
      <c r="F7" s="5" t="str">
        <f aca="false">IFERROR(INDEX(Backlog[Requirement Name],MATCH($A7,Backlog[Requirement ID],0)),IFERROR(INDEX('Q1 Backlog Report 2026'!$B:$B,MATCH($A7,'Q1 Backlog Report 2026'!$A:$A,0)),IFERROR(INDEX('Q2 Backlog Report 2026'!$B:$B,MATCH($A7,'Q2 Backlog Report 2026'!$A:$A,0)),IFERROR(INDEX('Q3 Backlog Report 2026'!$B:$B,MATCH($A7,'Q3 Backlog Report 2026'!$A:$A,0)),IFERROR(INDEX('Q4 Backlog Report 2026'!$B:$B,MATCH($A7,'Q4 Backlog Report 2026'!$A:$A,0)),"")))))</f>
        <v>PI11-12 [CDP/CRM] CRM2-11097 / [INTP-20] Lead Management - IRL Outbound Sources Activation &amp; Form Creation</v>
      </c>
      <c r="G7" s="5" t="str">
        <f aca="false">IFERROR(INDEX(Backlog[Status],MATCH($A7,Backlog[Requirement ID],0)),IFERROR(INDEX('Q1 Backlog Report 2026'!$F:$F,MATCH($A7,'Q1 Backlog Report 2026'!$A:$A,0)),IFERROR(INDEX('Q2 Backlog Report 2026'!$F:$F,MATCH($A7,'Q2 Backlog Report 2026'!$A:$A,0)),IFERROR(INDEX('Q3 Backlog Report 2026'!$F:$F,MATCH($A7,'Q3 Backlog Report 2026'!$A:$A,0)),IFERROR(INDEX('Q4 Backlog Report 2026'!$F:$F,MATCH($A7,'Q4 Backlog Report 2026'!$A:$A,0)),"")))))</f>
        <v>NEW</v>
      </c>
      <c r="H7" s="5" t="n">
        <f aca="false">IFERROR(INDEX(Backlog[HLE],MATCH($A7,Backlog[Requirement ID],0)),IFERROR(INDEX('Q1 Backlog Report 2026'!$K:$K,MATCH($A7,'Q1 Backlog Report 2026'!$A:$A,0)),IFERROR(INDEX('Q2 Backlog Report 2026'!$K:$K,MATCH($A7,'Q2 Backlog Report 2026'!$A:$A,0)),IFERROR(INDEX('Q3 Backlog Report 2026'!$K:$K,MATCH($A7,'Q3 Backlog Report 2026'!$A:$A,0)),IFERROR(INDEX('Q4 Backlog Report 2026'!$K:$K,MATCH($A7,'Q4 Backlog Report 2026'!$A:$A,0)),"")))))</f>
        <v>5</v>
      </c>
      <c r="I7" s="81" t="s">
        <v>805</v>
      </c>
      <c r="J7" s="81" t="s">
        <v>805</v>
      </c>
      <c r="K7" s="81" t="s">
        <v>806</v>
      </c>
    </row>
    <row r="8" customFormat="false" ht="15" hidden="false" customHeight="true" outlineLevel="0" collapsed="false">
      <c r="A8" s="5" t="s">
        <v>190</v>
      </c>
      <c r="B8" s="5" t="str">
        <f aca="false">IFERROR(INDEX(Backlog[Stream],MATCH($A8,Backlog[Requirement ID],0)),IFERROR(INDEX('Q1 Backlog Report 2026'!$D:$D,MATCH($A8,'Q1 Backlog Report 2026'!$A:$A,0)),IFERROR(INDEX('Q2 Backlog Report 2026'!$D:$D,MATCH($A8,'Q2 Backlog Report 2026'!$A:$A,0)),IFERROR(INDEX('Q3 Backlog Report 2026'!$D:$D,MATCH($A8,'Q3 Backlog Report 2026'!$A:$A,0)),IFERROR(INDEX('Q4 Backlog Report 2026'!$D:$D,MATCH($A8,'Q4 Backlog Report 2026'!$A:$A,0)),"")))))</f>
        <v>PI11</v>
      </c>
      <c r="C8" s="5" t="str">
        <f aca="false">IFERROR(INDEX(Backlog[Stream Owner],MATCH($A8,Backlog[Requirement ID],0)),IFERROR(INDEX('Q1 Backlog Report 2026'!$E:$E,MATCH($A8,'Q1 Backlog Report 2026'!$A:$A,0)),IFERROR(INDEX('Q2 Backlog Report 2026'!$E:$E,MATCH($A8,'Q2 Backlog Report 2026'!$A:$A,0)),IFERROR(INDEX('Q3 Backlog Report 2026'!$E:$E,MATCH($A8,'Q3 Backlog Report 2026'!$A:$A,0)),IFERROR(INDEX('Q4 Backlog Report 2026'!$E:$E,MATCH($A8,'Q4 Backlog Report 2026'!$A:$A,0)),"")))))</f>
        <v>B2CW</v>
      </c>
      <c r="D8" s="5" t="str">
        <f aca="false">IFERROR(INDEX(Backlog[Sprint],MATCH($A8,Backlog[Requirement ID],0)),IFERROR(INDEX('Q1 Backlog Report 2026'!$I:$I,MATCH($A8,'Q1 Backlog Report 2026'!$A:$A,0)),IFERROR(INDEX('Q2 Backlog Report 2026'!$I:$I,MATCH($A8,'Q2 Backlog Report 2026'!$A:$A,0)),IFERROR(INDEX('Q3 Backlog Report 2026'!$I:$I,MATCH($A8,'Q3 Backlog Report 2026'!$A:$A,0)),IFERROR(INDEX('Q4 Backlog Report 2026'!$I:$I,MATCH($A8,'Q4 Backlog Report 2026'!$A:$A,0)),"")))))</f>
        <v>Sprint 12</v>
      </c>
      <c r="E8" s="5" t="str">
        <f aca="false">IFERROR(INDEX(Backlog[Jira Link],MATCH($A8,Backlog[Requirement ID],0)),IFERROR(INDEX('Q1 Backlog Report 2026'!$G:$G,MATCH($A8,'Q1 Backlog Report 2026'!$A:$A,0)),IFERROR(INDEX('Q2 Backlog Report 2026'!$G:$G,MATCH($A8,'Q2 Backlog Report 2026'!$A:$A,0)),IFERROR(INDEX('Q3 Backlog Report 2026'!$G:$G,MATCH($A8,'Q3 Backlog Report 2026'!$A:$A,0)),IFERROR(INDEX('Q4 Backlog Report 2026'!$G:$G,MATCH($A8,'Q4 Backlog Report 2026'!$A:$A,0)),"")))))</f>
        <v>https://smartship.atlassian.net/browse/DTTP25-41930</v>
      </c>
      <c r="F8" s="5" t="str">
        <f aca="false">IFERROR(INDEX(Backlog[Requirement Name],MATCH($A8,Backlog[Requirement ID],0)),IFERROR(INDEX('Q1 Backlog Report 2026'!$B:$B,MATCH($A8,'Q1 Backlog Report 2026'!$A:$A,0)),IFERROR(INDEX('Q2 Backlog Report 2026'!$B:$B,MATCH($A8,'Q2 Backlog Report 2026'!$A:$A,0)),IFERROR(INDEX('Q3 Backlog Report 2026'!$B:$B,MATCH($A8,'Q3 Backlog Report 2026'!$A:$A,0)),IFERROR(INDEX('Q4 Backlog Report 2026'!$B:$B,MATCH($A8,'Q4 Backlog Report 2026'!$A:$A,0)),"")))))</f>
        <v>PI11-03 [B2C] Flight Enhancement - DTTP25-38915</v>
      </c>
      <c r="G8" s="5" t="str">
        <f aca="false">IFERROR(INDEX(Backlog[Status],MATCH($A8,Backlog[Requirement ID],0)),IFERROR(INDEX('Q1 Backlog Report 2026'!$F:$F,MATCH($A8,'Q1 Backlog Report 2026'!$A:$A,0)),IFERROR(INDEX('Q2 Backlog Report 2026'!$F:$F,MATCH($A8,'Q2 Backlog Report 2026'!$A:$A,0)),IFERROR(INDEX('Q3 Backlog Report 2026'!$F:$F,MATCH($A8,'Q3 Backlog Report 2026'!$A:$A,0)),IFERROR(INDEX('Q4 Backlog Report 2026'!$F:$F,MATCH($A8,'Q4 Backlog Report 2026'!$A:$A,0)),"")))))</f>
        <v>NEW</v>
      </c>
      <c r="H8" s="5" t="n">
        <f aca="false">IFERROR(INDEX(Backlog[HLE],MATCH($A8,Backlog[Requirement ID],0)),IFERROR(INDEX('Q1 Backlog Report 2026'!$K:$K,MATCH($A8,'Q1 Backlog Report 2026'!$A:$A,0)),IFERROR(INDEX('Q2 Backlog Report 2026'!$K:$K,MATCH($A8,'Q2 Backlog Report 2026'!$A:$A,0)),IFERROR(INDEX('Q3 Backlog Report 2026'!$K:$K,MATCH($A8,'Q3 Backlog Report 2026'!$A:$A,0)),IFERROR(INDEX('Q4 Backlog Report 2026'!$K:$K,MATCH($A8,'Q4 Backlog Report 2026'!$A:$A,0)),"")))))</f>
        <v>5</v>
      </c>
      <c r="I8" s="81" t="s">
        <v>807</v>
      </c>
      <c r="J8" s="81" t="s">
        <v>808</v>
      </c>
      <c r="K8" s="81" t="s">
        <v>809</v>
      </c>
    </row>
    <row r="9" customFormat="false" ht="15" hidden="false" customHeight="true" outlineLevel="0" collapsed="false">
      <c r="A9" s="5" t="s">
        <v>193</v>
      </c>
      <c r="B9" s="5" t="str">
        <f aca="false">IFERROR(INDEX(Backlog[Stream],MATCH($A9,Backlog[Requirement ID],0)),IFERROR(INDEX('Q1 Backlog Report 2026'!$D:$D,MATCH($A9,'Q1 Backlog Report 2026'!$A:$A,0)),IFERROR(INDEX('Q2 Backlog Report 2026'!$D:$D,MATCH($A9,'Q2 Backlog Report 2026'!$A:$A,0)),IFERROR(INDEX('Q3 Backlog Report 2026'!$D:$D,MATCH($A9,'Q3 Backlog Report 2026'!$A:$A,0)),IFERROR(INDEX('Q4 Backlog Report 2026'!$D:$D,MATCH($A9,'Q4 Backlog Report 2026'!$A:$A,0)),"")))))</f>
        <v>PI11</v>
      </c>
      <c r="C9" s="5" t="str">
        <f aca="false">IFERROR(INDEX(Backlog[Stream Owner],MATCH($A9,Backlog[Requirement ID],0)),IFERROR(INDEX('Q1 Backlog Report 2026'!$E:$E,MATCH($A9,'Q1 Backlog Report 2026'!$A:$A,0)),IFERROR(INDEX('Q2 Backlog Report 2026'!$E:$E,MATCH($A9,'Q2 Backlog Report 2026'!$A:$A,0)),IFERROR(INDEX('Q3 Backlog Report 2026'!$E:$E,MATCH($A9,'Q3 Backlog Report 2026'!$A:$A,0)),IFERROR(INDEX('Q4 Backlog Report 2026'!$E:$E,MATCH($A9,'Q4 Backlog Report 2026'!$A:$A,0)),"")))))</f>
        <v>MA</v>
      </c>
      <c r="D9" s="5" t="str">
        <f aca="false">IFERROR(INDEX(Backlog[Sprint],MATCH($A9,Backlog[Requirement ID],0)),IFERROR(INDEX('Q1 Backlog Report 2026'!$I:$I,MATCH($A9,'Q1 Backlog Report 2026'!$A:$A,0)),IFERROR(INDEX('Q2 Backlog Report 2026'!$I:$I,MATCH($A9,'Q2 Backlog Report 2026'!$A:$A,0)),IFERROR(INDEX('Q3 Backlog Report 2026'!$I:$I,MATCH($A9,'Q3 Backlog Report 2026'!$A:$A,0)),IFERROR(INDEX('Q4 Backlog Report 2026'!$I:$I,MATCH($A9,'Q4 Backlog Report 2026'!$A:$A,0)),"")))))</f>
        <v>Sprint 12</v>
      </c>
      <c r="E9" s="5" t="str">
        <f aca="false">IFERROR(INDEX(Backlog[Jira Link],MATCH($A9,Backlog[Requirement ID],0)),IFERROR(INDEX('Q1 Backlog Report 2026'!$G:$G,MATCH($A9,'Q1 Backlog Report 2026'!$A:$A,0)),IFERROR(INDEX('Q2 Backlog Report 2026'!$G:$G,MATCH($A9,'Q2 Backlog Report 2026'!$A:$A,0)),IFERROR(INDEX('Q3 Backlog Report 2026'!$G:$G,MATCH($A9,'Q3 Backlog Report 2026'!$A:$A,0)),IFERROR(INDEX('Q4 Backlog Report 2026'!$G:$G,MATCH($A9,'Q4 Backlog Report 2026'!$A:$A,0)),"")))))</f>
        <v>https://smartship.atlassian.net/browse/DTTP25-41931</v>
      </c>
      <c r="F9" s="5" t="str">
        <f aca="false">IFERROR(INDEX(Backlog[Requirement Name],MATCH($A9,Backlog[Requirement ID],0)),IFERROR(INDEX('Q1 Backlog Report 2026'!$B:$B,MATCH($A9,'Q1 Backlog Report 2026'!$A:$A,0)),IFERROR(INDEX('Q2 Backlog Report 2026'!$B:$B,MATCH($A9,'Q2 Backlog Report 2026'!$A:$A,0)),IFERROR(INDEX('Q3 Backlog Report 2026'!$B:$B,MATCH($A9,'Q3 Backlog Report 2026'!$A:$A,0)),IFERROR(INDEX('Q4 Backlog Report 2026'!$B:$B,MATCH($A9,'Q4 Backlog Report 2026'!$A:$A,0)),"")))))</f>
        <v>PI11-14 [CRM] [EA-1722] CRM Dependency - Lead Management - Price Description info in CDP</v>
      </c>
      <c r="G9" s="5" t="str">
        <f aca="false">IFERROR(INDEX(Backlog[Status],MATCH($A9,Backlog[Requirement ID],0)),IFERROR(INDEX('Q1 Backlog Report 2026'!$F:$F,MATCH($A9,'Q1 Backlog Report 2026'!$A:$A,0)),IFERROR(INDEX('Q2 Backlog Report 2026'!$F:$F,MATCH($A9,'Q2 Backlog Report 2026'!$A:$A,0)),IFERROR(INDEX('Q3 Backlog Report 2026'!$F:$F,MATCH($A9,'Q3 Backlog Report 2026'!$A:$A,0)),IFERROR(INDEX('Q4 Backlog Report 2026'!$F:$F,MATCH($A9,'Q4 Backlog Report 2026'!$A:$A,0)),"")))))</f>
        <v>NEW</v>
      </c>
      <c r="H9" s="5" t="n">
        <f aca="false">IFERROR(INDEX(Backlog[HLE],MATCH($A9,Backlog[Requirement ID],0)),IFERROR(INDEX('Q1 Backlog Report 2026'!$K:$K,MATCH($A9,'Q1 Backlog Report 2026'!$A:$A,0)),IFERROR(INDEX('Q2 Backlog Report 2026'!$K:$K,MATCH($A9,'Q2 Backlog Report 2026'!$A:$A,0)),IFERROR(INDEX('Q3 Backlog Report 2026'!$K:$K,MATCH($A9,'Q3 Backlog Report 2026'!$A:$A,0)),IFERROR(INDEX('Q4 Backlog Report 2026'!$K:$K,MATCH($A9,'Q4 Backlog Report 2026'!$A:$A,0)),"")))))</f>
        <v>8</v>
      </c>
      <c r="I9" s="81" t="s">
        <v>810</v>
      </c>
      <c r="J9" s="81" t="s">
        <v>811</v>
      </c>
      <c r="K9" s="81" t="s">
        <v>805</v>
      </c>
    </row>
    <row r="10" customFormat="false" ht="15" hidden="false" customHeight="true" outlineLevel="0" collapsed="false">
      <c r="A10" s="5" t="s">
        <v>289</v>
      </c>
      <c r="B10" s="5" t="str">
        <f aca="false">IFERROR(INDEX(Backlog[Stream],MATCH($A10,Backlog[Requirement ID],0)),IFERROR(INDEX('Q1 Backlog Report 2026'!$D:$D,MATCH($A10,'Q1 Backlog Report 2026'!$A:$A,0)),IFERROR(INDEX('Q2 Backlog Report 2026'!$D:$D,MATCH($A10,'Q2 Backlog Report 2026'!$A:$A,0)),IFERROR(INDEX('Q3 Backlog Report 2026'!$D:$D,MATCH($A10,'Q3 Backlog Report 2026'!$A:$A,0)),IFERROR(INDEX('Q4 Backlog Report 2026'!$D:$D,MATCH($A10,'Q4 Backlog Report 2026'!$A:$A,0)),"")))))</f>
        <v>PI10</v>
      </c>
      <c r="C10" s="5" t="str">
        <f aca="false">IFERROR(INDEX(Backlog[Stream Owner],MATCH($A10,Backlog[Requirement ID],0)),IFERROR(INDEX('Q1 Backlog Report 2026'!$E:$E,MATCH($A10,'Q1 Backlog Report 2026'!$A:$A,0)),IFERROR(INDEX('Q2 Backlog Report 2026'!$E:$E,MATCH($A10,'Q2 Backlog Report 2026'!$A:$A,0)),IFERROR(INDEX('Q3 Backlog Report 2026'!$E:$E,MATCH($A10,'Q3 Backlog Report 2026'!$A:$A,0)),IFERROR(INDEX('Q4 Backlog Report 2026'!$E:$E,MATCH($A10,'Q4 Backlog Report 2026'!$A:$A,0)),"")))))</f>
        <v>CRMASIS</v>
      </c>
      <c r="D10" s="5" t="str">
        <f aca="false">IFERROR(INDEX(Backlog[Sprint],MATCH($A10,Backlog[Requirement ID],0)),IFERROR(INDEX('Q1 Backlog Report 2026'!$I:$I,MATCH($A10,'Q1 Backlog Report 2026'!$A:$A,0)),IFERROR(INDEX('Q2 Backlog Report 2026'!$I:$I,MATCH($A10,'Q2 Backlog Report 2026'!$A:$A,0)),IFERROR(INDEX('Q3 Backlog Report 2026'!$I:$I,MATCH($A10,'Q3 Backlog Report 2026'!$A:$A,0)),IFERROR(INDEX('Q4 Backlog Report 2026'!$I:$I,MATCH($A10,'Q4 Backlog Report 2026'!$A:$A,0)),"")))))</f>
        <v>To Plan</v>
      </c>
      <c r="E10" s="5" t="n">
        <f aca="false">IFERROR(INDEX(Backlog[Jira Link],MATCH($A10,Backlog[Requirement ID],0)),IFERROR(INDEX('Q1 Backlog Report 2026'!$G:$G,MATCH($A10,'Q1 Backlog Report 2026'!$A:$A,0)),IFERROR(INDEX('Q2 Backlog Report 2026'!$G:$G,MATCH($A10,'Q2 Backlog Report 2026'!$A:$A,0)),IFERROR(INDEX('Q3 Backlog Report 2026'!$G:$G,MATCH($A10,'Q3 Backlog Report 2026'!$A:$A,0)),IFERROR(INDEX('Q4 Backlog Report 2026'!$G:$G,MATCH($A10,'Q4 Backlog Report 2026'!$A:$A,0)),"")))))</f>
        <v>0</v>
      </c>
      <c r="F10" s="5" t="str">
        <f aca="false">IFERROR(INDEX(Backlog[Requirement Name],MATCH($A10,Backlog[Requirement ID],0)),IFERROR(INDEX('Q1 Backlog Report 2026'!$B:$B,MATCH($A10,'Q1 Backlog Report 2026'!$A:$A,0)),IFERROR(INDEX('Q2 Backlog Report 2026'!$B:$B,MATCH($A10,'Q2 Backlog Report 2026'!$A:$A,0)),IFERROR(INDEX('Q3 Backlog Report 2026'!$B:$B,MATCH($A10,'Q3 Backlog Report 2026'!$A:$A,0)),IFERROR(INDEX('Q4 Backlog Report 2026'!$B:$B,MATCH($A10,'Q4 Backlog Report 2026'!$A:$A,0)),"")))))</f>
        <v>New Security Remediation - DTTP Stack to CRM ASIS_EA</v>
      </c>
      <c r="G10" s="5" t="str">
        <f aca="false">IFERROR(INDEX(Backlog[Status],MATCH($A10,Backlog[Requirement ID],0)),IFERROR(INDEX('Q1 Backlog Report 2026'!$F:$F,MATCH($A10,'Q1 Backlog Report 2026'!$A:$A,0)),IFERROR(INDEX('Q2 Backlog Report 2026'!$F:$F,MATCH($A10,'Q2 Backlog Report 2026'!$A:$A,0)),IFERROR(INDEX('Q3 Backlog Report 2026'!$F:$F,MATCH($A10,'Q3 Backlog Report 2026'!$A:$A,0)),IFERROR(INDEX('Q4 Backlog Report 2026'!$F:$F,MATCH($A10,'Q4 Backlog Report 2026'!$A:$A,0)),"")))))</f>
        <v>DONE</v>
      </c>
      <c r="H10" s="5" t="n">
        <f aca="false">IFERROR(INDEX(Backlog[HLE],MATCH($A10,Backlog[Requirement ID],0)),IFERROR(INDEX('Q1 Backlog Report 2026'!$K:$K,MATCH($A10,'Q1 Backlog Report 2026'!$A:$A,0)),IFERROR(INDEX('Q2 Backlog Report 2026'!$K:$K,MATCH($A10,'Q2 Backlog Report 2026'!$A:$A,0)),IFERROR(INDEX('Q3 Backlog Report 2026'!$K:$K,MATCH($A10,'Q3 Backlog Report 2026'!$A:$A,0)),IFERROR(INDEX('Q4 Backlog Report 2026'!$K:$K,MATCH($A10,'Q4 Backlog Report 2026'!$A:$A,0)),"")))))</f>
        <v>0</v>
      </c>
    </row>
    <row r="11" customFormat="false" ht="15" hidden="false" customHeight="true" outlineLevel="0" collapsed="false">
      <c r="A11" s="5" t="s">
        <v>318</v>
      </c>
      <c r="B11" s="5" t="str">
        <f aca="false">IFERROR(INDEX(Backlog[Stream],MATCH($A11,Backlog[Requirement ID],0)),IFERROR(INDEX('Q1 Backlog Report 2026'!$D:$D,MATCH($A11,'Q1 Backlog Report 2026'!$A:$A,0)),IFERROR(INDEX('Q2 Backlog Report 2026'!$D:$D,MATCH($A11,'Q2 Backlog Report 2026'!$A:$A,0)),IFERROR(INDEX('Q3 Backlog Report 2026'!$D:$D,MATCH($A11,'Q3 Backlog Report 2026'!$A:$A,0)),IFERROR(INDEX('Q4 Backlog Report 2026'!$D:$D,MATCH($A11,'Q4 Backlog Report 2026'!$A:$A,0)),"")))))</f>
        <v>PI10</v>
      </c>
      <c r="C11" s="5" t="str">
        <f aca="false">IFERROR(INDEX(Backlog[Stream Owner],MATCH($A11,Backlog[Requirement ID],0)),IFERROR(INDEX('Q1 Backlog Report 2026'!$E:$E,MATCH($A11,'Q1 Backlog Report 2026'!$A:$A,0)),IFERROR(INDEX('Q2 Backlog Report 2026'!$E:$E,MATCH($A11,'Q2 Backlog Report 2026'!$A:$A,0)),IFERROR(INDEX('Q3 Backlog Report 2026'!$E:$E,MATCH($A11,'Q3 Backlog Report 2026'!$A:$A,0)),IFERROR(INDEX('Q4 Backlog Report 2026'!$E:$E,MATCH($A11,'Q4 Backlog Report 2026'!$A:$A,0)),"")))))</f>
        <v>M4M</v>
      </c>
      <c r="D11" s="5" t="str">
        <f aca="false">IFERROR(INDEX(Backlog[Sprint],MATCH($A11,Backlog[Requirement ID],0)),IFERROR(INDEX('Q1 Backlog Report 2026'!$I:$I,MATCH($A11,'Q1 Backlog Report 2026'!$A:$A,0)),IFERROR(INDEX('Q2 Backlog Report 2026'!$I:$I,MATCH($A11,'Q2 Backlog Report 2026'!$A:$A,0)),IFERROR(INDEX('Q3 Backlog Report 2026'!$I:$I,MATCH($A11,'Q3 Backlog Report 2026'!$A:$A,0)),IFERROR(INDEX('Q4 Backlog Report 2026'!$I:$I,MATCH($A11,'Q4 Backlog Report 2026'!$A:$A,0)),"")))))</f>
        <v>To Plan</v>
      </c>
      <c r="E11" s="5" t="str">
        <f aca="false">IFERROR(INDEX(Backlog[Jira Link],MATCH($A11,Backlog[Requirement ID],0)),IFERROR(INDEX('Q1 Backlog Report 2026'!$G:$G,MATCH($A11,'Q1 Backlog Report 2026'!$A:$A,0)),IFERROR(INDEX('Q2 Backlog Report 2026'!$G:$G,MATCH($A11,'Q2 Backlog Report 2026'!$A:$A,0)),IFERROR(INDEX('Q3 Backlog Report 2026'!$G:$G,MATCH($A11,'Q3 Backlog Report 2026'!$A:$A,0)),IFERROR(INDEX('Q4 Backlog Report 2026'!$G:$G,MATCH($A11,'Q4 Backlog Report 2026'!$A:$A,0)),"")))))</f>
        <v>https://smartship.atlassian.net/browse/DTTP25-41728</v>
      </c>
      <c r="F11" s="5" t="str">
        <f aca="false">IFERROR(INDEX(Backlog[Requirement Name],MATCH($A11,Backlog[Requirement ID],0)),IFERROR(INDEX('Q1 Backlog Report 2026'!$B:$B,MATCH($A11,'Q1 Backlog Report 2026'!$A:$A,0)),IFERROR(INDEX('Q2 Backlog Report 2026'!$B:$B,MATCH($A11,'Q2 Backlog Report 2026'!$A:$A,0)),IFERROR(INDEX('Q3 Backlog Report 2026'!$B:$B,MATCH($A11,'Q3 Backlog Report 2026'!$A:$A,0)),IFERROR(INDEX('Q4 Backlog Report 2026'!$B:$B,MATCH($A11,'Q4 Backlog Report 2026'!$A:$A,0)),"")))))</f>
        <v>[EINT][INT187][INT139][INT145] - Remove phone number mapping from Datatrans transaction creation</v>
      </c>
      <c r="G11" s="5" t="str">
        <f aca="false">IFERROR(INDEX(Backlog[Status],MATCH($A11,Backlog[Requirement ID],0)),IFERROR(INDEX('Q1 Backlog Report 2026'!$F:$F,MATCH($A11,'Q1 Backlog Report 2026'!$A:$A,0)),IFERROR(INDEX('Q2 Backlog Report 2026'!$F:$F,MATCH($A11,'Q2 Backlog Report 2026'!$A:$A,0)),IFERROR(INDEX('Q3 Backlog Report 2026'!$F:$F,MATCH($A11,'Q3 Backlog Report 2026'!$A:$A,0)),IFERROR(INDEX('Q4 Backlog Report 2026'!$F:$F,MATCH($A11,'Q4 Backlog Report 2026'!$A:$A,0)),"")))))</f>
        <v>NEW</v>
      </c>
      <c r="H11" s="5" t="n">
        <f aca="false">IFERROR(INDEX(Backlog[HLE],MATCH($A11,Backlog[Requirement ID],0)),IFERROR(INDEX('Q1 Backlog Report 2026'!$K:$K,MATCH($A11,'Q1 Backlog Report 2026'!$A:$A,0)),IFERROR(INDEX('Q2 Backlog Report 2026'!$K:$K,MATCH($A11,'Q2 Backlog Report 2026'!$A:$A,0)),IFERROR(INDEX('Q3 Backlog Report 2026'!$K:$K,MATCH($A11,'Q3 Backlog Report 2026'!$A:$A,0)),IFERROR(INDEX('Q4 Backlog Report 2026'!$K:$K,MATCH($A11,'Q4 Backlog Report 2026'!$A:$A,0)),"")))))</f>
        <v>0</v>
      </c>
    </row>
    <row r="12" customFormat="false" ht="15" hidden="false" customHeight="true" outlineLevel="0" collapsed="false">
      <c r="A12" s="5" t="s">
        <v>321</v>
      </c>
      <c r="B12" s="5" t="str">
        <f aca="false">IFERROR(INDEX(Backlog[Stream],MATCH($A12,Backlog[Requirement ID],0)),IFERROR(INDEX('Q1 Backlog Report 2026'!$D:$D,MATCH($A12,'Q1 Backlog Report 2026'!$A:$A,0)),IFERROR(INDEX('Q2 Backlog Report 2026'!$D:$D,MATCH($A12,'Q2 Backlog Report 2026'!$A:$A,0)),IFERROR(INDEX('Q3 Backlog Report 2026'!$D:$D,MATCH($A12,'Q3 Backlog Report 2026'!$A:$A,0)),IFERROR(INDEX('Q4 Backlog Report 2026'!$D:$D,MATCH($A12,'Q4 Backlog Report 2026'!$A:$A,0)),"")))))</f>
        <v>PI10</v>
      </c>
      <c r="C12" s="5" t="str">
        <f aca="false">IFERROR(INDEX(Backlog[Stream Owner],MATCH($A12,Backlog[Requirement ID],0)),IFERROR(INDEX('Q1 Backlog Report 2026'!$E:$E,MATCH($A12,'Q1 Backlog Report 2026'!$A:$A,0)),IFERROR(INDEX('Q2 Backlog Report 2026'!$E:$E,MATCH($A12,'Q2 Backlog Report 2026'!$A:$A,0)),IFERROR(INDEX('Q3 Backlog Report 2026'!$E:$E,MATCH($A12,'Q3 Backlog Report 2026'!$A:$A,0)),IFERROR(INDEX('Q4 Backlog Report 2026'!$E:$E,MATCH($A12,'Q4 Backlog Report 2026'!$A:$A,0)),"")))))</f>
        <v>M4M</v>
      </c>
      <c r="D12" s="5" t="str">
        <f aca="false">IFERROR(INDEX(Backlog[Sprint],MATCH($A12,Backlog[Requirement ID],0)),IFERROR(INDEX('Q1 Backlog Report 2026'!$I:$I,MATCH($A12,'Q1 Backlog Report 2026'!$A:$A,0)),IFERROR(INDEX('Q2 Backlog Report 2026'!$I:$I,MATCH($A12,'Q2 Backlog Report 2026'!$A:$A,0)),IFERROR(INDEX('Q3 Backlog Report 2026'!$I:$I,MATCH($A12,'Q3 Backlog Report 2026'!$A:$A,0)),IFERROR(INDEX('Q4 Backlog Report 2026'!$I:$I,MATCH($A12,'Q4 Backlog Report 2026'!$A:$A,0)),"")))))</f>
        <v>To Plan</v>
      </c>
      <c r="E12" s="5" t="str">
        <f aca="false">IFERROR(INDEX(Backlog[Jira Link],MATCH($A12,Backlog[Requirement ID],0)),IFERROR(INDEX('Q1 Backlog Report 2026'!$G:$G,MATCH($A12,'Q1 Backlog Report 2026'!$A:$A,0)),IFERROR(INDEX('Q2 Backlog Report 2026'!$G:$G,MATCH($A12,'Q2 Backlog Report 2026'!$A:$A,0)),IFERROR(INDEX('Q3 Backlog Report 2026'!$G:$G,MATCH($A12,'Q3 Backlog Report 2026'!$A:$A,0)),IFERROR(INDEX('Q4 Backlog Report 2026'!$G:$G,MATCH($A12,'Q4 Backlog Report 2026'!$A:$A,0)),"")))))</f>
        <v>https://smartship.atlassian.net/browse/DTTP25-41730</v>
      </c>
      <c r="F12" s="5" t="str">
        <f aca="false">IFERROR(INDEX(Backlog[Requirement Name],MATCH($A12,Backlog[Requirement ID],0)),IFERROR(INDEX('Q1 Backlog Report 2026'!$B:$B,MATCH($A12,'Q1 Backlog Report 2026'!$A:$A,0)),IFERROR(INDEX('Q2 Backlog Report 2026'!$B:$B,MATCH($A12,'Q2 Backlog Report 2026'!$A:$A,0)),IFERROR(INDEX('Q3 Backlog Report 2026'!$B:$B,MATCH($A12,'Q3 Backlog Report 2026'!$A:$A,0)),IFERROR(INDEX('Q4 Backlog Report 2026'!$B:$B,MATCH($A12,'Q4 Backlog Report 2026'!$A:$A,0)),"")))))</f>
        <v>[EINT][INT139][INT140][INT187][INT188] - Fix PromoCodeData coupon/discount code field mapping</v>
      </c>
      <c r="G12" s="5" t="str">
        <f aca="false">IFERROR(INDEX(Backlog[Status],MATCH($A12,Backlog[Requirement ID],0)),IFERROR(INDEX('Q1 Backlog Report 2026'!$F:$F,MATCH($A12,'Q1 Backlog Report 2026'!$A:$A,0)),IFERROR(INDEX('Q2 Backlog Report 2026'!$F:$F,MATCH($A12,'Q2 Backlog Report 2026'!$A:$A,0)),IFERROR(INDEX('Q3 Backlog Report 2026'!$F:$F,MATCH($A12,'Q3 Backlog Report 2026'!$A:$A,0)),IFERROR(INDEX('Q4 Backlog Report 2026'!$F:$F,MATCH($A12,'Q4 Backlog Report 2026'!$A:$A,0)),"")))))</f>
        <v>NEW</v>
      </c>
      <c r="H12" s="5" t="n">
        <f aca="false">IFERROR(INDEX(Backlog[HLE],MATCH($A12,Backlog[Requirement ID],0)),IFERROR(INDEX('Q1 Backlog Report 2026'!$K:$K,MATCH($A12,'Q1 Backlog Report 2026'!$A:$A,0)),IFERROR(INDEX('Q2 Backlog Report 2026'!$K:$K,MATCH($A12,'Q2 Backlog Report 2026'!$A:$A,0)),IFERROR(INDEX('Q3 Backlog Report 2026'!$K:$K,MATCH($A12,'Q3 Backlog Report 2026'!$A:$A,0)),IFERROR(INDEX('Q4 Backlog Report 2026'!$K:$K,MATCH($A12,'Q4 Backlog Report 2026'!$A:$A,0)),"")))))</f>
        <v>0</v>
      </c>
    </row>
    <row r="13" customFormat="false" ht="15" hidden="false" customHeight="true" outlineLevel="0" collapsed="false">
      <c r="A13" s="5" t="s">
        <v>324</v>
      </c>
      <c r="B13" s="5" t="str">
        <f aca="false">IFERROR(INDEX(Backlog[Stream],MATCH($A13,Backlog[Requirement ID],0)),IFERROR(INDEX('Q1 Backlog Report 2026'!$D:$D,MATCH($A13,'Q1 Backlog Report 2026'!$A:$A,0)),IFERROR(INDEX('Q2 Backlog Report 2026'!$D:$D,MATCH($A13,'Q2 Backlog Report 2026'!$A:$A,0)),IFERROR(INDEX('Q3 Backlog Report 2026'!$D:$D,MATCH($A13,'Q3 Backlog Report 2026'!$A:$A,0)),IFERROR(INDEX('Q4 Backlog Report 2026'!$D:$D,MATCH($A13,'Q4 Backlog Report 2026'!$A:$A,0)),"")))))</f>
        <v>PI10</v>
      </c>
      <c r="C13" s="5" t="str">
        <f aca="false">IFERROR(INDEX(Backlog[Stream Owner],MATCH($A13,Backlog[Requirement ID],0)),IFERROR(INDEX('Q1 Backlog Report 2026'!$E:$E,MATCH($A13,'Q1 Backlog Report 2026'!$A:$A,0)),IFERROR(INDEX('Q2 Backlog Report 2026'!$E:$E,MATCH($A13,'Q2 Backlog Report 2026'!$A:$A,0)),IFERROR(INDEX('Q3 Backlog Report 2026'!$E:$E,MATCH($A13,'Q3 Backlog Report 2026'!$A:$A,0)),IFERROR(INDEX('Q4 Backlog Report 2026'!$E:$E,MATCH($A13,'Q4 Backlog Report 2026'!$A:$A,0)),"")))))</f>
        <v>M4M</v>
      </c>
      <c r="D13" s="5" t="str">
        <f aca="false">IFERROR(INDEX(Backlog[Sprint],MATCH($A13,Backlog[Requirement ID],0)),IFERROR(INDEX('Q1 Backlog Report 2026'!$I:$I,MATCH($A13,'Q1 Backlog Report 2026'!$A:$A,0)),IFERROR(INDEX('Q2 Backlog Report 2026'!$I:$I,MATCH($A13,'Q2 Backlog Report 2026'!$A:$A,0)),IFERROR(INDEX('Q3 Backlog Report 2026'!$I:$I,MATCH($A13,'Q3 Backlog Report 2026'!$A:$A,0)),IFERROR(INDEX('Q4 Backlog Report 2026'!$I:$I,MATCH($A13,'Q4 Backlog Report 2026'!$A:$A,0)),"")))))</f>
        <v>To Plan</v>
      </c>
      <c r="E13" s="5" t="str">
        <f aca="false">IFERROR(INDEX(Backlog[Jira Link],MATCH($A13,Backlog[Requirement ID],0)),IFERROR(INDEX('Q1 Backlog Report 2026'!$G:$G,MATCH($A13,'Q1 Backlog Report 2026'!$A:$A,0)),IFERROR(INDEX('Q2 Backlog Report 2026'!$G:$G,MATCH($A13,'Q2 Backlog Report 2026'!$A:$A,0)),IFERROR(INDEX('Q3 Backlog Report 2026'!$G:$G,MATCH($A13,'Q3 Backlog Report 2026'!$A:$A,0)),IFERROR(INDEX('Q4 Backlog Report 2026'!$G:$G,MATCH($A13,'Q4 Backlog Report 2026'!$A:$A,0)),"")))))</f>
        <v>https://smartship.atlassian.net/browse/DTTP25-41725</v>
      </c>
      <c r="F13" s="5" t="str">
        <f aca="false">IFERROR(INDEX(Backlog[Requirement Name],MATCH($A13,Backlog[Requirement ID],0)),IFERROR(INDEX('Q1 Backlog Report 2026'!$B:$B,MATCH($A13,'Q1 Backlog Report 2026'!$A:$A,0)),IFERROR(INDEX('Q2 Backlog Report 2026'!$B:$B,MATCH($A13,'Q2 Backlog Report 2026'!$A:$A,0)),IFERROR(INDEX('Q3 Backlog Report 2026'!$B:$B,MATCH($A13,'Q3 Backlog Report 2026'!$A:$A,0)),IFERROR(INDEX('Q4 Backlog Report 2026'!$B:$B,MATCH($A13,'Q4 Backlog Report 2026'!$A:$A,0)),"")))))</f>
        <v>[EINT][INT139][INT187][INT140][INT188] - Improve error handling: BKGREQ_098, BKGREQ_050, PPI_DRIPR_11</v>
      </c>
      <c r="G13" s="5" t="str">
        <f aca="false">IFERROR(INDEX(Backlog[Status],MATCH($A13,Backlog[Requirement ID],0)),IFERROR(INDEX('Q1 Backlog Report 2026'!$F:$F,MATCH($A13,'Q1 Backlog Report 2026'!$A:$A,0)),IFERROR(INDEX('Q2 Backlog Report 2026'!$F:$F,MATCH($A13,'Q2 Backlog Report 2026'!$A:$A,0)),IFERROR(INDEX('Q3 Backlog Report 2026'!$F:$F,MATCH($A13,'Q3 Backlog Report 2026'!$A:$A,0)),IFERROR(INDEX('Q4 Backlog Report 2026'!$F:$F,MATCH($A13,'Q4 Backlog Report 2026'!$A:$A,0)),"")))))</f>
        <v>NEW</v>
      </c>
      <c r="H13" s="5" t="n">
        <f aca="false">IFERROR(INDEX(Backlog[HLE],MATCH($A13,Backlog[Requirement ID],0)),IFERROR(INDEX('Q1 Backlog Report 2026'!$K:$K,MATCH($A13,'Q1 Backlog Report 2026'!$A:$A,0)),IFERROR(INDEX('Q2 Backlog Report 2026'!$K:$K,MATCH($A13,'Q2 Backlog Report 2026'!$A:$A,0)),IFERROR(INDEX('Q3 Backlog Report 2026'!$K:$K,MATCH($A13,'Q3 Backlog Report 2026'!$A:$A,0)),IFERROR(INDEX('Q4 Backlog Report 2026'!$K:$K,MATCH($A13,'Q4 Backlog Report 2026'!$A:$A,0)),"")))))</f>
        <v>0</v>
      </c>
    </row>
    <row r="14" customFormat="false" ht="15" hidden="false" customHeight="true" outlineLevel="0" collapsed="false">
      <c r="A14" s="5" t="s">
        <v>326</v>
      </c>
      <c r="B14" s="5" t="str">
        <f aca="false">IFERROR(INDEX(Backlog[Stream],MATCH($A14,Backlog[Requirement ID],0)),IFERROR(INDEX('Q1 Backlog Report 2026'!$D:$D,MATCH($A14,'Q1 Backlog Report 2026'!$A:$A,0)),IFERROR(INDEX('Q2 Backlog Report 2026'!$D:$D,MATCH($A14,'Q2 Backlog Report 2026'!$A:$A,0)),IFERROR(INDEX('Q3 Backlog Report 2026'!$D:$D,MATCH($A14,'Q3 Backlog Report 2026'!$A:$A,0)),IFERROR(INDEX('Q4 Backlog Report 2026'!$D:$D,MATCH($A14,'Q4 Backlog Report 2026'!$A:$A,0)),"")))))</f>
        <v>PI11</v>
      </c>
      <c r="C14" s="5" t="str">
        <f aca="false">IFERROR(INDEX(Backlog[Stream Owner],MATCH($A14,Backlog[Requirement ID],0)),IFERROR(INDEX('Q1 Backlog Report 2026'!$E:$E,MATCH($A14,'Q1 Backlog Report 2026'!$A:$A,0)),IFERROR(INDEX('Q2 Backlog Report 2026'!$E:$E,MATCH($A14,'Q2 Backlog Report 2026'!$A:$A,0)),IFERROR(INDEX('Q3 Backlog Report 2026'!$E:$E,MATCH($A14,'Q3 Backlog Report 2026'!$A:$A,0)),IFERROR(INDEX('Q4 Backlog Report 2026'!$E:$E,MATCH($A14,'Q4 Backlog Report 2026'!$A:$A,0)),"")))))</f>
        <v>B2CW</v>
      </c>
      <c r="D14" s="5" t="str">
        <f aca="false">IFERROR(INDEX(Backlog[Sprint],MATCH($A14,Backlog[Requirement ID],0)),IFERROR(INDEX('Q1 Backlog Report 2026'!$I:$I,MATCH($A14,'Q1 Backlog Report 2026'!$A:$A,0)),IFERROR(INDEX('Q2 Backlog Report 2026'!$I:$I,MATCH($A14,'Q2 Backlog Report 2026'!$A:$A,0)),IFERROR(INDEX('Q3 Backlog Report 2026'!$I:$I,MATCH($A14,'Q3 Backlog Report 2026'!$A:$A,0)),IFERROR(INDEX('Q4 Backlog Report 2026'!$I:$I,MATCH($A14,'Q4 Backlog Report 2026'!$A:$A,0)),"")))))</f>
        <v>To Plan</v>
      </c>
      <c r="E14" s="5" t="n">
        <f aca="false">IFERROR(INDEX(Backlog[Jira Link],MATCH($A14,Backlog[Requirement ID],0)),IFERROR(INDEX('Q1 Backlog Report 2026'!$G:$G,MATCH($A14,'Q1 Backlog Report 2026'!$A:$A,0)),IFERROR(INDEX('Q2 Backlog Report 2026'!$G:$G,MATCH($A14,'Q2 Backlog Report 2026'!$A:$A,0)),IFERROR(INDEX('Q3 Backlog Report 2026'!$G:$G,MATCH($A14,'Q3 Backlog Report 2026'!$A:$A,0)),IFERROR(INDEX('Q4 Backlog Report 2026'!$G:$G,MATCH($A14,'Q4 Backlog Report 2026'!$A:$A,0)),"")))))</f>
        <v>0</v>
      </c>
      <c r="F14" s="5" t="str">
        <f aca="false">IFERROR(INDEX(Backlog[Requirement Name],MATCH($A14,Backlog[Requirement ID],0)),IFERROR(INDEX('Q1 Backlog Report 2026'!$B:$B,MATCH($A14,'Q1 Backlog Report 2026'!$A:$A,0)),IFERROR(INDEX('Q2 Backlog Report 2026'!$B:$B,MATCH($A14,'Q2 Backlog Report 2026'!$A:$A,0)),IFERROR(INDEX('Q3 Backlog Report 2026'!$B:$B,MATCH($A14,'Q3 Backlog Report 2026'!$A:$A,0)),IFERROR(INDEX('Q4 Backlog Report 2026'!$B:$B,MATCH($A14,'Q4 Backlog Report 2026'!$A:$A,0)),"")))))</f>
        <v>PI11-07 [B2C] Hold Option (Placeholder - MuleSoft should not be involved)</v>
      </c>
      <c r="G14" s="5" t="str">
        <f aca="false">IFERROR(INDEX(Backlog[Status],MATCH($A14,Backlog[Requirement ID],0)),IFERROR(INDEX('Q1 Backlog Report 2026'!$F:$F,MATCH($A14,'Q1 Backlog Report 2026'!$A:$A,0)),IFERROR(INDEX('Q2 Backlog Report 2026'!$F:$F,MATCH($A14,'Q2 Backlog Report 2026'!$A:$A,0)),IFERROR(INDEX('Q3 Backlog Report 2026'!$F:$F,MATCH($A14,'Q3 Backlog Report 2026'!$A:$A,0)),IFERROR(INDEX('Q4 Backlog Report 2026'!$F:$F,MATCH($A14,'Q4 Backlog Report 2026'!$A:$A,0)),"")))))</f>
        <v>NEW</v>
      </c>
      <c r="H14" s="5" t="n">
        <f aca="false">IFERROR(INDEX(Backlog[HLE],MATCH($A14,Backlog[Requirement ID],0)),IFERROR(INDEX('Q1 Backlog Report 2026'!$K:$K,MATCH($A14,'Q1 Backlog Report 2026'!$A:$A,0)),IFERROR(INDEX('Q2 Backlog Report 2026'!$K:$K,MATCH($A14,'Q2 Backlog Report 2026'!$A:$A,0)),IFERROR(INDEX('Q3 Backlog Report 2026'!$K:$K,MATCH($A14,'Q3 Backlog Report 2026'!$A:$A,0)),IFERROR(INDEX('Q4 Backlog Report 2026'!$K:$K,MATCH($A14,'Q4 Backlog Report 2026'!$A:$A,0)),"")))))</f>
        <v>0</v>
      </c>
      <c r="I14" s="81" t="s">
        <v>812</v>
      </c>
      <c r="J14" s="81" t="s">
        <v>812</v>
      </c>
      <c r="K14" s="81" t="s">
        <v>813</v>
      </c>
    </row>
    <row r="15" customFormat="false" ht="15" hidden="false" customHeight="true" outlineLevel="0" collapsed="false">
      <c r="A15" s="5" t="s">
        <v>329</v>
      </c>
      <c r="B15" s="5" t="str">
        <f aca="false">IFERROR(INDEX(Backlog[Stream],MATCH($A15,Backlog[Requirement ID],0)),IFERROR(INDEX('Q1 Backlog Report 2026'!$D:$D,MATCH($A15,'Q1 Backlog Report 2026'!$A:$A,0)),IFERROR(INDEX('Q2 Backlog Report 2026'!$D:$D,MATCH($A15,'Q2 Backlog Report 2026'!$A:$A,0)),IFERROR(INDEX('Q3 Backlog Report 2026'!$D:$D,MATCH($A15,'Q3 Backlog Report 2026'!$A:$A,0)),IFERROR(INDEX('Q4 Backlog Report 2026'!$D:$D,MATCH($A15,'Q4 Backlog Report 2026'!$A:$A,0)),"")))))</f>
        <v>PI11</v>
      </c>
      <c r="C15" s="5" t="str">
        <f aca="false">IFERROR(INDEX(Backlog[Stream Owner],MATCH($A15,Backlog[Requirement ID],0)),IFERROR(INDEX('Q1 Backlog Report 2026'!$E:$E,MATCH($A15,'Q1 Backlog Report 2026'!$A:$A,0)),IFERROR(INDEX('Q2 Backlog Report 2026'!$E:$E,MATCH($A15,'Q2 Backlog Report 2026'!$A:$A,0)),IFERROR(INDEX('Q3 Backlog Report 2026'!$E:$E,MATCH($A15,'Q3 Backlog Report 2026'!$A:$A,0)),IFERROR(INDEX('Q4 Backlog Report 2026'!$E:$E,MATCH($A15,'Q4 Backlog Report 2026'!$A:$A,0)),"")))))</f>
        <v>B2CW</v>
      </c>
      <c r="D15" s="5" t="str">
        <f aca="false">IFERROR(INDEX(Backlog[Sprint],MATCH($A15,Backlog[Requirement ID],0)),IFERROR(INDEX('Q1 Backlog Report 2026'!$I:$I,MATCH($A15,'Q1 Backlog Report 2026'!$A:$A,0)),IFERROR(INDEX('Q2 Backlog Report 2026'!$I:$I,MATCH($A15,'Q2 Backlog Report 2026'!$A:$A,0)),IFERROR(INDEX('Q3 Backlog Report 2026'!$I:$I,MATCH($A15,'Q3 Backlog Report 2026'!$A:$A,0)),IFERROR(INDEX('Q4 Backlog Report 2026'!$I:$I,MATCH($A15,'Q4 Backlog Report 2026'!$A:$A,0)),"")))))</f>
        <v>To Plan</v>
      </c>
      <c r="E15" s="5" t="str">
        <f aca="false">IFERROR(INDEX(Backlog[Jira Link],MATCH($A15,Backlog[Requirement ID],0)),IFERROR(INDEX('Q1 Backlog Report 2026'!$G:$G,MATCH($A15,'Q1 Backlog Report 2026'!$A:$A,0)),IFERROR(INDEX('Q2 Backlog Report 2026'!$G:$G,MATCH($A15,'Q2 Backlog Report 2026'!$A:$A,0)),IFERROR(INDEX('Q3 Backlog Report 2026'!$G:$G,MATCH($A15,'Q3 Backlog Report 2026'!$A:$A,0)),IFERROR(INDEX('Q4 Backlog Report 2026'!$G:$G,MATCH($A15,'Q4 Backlog Report 2026'!$A:$A,0)),"")))))</f>
        <v>https://smartship.atlassian.net/browse/DTTP25-41932</v>
      </c>
      <c r="F15" s="5" t="str">
        <f aca="false">IFERROR(INDEX(Backlog[Requirement Name],MATCH($A15,Backlog[Requirement ID],0)),IFERROR(INDEX('Q1 Backlog Report 2026'!$B:$B,MATCH($A15,'Q1 Backlog Report 2026'!$A:$A,0)),IFERROR(INDEX('Q2 Backlog Report 2026'!$B:$B,MATCH($A15,'Q2 Backlog Report 2026'!$A:$A,0)),IFERROR(INDEX('Q3 Backlog Report 2026'!$B:$B,MATCH($A15,'Q3 Backlog Report 2026'!$A:$A,0)),IFERROR(INDEX('Q4 Backlog Report 2026'!$B:$B,MATCH($A15,'Q4 Backlog Report 2026'!$A:$A,0)),"")))))</f>
        <v>PI11-04 [B2C] Post Cruise Complaint Form Part 2 (Multiple Attachment) - DTTP25-38913</v>
      </c>
      <c r="G15" s="5" t="str">
        <f aca="false">IFERROR(INDEX(Backlog[Status],MATCH($A15,Backlog[Requirement ID],0)),IFERROR(INDEX('Q1 Backlog Report 2026'!$F:$F,MATCH($A15,'Q1 Backlog Report 2026'!$A:$A,0)),IFERROR(INDEX('Q2 Backlog Report 2026'!$F:$F,MATCH($A15,'Q2 Backlog Report 2026'!$A:$A,0)),IFERROR(INDEX('Q3 Backlog Report 2026'!$F:$F,MATCH($A15,'Q3 Backlog Report 2026'!$A:$A,0)),IFERROR(INDEX('Q4 Backlog Report 2026'!$F:$F,MATCH($A15,'Q4 Backlog Report 2026'!$A:$A,0)),"")))))</f>
        <v>NEW</v>
      </c>
      <c r="H15" s="5" t="n">
        <f aca="false">IFERROR(INDEX(Backlog[HLE],MATCH($A15,Backlog[Requirement ID],0)),IFERROR(INDEX('Q1 Backlog Report 2026'!$K:$K,MATCH($A15,'Q1 Backlog Report 2026'!$A:$A,0)),IFERROR(INDEX('Q2 Backlog Report 2026'!$K:$K,MATCH($A15,'Q2 Backlog Report 2026'!$A:$A,0)),IFERROR(INDEX('Q3 Backlog Report 2026'!$K:$K,MATCH($A15,'Q3 Backlog Report 2026'!$A:$A,0)),IFERROR(INDEX('Q4 Backlog Report 2026'!$K:$K,MATCH($A15,'Q4 Backlog Report 2026'!$A:$A,0)),"")))))</f>
        <v>21</v>
      </c>
      <c r="I15" s="81" t="s">
        <v>814</v>
      </c>
      <c r="J15" s="81" t="s">
        <v>815</v>
      </c>
      <c r="K15" s="81" t="s">
        <v>816</v>
      </c>
    </row>
    <row r="16" customFormat="false" ht="15" hidden="false" customHeight="true" outlineLevel="0" collapsed="false">
      <c r="A16" s="5" t="s">
        <v>332</v>
      </c>
      <c r="B16" s="5" t="str">
        <f aca="false">IFERROR(INDEX(Backlog[Stream],MATCH($A16,Backlog[Requirement ID],0)),IFERROR(INDEX('Q1 Backlog Report 2026'!$D:$D,MATCH($A16,'Q1 Backlog Report 2026'!$A:$A,0)),IFERROR(INDEX('Q2 Backlog Report 2026'!$D:$D,MATCH($A16,'Q2 Backlog Report 2026'!$A:$A,0)),IFERROR(INDEX('Q3 Backlog Report 2026'!$D:$D,MATCH($A16,'Q3 Backlog Report 2026'!$A:$A,0)),IFERROR(INDEX('Q4 Backlog Report 2026'!$D:$D,MATCH($A16,'Q4 Backlog Report 2026'!$A:$A,0)),"")))))</f>
        <v>PI11</v>
      </c>
      <c r="C16" s="5" t="str">
        <f aca="false">IFERROR(INDEX(Backlog[Stream Owner],MATCH($A16,Backlog[Requirement ID],0)),IFERROR(INDEX('Q1 Backlog Report 2026'!$E:$E,MATCH($A16,'Q1 Backlog Report 2026'!$A:$A,0)),IFERROR(INDEX('Q2 Backlog Report 2026'!$E:$E,MATCH($A16,'Q2 Backlog Report 2026'!$A:$A,0)),IFERROR(INDEX('Q3 Backlog Report 2026'!$E:$E,MATCH($A16,'Q3 Backlog Report 2026'!$A:$A,0)),IFERROR(INDEX('Q4 Backlog Report 2026'!$E:$E,MATCH($A16,'Q4 Backlog Report 2026'!$A:$A,0)),"")))))</f>
        <v>B2CW</v>
      </c>
      <c r="D16" s="5" t="str">
        <f aca="false">IFERROR(INDEX(Backlog[Sprint],MATCH($A16,Backlog[Requirement ID],0)),IFERROR(INDEX('Q1 Backlog Report 2026'!$I:$I,MATCH($A16,'Q1 Backlog Report 2026'!$A:$A,0)),IFERROR(INDEX('Q2 Backlog Report 2026'!$I:$I,MATCH($A16,'Q2 Backlog Report 2026'!$A:$A,0)),IFERROR(INDEX('Q3 Backlog Report 2026'!$I:$I,MATCH($A16,'Q3 Backlog Report 2026'!$A:$A,0)),IFERROR(INDEX('Q4 Backlog Report 2026'!$I:$I,MATCH($A16,'Q4 Backlog Report 2026'!$A:$A,0)),"")))))</f>
        <v>To Plan</v>
      </c>
      <c r="E16" s="5" t="str">
        <f aca="false">IFERROR(INDEX(Backlog[Jira Link],MATCH($A16,Backlog[Requirement ID],0)),IFERROR(INDEX('Q1 Backlog Report 2026'!$G:$G,MATCH($A16,'Q1 Backlog Report 2026'!$A:$A,0)),IFERROR(INDEX('Q2 Backlog Report 2026'!$G:$G,MATCH($A16,'Q2 Backlog Report 2026'!$A:$A,0)),IFERROR(INDEX('Q3 Backlog Report 2026'!$G:$G,MATCH($A16,'Q3 Backlog Report 2026'!$A:$A,0)),IFERROR(INDEX('Q4 Backlog Report 2026'!$G:$G,MATCH($A16,'Q4 Backlog Report 2026'!$A:$A,0)),"")))))</f>
        <v>https://smartship.atlassian.net/browse/DTTP25-41933</v>
      </c>
      <c r="F16" s="5" t="str">
        <f aca="false">IFERROR(INDEX(Backlog[Requirement Name],MATCH($A16,Backlog[Requirement ID],0)),IFERROR(INDEX('Q1 Backlog Report 2026'!$B:$B,MATCH($A16,'Q1 Backlog Report 2026'!$A:$A,0)),IFERROR(INDEX('Q2 Backlog Report 2026'!$B:$B,MATCH($A16,'Q2 Backlog Report 2026'!$A:$A,0)),IFERROR(INDEX('Q3 Backlog Report 2026'!$B:$B,MATCH($A16,'Q3 Backlog Report 2026'!$A:$A,0)),IFERROR(INDEX('Q4 Backlog Report 2026'!$B:$B,MATCH($A16,'Q4 Backlog Report 2026'!$A:$A,0)),"")))))</f>
        <v>PI11-05 [B2C] Accessibility Form - DTTP25-38914</v>
      </c>
      <c r="G16" s="5" t="str">
        <f aca="false">IFERROR(INDEX(Backlog[Status],MATCH($A16,Backlog[Requirement ID],0)),IFERROR(INDEX('Q1 Backlog Report 2026'!$F:$F,MATCH($A16,'Q1 Backlog Report 2026'!$A:$A,0)),IFERROR(INDEX('Q2 Backlog Report 2026'!$F:$F,MATCH($A16,'Q2 Backlog Report 2026'!$A:$A,0)),IFERROR(INDEX('Q3 Backlog Report 2026'!$F:$F,MATCH($A16,'Q3 Backlog Report 2026'!$A:$A,0)),IFERROR(INDEX('Q4 Backlog Report 2026'!$F:$F,MATCH($A16,'Q4 Backlog Report 2026'!$A:$A,0)),"")))))</f>
        <v>NEW</v>
      </c>
      <c r="H16" s="5" t="n">
        <f aca="false">IFERROR(INDEX(Backlog[HLE],MATCH($A16,Backlog[Requirement ID],0)),IFERROR(INDEX('Q1 Backlog Report 2026'!$K:$K,MATCH($A16,'Q1 Backlog Report 2026'!$A:$A,0)),IFERROR(INDEX('Q2 Backlog Report 2026'!$K:$K,MATCH($A16,'Q2 Backlog Report 2026'!$A:$A,0)),IFERROR(INDEX('Q3 Backlog Report 2026'!$K:$K,MATCH($A16,'Q3 Backlog Report 2026'!$A:$A,0)),IFERROR(INDEX('Q4 Backlog Report 2026'!$K:$K,MATCH($A16,'Q4 Backlog Report 2026'!$A:$A,0)),"")))))</f>
        <v>0</v>
      </c>
      <c r="I16" s="81" t="s">
        <v>817</v>
      </c>
      <c r="J16" s="81" t="s">
        <v>817</v>
      </c>
      <c r="K16" s="81" t="s">
        <v>818</v>
      </c>
    </row>
    <row r="17" customFormat="false" ht="15" hidden="false" customHeight="true" outlineLevel="0" collapsed="false">
      <c r="A17" s="5" t="s">
        <v>335</v>
      </c>
      <c r="B17" s="5" t="str">
        <f aca="false">IFERROR(INDEX(Backlog[Stream],MATCH($A17,Backlog[Requirement ID],0)),IFERROR(INDEX('Q1 Backlog Report 2026'!$D:$D,MATCH($A17,'Q1 Backlog Report 2026'!$A:$A,0)),IFERROR(INDEX('Q2 Backlog Report 2026'!$D:$D,MATCH($A17,'Q2 Backlog Report 2026'!$A:$A,0)),IFERROR(INDEX('Q3 Backlog Report 2026'!$D:$D,MATCH($A17,'Q3 Backlog Report 2026'!$A:$A,0)),IFERROR(INDEX('Q4 Backlog Report 2026'!$D:$D,MATCH($A17,'Q4 Backlog Report 2026'!$A:$A,0)),"")))))</f>
        <v>PI11</v>
      </c>
      <c r="C17" s="5" t="str">
        <f aca="false">IFERROR(INDEX(Backlog[Stream Owner],MATCH($A17,Backlog[Requirement ID],0)),IFERROR(INDEX('Q1 Backlog Report 2026'!$E:$E,MATCH($A17,'Q1 Backlog Report 2026'!$A:$A,0)),IFERROR(INDEX('Q2 Backlog Report 2026'!$E:$E,MATCH($A17,'Q2 Backlog Report 2026'!$A:$A,0)),IFERROR(INDEX('Q3 Backlog Report 2026'!$E:$E,MATCH($A17,'Q3 Backlog Report 2026'!$A:$A,0)),IFERROR(INDEX('Q4 Backlog Report 2026'!$E:$E,MATCH($A17,'Q4 Backlog Report 2026'!$A:$A,0)),"")))))</f>
        <v>B2CW</v>
      </c>
      <c r="D17" s="5" t="str">
        <f aca="false">IFERROR(INDEX(Backlog[Sprint],MATCH($A17,Backlog[Requirement ID],0)),IFERROR(INDEX('Q1 Backlog Report 2026'!$I:$I,MATCH($A17,'Q1 Backlog Report 2026'!$A:$A,0)),IFERROR(INDEX('Q2 Backlog Report 2026'!$I:$I,MATCH($A17,'Q2 Backlog Report 2026'!$A:$A,0)),IFERROR(INDEX('Q3 Backlog Report 2026'!$I:$I,MATCH($A17,'Q3 Backlog Report 2026'!$A:$A,0)),IFERROR(INDEX('Q4 Backlog Report 2026'!$I:$I,MATCH($A17,'Q4 Backlog Report 2026'!$A:$A,0)),"")))))</f>
        <v>To Plan</v>
      </c>
      <c r="E17" s="5" t="str">
        <f aca="false">IFERROR(INDEX(Backlog[Jira Link],MATCH($A17,Backlog[Requirement ID],0)),IFERROR(INDEX('Q1 Backlog Report 2026'!$G:$G,MATCH($A17,'Q1 Backlog Report 2026'!$A:$A,0)),IFERROR(INDEX('Q2 Backlog Report 2026'!$G:$G,MATCH($A17,'Q2 Backlog Report 2026'!$A:$A,0)),IFERROR(INDEX('Q3 Backlog Report 2026'!$G:$G,MATCH($A17,'Q3 Backlog Report 2026'!$A:$A,0)),IFERROR(INDEX('Q4 Backlog Report 2026'!$G:$G,MATCH($A17,'Q4 Backlog Report 2026'!$A:$A,0)),"")))))</f>
        <v>https://smartship.atlassian.net/browse/DTTP25-41934</v>
      </c>
      <c r="F17" s="5" t="str">
        <f aca="false">IFERROR(INDEX(Backlog[Requirement Name],MATCH($A17,Backlog[Requirement ID],0)),IFERROR(INDEX('Q1 Backlog Report 2026'!$B:$B,MATCH($A17,'Q1 Backlog Report 2026'!$A:$A,0)),IFERROR(INDEX('Q2 Backlog Report 2026'!$B:$B,MATCH($A17,'Q2 Backlog Report 2026'!$A:$A,0)),IFERROR(INDEX('Q3 Backlog Report 2026'!$B:$B,MATCH($A17,'Q3 Backlog Report 2026'!$A:$A,0)),IFERROR(INDEX('Q4 Backlog Report 2026'!$B:$B,MATCH($A17,'Q4 Backlog Report 2026'!$A:$A,0)),"")))))</f>
        <v>PI11-06 [B2C] Cabin Position - DTTP25-40042</v>
      </c>
      <c r="G17" s="5" t="str">
        <f aca="false">IFERROR(INDEX(Backlog[Status],MATCH($A17,Backlog[Requirement ID],0)),IFERROR(INDEX('Q1 Backlog Report 2026'!$F:$F,MATCH($A17,'Q1 Backlog Report 2026'!$A:$A,0)),IFERROR(INDEX('Q2 Backlog Report 2026'!$F:$F,MATCH($A17,'Q2 Backlog Report 2026'!$A:$A,0)),IFERROR(INDEX('Q3 Backlog Report 2026'!$F:$F,MATCH($A17,'Q3 Backlog Report 2026'!$A:$A,0)),IFERROR(INDEX('Q4 Backlog Report 2026'!$F:$F,MATCH($A17,'Q4 Backlog Report 2026'!$A:$A,0)),"")))))</f>
        <v>NEW</v>
      </c>
      <c r="H17" s="5" t="n">
        <f aca="false">IFERROR(INDEX(Backlog[HLE],MATCH($A17,Backlog[Requirement ID],0)),IFERROR(INDEX('Q1 Backlog Report 2026'!$K:$K,MATCH($A17,'Q1 Backlog Report 2026'!$A:$A,0)),IFERROR(INDEX('Q2 Backlog Report 2026'!$K:$K,MATCH($A17,'Q2 Backlog Report 2026'!$A:$A,0)),IFERROR(INDEX('Q3 Backlog Report 2026'!$K:$K,MATCH($A17,'Q3 Backlog Report 2026'!$A:$A,0)),IFERROR(INDEX('Q4 Backlog Report 2026'!$K:$K,MATCH($A17,'Q4 Backlog Report 2026'!$A:$A,0)),"")))))</f>
        <v>5</v>
      </c>
      <c r="I17" s="81" t="s">
        <v>819</v>
      </c>
      <c r="J17" s="81" t="s">
        <v>819</v>
      </c>
      <c r="K17" s="81" t="s">
        <v>820</v>
      </c>
    </row>
    <row r="18" customFormat="false" ht="15" hidden="true" customHeight="true" outlineLevel="0" collapsed="false">
      <c r="A18" s="5" t="s">
        <v>572</v>
      </c>
      <c r="B18" s="5" t="str">
        <f aca="false">IFERROR(INDEX(Backlog[Stream],MATCH($A18,Backlog[Requirement ID],0)),IFERROR(INDEX('Q1 Backlog Report 2026'!$D:$D,MATCH($A18,'Q1 Backlog Report 2026'!$A:$A,0)),IFERROR(INDEX('Q2 Backlog Report 2026'!$D:$D,MATCH($A18,'Q2 Backlog Report 2026'!$A:$A,0)),IFERROR(INDEX('Q3 Backlog Report 2026'!$D:$D,MATCH($A18,'Q3 Backlog Report 2026'!$A:$A,0)),IFERROR(INDEX('Q4 Backlog Report 2026'!$D:$D,MATCH($A18,'Q4 Backlog Report 2026'!$A:$A,0)),"")))))</f>
        <v>PI9</v>
      </c>
      <c r="C18" s="5" t="str">
        <f aca="false">IFERROR(INDEX(Backlog[Stream Owner],MATCH($A18,Backlog[Requirement ID],0)),IFERROR(INDEX('Q1 Backlog Report 2026'!$E:$E,MATCH($A18,'Q1 Backlog Report 2026'!$A:$A,0)),IFERROR(INDEX('Q2 Backlog Report 2026'!$E:$E,MATCH($A18,'Q2 Backlog Report 2026'!$A:$A,0)),IFERROR(INDEX('Q3 Backlog Report 2026'!$E:$E,MATCH($A18,'Q3 Backlog Report 2026'!$A:$A,0)),IFERROR(INDEX('Q4 Backlog Report 2026'!$E:$E,MATCH($A18,'Q4 Backlog Report 2026'!$A:$A,0)),"")))))</f>
        <v>MA</v>
      </c>
      <c r="D18" s="5" t="str">
        <f aca="false">IFERROR(INDEX(Backlog[Sprint],MATCH($A18,Backlog[Requirement ID],0)),IFERROR(INDEX('Q1 Backlog Report 2026'!$I:$I,MATCH($A18,'Q1 Backlog Report 2026'!$A:$A,0)),IFERROR(INDEX('Q2 Backlog Report 2026'!$I:$I,MATCH($A18,'Q2 Backlog Report 2026'!$A:$A,0)),IFERROR(INDEX('Q3 Backlog Report 2026'!$I:$I,MATCH($A18,'Q3 Backlog Report 2026'!$A:$A,0)),IFERROR(INDEX('Q4 Backlog Report 2026'!$I:$I,MATCH($A18,'Q4 Backlog Report 2026'!$A:$A,0)),"")))))</f>
        <v>Sprint 4</v>
      </c>
      <c r="E18" s="5" t="str">
        <f aca="false">IFERROR(INDEX(Backlog[Jira Link],MATCH($A18,Backlog[Requirement ID],0)),IFERROR(INDEX('Q1 Backlog Report 2026'!$G:$G,MATCH($A18,'Q1 Backlog Report 2026'!$A:$A,0)),IFERROR(INDEX('Q2 Backlog Report 2026'!$G:$G,MATCH($A18,'Q2 Backlog Report 2026'!$A:$A,0)),IFERROR(INDEX('Q3 Backlog Report 2026'!$G:$G,MATCH($A18,'Q3 Backlog Report 2026'!$A:$A,0)),IFERROR(INDEX('Q4 Backlog Report 2026'!$G:$G,MATCH($A18,'Q4 Backlog Report 2026'!$A:$A,0)),"")))))</f>
        <v>https://smartship.atlassian.net/browse/CRM2-5703</v>
      </c>
      <c r="F18" s="5" t="str">
        <f aca="false">IFERROR(INDEX(Backlog[Requirement Name],MATCH($A18,Backlog[Requirement ID],0)),IFERROR(INDEX('Q1 Backlog Report 2026'!$B:$B,MATCH($A18,'Q1 Backlog Report 2026'!$A:$A,0)),IFERROR(INDEX('Q2 Backlog Report 2026'!$B:$B,MATCH($A18,'Q2 Backlog Report 2026'!$A:$A,0)),IFERROR(INDEX('Q3 Backlog Report 2026'!$B:$B,MATCH($A18,'Q3 Backlog Report 2026'!$A:$A,0)),IFERROR(INDEX('Q4 Backlog Report 2026'!$B:$B,MATCH($A18,'Q4 Backlog Report 2026'!$A:$A,0)),"")))))</f>
        <v>DTTP - MA - Integration between AJO and OBR/Shorex Platform/Catalog [ANALYSIS]_EA</v>
      </c>
      <c r="G18" s="5" t="str">
        <f aca="false">IFERROR(INDEX(Backlog[Status],MATCH($A18,Backlog[Requirement ID],0)),IFERROR(INDEX('Q1 Backlog Report 2026'!$F:$F,MATCH($A18,'Q1 Backlog Report 2026'!$A:$A,0)),IFERROR(INDEX('Q2 Backlog Report 2026'!$F:$F,MATCH($A18,'Q2 Backlog Report 2026'!$A:$A,0)),IFERROR(INDEX('Q3 Backlog Report 2026'!$F:$F,MATCH($A18,'Q3 Backlog Report 2026'!$A:$A,0)),IFERROR(INDEX('Q4 Backlog Report 2026'!$F:$F,MATCH($A18,'Q4 Backlog Report 2026'!$A:$A,0)),"")))))</f>
        <v>DONE</v>
      </c>
      <c r="H18" s="5" t="n">
        <f aca="false">IFERROR(INDEX(Backlog[HLE],MATCH($A18,Backlog[Requirement ID],0)),IFERROR(INDEX('Q1 Backlog Report 2026'!$K:$K,MATCH($A18,'Q1 Backlog Report 2026'!$A:$A,0)),IFERROR(INDEX('Q2 Backlog Report 2026'!$K:$K,MATCH($A18,'Q2 Backlog Report 2026'!$A:$A,0)),IFERROR(INDEX('Q3 Backlog Report 2026'!$K:$K,MATCH($A18,'Q3 Backlog Report 2026'!$A:$A,0)),IFERROR(INDEX('Q4 Backlog Report 2026'!$K:$K,MATCH($A18,'Q4 Backlog Report 2026'!$A:$A,0)),"")))))</f>
        <v>0</v>
      </c>
    </row>
    <row r="19" customFormat="false" ht="15" hidden="true" customHeight="true" outlineLevel="0" collapsed="false">
      <c r="A19" s="5" t="s">
        <v>514</v>
      </c>
      <c r="B19" s="5" t="str">
        <f aca="false">IFERROR(INDEX(Backlog[Stream],MATCH($A19,Backlog[Requirement ID],0)),IFERROR(INDEX('Q1 Backlog Report 2026'!$D:$D,MATCH($A19,'Q1 Backlog Report 2026'!$A:$A,0)),IFERROR(INDEX('Q2 Backlog Report 2026'!$D:$D,MATCH($A19,'Q2 Backlog Report 2026'!$A:$A,0)),IFERROR(INDEX('Q3 Backlog Report 2026'!$D:$D,MATCH($A19,'Q3 Backlog Report 2026'!$A:$A,0)),IFERROR(INDEX('Q4 Backlog Report 2026'!$D:$D,MATCH($A19,'Q4 Backlog Report 2026'!$A:$A,0)),"")))))</f>
        <v>PI9</v>
      </c>
      <c r="C19" s="5" t="str">
        <f aca="false">IFERROR(INDEX(Backlog[Stream Owner],MATCH($A19,Backlog[Requirement ID],0)),IFERROR(INDEX('Q1 Backlog Report 2026'!$E:$E,MATCH($A19,'Q1 Backlog Report 2026'!$A:$A,0)),IFERROR(INDEX('Q2 Backlog Report 2026'!$E:$E,MATCH($A19,'Q2 Backlog Report 2026'!$A:$A,0)),IFERROR(INDEX('Q3 Backlog Report 2026'!$E:$E,MATCH($A19,'Q3 Backlog Report 2026'!$A:$A,0)),IFERROR(INDEX('Q4 Backlog Report 2026'!$E:$E,MATCH($A19,'Q4 Backlog Report 2026'!$A:$A,0)),"")))))</f>
        <v>MA</v>
      </c>
      <c r="D19" s="5" t="str">
        <f aca="false">IFERROR(INDEX(Backlog[Sprint],MATCH($A19,Backlog[Requirement ID],0)),IFERROR(INDEX('Q1 Backlog Report 2026'!$I:$I,MATCH($A19,'Q1 Backlog Report 2026'!$A:$A,0)),IFERROR(INDEX('Q2 Backlog Report 2026'!$I:$I,MATCH($A19,'Q2 Backlog Report 2026'!$A:$A,0)),IFERROR(INDEX('Q3 Backlog Report 2026'!$I:$I,MATCH($A19,'Q3 Backlog Report 2026'!$A:$A,0)),IFERROR(INDEX('Q4 Backlog Report 2026'!$I:$I,MATCH($A19,'Q4 Backlog Report 2026'!$A:$A,0)),"")))))</f>
        <v>Sprint 2</v>
      </c>
      <c r="E19" s="5" t="str">
        <f aca="false">IFERROR(INDEX(Backlog[Jira Link],MATCH($A19,Backlog[Requirement ID],0)),IFERROR(INDEX('Q1 Backlog Report 2026'!$G:$G,MATCH($A19,'Q1 Backlog Report 2026'!$A:$A,0)),IFERROR(INDEX('Q2 Backlog Report 2026'!$G:$G,MATCH($A19,'Q2 Backlog Report 2026'!$A:$A,0)),IFERROR(INDEX('Q3 Backlog Report 2026'!$G:$G,MATCH($A19,'Q3 Backlog Report 2026'!$A:$A,0)),IFERROR(INDEX('Q4 Backlog Report 2026'!$G:$G,MATCH($A19,'Q4 Backlog Report 2026'!$A:$A,0)),"")))))</f>
        <v>https://smartship.atlassian.net/browse/EA-1124</v>
      </c>
      <c r="F19" s="5" t="str">
        <f aca="false">IFERROR(INDEX(Backlog[Requirement Name],MATCH($A19,Backlog[Requirement ID],0)),IFERROR(INDEX('Q1 Backlog Report 2026'!$B:$B,MATCH($A19,'Q1 Backlog Report 2026'!$A:$A,0)),IFERROR(INDEX('Q2 Backlog Report 2026'!$B:$B,MATCH($A19,'Q2 Backlog Report 2026'!$A:$A,0)),IFERROR(INDEX('Q3 Backlog Report 2026'!$B:$B,MATCH($A19,'Q3 Backlog Report 2026'!$A:$A,0)),IFERROR(INDEX('Q4 Backlog Report 2026'!$B:$B,MATCH($A19,'Q4 Backlog Report 2026'!$A:$A,0)),"")))))</f>
        <v>DTTP - MA - B2B2C App Check-in On Demand (MSC Book)_EA</v>
      </c>
      <c r="G19" s="5" t="str">
        <f aca="false">IFERROR(INDEX(Backlog[Status],MATCH($A19,Backlog[Requirement ID],0)),IFERROR(INDEX('Q1 Backlog Report 2026'!$F:$F,MATCH($A19,'Q1 Backlog Report 2026'!$A:$A,0)),IFERROR(INDEX('Q2 Backlog Report 2026'!$F:$F,MATCH($A19,'Q2 Backlog Report 2026'!$A:$A,0)),IFERROR(INDEX('Q3 Backlog Report 2026'!$F:$F,MATCH($A19,'Q3 Backlog Report 2026'!$A:$A,0)),IFERROR(INDEX('Q4 Backlog Report 2026'!$F:$F,MATCH($A19,'Q4 Backlog Report 2026'!$A:$A,0)),"")))))</f>
        <v>DONE</v>
      </c>
      <c r="H19" s="5" t="n">
        <f aca="false">IFERROR(INDEX(Backlog[HLE],MATCH($A19,Backlog[Requirement ID],0)),IFERROR(INDEX('Q1 Backlog Report 2026'!$K:$K,MATCH($A19,'Q1 Backlog Report 2026'!$A:$A,0)),IFERROR(INDEX('Q2 Backlog Report 2026'!$K:$K,MATCH($A19,'Q2 Backlog Report 2026'!$A:$A,0)),IFERROR(INDEX('Q3 Backlog Report 2026'!$K:$K,MATCH($A19,'Q3 Backlog Report 2026'!$A:$A,0)),IFERROR(INDEX('Q4 Backlog Report 2026'!$K:$K,MATCH($A19,'Q4 Backlog Report 2026'!$A:$A,0)),"")))))</f>
        <v>8</v>
      </c>
    </row>
    <row r="20" customFormat="false" ht="15" hidden="true" customHeight="true" outlineLevel="0" collapsed="false">
      <c r="A20" s="5" t="s">
        <v>468</v>
      </c>
      <c r="B20" s="5" t="str">
        <f aca="false">IFERROR(INDEX(Backlog[Stream],MATCH($A20,Backlog[Requirement ID],0)),IFERROR(INDEX('Q1 Backlog Report 2026'!$D:$D,MATCH($A20,'Q1 Backlog Report 2026'!$A:$A,0)),IFERROR(INDEX('Q2 Backlog Report 2026'!$D:$D,MATCH($A20,'Q2 Backlog Report 2026'!$A:$A,0)),IFERROR(INDEX('Q3 Backlog Report 2026'!$D:$D,MATCH($A20,'Q3 Backlog Report 2026'!$A:$A,0)),IFERROR(INDEX('Q4 Backlog Report 2026'!$D:$D,MATCH($A20,'Q4 Backlog Report 2026'!$A:$A,0)),"")))))</f>
        <v>PI9</v>
      </c>
      <c r="C20" s="5" t="str">
        <f aca="false">IFERROR(INDEX(Backlog[Stream Owner],MATCH($A20,Backlog[Requirement ID],0)),IFERROR(INDEX('Q1 Backlog Report 2026'!$E:$E,MATCH($A20,'Q1 Backlog Report 2026'!$A:$A,0)),IFERROR(INDEX('Q2 Backlog Report 2026'!$E:$E,MATCH($A20,'Q2 Backlog Report 2026'!$A:$A,0)),IFERROR(INDEX('Q3 Backlog Report 2026'!$E:$E,MATCH($A20,'Q3 Backlog Report 2026'!$A:$A,0)),IFERROR(INDEX('Q4 Backlog Report 2026'!$E:$E,MATCH($A20,'Q4 Backlog Report 2026'!$A:$A,0)),"")))))</f>
        <v>MA</v>
      </c>
      <c r="D20" s="5" t="str">
        <f aca="false">IFERROR(INDEX(Backlog[Sprint],MATCH($A20,Backlog[Requirement ID],0)),IFERROR(INDEX('Q1 Backlog Report 2026'!$I:$I,MATCH($A20,'Q1 Backlog Report 2026'!$A:$A,0)),IFERROR(INDEX('Q2 Backlog Report 2026'!$I:$I,MATCH($A20,'Q2 Backlog Report 2026'!$A:$A,0)),IFERROR(INDEX('Q3 Backlog Report 2026'!$I:$I,MATCH($A20,'Q3 Backlog Report 2026'!$A:$A,0)),IFERROR(INDEX('Q4 Backlog Report 2026'!$I:$I,MATCH($A20,'Q4 Backlog Report 2026'!$A:$A,0)),"")))))</f>
        <v>Sprint 1</v>
      </c>
      <c r="E20" s="5" t="str">
        <f aca="false">IFERROR(INDEX(Backlog[Jira Link],MATCH($A20,Backlog[Requirement ID],0)),IFERROR(INDEX('Q1 Backlog Report 2026'!$G:$G,MATCH($A20,'Q1 Backlog Report 2026'!$A:$A,0)),IFERROR(INDEX('Q2 Backlog Report 2026'!$G:$G,MATCH($A20,'Q2 Backlog Report 2026'!$A:$A,0)),IFERROR(INDEX('Q3 Backlog Report 2026'!$G:$G,MATCH($A20,'Q3 Backlog Report 2026'!$A:$A,0)),IFERROR(INDEX('Q4 Backlog Report 2026'!$G:$G,MATCH($A20,'Q4 Backlog Report 2026'!$A:$A,0)),"")))))</f>
        <v>https://smartship.atlassian.net/browse/EA-1097</v>
      </c>
      <c r="F20" s="5" t="str">
        <f aca="false">IFERROR(INDEX(Backlog[Requirement Name],MATCH($A20,Backlog[Requirement ID],0)),IFERROR(INDEX('Q1 Backlog Report 2026'!$B:$B,MATCH($A20,'Q1 Backlog Report 2026'!$A:$A,0)),IFERROR(INDEX('Q2 Backlog Report 2026'!$B:$B,MATCH($A20,'Q2 Backlog Report 2026'!$A:$A,0)),IFERROR(INDEX('Q3 Backlog Report 2026'!$B:$B,MATCH($A20,'Q3 Backlog Report 2026'!$A:$A,0)),IFERROR(INDEX('Q4 Backlog Report 2026'!$B:$B,MATCH($A20,'Q4 Backlog Report 2026'!$A:$A,0)),"")))))</f>
        <v>Attentive Marketo CR</v>
      </c>
      <c r="G20" s="5" t="str">
        <f aca="false">IFERROR(INDEX(Backlog[Status],MATCH($A20,Backlog[Requirement ID],0)),IFERROR(INDEX('Q1 Backlog Report 2026'!$F:$F,MATCH($A20,'Q1 Backlog Report 2026'!$A:$A,0)),IFERROR(INDEX('Q2 Backlog Report 2026'!$F:$F,MATCH($A20,'Q2 Backlog Report 2026'!$A:$A,0)),IFERROR(INDEX('Q3 Backlog Report 2026'!$F:$F,MATCH($A20,'Q3 Backlog Report 2026'!$A:$A,0)),IFERROR(INDEX('Q4 Backlog Report 2026'!$F:$F,MATCH($A20,'Q4 Backlog Report 2026'!$A:$A,0)),"")))))</f>
        <v>DONE</v>
      </c>
      <c r="H20" s="5" t="n">
        <f aca="false">IFERROR(INDEX(Backlog[HLE],MATCH($A20,Backlog[Requirement ID],0)),IFERROR(INDEX('Q1 Backlog Report 2026'!$K:$K,MATCH($A20,'Q1 Backlog Report 2026'!$A:$A,0)),IFERROR(INDEX('Q2 Backlog Report 2026'!$K:$K,MATCH($A20,'Q2 Backlog Report 2026'!$A:$A,0)),IFERROR(INDEX('Q3 Backlog Report 2026'!$K:$K,MATCH($A20,'Q3 Backlog Report 2026'!$A:$A,0)),IFERROR(INDEX('Q4 Backlog Report 2026'!$K:$K,MATCH($A20,'Q4 Backlog Report 2026'!$A:$A,0)),"")))))</f>
        <v>8</v>
      </c>
    </row>
    <row r="21" customFormat="false" ht="15" hidden="true" customHeight="true" outlineLevel="0" collapsed="false">
      <c r="A21" s="5" t="s">
        <v>470</v>
      </c>
      <c r="B21" s="5" t="str">
        <f aca="false">IFERROR(INDEX(Backlog[Stream],MATCH($A21,Backlog[Requirement ID],0)),IFERROR(INDEX('Q1 Backlog Report 2026'!$D:$D,MATCH($A21,'Q1 Backlog Report 2026'!$A:$A,0)),IFERROR(INDEX('Q2 Backlog Report 2026'!$D:$D,MATCH($A21,'Q2 Backlog Report 2026'!$A:$A,0)),IFERROR(INDEX('Q3 Backlog Report 2026'!$D:$D,MATCH($A21,'Q3 Backlog Report 2026'!$A:$A,0)),IFERROR(INDEX('Q4 Backlog Report 2026'!$D:$D,MATCH($A21,'Q4 Backlog Report 2026'!$A:$A,0)),"")))))</f>
        <v>PI9</v>
      </c>
      <c r="C21" s="5" t="str">
        <f aca="false">IFERROR(INDEX(Backlog[Stream Owner],MATCH($A21,Backlog[Requirement ID],0)),IFERROR(INDEX('Q1 Backlog Report 2026'!$E:$E,MATCH($A21,'Q1 Backlog Report 2026'!$A:$A,0)),IFERROR(INDEX('Q2 Backlog Report 2026'!$E:$E,MATCH($A21,'Q2 Backlog Report 2026'!$A:$A,0)),IFERROR(INDEX('Q3 Backlog Report 2026'!$E:$E,MATCH($A21,'Q3 Backlog Report 2026'!$A:$A,0)),IFERROR(INDEX('Q4 Backlog Report 2026'!$E:$E,MATCH($A21,'Q4 Backlog Report 2026'!$A:$A,0)),"")))))</f>
        <v>B2CW</v>
      </c>
      <c r="D21" s="5" t="str">
        <f aca="false">IFERROR(INDEX(Backlog[Sprint],MATCH($A21,Backlog[Requirement ID],0)),IFERROR(INDEX('Q1 Backlog Report 2026'!$I:$I,MATCH($A21,'Q1 Backlog Report 2026'!$A:$A,0)),IFERROR(INDEX('Q2 Backlog Report 2026'!$I:$I,MATCH($A21,'Q2 Backlog Report 2026'!$A:$A,0)),IFERROR(INDEX('Q3 Backlog Report 2026'!$I:$I,MATCH($A21,'Q3 Backlog Report 2026'!$A:$A,0)),IFERROR(INDEX('Q4 Backlog Report 2026'!$I:$I,MATCH($A21,'Q4 Backlog Report 2026'!$A:$A,0)),"")))))</f>
        <v>Sprint 1</v>
      </c>
      <c r="E21" s="5" t="str">
        <f aca="false">IFERROR(INDEX(Backlog[Jira Link],MATCH($A21,Backlog[Requirement ID],0)),IFERROR(INDEX('Q1 Backlog Report 2026'!$G:$G,MATCH($A21,'Q1 Backlog Report 2026'!$A:$A,0)),IFERROR(INDEX('Q2 Backlog Report 2026'!$G:$G,MATCH($A21,'Q2 Backlog Report 2026'!$A:$A,0)),IFERROR(INDEX('Q3 Backlog Report 2026'!$G:$G,MATCH($A21,'Q3 Backlog Report 2026'!$A:$A,0)),IFERROR(INDEX('Q4 Backlog Report 2026'!$G:$G,MATCH($A21,'Q4 Backlog Report 2026'!$A:$A,0)),"")))))</f>
        <v>https://smartship.atlassian.net/browse/EA-1154</v>
      </c>
      <c r="F21" s="5" t="str">
        <f aca="false">IFERROR(INDEX(Backlog[Requirement Name],MATCH($A21,Backlog[Requirement ID],0)),IFERROR(INDEX('Q1 Backlog Report 2026'!$B:$B,MATCH($A21,'Q1 Backlog Report 2026'!$A:$A,0)),IFERROR(INDEX('Q2 Backlog Report 2026'!$B:$B,MATCH($A21,'Q2 Backlog Report 2026'!$A:$A,0)),IFERROR(INDEX('Q3 Backlog Report 2026'!$B:$B,MATCH($A21,'Q3 Backlog Report 2026'!$A:$A,0)),IFERROR(INDEX('Q4 Backlog Report 2026'!$B:$B,MATCH($A21,'Q4 Backlog Report 2026'!$A:$A,0)),"")))))</f>
        <v>ALT Text - Enhancement</v>
      </c>
      <c r="G21" s="5" t="str">
        <f aca="false">IFERROR(INDEX(Backlog[Status],MATCH($A21,Backlog[Requirement ID],0)),IFERROR(INDEX('Q1 Backlog Report 2026'!$F:$F,MATCH($A21,'Q1 Backlog Report 2026'!$A:$A,0)),IFERROR(INDEX('Q2 Backlog Report 2026'!$F:$F,MATCH($A21,'Q2 Backlog Report 2026'!$A:$A,0)),IFERROR(INDEX('Q3 Backlog Report 2026'!$F:$F,MATCH($A21,'Q3 Backlog Report 2026'!$A:$A,0)),IFERROR(INDEX('Q4 Backlog Report 2026'!$F:$F,MATCH($A21,'Q4 Backlog Report 2026'!$A:$A,0)),"")))))</f>
        <v>DONE</v>
      </c>
      <c r="H21" s="5" t="n">
        <f aca="false">IFERROR(INDEX(Backlog[HLE],MATCH($A21,Backlog[Requirement ID],0)),IFERROR(INDEX('Q1 Backlog Report 2026'!$K:$K,MATCH($A21,'Q1 Backlog Report 2026'!$A:$A,0)),IFERROR(INDEX('Q2 Backlog Report 2026'!$K:$K,MATCH($A21,'Q2 Backlog Report 2026'!$A:$A,0)),IFERROR(INDEX('Q3 Backlog Report 2026'!$K:$K,MATCH($A21,'Q3 Backlog Report 2026'!$A:$A,0)),IFERROR(INDEX('Q4 Backlog Report 2026'!$K:$K,MATCH($A21,'Q4 Backlog Report 2026'!$A:$A,0)),"")))))</f>
        <v>2</v>
      </c>
    </row>
    <row r="22" customFormat="false" ht="15" hidden="true" customHeight="true" outlineLevel="0" collapsed="false">
      <c r="A22" s="5" t="s">
        <v>510</v>
      </c>
      <c r="B22" s="5" t="str">
        <f aca="false">IFERROR(INDEX(Backlog[Stream],MATCH($A22,Backlog[Requirement ID],0)),IFERROR(INDEX('Q1 Backlog Report 2026'!$D:$D,MATCH($A22,'Q1 Backlog Report 2026'!$A:$A,0)),IFERROR(INDEX('Q2 Backlog Report 2026'!$D:$D,MATCH($A22,'Q2 Backlog Report 2026'!$A:$A,0)),IFERROR(INDEX('Q3 Backlog Report 2026'!$D:$D,MATCH($A22,'Q3 Backlog Report 2026'!$A:$A,0)),IFERROR(INDEX('Q4 Backlog Report 2026'!$D:$D,MATCH($A22,'Q4 Backlog Report 2026'!$A:$A,0)),"")))))</f>
        <v>PI9</v>
      </c>
      <c r="C22" s="5" t="str">
        <f aca="false">IFERROR(INDEX(Backlog[Stream Owner],MATCH($A22,Backlog[Requirement ID],0)),IFERROR(INDEX('Q1 Backlog Report 2026'!$E:$E,MATCH($A22,'Q1 Backlog Report 2026'!$A:$A,0)),IFERROR(INDEX('Q2 Backlog Report 2026'!$E:$E,MATCH($A22,'Q2 Backlog Report 2026'!$A:$A,0)),IFERROR(INDEX('Q3 Backlog Report 2026'!$E:$E,MATCH($A22,'Q3 Backlog Report 2026'!$A:$A,0)),IFERROR(INDEX('Q4 Backlog Report 2026'!$E:$E,MATCH($A22,'Q4 Backlog Report 2026'!$A:$A,0)),"")))))</f>
        <v>M4M</v>
      </c>
      <c r="D22" s="5" t="str">
        <f aca="false">IFERROR(INDEX(Backlog[Sprint],MATCH($A22,Backlog[Requirement ID],0)),IFERROR(INDEX('Q1 Backlog Report 2026'!$I:$I,MATCH($A22,'Q1 Backlog Report 2026'!$A:$A,0)),IFERROR(INDEX('Q2 Backlog Report 2026'!$I:$I,MATCH($A22,'Q2 Backlog Report 2026'!$A:$A,0)),IFERROR(INDEX('Q3 Backlog Report 2026'!$I:$I,MATCH($A22,'Q3 Backlog Report 2026'!$A:$A,0)),IFERROR(INDEX('Q4 Backlog Report 2026'!$I:$I,MATCH($A22,'Q4 Backlog Report 2026'!$A:$A,0)),"")))))</f>
        <v>Sprint 8</v>
      </c>
      <c r="E22" s="5" t="str">
        <f aca="false">IFERROR(INDEX(Backlog[Jira Link],MATCH($A22,Backlog[Requirement ID],0)),IFERROR(INDEX('Q1 Backlog Report 2026'!$G:$G,MATCH($A22,'Q1 Backlog Report 2026'!$A:$A,0)),IFERROR(INDEX('Q2 Backlog Report 2026'!$G:$G,MATCH($A22,'Q2 Backlog Report 2026'!$A:$A,0)),IFERROR(INDEX('Q3 Backlog Report 2026'!$G:$G,MATCH($A22,'Q3 Backlog Report 2026'!$A:$A,0)),IFERROR(INDEX('Q4 Backlog Report 2026'!$G:$G,MATCH($A22,'Q4 Backlog Report 2026'!$A:$A,0)),"")))))</f>
        <v>https://smartship.atlassian.net/browse/EA-1117</v>
      </c>
      <c r="F22" s="5" t="str">
        <f aca="false">IFERROR(INDEX(Backlog[Requirement Name],MATCH($A22,Backlog[Requirement ID],0)),IFERROR(INDEX('Q1 Backlog Report 2026'!$B:$B,MATCH($A22,'Q1 Backlog Report 2026'!$A:$A,0)),IFERROR(INDEX('Q2 Backlog Report 2026'!$B:$B,MATCH($A22,'Q2 Backlog Report 2026'!$A:$A,0)),IFERROR(INDEX('Q3 Backlog Report 2026'!$B:$B,MATCH($A22,'Q3 Backlog Report 2026'!$A:$A,0)),IFERROR(INDEX('Q4 Backlog Report 2026'!$B:$B,MATCH($A22,'Q4 Backlog Report 2026'!$A:$A,0)),"")))))</f>
        <v>MSC4Me Precruise - Prepaids flow indipendence</v>
      </c>
      <c r="G22" s="5" t="str">
        <f aca="false">IFERROR(INDEX(Backlog[Status],MATCH($A22,Backlog[Requirement ID],0)),IFERROR(INDEX('Q1 Backlog Report 2026'!$F:$F,MATCH($A22,'Q1 Backlog Report 2026'!$A:$A,0)),IFERROR(INDEX('Q2 Backlog Report 2026'!$F:$F,MATCH($A22,'Q2 Backlog Report 2026'!$A:$A,0)),IFERROR(INDEX('Q3 Backlog Report 2026'!$F:$F,MATCH($A22,'Q3 Backlog Report 2026'!$A:$A,0)),IFERROR(INDEX('Q4 Backlog Report 2026'!$F:$F,MATCH($A22,'Q4 Backlog Report 2026'!$A:$A,0)),"")))))</f>
        <v>DONE</v>
      </c>
      <c r="H22" s="5" t="n">
        <f aca="false">IFERROR(INDEX(Backlog[HLE],MATCH($A22,Backlog[Requirement ID],0)),IFERROR(INDEX('Q1 Backlog Report 2026'!$K:$K,MATCH($A22,'Q1 Backlog Report 2026'!$A:$A,0)),IFERROR(INDEX('Q2 Backlog Report 2026'!$K:$K,MATCH($A22,'Q2 Backlog Report 2026'!$A:$A,0)),IFERROR(INDEX('Q3 Backlog Report 2026'!$K:$K,MATCH($A22,'Q3 Backlog Report 2026'!$A:$A,0)),IFERROR(INDEX('Q4 Backlog Report 2026'!$K:$K,MATCH($A22,'Q4 Backlog Report 2026'!$A:$A,0)),"")))))</f>
        <v>0</v>
      </c>
    </row>
    <row r="23" customFormat="false" ht="15" hidden="false" customHeight="true" outlineLevel="0" collapsed="false">
      <c r="A23" s="5" t="s">
        <v>706</v>
      </c>
      <c r="B23" s="5" t="str">
        <f aca="false">IFERROR(INDEX(Backlog[Stream],MATCH($A23,Backlog[Requirement ID],0)),IFERROR(INDEX('Q1 Backlog Report 2026'!$D:$D,MATCH($A23,'Q1 Backlog Report 2026'!$A:$A,0)),IFERROR(INDEX('Q2 Backlog Report 2026'!$D:$D,MATCH($A23,'Q2 Backlog Report 2026'!$A:$A,0)),IFERROR(INDEX('Q3 Backlog Report 2026'!$D:$D,MATCH($A23,'Q3 Backlog Report 2026'!$A:$A,0)),IFERROR(INDEX('Q4 Backlog Report 2026'!$D:$D,MATCH($A23,'Q4 Backlog Report 2026'!$A:$A,0)),"")))))</f>
        <v>PI10</v>
      </c>
      <c r="C23" s="5" t="str">
        <f aca="false">IFERROR(INDEX(Backlog[Stream Owner],MATCH($A23,Backlog[Requirement ID],0)),IFERROR(INDEX('Q1 Backlog Report 2026'!$E:$E,MATCH($A23,'Q1 Backlog Report 2026'!$A:$A,0)),IFERROR(INDEX('Q2 Backlog Report 2026'!$E:$E,MATCH($A23,'Q2 Backlog Report 2026'!$A:$A,0)),IFERROR(INDEX('Q3 Backlog Report 2026'!$E:$E,MATCH($A23,'Q3 Backlog Report 2026'!$A:$A,0)),IFERROR(INDEX('Q4 Backlog Report 2026'!$E:$E,MATCH($A23,'Q4 Backlog Report 2026'!$A:$A,0)),"")))))</f>
        <v>MA</v>
      </c>
      <c r="D23" s="5" t="str">
        <f aca="false">IFERROR(INDEX(Backlog[Sprint],MATCH($A23,Backlog[Requirement ID],0)),IFERROR(INDEX('Q1 Backlog Report 2026'!$I:$I,MATCH($A23,'Q1 Backlog Report 2026'!$A:$A,0)),IFERROR(INDEX('Q2 Backlog Report 2026'!$I:$I,MATCH($A23,'Q2 Backlog Report 2026'!$A:$A,0)),IFERROR(INDEX('Q3 Backlog Report 2026'!$I:$I,MATCH($A23,'Q3 Backlog Report 2026'!$A:$A,0)),IFERROR(INDEX('Q4 Backlog Report 2026'!$I:$I,MATCH($A23,'Q4 Backlog Report 2026'!$A:$A,0)),"")))))</f>
        <v>Sprint 7</v>
      </c>
      <c r="E23" s="5" t="str">
        <f aca="false">IFERROR(INDEX(Backlog[Jira Link],MATCH($A23,Backlog[Requirement ID],0)),IFERROR(INDEX('Q1 Backlog Report 2026'!$G:$G,MATCH($A23,'Q1 Backlog Report 2026'!$A:$A,0)),IFERROR(INDEX('Q2 Backlog Report 2026'!$G:$G,MATCH($A23,'Q2 Backlog Report 2026'!$A:$A,0)),IFERROR(INDEX('Q3 Backlog Report 2026'!$G:$G,MATCH($A23,'Q3 Backlog Report 2026'!$A:$A,0)),IFERROR(INDEX('Q4 Backlog Report 2026'!$G:$G,MATCH($A23,'Q4 Backlog Report 2026'!$A:$A,0)),"")))))</f>
        <v>https://smartship.atlassian.net/browse/EA-1307</v>
      </c>
      <c r="F23" s="5" t="str">
        <f aca="false">IFERROR(INDEX(Backlog[Requirement Name],MATCH($A23,Backlog[Requirement ID],0)),IFERROR(INDEX('Q1 Backlog Report 2026'!$B:$B,MATCH($A23,'Q1 Backlog Report 2026'!$A:$A,0)),IFERROR(INDEX('Q2 Backlog Report 2026'!$B:$B,MATCH($A23,'Q2 Backlog Report 2026'!$A:$A,0)),IFERROR(INDEX('Q3 Backlog Report 2026'!$B:$B,MATCH($A23,'Q3 Backlog Report 2026'!$A:$A,0)),IFERROR(INDEX('Q4 Backlog Report 2026'!$B:$B,MATCH($A23,'Q4 Backlog Report 2026'!$A:$A,0)),"")))))</f>
        <v>DTTP - Sign Up Event Tracking in AEP/AJO/CDP/SALESFORCE_EAImpact</v>
      </c>
      <c r="G23" s="5" t="str">
        <f aca="false">IFERROR(INDEX(Backlog[Status],MATCH($A23,Backlog[Requirement ID],0)),IFERROR(INDEX('Q1 Backlog Report 2026'!$F:$F,MATCH($A23,'Q1 Backlog Report 2026'!$A:$A,0)),IFERROR(INDEX('Q2 Backlog Report 2026'!$F:$F,MATCH($A23,'Q2 Backlog Report 2026'!$A:$A,0)),IFERROR(INDEX('Q3 Backlog Report 2026'!$F:$F,MATCH($A23,'Q3 Backlog Report 2026'!$A:$A,0)),IFERROR(INDEX('Q4 Backlog Report 2026'!$F:$F,MATCH($A23,'Q4 Backlog Report 2026'!$A:$A,0)),"")))))</f>
        <v>DONE</v>
      </c>
      <c r="H23" s="5" t="n">
        <f aca="false">IFERROR(INDEX(Backlog[HLE],MATCH($A23,Backlog[Requirement ID],0)),IFERROR(INDEX('Q1 Backlog Report 2026'!$K:$K,MATCH($A23,'Q1 Backlog Report 2026'!$A:$A,0)),IFERROR(INDEX('Q2 Backlog Report 2026'!$K:$K,MATCH($A23,'Q2 Backlog Report 2026'!$A:$A,0)),IFERROR(INDEX('Q3 Backlog Report 2026'!$K:$K,MATCH($A23,'Q3 Backlog Report 2026'!$A:$A,0)),IFERROR(INDEX('Q4 Backlog Report 2026'!$K:$K,MATCH($A23,'Q4 Backlog Report 2026'!$A:$A,0)),"")))))</f>
        <v>5</v>
      </c>
      <c r="I23" s="81" t="s">
        <v>821</v>
      </c>
      <c r="J23" s="81" t="s">
        <v>821</v>
      </c>
      <c r="K23" s="81" t="s">
        <v>822</v>
      </c>
    </row>
    <row r="24" customFormat="false" ht="15" hidden="false" customHeight="true" outlineLevel="0" collapsed="false">
      <c r="A24" s="5" t="s">
        <v>667</v>
      </c>
      <c r="B24" s="5" t="str">
        <f aca="false">IFERROR(INDEX(Backlog[Stream],MATCH($A24,Backlog[Requirement ID],0)),IFERROR(INDEX('Q1 Backlog Report 2026'!$D:$D,MATCH($A24,'Q1 Backlog Report 2026'!$A:$A,0)),IFERROR(INDEX('Q2 Backlog Report 2026'!$D:$D,MATCH($A24,'Q2 Backlog Report 2026'!$A:$A,0)),IFERROR(INDEX('Q3 Backlog Report 2026'!$D:$D,MATCH($A24,'Q3 Backlog Report 2026'!$A:$A,0)),IFERROR(INDEX('Q4 Backlog Report 2026'!$D:$D,MATCH($A24,'Q4 Backlog Report 2026'!$A:$A,0)),"")))))</f>
        <v>PI10</v>
      </c>
      <c r="C24" s="5" t="str">
        <f aca="false">IFERROR(INDEX(Backlog[Stream Owner],MATCH($A24,Backlog[Requirement ID],0)),IFERROR(INDEX('Q1 Backlog Report 2026'!$E:$E,MATCH($A24,'Q1 Backlog Report 2026'!$A:$A,0)),IFERROR(INDEX('Q2 Backlog Report 2026'!$E:$E,MATCH($A24,'Q2 Backlog Report 2026'!$A:$A,0)),IFERROR(INDEX('Q3 Backlog Report 2026'!$E:$E,MATCH($A24,'Q3 Backlog Report 2026'!$A:$A,0)),IFERROR(INDEX('Q4 Backlog Report 2026'!$E:$E,MATCH($A24,'Q4 Backlog Report 2026'!$A:$A,0)),"")))))</f>
        <v>MA</v>
      </c>
      <c r="D24" s="5" t="str">
        <f aca="false">IFERROR(INDEX(Backlog[Sprint],MATCH($A24,Backlog[Requirement ID],0)),IFERROR(INDEX('Q1 Backlog Report 2026'!$I:$I,MATCH($A24,'Q1 Backlog Report 2026'!$A:$A,0)),IFERROR(INDEX('Q2 Backlog Report 2026'!$I:$I,MATCH($A24,'Q2 Backlog Report 2026'!$A:$A,0)),IFERROR(INDEX('Q3 Backlog Report 2026'!$I:$I,MATCH($A24,'Q3 Backlog Report 2026'!$A:$A,0)),IFERROR(INDEX('Q4 Backlog Report 2026'!$I:$I,MATCH($A24,'Q4 Backlog Report 2026'!$A:$A,0)),"")))))</f>
        <v>Sprint 6</v>
      </c>
      <c r="E24" s="5" t="str">
        <f aca="false">IFERROR(INDEX(Backlog[Jira Link],MATCH($A24,Backlog[Requirement ID],0)),IFERROR(INDEX('Q1 Backlog Report 2026'!$G:$G,MATCH($A24,'Q1 Backlog Report 2026'!$A:$A,0)),IFERROR(INDEX('Q2 Backlog Report 2026'!$G:$G,MATCH($A24,'Q2 Backlog Report 2026'!$A:$A,0)),IFERROR(INDEX('Q3 Backlog Report 2026'!$G:$G,MATCH($A24,'Q3 Backlog Report 2026'!$A:$A,0)),IFERROR(INDEX('Q4 Backlog Report 2026'!$G:$G,MATCH($A24,'Q4 Backlog Report 2026'!$A:$A,0)),"")))))</f>
        <v>https://smartship.atlassian.net/browse/EA-1280</v>
      </c>
      <c r="F24" s="5" t="str">
        <f aca="false">IFERROR(INDEX(Backlog[Requirement Name],MATCH($A24,Backlog[Requirement ID],0)),IFERROR(INDEX('Q1 Backlog Report 2026'!$B:$B,MATCH($A24,'Q1 Backlog Report 2026'!$A:$A,0)),IFERROR(INDEX('Q2 Backlog Report 2026'!$B:$B,MATCH($A24,'Q2 Backlog Report 2026'!$A:$A,0)),IFERROR(INDEX('Q3 Backlog Report 2026'!$B:$B,MATCH($A24,'Q3 Backlog Report 2026'!$A:$A,0)),IFERROR(INDEX('Q4 Backlog Report 2026'!$B:$B,MATCH($A24,'Q4 Backlog Report 2026'!$A:$A,0)),"")))))</f>
        <v>DTTP - Lead Management - Web forms - Market-Based Date Format Localization</v>
      </c>
      <c r="G24" s="5" t="str">
        <f aca="false">IFERROR(INDEX(Backlog[Status],MATCH($A24,Backlog[Requirement ID],0)),IFERROR(INDEX('Q1 Backlog Report 2026'!$F:$F,MATCH($A24,'Q1 Backlog Report 2026'!$A:$A,0)),IFERROR(INDEX('Q2 Backlog Report 2026'!$F:$F,MATCH($A24,'Q2 Backlog Report 2026'!$A:$A,0)),IFERROR(INDEX('Q3 Backlog Report 2026'!$F:$F,MATCH($A24,'Q3 Backlog Report 2026'!$A:$A,0)),IFERROR(INDEX('Q4 Backlog Report 2026'!$F:$F,MATCH($A24,'Q4 Backlog Report 2026'!$A:$A,0)),"")))))</f>
        <v>DONE</v>
      </c>
      <c r="H24" s="5" t="n">
        <f aca="false">IFERROR(INDEX(Backlog[HLE],MATCH($A24,Backlog[Requirement ID],0)),IFERROR(INDEX('Q1 Backlog Report 2026'!$K:$K,MATCH($A24,'Q1 Backlog Report 2026'!$A:$A,0)),IFERROR(INDEX('Q2 Backlog Report 2026'!$K:$K,MATCH($A24,'Q2 Backlog Report 2026'!$A:$A,0)),IFERROR(INDEX('Q3 Backlog Report 2026'!$K:$K,MATCH($A24,'Q3 Backlog Report 2026'!$A:$A,0)),IFERROR(INDEX('Q4 Backlog Report 2026'!$K:$K,MATCH($A24,'Q4 Backlog Report 2026'!$A:$A,0)),"")))))</f>
        <v>5</v>
      </c>
    </row>
    <row r="25" customFormat="false" ht="15" hidden="false" customHeight="true" outlineLevel="0" collapsed="false">
      <c r="A25" s="5" t="s">
        <v>615</v>
      </c>
      <c r="B25" s="5" t="str">
        <f aca="false">IFERROR(INDEX(Backlog[Stream],MATCH($A25,Backlog[Requirement ID],0)),IFERROR(INDEX('Q1 Backlog Report 2026'!$D:$D,MATCH($A25,'Q1 Backlog Report 2026'!$A:$A,0)),IFERROR(INDEX('Q2 Backlog Report 2026'!$D:$D,MATCH($A25,'Q2 Backlog Report 2026'!$A:$A,0)),IFERROR(INDEX('Q3 Backlog Report 2026'!$D:$D,MATCH($A25,'Q3 Backlog Report 2026'!$A:$A,0)),IFERROR(INDEX('Q4 Backlog Report 2026'!$D:$D,MATCH($A25,'Q4 Backlog Report 2026'!$A:$A,0)),"")))))</f>
        <v>PI10</v>
      </c>
      <c r="C25" s="5" t="str">
        <f aca="false">IFERROR(INDEX(Backlog[Stream Owner],MATCH($A25,Backlog[Requirement ID],0)),IFERROR(INDEX('Q1 Backlog Report 2026'!$E:$E,MATCH($A25,'Q1 Backlog Report 2026'!$A:$A,0)),IFERROR(INDEX('Q2 Backlog Report 2026'!$E:$E,MATCH($A25,'Q2 Backlog Report 2026'!$A:$A,0)),IFERROR(INDEX('Q3 Backlog Report 2026'!$E:$E,MATCH($A25,'Q3 Backlog Report 2026'!$A:$A,0)),IFERROR(INDEX('Q4 Backlog Report 2026'!$E:$E,MATCH($A25,'Q4 Backlog Report 2026'!$A:$A,0)),"")))))</f>
        <v>MA</v>
      </c>
      <c r="D25" s="5" t="str">
        <f aca="false">IFERROR(INDEX(Backlog[Sprint],MATCH($A25,Backlog[Requirement ID],0)),IFERROR(INDEX('Q1 Backlog Report 2026'!$I:$I,MATCH($A25,'Q1 Backlog Report 2026'!$A:$A,0)),IFERROR(INDEX('Q2 Backlog Report 2026'!$I:$I,MATCH($A25,'Q2 Backlog Report 2026'!$A:$A,0)),IFERROR(INDEX('Q3 Backlog Report 2026'!$I:$I,MATCH($A25,'Q3 Backlog Report 2026'!$A:$A,0)),IFERROR(INDEX('Q4 Backlog Report 2026'!$I:$I,MATCH($A25,'Q4 Backlog Report 2026'!$A:$A,0)),"")))))</f>
        <v>Sprint 5</v>
      </c>
      <c r="E25" s="5" t="str">
        <f aca="false">IFERROR(INDEX(Backlog[Jira Link],MATCH($A25,Backlog[Requirement ID],0)),IFERROR(INDEX('Q1 Backlog Report 2026'!$G:$G,MATCH($A25,'Q1 Backlog Report 2026'!$A:$A,0)),IFERROR(INDEX('Q2 Backlog Report 2026'!$G:$G,MATCH($A25,'Q2 Backlog Report 2026'!$A:$A,0)),IFERROR(INDEX('Q3 Backlog Report 2026'!$G:$G,MATCH($A25,'Q3 Backlog Report 2026'!$A:$A,0)),IFERROR(INDEX('Q4 Backlog Report 2026'!$G:$G,MATCH($A25,'Q4 Backlog Report 2026'!$A:$A,0)),"")))))</f>
        <v>https://smartship.atlassian.net/browse/EA-1125</v>
      </c>
      <c r="F25" s="5" t="str">
        <f aca="false">IFERROR(INDEX(Backlog[Requirement Name],MATCH($A25,Backlog[Requirement ID],0)),IFERROR(INDEX('Q1 Backlog Report 2026'!$B:$B,MATCH($A25,'Q1 Backlog Report 2026'!$A:$A,0)),IFERROR(INDEX('Q2 Backlog Report 2026'!$B:$B,MATCH($A25,'Q2 Backlog Report 2026'!$A:$A,0)),IFERROR(INDEX('Q3 Backlog Report 2026'!$B:$B,MATCH($A25,'Q3 Backlog Report 2026'!$A:$A,0)),IFERROR(INDEX('Q4 Backlog Report 2026'!$B:$B,MATCH($A25,'Q4 Backlog Report 2026'!$A:$A,0)),"")))))</f>
        <v>Support for the enabling of IP whitelist for Mulesoft Marketo</v>
      </c>
      <c r="G25" s="5" t="str">
        <f aca="false">IFERROR(INDEX(Backlog[Status],MATCH($A25,Backlog[Requirement ID],0)),IFERROR(INDEX('Q1 Backlog Report 2026'!$F:$F,MATCH($A25,'Q1 Backlog Report 2026'!$A:$A,0)),IFERROR(INDEX('Q2 Backlog Report 2026'!$F:$F,MATCH($A25,'Q2 Backlog Report 2026'!$A:$A,0)),IFERROR(INDEX('Q3 Backlog Report 2026'!$F:$F,MATCH($A25,'Q3 Backlog Report 2026'!$A:$A,0)),IFERROR(INDEX('Q4 Backlog Report 2026'!$F:$F,MATCH($A25,'Q4 Backlog Report 2026'!$A:$A,0)),"")))))</f>
        <v>DONE</v>
      </c>
      <c r="H25" s="5" t="n">
        <f aca="false">IFERROR(INDEX(Backlog[HLE],MATCH($A25,Backlog[Requirement ID],0)),IFERROR(INDEX('Q1 Backlog Report 2026'!$K:$K,MATCH($A25,'Q1 Backlog Report 2026'!$A:$A,0)),IFERROR(INDEX('Q2 Backlog Report 2026'!$K:$K,MATCH($A25,'Q2 Backlog Report 2026'!$A:$A,0)),IFERROR(INDEX('Q3 Backlog Report 2026'!$K:$K,MATCH($A25,'Q3 Backlog Report 2026'!$A:$A,0)),IFERROR(INDEX('Q4 Backlog Report 2026'!$K:$K,MATCH($A25,'Q4 Backlog Report 2026'!$A:$A,0)),"")))))</f>
        <v>8</v>
      </c>
    </row>
    <row r="26" customFormat="false" ht="15" hidden="false" customHeight="true" outlineLevel="0" collapsed="false">
      <c r="A26" s="5" t="s">
        <v>708</v>
      </c>
      <c r="B26" s="5" t="str">
        <f aca="false">IFERROR(INDEX(Backlog[Stream],MATCH($A26,Backlog[Requirement ID],0)),IFERROR(INDEX('Q1 Backlog Report 2026'!$D:$D,MATCH($A26,'Q1 Backlog Report 2026'!$A:$A,0)),IFERROR(INDEX('Q2 Backlog Report 2026'!$D:$D,MATCH($A26,'Q2 Backlog Report 2026'!$A:$A,0)),IFERROR(INDEX('Q3 Backlog Report 2026'!$D:$D,MATCH($A26,'Q3 Backlog Report 2026'!$A:$A,0)),IFERROR(INDEX('Q4 Backlog Report 2026'!$D:$D,MATCH($A26,'Q4 Backlog Report 2026'!$A:$A,0)),"")))))</f>
        <v>PI10</v>
      </c>
      <c r="C26" s="5" t="n">
        <f aca="false">IFERROR(INDEX(Backlog[Stream Owner],MATCH($A26,Backlog[Requirement ID],0)),IFERROR(INDEX('Q1 Backlog Report 2026'!$E:$E,MATCH($A26,'Q1 Backlog Report 2026'!$A:$A,0)),IFERROR(INDEX('Q2 Backlog Report 2026'!$E:$E,MATCH($A26,'Q2 Backlog Report 2026'!$A:$A,0)),IFERROR(INDEX('Q3 Backlog Report 2026'!$E:$E,MATCH($A26,'Q3 Backlog Report 2026'!$A:$A,0)),IFERROR(INDEX('Q4 Backlog Report 2026'!$E:$E,MATCH($A26,'Q4 Backlog Report 2026'!$A:$A,0)),"")))))</f>
        <v>0</v>
      </c>
      <c r="D26" s="5" t="str">
        <f aca="false">IFERROR(INDEX(Backlog[Sprint],MATCH($A26,Backlog[Requirement ID],0)),IFERROR(INDEX('Q1 Backlog Report 2026'!$I:$I,MATCH($A26,'Q1 Backlog Report 2026'!$A:$A,0)),IFERROR(INDEX('Q2 Backlog Report 2026'!$I:$I,MATCH($A26,'Q2 Backlog Report 2026'!$A:$A,0)),IFERROR(INDEX('Q3 Backlog Report 2026'!$I:$I,MATCH($A26,'Q3 Backlog Report 2026'!$A:$A,0)),IFERROR(INDEX('Q4 Backlog Report 2026'!$I:$I,MATCH($A26,'Q4 Backlog Report 2026'!$A:$A,0)),"")))))</f>
        <v>Sprint 7</v>
      </c>
      <c r="E26" s="5" t="str">
        <f aca="false">IFERROR(INDEX(Backlog[Jira Link],MATCH($A26,Backlog[Requirement ID],0)),IFERROR(INDEX('Q1 Backlog Report 2026'!$G:$G,MATCH($A26,'Q1 Backlog Report 2026'!$A:$A,0)),IFERROR(INDEX('Q2 Backlog Report 2026'!$G:$G,MATCH($A26,'Q2 Backlog Report 2026'!$A:$A,0)),IFERROR(INDEX('Q3 Backlog Report 2026'!$G:$G,MATCH($A26,'Q3 Backlog Report 2026'!$A:$A,0)),IFERROR(INDEX('Q4 Backlog Report 2026'!$G:$G,MATCH($A26,'Q4 Backlog Report 2026'!$A:$A,0)),"")))))</f>
        <v>https://smartship.atlassian.net/browse/EA-1327</v>
      </c>
      <c r="F26" s="5" t="str">
        <f aca="false">IFERROR(INDEX(Backlog[Requirement Name],MATCH($A26,Backlog[Requirement ID],0)),IFERROR(INDEX('Q1 Backlog Report 2026'!$B:$B,MATCH($A26,'Q1 Backlog Report 2026'!$A:$A,0)),IFERROR(INDEX('Q2 Backlog Report 2026'!$B:$B,MATCH($A26,'Q2 Backlog Report 2026'!$A:$A,0)),IFERROR(INDEX('Q3 Backlog Report 2026'!$B:$B,MATCH($A26,'Q3 Backlog Report 2026'!$A:$A,0)),IFERROR(INDEX('Q4 Backlog Report 2026'!$B:$B,MATCH($A26,'Q4 Backlog Report 2026'!$A:$A,0)),"")))))</f>
        <v>CRM - Consent Management - Profiling info in the Customer Event table CDP/AJ0_EAImpact</v>
      </c>
      <c r="G26" s="5" t="str">
        <f aca="false">IFERROR(INDEX(Backlog[Status],MATCH($A26,Backlog[Requirement ID],0)),IFERROR(INDEX('Q1 Backlog Report 2026'!$F:$F,MATCH($A26,'Q1 Backlog Report 2026'!$A:$A,0)),IFERROR(INDEX('Q2 Backlog Report 2026'!$F:$F,MATCH($A26,'Q2 Backlog Report 2026'!$A:$A,0)),IFERROR(INDEX('Q3 Backlog Report 2026'!$F:$F,MATCH($A26,'Q3 Backlog Report 2026'!$A:$A,0)),IFERROR(INDEX('Q4 Backlog Report 2026'!$F:$F,MATCH($A26,'Q4 Backlog Report 2026'!$A:$A,0)),"")))))</f>
        <v>DONE</v>
      </c>
      <c r="H26" s="5" t="n">
        <f aca="false">IFERROR(INDEX(Backlog[HLE],MATCH($A26,Backlog[Requirement ID],0)),IFERROR(INDEX('Q1 Backlog Report 2026'!$K:$K,MATCH($A26,'Q1 Backlog Report 2026'!$A:$A,0)),IFERROR(INDEX('Q2 Backlog Report 2026'!$K:$K,MATCH($A26,'Q2 Backlog Report 2026'!$A:$A,0)),IFERROR(INDEX('Q3 Backlog Report 2026'!$K:$K,MATCH($A26,'Q3 Backlog Report 2026'!$A:$A,0)),IFERROR(INDEX('Q4 Backlog Report 2026'!$K:$K,MATCH($A26,'Q4 Backlog Report 2026'!$A:$A,0)),"")))))</f>
        <v>5</v>
      </c>
      <c r="I26" s="81" t="s">
        <v>821</v>
      </c>
      <c r="J26" s="81" t="s">
        <v>821</v>
      </c>
      <c r="K26" s="81" t="s">
        <v>823</v>
      </c>
    </row>
    <row r="27" customFormat="false" ht="15" hidden="false" customHeight="true" outlineLevel="0" collapsed="false">
      <c r="A27" s="5" t="s">
        <v>752</v>
      </c>
      <c r="B27" s="5" t="str">
        <f aca="false">IFERROR(INDEX(Backlog[Stream],MATCH($A27,Backlog[Requirement ID],0)),IFERROR(INDEX('Q1 Backlog Report 2026'!$D:$D,MATCH($A27,'Q1 Backlog Report 2026'!$A:$A,0)),IFERROR(INDEX('Q2 Backlog Report 2026'!$D:$D,MATCH($A27,'Q2 Backlog Report 2026'!$A:$A,0)),IFERROR(INDEX('Q3 Backlog Report 2026'!$D:$D,MATCH($A27,'Q3 Backlog Report 2026'!$A:$A,0)),IFERROR(INDEX('Q4 Backlog Report 2026'!$D:$D,MATCH($A27,'Q4 Backlog Report 2026'!$A:$A,0)),"")))))</f>
        <v>PI10</v>
      </c>
      <c r="C27" s="5" t="str">
        <f aca="false">IFERROR(INDEX(Backlog[Stream Owner],MATCH($A27,Backlog[Requirement ID],0)),IFERROR(INDEX('Q1 Backlog Report 2026'!$E:$E,MATCH($A27,'Q1 Backlog Report 2026'!$A:$A,0)),IFERROR(INDEX('Q2 Backlog Report 2026'!$E:$E,MATCH($A27,'Q2 Backlog Report 2026'!$A:$A,0)),IFERROR(INDEX('Q3 Backlog Report 2026'!$E:$E,MATCH($A27,'Q3 Backlog Report 2026'!$A:$A,0)),IFERROR(INDEX('Q4 Backlog Report 2026'!$E:$E,MATCH($A27,'Q4 Backlog Report 2026'!$A:$A,0)),"")))))</f>
        <v>M4M</v>
      </c>
      <c r="D27" s="5" t="str">
        <f aca="false">IFERROR(INDEX(Backlog[Sprint],MATCH($A27,Backlog[Requirement ID],0)),IFERROR(INDEX('Q1 Backlog Report 2026'!$I:$I,MATCH($A27,'Q1 Backlog Report 2026'!$A:$A,0)),IFERROR(INDEX('Q2 Backlog Report 2026'!$I:$I,MATCH($A27,'Q2 Backlog Report 2026'!$A:$A,0)),IFERROR(INDEX('Q3 Backlog Report 2026'!$I:$I,MATCH($A27,'Q3 Backlog Report 2026'!$A:$A,0)),IFERROR(INDEX('Q4 Backlog Report 2026'!$I:$I,MATCH($A27,'Q4 Backlog Report 2026'!$A:$A,0)),"")))))</f>
        <v>Sprint 9</v>
      </c>
      <c r="E27" s="5" t="str">
        <f aca="false">IFERROR(INDEX(Backlog[Jira Link],MATCH($A27,Backlog[Requirement ID],0)),IFERROR(INDEX('Q1 Backlog Report 2026'!$G:$G,MATCH($A27,'Q1 Backlog Report 2026'!$A:$A,0)),IFERROR(INDEX('Q2 Backlog Report 2026'!$G:$G,MATCH($A27,'Q2 Backlog Report 2026'!$A:$A,0)),IFERROR(INDEX('Q3 Backlog Report 2026'!$G:$G,MATCH($A27,'Q3 Backlog Report 2026'!$A:$A,0)),IFERROR(INDEX('Q4 Backlog Report 2026'!$G:$G,MATCH($A27,'Q4 Backlog Report 2026'!$A:$A,0)),"")))))</f>
        <v>https://smartship.atlassian.net/browse/EA-1772</v>
      </c>
      <c r="F27" s="5" t="str">
        <f aca="false">IFERROR(INDEX(Backlog[Requirement Name],MATCH($A27,Backlog[Requirement ID],0)),IFERROR(INDEX('Q1 Backlog Report 2026'!$B:$B,MATCH($A27,'Q1 Backlog Report 2026'!$A:$A,0)),IFERROR(INDEX('Q2 Backlog Report 2026'!$B:$B,MATCH($A27,'Q2 Backlog Report 2026'!$A:$A,0)),IFERROR(INDEX('Q3 Backlog Report 2026'!$B:$B,MATCH($A27,'Q3 Backlog Report 2026'!$A:$A,0)),IFERROR(INDEX('Q4 Backlog Report 2026'!$B:$B,MATCH($A27,'Q4 Backlog Report 2026'!$A:$A,0)),"")))))</f>
        <v>INT183 - Add price per night</v>
      </c>
      <c r="G27" s="5" t="str">
        <f aca="false">IFERROR(INDEX(Backlog[Status],MATCH($A27,Backlog[Requirement ID],0)),IFERROR(INDEX('Q1 Backlog Report 2026'!$F:$F,MATCH($A27,'Q1 Backlog Report 2026'!$A:$A,0)),IFERROR(INDEX('Q2 Backlog Report 2026'!$F:$F,MATCH($A27,'Q2 Backlog Report 2026'!$A:$A,0)),IFERROR(INDEX('Q3 Backlog Report 2026'!$F:$F,MATCH($A27,'Q3 Backlog Report 2026'!$A:$A,0)),IFERROR(INDEX('Q4 Backlog Report 2026'!$F:$F,MATCH($A27,'Q4 Backlog Report 2026'!$A:$A,0)),"")))))</f>
        <v>DONE</v>
      </c>
      <c r="H27" s="5" t="n">
        <f aca="false">IFERROR(INDEX(Backlog[HLE],MATCH($A27,Backlog[Requirement ID],0)),IFERROR(INDEX('Q1 Backlog Report 2026'!$K:$K,MATCH($A27,'Q1 Backlog Report 2026'!$A:$A,0)),IFERROR(INDEX('Q2 Backlog Report 2026'!$K:$K,MATCH($A27,'Q2 Backlog Report 2026'!$A:$A,0)),IFERROR(INDEX('Q3 Backlog Report 2026'!$K:$K,MATCH($A27,'Q3 Backlog Report 2026'!$A:$A,0)),IFERROR(INDEX('Q4 Backlog Report 2026'!$K:$K,MATCH($A27,'Q4 Backlog Report 2026'!$A:$A,0)),"")))))</f>
        <v>3</v>
      </c>
      <c r="I27" s="81" t="s">
        <v>824</v>
      </c>
      <c r="J27" s="81" t="s">
        <v>825</v>
      </c>
      <c r="K27" s="81" t="s">
        <v>826</v>
      </c>
    </row>
    <row r="28" customFormat="false" ht="15" hidden="false" customHeight="true" outlineLevel="0" collapsed="false">
      <c r="A28" s="5" t="s">
        <v>778</v>
      </c>
      <c r="B28" s="5" t="str">
        <f aca="false">IFERROR(INDEX(Backlog[Stream],MATCH($A28,Backlog[Requirement ID],0)),IFERROR(INDEX('Q1 Backlog Report 2026'!$D:$D,MATCH($A28,'Q1 Backlog Report 2026'!$A:$A,0)),IFERROR(INDEX('Q2 Backlog Report 2026'!$D:$D,MATCH($A28,'Q2 Backlog Report 2026'!$A:$A,0)),IFERROR(INDEX('Q3 Backlog Report 2026'!$D:$D,MATCH($A28,'Q3 Backlog Report 2026'!$A:$A,0)),IFERROR(INDEX('Q4 Backlog Report 2026'!$D:$D,MATCH($A28,'Q4 Backlog Report 2026'!$A:$A,0)),"")))))</f>
        <v>PI10</v>
      </c>
      <c r="C28" s="5" t="str">
        <f aca="false">IFERROR(INDEX(Backlog[Stream Owner],MATCH($A28,Backlog[Requirement ID],0)),IFERROR(INDEX('Q1 Backlog Report 2026'!$E:$E,MATCH($A28,'Q1 Backlog Report 2026'!$A:$A,0)),IFERROR(INDEX('Q2 Backlog Report 2026'!$E:$E,MATCH($A28,'Q2 Backlog Report 2026'!$A:$A,0)),IFERROR(INDEX('Q3 Backlog Report 2026'!$E:$E,MATCH($A28,'Q3 Backlog Report 2026'!$A:$A,0)),IFERROR(INDEX('Q4 Backlog Report 2026'!$E:$E,MATCH($A28,'Q4 Backlog Report 2026'!$A:$A,0)),"")))))</f>
        <v>M4M</v>
      </c>
      <c r="D28" s="5" t="str">
        <f aca="false">IFERROR(INDEX(Backlog[Sprint],MATCH($A28,Backlog[Requirement ID],0)),IFERROR(INDEX('Q1 Backlog Report 2026'!$I:$I,MATCH($A28,'Q1 Backlog Report 2026'!$A:$A,0)),IFERROR(INDEX('Q2 Backlog Report 2026'!$I:$I,MATCH($A28,'Q2 Backlog Report 2026'!$A:$A,0)),IFERROR(INDEX('Q3 Backlog Report 2026'!$I:$I,MATCH($A28,'Q3 Backlog Report 2026'!$A:$A,0)),IFERROR(INDEX('Q4 Backlog Report 2026'!$I:$I,MATCH($A28,'Q4 Backlog Report 2026'!$A:$A,0)),"")))))</f>
        <v>Sprint 9</v>
      </c>
      <c r="E28" s="5" t="str">
        <f aca="false">IFERROR(INDEX(Backlog[Jira Link],MATCH($A28,Backlog[Requirement ID],0)),IFERROR(INDEX('Q1 Backlog Report 2026'!$G:$G,MATCH($A28,'Q1 Backlog Report 2026'!$A:$A,0)),IFERROR(INDEX('Q2 Backlog Report 2026'!$G:$G,MATCH($A28,'Q2 Backlog Report 2026'!$A:$A,0)),IFERROR(INDEX('Q3 Backlog Report 2026'!$G:$G,MATCH($A28,'Q3 Backlog Report 2026'!$A:$A,0)),IFERROR(INDEX('Q4 Backlog Report 2026'!$G:$G,MATCH($A28,'Q4 Backlog Report 2026'!$A:$A,0)),"")))))</f>
        <v>https://smartship.atlassian.net/browse/EA-1774</v>
      </c>
      <c r="F28" s="5" t="str">
        <f aca="false">IFERROR(INDEX(Backlog[Requirement Name],MATCH($A28,Backlog[Requirement ID],0)),IFERROR(INDEX('Q1 Backlog Report 2026'!$B:$B,MATCH($A28,'Q1 Backlog Report 2026'!$A:$A,0)),IFERROR(INDEX('Q2 Backlog Report 2026'!$B:$B,MATCH($A28,'Q2 Backlog Report 2026'!$A:$A,0)),IFERROR(INDEX('Q3 Backlog Report 2026'!$B:$B,MATCH($A28,'Q3 Backlog Report 2026'!$A:$A,0)),IFERROR(INDEX('Q4 Backlog Report 2026'!$B:$B,MATCH($A28,'Q4 Backlog Report 2026'!$A:$A,0)),"")))))</f>
        <v>INT182 - Add onboard price and exclusive discount flag</v>
      </c>
      <c r="G28" s="5" t="str">
        <f aca="false">IFERROR(INDEX(Backlog[Status],MATCH($A28,Backlog[Requirement ID],0)),IFERROR(INDEX('Q1 Backlog Report 2026'!$F:$F,MATCH($A28,'Q1 Backlog Report 2026'!$A:$A,0)),IFERROR(INDEX('Q2 Backlog Report 2026'!$F:$F,MATCH($A28,'Q2 Backlog Report 2026'!$A:$A,0)),IFERROR(INDEX('Q3 Backlog Report 2026'!$F:$F,MATCH($A28,'Q3 Backlog Report 2026'!$A:$A,0)),IFERROR(INDEX('Q4 Backlog Report 2026'!$F:$F,MATCH($A28,'Q4 Backlog Report 2026'!$A:$A,0)),"")))))</f>
        <v>DONE</v>
      </c>
      <c r="H28" s="5" t="n">
        <f aca="false">IFERROR(INDEX(Backlog[HLE],MATCH($A28,Backlog[Requirement ID],0)),IFERROR(INDEX('Q1 Backlog Report 2026'!$K:$K,MATCH($A28,'Q1 Backlog Report 2026'!$A:$A,0)),IFERROR(INDEX('Q2 Backlog Report 2026'!$K:$K,MATCH($A28,'Q2 Backlog Report 2026'!$A:$A,0)),IFERROR(INDEX('Q3 Backlog Report 2026'!$K:$K,MATCH($A28,'Q3 Backlog Report 2026'!$A:$A,0)),IFERROR(INDEX('Q4 Backlog Report 2026'!$K:$K,MATCH($A28,'Q4 Backlog Report 2026'!$A:$A,0)),"")))))</f>
        <v>3</v>
      </c>
      <c r="I28" s="81" t="s">
        <v>824</v>
      </c>
      <c r="J28" s="81" t="s">
        <v>825</v>
      </c>
      <c r="K28" s="81" t="s">
        <v>826</v>
      </c>
    </row>
    <row r="29" customFormat="false" ht="15" hidden="false" customHeight="true" outlineLevel="0" collapsed="false">
      <c r="A29" s="5" t="s">
        <v>780</v>
      </c>
      <c r="B29" s="5" t="str">
        <f aca="false">IFERROR(INDEX(Backlog[Stream],MATCH($A29,Backlog[Requirement ID],0)),IFERROR(INDEX('Q1 Backlog Report 2026'!$D:$D,MATCH($A29,'Q1 Backlog Report 2026'!$A:$A,0)),IFERROR(INDEX('Q2 Backlog Report 2026'!$D:$D,MATCH($A29,'Q2 Backlog Report 2026'!$A:$A,0)),IFERROR(INDEX('Q3 Backlog Report 2026'!$D:$D,MATCH($A29,'Q3 Backlog Report 2026'!$A:$A,0)),IFERROR(INDEX('Q4 Backlog Report 2026'!$D:$D,MATCH($A29,'Q4 Backlog Report 2026'!$A:$A,0)),"")))))</f>
        <v>PI10</v>
      </c>
      <c r="C29" s="5" t="str">
        <f aca="false">IFERROR(INDEX(Backlog[Stream Owner],MATCH($A29,Backlog[Requirement ID],0)),IFERROR(INDEX('Q1 Backlog Report 2026'!$E:$E,MATCH($A29,'Q1 Backlog Report 2026'!$A:$A,0)),IFERROR(INDEX('Q2 Backlog Report 2026'!$E:$E,MATCH($A29,'Q2 Backlog Report 2026'!$A:$A,0)),IFERROR(INDEX('Q3 Backlog Report 2026'!$E:$E,MATCH($A29,'Q3 Backlog Report 2026'!$A:$A,0)),IFERROR(INDEX('Q4 Backlog Report 2026'!$E:$E,MATCH($A29,'Q4 Backlog Report 2026'!$A:$A,0)),"")))))</f>
        <v>M4M</v>
      </c>
      <c r="D29" s="5" t="str">
        <f aca="false">IFERROR(INDEX(Backlog[Sprint],MATCH($A29,Backlog[Requirement ID],0)),IFERROR(INDEX('Q1 Backlog Report 2026'!$I:$I,MATCH($A29,'Q1 Backlog Report 2026'!$A:$A,0)),IFERROR(INDEX('Q2 Backlog Report 2026'!$I:$I,MATCH($A29,'Q2 Backlog Report 2026'!$A:$A,0)),IFERROR(INDEX('Q3 Backlog Report 2026'!$I:$I,MATCH($A29,'Q3 Backlog Report 2026'!$A:$A,0)),IFERROR(INDEX('Q4 Backlog Report 2026'!$I:$I,MATCH($A29,'Q4 Backlog Report 2026'!$A:$A,0)),"")))))</f>
        <v>Sprint 9</v>
      </c>
      <c r="E29" s="5" t="str">
        <f aca="false">IFERROR(INDEX(Backlog[Jira Link],MATCH($A29,Backlog[Requirement ID],0)),IFERROR(INDEX('Q1 Backlog Report 2026'!$G:$G,MATCH($A29,'Q1 Backlog Report 2026'!$A:$A,0)),IFERROR(INDEX('Q2 Backlog Report 2026'!$G:$G,MATCH($A29,'Q2 Backlog Report 2026'!$A:$A,0)),IFERROR(INDEX('Q3 Backlog Report 2026'!$G:$G,MATCH($A29,'Q3 Backlog Report 2026'!$A:$A,0)),IFERROR(INDEX('Q4 Backlog Report 2026'!$G:$G,MATCH($A29,'Q4 Backlog Report 2026'!$A:$A,0)),"")))))</f>
        <v>https://smartship.atlassian.net/browse/EA-1775</v>
      </c>
      <c r="F29" s="5" t="str">
        <f aca="false">IFERROR(INDEX(Backlog[Requirement Name],MATCH($A29,Backlog[Requirement ID],0)),IFERROR(INDEX('Q1 Backlog Report 2026'!$B:$B,MATCH($A29,'Q1 Backlog Report 2026'!$A:$A,0)),IFERROR(INDEX('Q2 Backlog Report 2026'!$B:$B,MATCH($A29,'Q2 Backlog Report 2026'!$A:$A,0)),IFERROR(INDEX('Q3 Backlog Report 2026'!$B:$B,MATCH($A29,'Q3 Backlog Report 2026'!$A:$A,0)),IFERROR(INDEX('Q4 Backlog Report 2026'!$B:$B,MATCH($A29,'Q4 Backlog Report 2026'!$A:$A,0)),"")))))</f>
        <v>INT181 - Add OBS category type</v>
      </c>
      <c r="G29" s="5" t="str">
        <f aca="false">IFERROR(INDEX(Backlog[Status],MATCH($A29,Backlog[Requirement ID],0)),IFERROR(INDEX('Q1 Backlog Report 2026'!$F:$F,MATCH($A29,'Q1 Backlog Report 2026'!$A:$A,0)),IFERROR(INDEX('Q2 Backlog Report 2026'!$F:$F,MATCH($A29,'Q2 Backlog Report 2026'!$A:$A,0)),IFERROR(INDEX('Q3 Backlog Report 2026'!$F:$F,MATCH($A29,'Q3 Backlog Report 2026'!$A:$A,0)),IFERROR(INDEX('Q4 Backlog Report 2026'!$F:$F,MATCH($A29,'Q4 Backlog Report 2026'!$A:$A,0)),"")))))</f>
        <v>DONE</v>
      </c>
      <c r="H29" s="5" t="n">
        <f aca="false">IFERROR(INDEX(Backlog[HLE],MATCH($A29,Backlog[Requirement ID],0)),IFERROR(INDEX('Q1 Backlog Report 2026'!$K:$K,MATCH($A29,'Q1 Backlog Report 2026'!$A:$A,0)),IFERROR(INDEX('Q2 Backlog Report 2026'!$K:$K,MATCH($A29,'Q2 Backlog Report 2026'!$A:$A,0)),IFERROR(INDEX('Q3 Backlog Report 2026'!$K:$K,MATCH($A29,'Q3 Backlog Report 2026'!$A:$A,0)),IFERROR(INDEX('Q4 Backlog Report 2026'!$K:$K,MATCH($A29,'Q4 Backlog Report 2026'!$A:$A,0)),"")))))</f>
        <v>3</v>
      </c>
      <c r="I29" s="81" t="s">
        <v>824</v>
      </c>
      <c r="J29" s="81" t="s">
        <v>825</v>
      </c>
      <c r="K29" s="81" t="s">
        <v>826</v>
      </c>
    </row>
    <row r="30" customFormat="false" ht="15" hidden="false" customHeight="true" outlineLevel="0" collapsed="false">
      <c r="A30" s="5" t="s">
        <v>782</v>
      </c>
      <c r="B30" s="5" t="str">
        <f aca="false">IFERROR(INDEX(Backlog[Stream],MATCH($A30,Backlog[Requirement ID],0)),IFERROR(INDEX('Q1 Backlog Report 2026'!$D:$D,MATCH($A30,'Q1 Backlog Report 2026'!$A:$A,0)),IFERROR(INDEX('Q2 Backlog Report 2026'!$D:$D,MATCH($A30,'Q2 Backlog Report 2026'!$A:$A,0)),IFERROR(INDEX('Q3 Backlog Report 2026'!$D:$D,MATCH($A30,'Q3 Backlog Report 2026'!$A:$A,0)),IFERROR(INDEX('Q4 Backlog Report 2026'!$D:$D,MATCH($A30,'Q4 Backlog Report 2026'!$A:$A,0)),"")))))</f>
        <v>PI10</v>
      </c>
      <c r="C30" s="5" t="str">
        <f aca="false">IFERROR(INDEX(Backlog[Stream Owner],MATCH($A30,Backlog[Requirement ID],0)),IFERROR(INDEX('Q1 Backlog Report 2026'!$E:$E,MATCH($A30,'Q1 Backlog Report 2026'!$A:$A,0)),IFERROR(INDEX('Q2 Backlog Report 2026'!$E:$E,MATCH($A30,'Q2 Backlog Report 2026'!$A:$A,0)),IFERROR(INDEX('Q3 Backlog Report 2026'!$E:$E,MATCH($A30,'Q3 Backlog Report 2026'!$A:$A,0)),IFERROR(INDEX('Q4 Backlog Report 2026'!$E:$E,MATCH($A30,'Q4 Backlog Report 2026'!$A:$A,0)),"")))))</f>
        <v>M4M</v>
      </c>
      <c r="D30" s="5" t="str">
        <f aca="false">IFERROR(INDEX(Backlog[Sprint],MATCH($A30,Backlog[Requirement ID],0)),IFERROR(INDEX('Q1 Backlog Report 2026'!$I:$I,MATCH($A30,'Q1 Backlog Report 2026'!$A:$A,0)),IFERROR(INDEX('Q2 Backlog Report 2026'!$I:$I,MATCH($A30,'Q2 Backlog Report 2026'!$A:$A,0)),IFERROR(INDEX('Q3 Backlog Report 2026'!$I:$I,MATCH($A30,'Q3 Backlog Report 2026'!$A:$A,0)),IFERROR(INDEX('Q4 Backlog Report 2026'!$I:$I,MATCH($A30,'Q4 Backlog Report 2026'!$A:$A,0)),"")))))</f>
        <v>Sprint 9</v>
      </c>
      <c r="E30" s="5" t="str">
        <f aca="false">IFERROR(INDEX(Backlog[Jira Link],MATCH($A30,Backlog[Requirement ID],0)),IFERROR(INDEX('Q1 Backlog Report 2026'!$G:$G,MATCH($A30,'Q1 Backlog Report 2026'!$A:$A,0)),IFERROR(INDEX('Q2 Backlog Report 2026'!$G:$G,MATCH($A30,'Q2 Backlog Report 2026'!$A:$A,0)),IFERROR(INDEX('Q3 Backlog Report 2026'!$G:$G,MATCH($A30,'Q3 Backlog Report 2026'!$A:$A,0)),IFERROR(INDEX('Q4 Backlog Report 2026'!$G:$G,MATCH($A30,'Q4 Backlog Report 2026'!$A:$A,0)),"")))))</f>
        <v>https://smartship.atlassian.net/browse/EA-1773</v>
      </c>
      <c r="F30" s="5" t="str">
        <f aca="false">IFERROR(INDEX(Backlog[Requirement Name],MATCH($A30,Backlog[Requirement ID],0)),IFERROR(INDEX('Q1 Backlog Report 2026'!$B:$B,MATCH($A30,'Q1 Backlog Report 2026'!$A:$A,0)),IFERROR(INDEX('Q2 Backlog Report 2026'!$B:$B,MATCH($A30,'Q2 Backlog Report 2026'!$A:$A,0)),IFERROR(INDEX('Q3 Backlog Report 2026'!$B:$B,MATCH($A30,'Q3 Backlog Report 2026'!$A:$A,0)),IFERROR(INDEX('Q4 Backlog Report 2026'!$B:$B,MATCH($A30,'Q4 Backlog Report 2026'!$A:$A,0)),"")))))</f>
        <v>INT181/INT183 - Add linked item code</v>
      </c>
      <c r="G30" s="5" t="str">
        <f aca="false">IFERROR(INDEX(Backlog[Status],MATCH($A30,Backlog[Requirement ID],0)),IFERROR(INDEX('Q1 Backlog Report 2026'!$F:$F,MATCH($A30,'Q1 Backlog Report 2026'!$A:$A,0)),IFERROR(INDEX('Q2 Backlog Report 2026'!$F:$F,MATCH($A30,'Q2 Backlog Report 2026'!$A:$A,0)),IFERROR(INDEX('Q3 Backlog Report 2026'!$F:$F,MATCH($A30,'Q3 Backlog Report 2026'!$A:$A,0)),IFERROR(INDEX('Q4 Backlog Report 2026'!$F:$F,MATCH($A30,'Q4 Backlog Report 2026'!$A:$A,0)),"")))))</f>
        <v>DONE</v>
      </c>
      <c r="H30" s="5" t="n">
        <f aca="false">IFERROR(INDEX(Backlog[HLE],MATCH($A30,Backlog[Requirement ID],0)),IFERROR(INDEX('Q1 Backlog Report 2026'!$K:$K,MATCH($A30,'Q1 Backlog Report 2026'!$A:$A,0)),IFERROR(INDEX('Q2 Backlog Report 2026'!$K:$K,MATCH($A30,'Q2 Backlog Report 2026'!$A:$A,0)),IFERROR(INDEX('Q3 Backlog Report 2026'!$K:$K,MATCH($A30,'Q3 Backlog Report 2026'!$A:$A,0)),IFERROR(INDEX('Q4 Backlog Report 2026'!$K:$K,MATCH($A30,'Q4 Backlog Report 2026'!$A:$A,0)),"")))))</f>
        <v>3</v>
      </c>
      <c r="I30" s="81" t="s">
        <v>824</v>
      </c>
      <c r="J30" s="81" t="s">
        <v>825</v>
      </c>
      <c r="K30" s="81" t="s">
        <v>826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44" activeCellId="0" sqref="E44"/>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4" min="3" style="1" width="12"/>
    <col collapsed="false" customWidth="true" hidden="false" outlineLevel="0" max="5" min="5" style="1" width="14"/>
    <col collapsed="false" customWidth="true" hidden="false" outlineLevel="0" max="6" min="6" style="1" width="10"/>
    <col collapsed="false" customWidth="true" hidden="false" outlineLevel="0" max="7" min="7" style="1" width="14"/>
    <col collapsed="false" customWidth="true" hidden="false" outlineLevel="0" max="8" min="8" style="1" width="30"/>
    <col collapsed="false" customWidth="true" hidden="false" outlineLevel="0" max="9" min="9" style="1" width="12"/>
    <col collapsed="false" customWidth="true" hidden="false" outlineLevel="0" max="10" min="10" style="1" width="14"/>
    <col collapsed="false" customWidth="true" hidden="false" outlineLevel="0" max="11" min="11" style="1" width="12"/>
    <col collapsed="false" customWidth="true" hidden="false" outlineLevel="0" max="12" min="12" style="1" width="8"/>
  </cols>
  <sheetData>
    <row r="1" customFormat="false" ht="30" hidden="false" customHeight="true" outlineLevel="0" collapsed="false">
      <c r="A1" s="21" t="s">
        <v>66</v>
      </c>
      <c r="B1" s="21" t="s">
        <v>67</v>
      </c>
      <c r="C1" s="21" t="s">
        <v>68</v>
      </c>
      <c r="D1" s="21" t="s">
        <v>69</v>
      </c>
      <c r="E1" s="21" t="s">
        <v>70</v>
      </c>
      <c r="F1" s="21" t="s">
        <v>71</v>
      </c>
      <c r="G1" s="21" t="s">
        <v>78</v>
      </c>
      <c r="H1" s="21" t="s">
        <v>72</v>
      </c>
      <c r="I1" s="21" t="s">
        <v>74</v>
      </c>
      <c r="J1" s="21" t="s">
        <v>48</v>
      </c>
      <c r="K1" s="21" t="s">
        <v>75</v>
      </c>
      <c r="L1" s="82"/>
      <c r="M1" s="82"/>
      <c r="N1" s="82"/>
      <c r="O1" s="82"/>
      <c r="P1" s="82"/>
      <c r="Q1" s="82"/>
    </row>
    <row r="2" customFormat="false" ht="15" hidden="false" customHeight="true" outlineLevel="0" collapsed="false">
      <c r="A2" s="26" t="s">
        <v>544</v>
      </c>
      <c r="B2" s="26" t="s">
        <v>545</v>
      </c>
      <c r="C2" s="26" t="s">
        <v>98</v>
      </c>
      <c r="D2" s="26" t="s">
        <v>84</v>
      </c>
      <c r="E2" s="26" t="s">
        <v>91</v>
      </c>
      <c r="F2" s="26" t="s">
        <v>224</v>
      </c>
      <c r="G2" s="26" t="s">
        <v>827</v>
      </c>
      <c r="H2" s="26" t="s">
        <v>87</v>
      </c>
      <c r="I2" s="26" t="s">
        <v>419</v>
      </c>
      <c r="J2" s="26" t="s">
        <v>454</v>
      </c>
      <c r="K2" s="26" t="n">
        <v>5</v>
      </c>
      <c r="L2" s="26"/>
      <c r="M2" s="26"/>
      <c r="N2" s="26"/>
      <c r="O2" s="26"/>
      <c r="P2" s="26"/>
      <c r="Q2" s="26"/>
    </row>
    <row r="3" customFormat="false" ht="15" hidden="false" customHeight="true" outlineLevel="0" collapsed="false">
      <c r="A3" s="1" t="s">
        <v>548</v>
      </c>
      <c r="B3" s="1" t="s">
        <v>549</v>
      </c>
      <c r="C3" s="1" t="s">
        <v>98</v>
      </c>
      <c r="D3" s="1" t="s">
        <v>84</v>
      </c>
      <c r="E3" s="1" t="s">
        <v>91</v>
      </c>
      <c r="F3" s="1" t="s">
        <v>224</v>
      </c>
      <c r="G3" s="1" t="s">
        <v>828</v>
      </c>
      <c r="H3" s="1" t="s">
        <v>87</v>
      </c>
      <c r="I3" s="1" t="s">
        <v>419</v>
      </c>
      <c r="J3" s="1" t="s">
        <v>454</v>
      </c>
      <c r="K3" s="1" t="n">
        <v>2</v>
      </c>
    </row>
    <row r="4" customFormat="false" ht="15" hidden="false" customHeight="true" outlineLevel="0" collapsed="false">
      <c r="A4" s="1" t="s">
        <v>551</v>
      </c>
      <c r="B4" s="1" t="s">
        <v>552</v>
      </c>
      <c r="C4" s="1" t="s">
        <v>98</v>
      </c>
      <c r="D4" s="1" t="s">
        <v>84</v>
      </c>
      <c r="E4" s="1" t="s">
        <v>91</v>
      </c>
      <c r="F4" s="1" t="s">
        <v>224</v>
      </c>
      <c r="G4" s="1" t="s">
        <v>829</v>
      </c>
      <c r="H4" s="1" t="s">
        <v>87</v>
      </c>
      <c r="I4" s="1" t="s">
        <v>419</v>
      </c>
      <c r="J4" s="1" t="s">
        <v>454</v>
      </c>
      <c r="K4" s="1" t="n">
        <v>5</v>
      </c>
    </row>
    <row r="5" customFormat="false" ht="15" hidden="false" customHeight="true" outlineLevel="0" collapsed="false">
      <c r="A5" s="1" t="s">
        <v>554</v>
      </c>
      <c r="B5" s="1" t="s">
        <v>555</v>
      </c>
      <c r="C5" s="1" t="s">
        <v>98</v>
      </c>
      <c r="D5" s="1" t="s">
        <v>84</v>
      </c>
      <c r="E5" s="1" t="s">
        <v>91</v>
      </c>
      <c r="F5" s="1" t="s">
        <v>224</v>
      </c>
      <c r="G5" s="1" t="s">
        <v>830</v>
      </c>
      <c r="H5" s="1" t="s">
        <v>87</v>
      </c>
      <c r="I5" s="1" t="s">
        <v>419</v>
      </c>
      <c r="J5" s="1" t="s">
        <v>454</v>
      </c>
      <c r="K5" s="1" t="n">
        <v>5</v>
      </c>
    </row>
    <row r="6" customFormat="false" ht="15" hidden="false" customHeight="true" outlineLevel="0" collapsed="false">
      <c r="A6" s="1" t="s">
        <v>556</v>
      </c>
      <c r="B6" s="1" t="s">
        <v>557</v>
      </c>
      <c r="C6" s="1" t="s">
        <v>98</v>
      </c>
      <c r="D6" s="1" t="s">
        <v>84</v>
      </c>
      <c r="E6" s="1" t="s">
        <v>91</v>
      </c>
      <c r="F6" s="1" t="s">
        <v>224</v>
      </c>
      <c r="G6" s="1" t="s">
        <v>831</v>
      </c>
      <c r="H6" s="1" t="s">
        <v>87</v>
      </c>
      <c r="I6" s="1" t="s">
        <v>419</v>
      </c>
      <c r="J6" s="1" t="s">
        <v>454</v>
      </c>
      <c r="K6" s="1" t="n">
        <v>5</v>
      </c>
    </row>
    <row r="7" customFormat="false" ht="15" hidden="false" customHeight="true" outlineLevel="0" collapsed="false">
      <c r="A7" s="1" t="s">
        <v>558</v>
      </c>
      <c r="B7" s="1" t="s">
        <v>559</v>
      </c>
      <c r="C7" s="1" t="s">
        <v>98</v>
      </c>
      <c r="D7" s="1" t="s">
        <v>84</v>
      </c>
      <c r="E7" s="1" t="s">
        <v>91</v>
      </c>
      <c r="F7" s="1" t="s">
        <v>224</v>
      </c>
      <c r="G7" s="1" t="s">
        <v>832</v>
      </c>
      <c r="H7" s="1" t="s">
        <v>87</v>
      </c>
      <c r="I7" s="1" t="s">
        <v>419</v>
      </c>
      <c r="J7" s="1" t="s">
        <v>454</v>
      </c>
      <c r="K7" s="1" t="n">
        <v>13</v>
      </c>
    </row>
    <row r="8" customFormat="false" ht="15" hidden="false" customHeight="true" outlineLevel="0" collapsed="false">
      <c r="A8" s="1" t="s">
        <v>560</v>
      </c>
      <c r="B8" s="1" t="s">
        <v>561</v>
      </c>
      <c r="C8" s="1" t="s">
        <v>98</v>
      </c>
      <c r="D8" s="1" t="s">
        <v>84</v>
      </c>
      <c r="E8" s="1" t="s">
        <v>91</v>
      </c>
      <c r="F8" s="1" t="s">
        <v>224</v>
      </c>
      <c r="G8" s="1" t="s">
        <v>833</v>
      </c>
      <c r="H8" s="1" t="s">
        <v>87</v>
      </c>
      <c r="I8" s="1" t="s">
        <v>419</v>
      </c>
      <c r="J8" s="1" t="s">
        <v>454</v>
      </c>
      <c r="K8" s="1" t="n">
        <v>5</v>
      </c>
    </row>
    <row r="9" customFormat="false" ht="15" hidden="false" customHeight="true" outlineLevel="0" collapsed="false">
      <c r="A9" s="1" t="s">
        <v>562</v>
      </c>
      <c r="B9" s="1" t="s">
        <v>563</v>
      </c>
      <c r="C9" s="1" t="s">
        <v>98</v>
      </c>
      <c r="D9" s="1" t="s">
        <v>84</v>
      </c>
      <c r="E9" s="1" t="s">
        <v>91</v>
      </c>
      <c r="F9" s="1" t="s">
        <v>224</v>
      </c>
      <c r="G9" s="1" t="s">
        <v>834</v>
      </c>
      <c r="H9" s="1" t="s">
        <v>87</v>
      </c>
      <c r="I9" s="1" t="s">
        <v>419</v>
      </c>
      <c r="J9" s="1" t="s">
        <v>443</v>
      </c>
      <c r="K9" s="1" t="n">
        <v>5</v>
      </c>
    </row>
    <row r="10" customFormat="false" ht="15" hidden="false" customHeight="true" outlineLevel="0" collapsed="false">
      <c r="A10" s="1" t="s">
        <v>564</v>
      </c>
      <c r="B10" s="1" t="s">
        <v>565</v>
      </c>
      <c r="C10" s="1" t="s">
        <v>98</v>
      </c>
      <c r="D10" s="1" t="s">
        <v>168</v>
      </c>
      <c r="E10" s="1" t="s">
        <v>91</v>
      </c>
      <c r="F10" s="1" t="s">
        <v>224</v>
      </c>
      <c r="G10" s="1" t="s">
        <v>835</v>
      </c>
      <c r="H10" s="1" t="s">
        <v>87</v>
      </c>
      <c r="I10" s="1" t="s">
        <v>419</v>
      </c>
      <c r="K10" s="1" t="n">
        <v>13</v>
      </c>
    </row>
    <row r="11" customFormat="false" ht="15" hidden="false" customHeight="true" outlineLevel="0" collapsed="false">
      <c r="A11" s="1" t="s">
        <v>566</v>
      </c>
      <c r="B11" s="1" t="s">
        <v>567</v>
      </c>
      <c r="C11" s="1" t="s">
        <v>98</v>
      </c>
      <c r="D11" s="1" t="s">
        <v>168</v>
      </c>
      <c r="E11" s="1" t="s">
        <v>91</v>
      </c>
      <c r="F11" s="1" t="s">
        <v>224</v>
      </c>
      <c r="G11" s="1" t="s">
        <v>836</v>
      </c>
      <c r="H11" s="1" t="s">
        <v>87</v>
      </c>
      <c r="I11" s="1" t="s">
        <v>419</v>
      </c>
      <c r="J11" s="1" t="s">
        <v>494</v>
      </c>
      <c r="K11" s="1" t="n">
        <v>2</v>
      </c>
    </row>
    <row r="12" customFormat="false" ht="15" hidden="false" customHeight="true" outlineLevel="0" collapsed="false">
      <c r="A12" s="1" t="s">
        <v>568</v>
      </c>
      <c r="B12" s="1" t="s">
        <v>569</v>
      </c>
      <c r="C12" s="1" t="s">
        <v>98</v>
      </c>
      <c r="D12" s="1" t="s">
        <v>168</v>
      </c>
      <c r="E12" s="1" t="s">
        <v>91</v>
      </c>
      <c r="F12" s="1" t="s">
        <v>224</v>
      </c>
      <c r="G12" s="1" t="s">
        <v>837</v>
      </c>
      <c r="H12" s="1" t="s">
        <v>87</v>
      </c>
      <c r="I12" s="1" t="s">
        <v>419</v>
      </c>
      <c r="K12" s="1" t="n">
        <v>3</v>
      </c>
    </row>
    <row r="13" customFormat="false" ht="15" hidden="false" customHeight="true" outlineLevel="0" collapsed="false">
      <c r="A13" s="1" t="s">
        <v>570</v>
      </c>
      <c r="B13" s="1" t="s">
        <v>571</v>
      </c>
      <c r="C13" s="1" t="s">
        <v>98</v>
      </c>
      <c r="D13" s="1" t="s">
        <v>28</v>
      </c>
      <c r="E13" s="1" t="s">
        <v>85</v>
      </c>
      <c r="F13" s="1" t="s">
        <v>224</v>
      </c>
      <c r="G13" s="1" t="s">
        <v>838</v>
      </c>
      <c r="H13" s="1" t="s">
        <v>87</v>
      </c>
      <c r="I13" s="1" t="s">
        <v>419</v>
      </c>
      <c r="J13" s="1" t="s">
        <v>485</v>
      </c>
      <c r="K13" s="1" t="n">
        <v>5</v>
      </c>
    </row>
    <row r="14" customFormat="false" ht="15" hidden="false" customHeight="true" outlineLevel="0" collapsed="false">
      <c r="A14" s="1" t="s">
        <v>572</v>
      </c>
      <c r="B14" s="1" t="s">
        <v>573</v>
      </c>
      <c r="C14" s="1" t="s">
        <v>98</v>
      </c>
      <c r="D14" s="1" t="s">
        <v>437</v>
      </c>
      <c r="E14" s="1" t="s">
        <v>85</v>
      </c>
      <c r="F14" s="1" t="s">
        <v>224</v>
      </c>
      <c r="G14" s="1" t="s">
        <v>839</v>
      </c>
      <c r="H14" s="1" t="s">
        <v>87</v>
      </c>
      <c r="I14" s="1" t="s">
        <v>419</v>
      </c>
    </row>
    <row r="15" customFormat="false" ht="15" hidden="false" customHeight="true" outlineLevel="0" collapsed="false">
      <c r="A15" s="1" t="s">
        <v>518</v>
      </c>
      <c r="B15" s="1" t="s">
        <v>519</v>
      </c>
      <c r="C15" s="1" t="s">
        <v>98</v>
      </c>
      <c r="D15" s="1" t="s">
        <v>84</v>
      </c>
      <c r="E15" s="1" t="s">
        <v>164</v>
      </c>
      <c r="F15" s="1" t="s">
        <v>224</v>
      </c>
      <c r="G15" s="1" t="s">
        <v>840</v>
      </c>
      <c r="H15" s="1" t="s">
        <v>87</v>
      </c>
      <c r="I15" s="1" t="s">
        <v>418</v>
      </c>
      <c r="J15" s="1" t="s">
        <v>443</v>
      </c>
    </row>
    <row r="16" customFormat="false" ht="15" hidden="false" customHeight="true" outlineLevel="0" collapsed="false">
      <c r="A16" s="1" t="s">
        <v>521</v>
      </c>
      <c r="B16" s="1" t="s">
        <v>522</v>
      </c>
      <c r="C16" s="1" t="s">
        <v>98</v>
      </c>
      <c r="D16" s="1" t="s">
        <v>168</v>
      </c>
      <c r="E16" s="1" t="s">
        <v>91</v>
      </c>
      <c r="F16" s="1" t="s">
        <v>224</v>
      </c>
      <c r="G16" s="1" t="s">
        <v>841</v>
      </c>
      <c r="H16" s="1" t="s">
        <v>87</v>
      </c>
      <c r="I16" s="1" t="s">
        <v>418</v>
      </c>
      <c r="J16" s="1" t="s">
        <v>494</v>
      </c>
      <c r="K16" s="1" t="n">
        <v>3</v>
      </c>
    </row>
    <row r="17" customFormat="false" ht="15" hidden="false" customHeight="true" outlineLevel="0" collapsed="false">
      <c r="A17" s="1" t="s">
        <v>524</v>
      </c>
      <c r="B17" s="1" t="s">
        <v>525</v>
      </c>
      <c r="C17" s="1" t="s">
        <v>90</v>
      </c>
      <c r="D17" s="1" t="s">
        <v>84</v>
      </c>
      <c r="E17" s="1" t="s">
        <v>85</v>
      </c>
      <c r="F17" s="1" t="s">
        <v>224</v>
      </c>
      <c r="G17" s="1" t="s">
        <v>842</v>
      </c>
      <c r="H17" s="1" t="s">
        <v>87</v>
      </c>
      <c r="I17" s="1" t="s">
        <v>418</v>
      </c>
      <c r="J17" s="1" t="s">
        <v>443</v>
      </c>
      <c r="K17" s="1" t="n">
        <v>3</v>
      </c>
    </row>
    <row r="18" customFormat="false" ht="15" hidden="false" customHeight="true" outlineLevel="0" collapsed="false">
      <c r="A18" s="1" t="s">
        <v>527</v>
      </c>
      <c r="B18" s="1" t="s">
        <v>528</v>
      </c>
      <c r="C18" s="1" t="s">
        <v>98</v>
      </c>
      <c r="D18" s="1" t="s">
        <v>168</v>
      </c>
      <c r="E18" s="1" t="s">
        <v>91</v>
      </c>
      <c r="F18" s="1" t="s">
        <v>224</v>
      </c>
      <c r="G18" s="1" t="s">
        <v>843</v>
      </c>
      <c r="H18" s="1" t="s">
        <v>87</v>
      </c>
      <c r="I18" s="1" t="s">
        <v>418</v>
      </c>
      <c r="K18" s="1" t="n">
        <v>8</v>
      </c>
    </row>
    <row r="19" customFormat="false" ht="15" hidden="false" customHeight="true" outlineLevel="0" collapsed="false">
      <c r="A19" s="1" t="s">
        <v>530</v>
      </c>
      <c r="B19" s="1" t="s">
        <v>531</v>
      </c>
      <c r="C19" s="1" t="s">
        <v>98</v>
      </c>
      <c r="D19" s="1" t="s">
        <v>168</v>
      </c>
      <c r="E19" s="1" t="s">
        <v>91</v>
      </c>
      <c r="F19" s="1" t="s">
        <v>224</v>
      </c>
      <c r="G19" s="1" t="s">
        <v>841</v>
      </c>
      <c r="H19" s="1" t="s">
        <v>87</v>
      </c>
      <c r="I19" s="1" t="s">
        <v>418</v>
      </c>
      <c r="K19" s="1" t="n">
        <v>3</v>
      </c>
    </row>
    <row r="20" customFormat="false" ht="15" hidden="false" customHeight="true" outlineLevel="0" collapsed="false">
      <c r="A20" s="1" t="s">
        <v>503</v>
      </c>
      <c r="B20" s="1" t="s">
        <v>504</v>
      </c>
      <c r="C20" s="1" t="s">
        <v>98</v>
      </c>
      <c r="D20" s="1" t="s">
        <v>28</v>
      </c>
      <c r="E20" s="1" t="s">
        <v>85</v>
      </c>
      <c r="F20" s="1" t="s">
        <v>224</v>
      </c>
      <c r="G20" s="1" t="s">
        <v>844</v>
      </c>
      <c r="H20" s="1" t="s">
        <v>87</v>
      </c>
      <c r="I20" s="1" t="s">
        <v>418</v>
      </c>
      <c r="K20" s="1" t="n">
        <v>42</v>
      </c>
    </row>
    <row r="21" customFormat="false" ht="15" hidden="false" customHeight="true" outlineLevel="0" collapsed="false">
      <c r="A21" s="1" t="s">
        <v>533</v>
      </c>
      <c r="B21" s="57" t="s">
        <v>534</v>
      </c>
      <c r="C21" s="1" t="s">
        <v>105</v>
      </c>
      <c r="D21" s="1" t="s">
        <v>28</v>
      </c>
      <c r="E21" s="1" t="s">
        <v>106</v>
      </c>
      <c r="F21" s="1" t="s">
        <v>224</v>
      </c>
      <c r="G21" s="1" t="s">
        <v>845</v>
      </c>
      <c r="H21" s="1" t="s">
        <v>87</v>
      </c>
      <c r="I21" s="1" t="s">
        <v>418</v>
      </c>
      <c r="K21" s="1" t="n">
        <v>4</v>
      </c>
    </row>
    <row r="22" customFormat="false" ht="15" hidden="false" customHeight="true" outlineLevel="0" collapsed="false">
      <c r="A22" s="1" t="s">
        <v>536</v>
      </c>
      <c r="B22" s="1" t="s">
        <v>537</v>
      </c>
      <c r="C22" s="1" t="s">
        <v>98</v>
      </c>
      <c r="D22" s="1" t="s">
        <v>116</v>
      </c>
      <c r="E22" s="1" t="s">
        <v>91</v>
      </c>
      <c r="F22" s="1" t="s">
        <v>224</v>
      </c>
      <c r="G22" s="1" t="s">
        <v>846</v>
      </c>
      <c r="H22" s="1" t="s">
        <v>87</v>
      </c>
      <c r="I22" s="1" t="s">
        <v>418</v>
      </c>
      <c r="J22" s="1" t="s">
        <v>481</v>
      </c>
      <c r="K22" s="1" t="n">
        <v>13</v>
      </c>
    </row>
    <row r="23" customFormat="false" ht="15" hidden="false" customHeight="true" outlineLevel="0" collapsed="false">
      <c r="A23" s="1" t="s">
        <v>540</v>
      </c>
      <c r="B23" s="1" t="s">
        <v>541</v>
      </c>
      <c r="C23" s="1" t="s">
        <v>98</v>
      </c>
      <c r="D23" s="1" t="s">
        <v>116</v>
      </c>
      <c r="E23" s="1" t="s">
        <v>91</v>
      </c>
      <c r="F23" s="1" t="s">
        <v>224</v>
      </c>
      <c r="G23" s="1" t="s">
        <v>847</v>
      </c>
      <c r="H23" s="1" t="s">
        <v>87</v>
      </c>
      <c r="I23" s="1" t="s">
        <v>418</v>
      </c>
      <c r="K23" s="1" t="n">
        <v>5</v>
      </c>
    </row>
    <row r="24" customFormat="false" ht="15" hidden="false" customHeight="true" outlineLevel="0" collapsed="false">
      <c r="A24" s="1" t="s">
        <v>764</v>
      </c>
      <c r="B24" s="1" t="s">
        <v>765</v>
      </c>
      <c r="C24" s="1" t="s">
        <v>160</v>
      </c>
      <c r="D24" s="1" t="s">
        <v>116</v>
      </c>
      <c r="E24" s="1" t="s">
        <v>91</v>
      </c>
      <c r="F24" s="1" t="s">
        <v>224</v>
      </c>
      <c r="G24" s="1" t="s">
        <v>848</v>
      </c>
      <c r="H24" s="1" t="s">
        <v>87</v>
      </c>
      <c r="I24" s="1" t="s">
        <v>418</v>
      </c>
      <c r="J24" s="1" t="s">
        <v>516</v>
      </c>
    </row>
    <row r="25" customFormat="false" ht="15" hidden="false" customHeight="true" outlineLevel="0" collapsed="false">
      <c r="A25" s="1" t="s">
        <v>772</v>
      </c>
      <c r="B25" s="1" t="s">
        <v>773</v>
      </c>
      <c r="C25" s="1" t="s">
        <v>98</v>
      </c>
      <c r="D25" s="1" t="s">
        <v>116</v>
      </c>
      <c r="E25" s="1" t="s">
        <v>91</v>
      </c>
      <c r="F25" s="1" t="s">
        <v>224</v>
      </c>
      <c r="G25" s="1" t="s">
        <v>849</v>
      </c>
      <c r="H25" s="1" t="s">
        <v>87</v>
      </c>
      <c r="I25" s="1" t="s">
        <v>418</v>
      </c>
      <c r="J25" s="1" t="s">
        <v>481</v>
      </c>
      <c r="K25" s="1" t="n">
        <v>3</v>
      </c>
    </row>
    <row r="26" customFormat="false" ht="15" hidden="false" customHeight="true" outlineLevel="0" collapsed="false">
      <c r="A26" s="1" t="s">
        <v>774</v>
      </c>
      <c r="B26" s="1" t="s">
        <v>775</v>
      </c>
      <c r="C26" s="1" t="s">
        <v>160</v>
      </c>
      <c r="D26" s="1" t="s">
        <v>28</v>
      </c>
      <c r="E26" s="1" t="s">
        <v>85</v>
      </c>
      <c r="F26" s="1" t="s">
        <v>224</v>
      </c>
      <c r="G26" s="1" t="s">
        <v>850</v>
      </c>
      <c r="H26" s="1" t="s">
        <v>87</v>
      </c>
      <c r="I26" s="1" t="s">
        <v>418</v>
      </c>
    </row>
    <row r="27" customFormat="false" ht="15" hidden="false" customHeight="true" outlineLevel="0" collapsed="false">
      <c r="A27" s="1" t="s">
        <v>776</v>
      </c>
      <c r="B27" s="1" t="s">
        <v>777</v>
      </c>
      <c r="C27" s="1" t="s">
        <v>160</v>
      </c>
      <c r="D27" s="1" t="s">
        <v>28</v>
      </c>
      <c r="E27" s="1" t="s">
        <v>85</v>
      </c>
      <c r="F27" s="1" t="s">
        <v>224</v>
      </c>
      <c r="G27" s="1" t="s">
        <v>851</v>
      </c>
      <c r="H27" s="1" t="s">
        <v>87</v>
      </c>
      <c r="I27" s="1" t="s">
        <v>418</v>
      </c>
    </row>
    <row r="28" customFormat="false" ht="15" hidden="false" customHeight="true" outlineLevel="0" collapsed="false">
      <c r="A28" s="1" t="s">
        <v>476</v>
      </c>
      <c r="B28" s="1" t="s">
        <v>477</v>
      </c>
      <c r="C28" s="1" t="s">
        <v>98</v>
      </c>
      <c r="D28" s="1" t="s">
        <v>84</v>
      </c>
      <c r="E28" s="1" t="s">
        <v>85</v>
      </c>
      <c r="F28" s="1" t="s">
        <v>224</v>
      </c>
      <c r="G28" s="1" t="s">
        <v>852</v>
      </c>
      <c r="H28" s="1" t="s">
        <v>87</v>
      </c>
      <c r="I28" s="1" t="s">
        <v>417</v>
      </c>
      <c r="J28" s="1" t="s">
        <v>454</v>
      </c>
      <c r="K28" s="1" t="n">
        <v>2</v>
      </c>
    </row>
    <row r="29" customFormat="false" ht="15" hidden="false" customHeight="true" outlineLevel="0" collapsed="false">
      <c r="A29" s="1" t="s">
        <v>479</v>
      </c>
      <c r="B29" s="1" t="s">
        <v>480</v>
      </c>
      <c r="C29" s="1" t="s">
        <v>98</v>
      </c>
      <c r="D29" s="1" t="s">
        <v>84</v>
      </c>
      <c r="E29" s="1" t="s">
        <v>85</v>
      </c>
      <c r="F29" s="1" t="s">
        <v>224</v>
      </c>
      <c r="G29" s="1" t="s">
        <v>853</v>
      </c>
      <c r="H29" s="1" t="s">
        <v>87</v>
      </c>
      <c r="I29" s="1" t="s">
        <v>417</v>
      </c>
      <c r="J29" s="1" t="s">
        <v>454</v>
      </c>
      <c r="K29" s="1" t="n">
        <v>3</v>
      </c>
    </row>
    <row r="30" customFormat="false" ht="15" hidden="false" customHeight="true" outlineLevel="0" collapsed="false">
      <c r="A30" s="1" t="s">
        <v>483</v>
      </c>
      <c r="B30" s="1" t="s">
        <v>484</v>
      </c>
      <c r="C30" s="1" t="s">
        <v>98</v>
      </c>
      <c r="D30" s="1" t="s">
        <v>435</v>
      </c>
      <c r="E30" s="1" t="s">
        <v>91</v>
      </c>
      <c r="F30" s="1" t="s">
        <v>224</v>
      </c>
      <c r="G30" s="1" t="s">
        <v>854</v>
      </c>
      <c r="H30" s="1" t="s">
        <v>87</v>
      </c>
      <c r="I30" s="1" t="s">
        <v>417</v>
      </c>
      <c r="K30" s="1" t="n">
        <v>2</v>
      </c>
    </row>
    <row r="31" customFormat="false" ht="15" hidden="false" customHeight="true" outlineLevel="0" collapsed="false">
      <c r="A31" s="1" t="s">
        <v>486</v>
      </c>
      <c r="B31" s="1" t="s">
        <v>487</v>
      </c>
      <c r="C31" s="1" t="s">
        <v>98</v>
      </c>
      <c r="D31" s="1" t="s">
        <v>84</v>
      </c>
      <c r="E31" s="1" t="s">
        <v>164</v>
      </c>
      <c r="F31" s="1" t="s">
        <v>224</v>
      </c>
      <c r="G31" s="1" t="s">
        <v>855</v>
      </c>
      <c r="H31" s="1" t="s">
        <v>87</v>
      </c>
      <c r="I31" s="1" t="s">
        <v>417</v>
      </c>
      <c r="J31" s="1" t="s">
        <v>454</v>
      </c>
      <c r="K31" s="1" t="n">
        <v>3</v>
      </c>
    </row>
    <row r="32" customFormat="false" ht="15" hidden="false" customHeight="true" outlineLevel="0" collapsed="false">
      <c r="A32" s="1" t="s">
        <v>489</v>
      </c>
      <c r="B32" s="1" t="s">
        <v>490</v>
      </c>
      <c r="C32" s="1" t="s">
        <v>98</v>
      </c>
      <c r="D32" s="1" t="s">
        <v>84</v>
      </c>
      <c r="E32" s="1" t="s">
        <v>164</v>
      </c>
      <c r="F32" s="1" t="s">
        <v>224</v>
      </c>
      <c r="G32" s="1" t="s">
        <v>840</v>
      </c>
      <c r="H32" s="1" t="s">
        <v>87</v>
      </c>
      <c r="I32" s="1" t="s">
        <v>417</v>
      </c>
      <c r="J32" s="1" t="s">
        <v>454</v>
      </c>
      <c r="K32" s="1" t="n">
        <v>3</v>
      </c>
    </row>
    <row r="33" customFormat="false" ht="15" hidden="false" customHeight="true" outlineLevel="0" collapsed="false">
      <c r="A33" s="1" t="s">
        <v>492</v>
      </c>
      <c r="B33" s="1" t="s">
        <v>493</v>
      </c>
      <c r="C33" s="1" t="s">
        <v>98</v>
      </c>
      <c r="D33" s="1" t="s">
        <v>168</v>
      </c>
      <c r="E33" s="1" t="s">
        <v>91</v>
      </c>
      <c r="F33" s="1" t="s">
        <v>224</v>
      </c>
      <c r="G33" s="1" t="s">
        <v>856</v>
      </c>
      <c r="H33" s="1" t="s">
        <v>87</v>
      </c>
      <c r="I33" s="1" t="s">
        <v>417</v>
      </c>
      <c r="J33" s="1" t="s">
        <v>494</v>
      </c>
      <c r="K33" s="1" t="n">
        <v>3</v>
      </c>
    </row>
    <row r="34" customFormat="false" ht="15" hidden="false" customHeight="true" outlineLevel="0" collapsed="false">
      <c r="A34" s="1" t="s">
        <v>496</v>
      </c>
      <c r="B34" s="1" t="s">
        <v>497</v>
      </c>
      <c r="C34" s="1" t="s">
        <v>90</v>
      </c>
      <c r="D34" s="1" t="s">
        <v>135</v>
      </c>
      <c r="E34" s="1" t="s">
        <v>91</v>
      </c>
      <c r="F34" s="1" t="s">
        <v>224</v>
      </c>
      <c r="G34" s="1" t="s">
        <v>857</v>
      </c>
      <c r="H34" s="1" t="s">
        <v>87</v>
      </c>
      <c r="I34" s="1" t="s">
        <v>417</v>
      </c>
      <c r="K34" s="1" t="n">
        <v>8</v>
      </c>
    </row>
    <row r="35" customFormat="false" ht="15" hidden="false" customHeight="true" outlineLevel="0" collapsed="false">
      <c r="A35" s="1" t="s">
        <v>500</v>
      </c>
      <c r="B35" s="1" t="s">
        <v>501</v>
      </c>
      <c r="C35" s="1" t="s">
        <v>98</v>
      </c>
      <c r="D35" s="1" t="s">
        <v>135</v>
      </c>
      <c r="E35" s="1" t="s">
        <v>91</v>
      </c>
      <c r="F35" s="1" t="s">
        <v>224</v>
      </c>
      <c r="G35" s="1" t="s">
        <v>858</v>
      </c>
      <c r="H35" s="1" t="s">
        <v>87</v>
      </c>
      <c r="I35" s="1" t="s">
        <v>417</v>
      </c>
      <c r="K35" s="1" t="n">
        <v>3</v>
      </c>
    </row>
    <row r="36" customFormat="false" ht="15" hidden="false" customHeight="true" outlineLevel="0" collapsed="false">
      <c r="A36" s="1" t="s">
        <v>506</v>
      </c>
      <c r="B36" s="1" t="s">
        <v>507</v>
      </c>
      <c r="C36" s="1" t="s">
        <v>105</v>
      </c>
      <c r="D36" s="1" t="s">
        <v>279</v>
      </c>
      <c r="E36" s="1" t="s">
        <v>106</v>
      </c>
      <c r="F36" s="1" t="s">
        <v>224</v>
      </c>
      <c r="G36" s="1" t="s">
        <v>859</v>
      </c>
      <c r="H36" s="1" t="s">
        <v>87</v>
      </c>
      <c r="I36" s="1" t="s">
        <v>417</v>
      </c>
      <c r="K36" s="1" t="n">
        <v>21</v>
      </c>
    </row>
    <row r="37" customFormat="false" ht="15" hidden="false" customHeight="true" outlineLevel="0" collapsed="false">
      <c r="A37" s="1" t="s">
        <v>514</v>
      </c>
      <c r="B37" s="1" t="s">
        <v>515</v>
      </c>
      <c r="C37" s="1" t="s">
        <v>98</v>
      </c>
      <c r="D37" s="1" t="s">
        <v>437</v>
      </c>
      <c r="E37" s="1" t="s">
        <v>85</v>
      </c>
      <c r="F37" s="1" t="s">
        <v>224</v>
      </c>
      <c r="G37" s="1" t="s">
        <v>860</v>
      </c>
      <c r="H37" s="1" t="s">
        <v>87</v>
      </c>
      <c r="I37" s="1" t="s">
        <v>417</v>
      </c>
      <c r="J37" s="1" t="s">
        <v>516</v>
      </c>
      <c r="K37" s="1" t="n">
        <v>8</v>
      </c>
    </row>
    <row r="38" customFormat="false" ht="15" hidden="false" customHeight="true" outlineLevel="0" collapsed="false">
      <c r="A38" s="1" t="s">
        <v>441</v>
      </c>
      <c r="B38" s="1" t="s">
        <v>442</v>
      </c>
      <c r="C38" s="1" t="s">
        <v>90</v>
      </c>
      <c r="D38" s="1" t="s">
        <v>84</v>
      </c>
      <c r="E38" s="1" t="s">
        <v>106</v>
      </c>
      <c r="F38" s="1" t="s">
        <v>224</v>
      </c>
      <c r="G38" s="1" t="s">
        <v>861</v>
      </c>
      <c r="H38" s="1" t="s">
        <v>87</v>
      </c>
      <c r="I38" s="1" t="s">
        <v>416</v>
      </c>
      <c r="J38" s="1" t="s">
        <v>443</v>
      </c>
      <c r="K38" s="1" t="n">
        <v>8</v>
      </c>
    </row>
    <row r="39" customFormat="false" ht="15" hidden="false" customHeight="true" outlineLevel="0" collapsed="false">
      <c r="A39" s="1" t="s">
        <v>448</v>
      </c>
      <c r="B39" s="1" t="s">
        <v>449</v>
      </c>
      <c r="C39" s="1" t="s">
        <v>98</v>
      </c>
      <c r="D39" s="1" t="s">
        <v>435</v>
      </c>
      <c r="E39" s="1" t="s">
        <v>91</v>
      </c>
      <c r="F39" s="1" t="s">
        <v>224</v>
      </c>
      <c r="G39" s="1" t="s">
        <v>862</v>
      </c>
      <c r="H39" s="1" t="s">
        <v>87</v>
      </c>
      <c r="I39" s="1" t="s">
        <v>416</v>
      </c>
      <c r="J39" s="1" t="s">
        <v>450</v>
      </c>
      <c r="K39" s="1" t="n">
        <v>21</v>
      </c>
    </row>
    <row r="40" customFormat="false" ht="15" hidden="false" customHeight="true" outlineLevel="0" collapsed="false">
      <c r="A40" s="1" t="s">
        <v>452</v>
      </c>
      <c r="B40" s="1" t="s">
        <v>453</v>
      </c>
      <c r="C40" s="1" t="s">
        <v>90</v>
      </c>
      <c r="D40" s="1" t="s">
        <v>84</v>
      </c>
      <c r="E40" s="1" t="s">
        <v>91</v>
      </c>
      <c r="F40" s="1" t="s">
        <v>224</v>
      </c>
      <c r="G40" s="1" t="s">
        <v>861</v>
      </c>
      <c r="H40" s="1" t="s">
        <v>87</v>
      </c>
      <c r="I40" s="1" t="s">
        <v>416</v>
      </c>
      <c r="J40" s="1" t="s">
        <v>454</v>
      </c>
      <c r="K40" s="1" t="n">
        <v>8</v>
      </c>
    </row>
    <row r="41" customFormat="false" ht="15" hidden="false" customHeight="true" outlineLevel="0" collapsed="false">
      <c r="A41" s="1" t="s">
        <v>456</v>
      </c>
      <c r="B41" s="1" t="s">
        <v>457</v>
      </c>
      <c r="C41" s="1" t="s">
        <v>90</v>
      </c>
      <c r="D41" s="1" t="s">
        <v>84</v>
      </c>
      <c r="E41" s="1" t="s">
        <v>85</v>
      </c>
      <c r="F41" s="1" t="s">
        <v>224</v>
      </c>
      <c r="G41" s="1" t="s">
        <v>863</v>
      </c>
      <c r="H41" s="1" t="s">
        <v>87</v>
      </c>
      <c r="I41" s="1" t="s">
        <v>416</v>
      </c>
      <c r="J41" s="1" t="s">
        <v>454</v>
      </c>
      <c r="K41" s="1" t="n">
        <v>3</v>
      </c>
    </row>
    <row r="42" customFormat="false" ht="15" hidden="false" customHeight="true" outlineLevel="0" collapsed="false">
      <c r="A42" s="1" t="s">
        <v>458</v>
      </c>
      <c r="B42" s="1" t="s">
        <v>459</v>
      </c>
      <c r="C42" s="1" t="s">
        <v>90</v>
      </c>
      <c r="D42" s="1" t="s">
        <v>135</v>
      </c>
      <c r="E42" s="1" t="s">
        <v>91</v>
      </c>
      <c r="F42" s="1" t="s">
        <v>224</v>
      </c>
      <c r="G42" s="1" t="s">
        <v>864</v>
      </c>
      <c r="H42" s="1" t="s">
        <v>87</v>
      </c>
      <c r="I42" s="1" t="s">
        <v>416</v>
      </c>
      <c r="J42" s="1" t="s">
        <v>455</v>
      </c>
      <c r="K42" s="1" t="n">
        <v>7</v>
      </c>
    </row>
    <row r="43" customFormat="false" ht="15" hidden="false" customHeight="true" outlineLevel="0" collapsed="false">
      <c r="A43" s="1" t="s">
        <v>461</v>
      </c>
      <c r="B43" s="1" t="s">
        <v>462</v>
      </c>
      <c r="C43" s="1" t="s">
        <v>98</v>
      </c>
      <c r="D43" s="1" t="s">
        <v>28</v>
      </c>
      <c r="E43" s="1" t="s">
        <v>91</v>
      </c>
      <c r="F43" s="1" t="s">
        <v>224</v>
      </c>
      <c r="G43" s="1" t="s">
        <v>865</v>
      </c>
      <c r="H43" s="1" t="s">
        <v>87</v>
      </c>
      <c r="I43" s="1" t="s">
        <v>416</v>
      </c>
      <c r="J43" s="1" t="s">
        <v>463</v>
      </c>
      <c r="K43" s="1" t="n">
        <v>23</v>
      </c>
    </row>
    <row r="44" customFormat="false" ht="15" hidden="false" customHeight="true" outlineLevel="0" collapsed="false">
      <c r="A44" s="1" t="s">
        <v>465</v>
      </c>
      <c r="B44" s="1" t="s">
        <v>466</v>
      </c>
      <c r="C44" s="1" t="s">
        <v>105</v>
      </c>
      <c r="D44" s="1" t="s">
        <v>279</v>
      </c>
      <c r="E44" s="1" t="s">
        <v>106</v>
      </c>
      <c r="F44" s="1" t="s">
        <v>224</v>
      </c>
      <c r="G44" s="1" t="s">
        <v>866</v>
      </c>
      <c r="H44" s="1" t="s">
        <v>87</v>
      </c>
      <c r="I44" s="1" t="s">
        <v>416</v>
      </c>
      <c r="K44" s="1" t="n">
        <v>16</v>
      </c>
    </row>
    <row r="45" customFormat="false" ht="15" hidden="false" customHeight="true" outlineLevel="0" collapsed="false">
      <c r="A45" s="1" t="s">
        <v>468</v>
      </c>
      <c r="B45" s="1" t="s">
        <v>469</v>
      </c>
      <c r="C45" s="1" t="s">
        <v>98</v>
      </c>
      <c r="D45" s="1" t="s">
        <v>437</v>
      </c>
      <c r="E45" s="1" t="s">
        <v>85</v>
      </c>
      <c r="F45" s="1" t="s">
        <v>224</v>
      </c>
      <c r="G45" s="1" t="s">
        <v>867</v>
      </c>
      <c r="H45" s="1" t="s">
        <v>87</v>
      </c>
      <c r="I45" s="1" t="s">
        <v>416</v>
      </c>
      <c r="K45" s="1" t="n">
        <v>8</v>
      </c>
    </row>
    <row r="46" customFormat="false" ht="15" hidden="false" customHeight="true" outlineLevel="0" collapsed="false">
      <c r="A46" s="1" t="s">
        <v>470</v>
      </c>
      <c r="B46" s="1" t="s">
        <v>471</v>
      </c>
      <c r="C46" s="1" t="s">
        <v>98</v>
      </c>
      <c r="D46" s="1" t="s">
        <v>437</v>
      </c>
      <c r="E46" s="1" t="s">
        <v>91</v>
      </c>
      <c r="F46" s="1" t="s">
        <v>224</v>
      </c>
      <c r="G46" s="1" t="s">
        <v>868</v>
      </c>
      <c r="H46" s="1" t="s">
        <v>87</v>
      </c>
      <c r="I46" s="1" t="s">
        <v>416</v>
      </c>
      <c r="K46" s="1" t="n">
        <v>2</v>
      </c>
    </row>
    <row r="47" customFormat="false" ht="15" hidden="false" customHeight="true" outlineLevel="0" collapsed="false">
      <c r="A47" s="1" t="s">
        <v>473</v>
      </c>
      <c r="B47" s="1" t="s">
        <v>474</v>
      </c>
      <c r="C47" s="1" t="s">
        <v>160</v>
      </c>
      <c r="D47" s="1" t="s">
        <v>436</v>
      </c>
      <c r="E47" s="1" t="s">
        <v>106</v>
      </c>
      <c r="F47" s="1" t="s">
        <v>224</v>
      </c>
      <c r="G47" s="1" t="s">
        <v>869</v>
      </c>
      <c r="H47" s="1" t="s">
        <v>87</v>
      </c>
      <c r="I47" s="1" t="s">
        <v>416</v>
      </c>
      <c r="K47" s="1" t="n">
        <v>8</v>
      </c>
    </row>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sheetData>
  <conditionalFormatting sqref="A2:R1000">
    <cfRule type="expression" priority="2" aboveAverage="0" equalAverage="0" bottom="0" percent="0" rank="0" text="" dxfId="10">
      <formula>$D2="US"</formula>
    </cfRule>
    <cfRule type="expression" priority="3" aboveAverage="0" equalAverage="0" bottom="0" percent="0" rank="0" text="" dxfId="11">
      <formula>$D2="MyMSC"</formula>
    </cfRule>
    <cfRule type="expression" priority="4" aboveAverage="0" equalAverage="0" bottom="0" percent="0" rank="0" text="" dxfId="12">
      <formula>$D2="Rollout"</formula>
    </cfRule>
    <cfRule type="expression" priority="5" aboveAverage="0" equalAverage="0" bottom="0" percent="0" rank="0" text="" dxfId="12">
      <formula>$D2="MVP Rollout"</formula>
    </cfRule>
    <cfRule type="expression" priority="6" aboveAverage="0" equalAverage="0" bottom="0" percent="0" rank="0" text="" dxfId="13">
      <formula>$D2="Backlog"</formula>
    </cfRule>
    <cfRule type="expression" priority="7" aboveAverage="0" equalAverage="0" bottom="0" percent="0" rank="0" text="" dxfId="13">
      <formula>$D2="Growth"</formula>
    </cfRule>
    <cfRule type="expression" priority="8" aboveAverage="0" equalAverage="0" bottom="0" percent="0" rank="0" text="" dxfId="14">
      <formula>$D2="Tech Enhancements"</formula>
    </cfRule>
    <cfRule type="expression" priority="9" aboveAverage="0" equalAverage="0" bottom="0" percent="0" rank="0" text="" dxfId="15">
      <formula>LEFT($D2,2)="PI"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4" min="3" style="1" width="12"/>
    <col collapsed="false" customWidth="true" hidden="false" outlineLevel="0" max="5" min="5" style="1" width="14"/>
    <col collapsed="false" customWidth="true" hidden="false" outlineLevel="0" max="6" min="6" style="1" width="10"/>
    <col collapsed="false" customWidth="true" hidden="false" outlineLevel="0" max="7" min="7" style="1" width="14"/>
    <col collapsed="false" customWidth="true" hidden="false" outlineLevel="0" max="8" min="8" style="1" width="30"/>
    <col collapsed="false" customWidth="true" hidden="false" outlineLevel="0" max="9" min="9" style="1" width="12"/>
    <col collapsed="false" customWidth="true" hidden="false" outlineLevel="0" max="10" min="10" style="1" width="14"/>
    <col collapsed="false" customWidth="true" hidden="false" outlineLevel="0" max="11" min="11" style="1" width="12"/>
    <col collapsed="false" customWidth="true" hidden="false" outlineLevel="0" max="12" min="12" style="1" width="8"/>
  </cols>
  <sheetData>
    <row r="1" customFormat="false" ht="30" hidden="false" customHeight="true" outlineLevel="0" collapsed="false">
      <c r="A1" s="21" t="s">
        <v>66</v>
      </c>
      <c r="B1" s="21" t="s">
        <v>67</v>
      </c>
      <c r="C1" s="21" t="s">
        <v>68</v>
      </c>
      <c r="D1" s="21" t="s">
        <v>69</v>
      </c>
      <c r="E1" s="21" t="s">
        <v>70</v>
      </c>
      <c r="F1" s="21" t="s">
        <v>71</v>
      </c>
      <c r="G1" s="21" t="s">
        <v>78</v>
      </c>
      <c r="H1" s="21" t="s">
        <v>72</v>
      </c>
      <c r="I1" s="21" t="s">
        <v>74</v>
      </c>
      <c r="J1" s="21" t="s">
        <v>48</v>
      </c>
      <c r="K1" s="21" t="s">
        <v>75</v>
      </c>
      <c r="L1" s="82"/>
      <c r="M1" s="82"/>
      <c r="N1" s="82"/>
      <c r="O1" s="82"/>
      <c r="P1" s="82"/>
      <c r="Q1" s="82"/>
    </row>
    <row r="2" customFormat="false" ht="15" hidden="false" customHeight="true" outlineLevel="0" collapsed="false">
      <c r="A2" s="26" t="s">
        <v>710</v>
      </c>
      <c r="B2" s="26" t="s">
        <v>711</v>
      </c>
      <c r="C2" s="26" t="s">
        <v>98</v>
      </c>
      <c r="D2" s="26" t="s">
        <v>84</v>
      </c>
      <c r="E2" s="26" t="s">
        <v>164</v>
      </c>
      <c r="F2" s="26" t="s">
        <v>224</v>
      </c>
      <c r="G2" s="26" t="s">
        <v>870</v>
      </c>
      <c r="H2" s="26" t="s">
        <v>87</v>
      </c>
      <c r="I2" s="26" t="s">
        <v>423</v>
      </c>
      <c r="J2" s="26" t="s">
        <v>443</v>
      </c>
      <c r="K2" s="26" t="n">
        <v>5</v>
      </c>
      <c r="L2" s="26"/>
      <c r="M2" s="26"/>
      <c r="N2" s="26"/>
      <c r="O2" s="26"/>
      <c r="P2" s="26"/>
      <c r="Q2" s="26"/>
    </row>
    <row r="3" customFormat="false" ht="15" hidden="false" customHeight="true" outlineLevel="0" collapsed="false">
      <c r="A3" s="1" t="s">
        <v>712</v>
      </c>
      <c r="B3" s="1" t="s">
        <v>713</v>
      </c>
      <c r="C3" s="1" t="s">
        <v>98</v>
      </c>
      <c r="D3" s="1" t="s">
        <v>84</v>
      </c>
      <c r="E3" s="1" t="s">
        <v>91</v>
      </c>
      <c r="F3" s="1" t="s">
        <v>224</v>
      </c>
      <c r="G3" s="1" t="s">
        <v>871</v>
      </c>
      <c r="H3" s="1" t="s">
        <v>87</v>
      </c>
      <c r="I3" s="1" t="s">
        <v>423</v>
      </c>
      <c r="J3" s="1" t="s">
        <v>443</v>
      </c>
      <c r="K3" s="1" t="n">
        <v>5</v>
      </c>
    </row>
    <row r="4" customFormat="false" ht="15" hidden="false" customHeight="true" outlineLevel="0" collapsed="false">
      <c r="A4" s="1" t="s">
        <v>716</v>
      </c>
      <c r="B4" s="1" t="s">
        <v>717</v>
      </c>
      <c r="C4" s="1" t="s">
        <v>98</v>
      </c>
      <c r="D4" s="1" t="s">
        <v>168</v>
      </c>
      <c r="E4" s="1" t="s">
        <v>91</v>
      </c>
      <c r="F4" s="1" t="s">
        <v>224</v>
      </c>
      <c r="G4" s="1" t="s">
        <v>872</v>
      </c>
      <c r="H4" s="1" t="s">
        <v>87</v>
      </c>
      <c r="I4" s="1" t="s">
        <v>423</v>
      </c>
      <c r="K4" s="1" t="n">
        <v>2</v>
      </c>
    </row>
    <row r="5" customFormat="false" ht="15" hidden="false" customHeight="true" outlineLevel="0" collapsed="false">
      <c r="A5" s="1" t="s">
        <v>718</v>
      </c>
      <c r="B5" s="1" t="s">
        <v>719</v>
      </c>
      <c r="C5" s="1" t="s">
        <v>98</v>
      </c>
      <c r="D5" s="1" t="s">
        <v>168</v>
      </c>
      <c r="E5" s="1" t="s">
        <v>91</v>
      </c>
      <c r="F5" s="1" t="s">
        <v>224</v>
      </c>
      <c r="G5" s="1" t="s">
        <v>873</v>
      </c>
      <c r="H5" s="1" t="s">
        <v>87</v>
      </c>
      <c r="I5" s="1" t="s">
        <v>423</v>
      </c>
      <c r="K5" s="1" t="n">
        <v>3</v>
      </c>
    </row>
    <row r="6" customFormat="false" ht="15" hidden="false" customHeight="true" outlineLevel="0" collapsed="false">
      <c r="A6" s="1" t="s">
        <v>720</v>
      </c>
      <c r="B6" s="1" t="s">
        <v>721</v>
      </c>
      <c r="C6" s="1" t="s">
        <v>98</v>
      </c>
      <c r="D6" s="1" t="s">
        <v>84</v>
      </c>
      <c r="E6" s="1" t="s">
        <v>91</v>
      </c>
      <c r="F6" s="1" t="s">
        <v>224</v>
      </c>
      <c r="G6" s="1" t="s">
        <v>874</v>
      </c>
      <c r="H6" s="1" t="s">
        <v>87</v>
      </c>
      <c r="I6" s="1" t="s">
        <v>423</v>
      </c>
      <c r="J6" s="1" t="s">
        <v>443</v>
      </c>
      <c r="K6" s="1" t="n">
        <v>10</v>
      </c>
    </row>
    <row r="7" customFormat="false" ht="15" hidden="false" customHeight="true" outlineLevel="0" collapsed="false">
      <c r="A7" s="1" t="s">
        <v>722</v>
      </c>
      <c r="B7" s="1" t="s">
        <v>723</v>
      </c>
      <c r="C7" s="1" t="s">
        <v>98</v>
      </c>
      <c r="D7" s="1" t="s">
        <v>84</v>
      </c>
      <c r="E7" s="1" t="s">
        <v>85</v>
      </c>
      <c r="F7" s="1" t="s">
        <v>224</v>
      </c>
      <c r="G7" s="1" t="s">
        <v>870</v>
      </c>
      <c r="H7" s="1" t="s">
        <v>87</v>
      </c>
      <c r="I7" s="1" t="s">
        <v>423</v>
      </c>
      <c r="J7" s="1" t="s">
        <v>443</v>
      </c>
      <c r="K7" s="1" t="n">
        <v>6</v>
      </c>
    </row>
    <row r="8" customFormat="false" ht="15" hidden="false" customHeight="true" outlineLevel="0" collapsed="false">
      <c r="A8" s="1" t="s">
        <v>726</v>
      </c>
      <c r="B8" s="1" t="s">
        <v>727</v>
      </c>
      <c r="C8" s="1" t="s">
        <v>98</v>
      </c>
      <c r="D8" s="1" t="s">
        <v>168</v>
      </c>
      <c r="E8" s="1" t="s">
        <v>91</v>
      </c>
      <c r="F8" s="1" t="s">
        <v>224</v>
      </c>
      <c r="G8" s="1" t="s">
        <v>875</v>
      </c>
      <c r="H8" s="1" t="s">
        <v>87</v>
      </c>
      <c r="I8" s="1" t="s">
        <v>423</v>
      </c>
      <c r="K8" s="1" t="n">
        <v>16</v>
      </c>
    </row>
    <row r="9" customFormat="false" ht="15" hidden="false" customHeight="true" outlineLevel="0" collapsed="false">
      <c r="A9" s="1" t="s">
        <v>728</v>
      </c>
      <c r="B9" s="1" t="s">
        <v>729</v>
      </c>
      <c r="C9" s="1" t="s">
        <v>98</v>
      </c>
      <c r="D9" s="1" t="s">
        <v>168</v>
      </c>
      <c r="E9" s="1" t="s">
        <v>91</v>
      </c>
      <c r="F9" s="1" t="s">
        <v>224</v>
      </c>
      <c r="G9" s="1" t="s">
        <v>876</v>
      </c>
      <c r="H9" s="1" t="s">
        <v>87</v>
      </c>
      <c r="I9" s="1" t="s">
        <v>423</v>
      </c>
      <c r="J9" s="1" t="s">
        <v>542</v>
      </c>
      <c r="K9" s="1" t="n">
        <v>8</v>
      </c>
    </row>
    <row r="10" customFormat="false" ht="15" hidden="false" customHeight="true" outlineLevel="0" collapsed="false">
      <c r="A10" s="1" t="s">
        <v>730</v>
      </c>
      <c r="B10" s="1" t="s">
        <v>731</v>
      </c>
      <c r="C10" s="1" t="s">
        <v>98</v>
      </c>
      <c r="D10" s="1" t="s">
        <v>168</v>
      </c>
      <c r="E10" s="1" t="s">
        <v>91</v>
      </c>
      <c r="F10" s="1" t="s">
        <v>224</v>
      </c>
      <c r="G10" s="1" t="s">
        <v>877</v>
      </c>
      <c r="H10" s="1" t="s">
        <v>87</v>
      </c>
      <c r="I10" s="1" t="s">
        <v>423</v>
      </c>
      <c r="J10" s="1" t="s">
        <v>516</v>
      </c>
      <c r="K10" s="1" t="n">
        <v>8</v>
      </c>
    </row>
    <row r="11" customFormat="false" ht="15" hidden="false" customHeight="true" outlineLevel="0" collapsed="false">
      <c r="A11" s="1" t="s">
        <v>732</v>
      </c>
      <c r="B11" s="1" t="s">
        <v>733</v>
      </c>
      <c r="C11" s="1" t="s">
        <v>98</v>
      </c>
      <c r="D11" s="1" t="s">
        <v>28</v>
      </c>
      <c r="E11" s="1" t="s">
        <v>85</v>
      </c>
      <c r="F11" s="1" t="s">
        <v>224</v>
      </c>
      <c r="G11" s="1" t="s">
        <v>878</v>
      </c>
      <c r="H11" s="1" t="s">
        <v>87</v>
      </c>
      <c r="I11" s="1" t="s">
        <v>423</v>
      </c>
      <c r="J11" s="1" t="s">
        <v>538</v>
      </c>
      <c r="K11" s="1" t="n">
        <v>8</v>
      </c>
    </row>
    <row r="12" customFormat="false" ht="15" hidden="false" customHeight="true" outlineLevel="0" collapsed="false">
      <c r="A12" s="1" t="s">
        <v>734</v>
      </c>
      <c r="B12" s="1" t="s">
        <v>735</v>
      </c>
      <c r="C12" s="1" t="s">
        <v>98</v>
      </c>
      <c r="D12" s="1" t="s">
        <v>28</v>
      </c>
      <c r="E12" s="1" t="s">
        <v>85</v>
      </c>
      <c r="F12" s="1" t="s">
        <v>224</v>
      </c>
      <c r="G12" s="1" t="s">
        <v>879</v>
      </c>
      <c r="H12" s="1" t="s">
        <v>87</v>
      </c>
      <c r="I12" s="1" t="s">
        <v>423</v>
      </c>
      <c r="K12" s="1" t="n">
        <v>5</v>
      </c>
    </row>
    <row r="13" customFormat="false" ht="15" hidden="false" customHeight="true" outlineLevel="0" collapsed="false">
      <c r="A13" s="1" t="s">
        <v>510</v>
      </c>
      <c r="B13" s="1" t="s">
        <v>511</v>
      </c>
      <c r="C13" s="1" t="s">
        <v>160</v>
      </c>
      <c r="D13" s="1" t="s">
        <v>437</v>
      </c>
      <c r="E13" s="1" t="s">
        <v>316</v>
      </c>
      <c r="F13" s="1" t="s">
        <v>224</v>
      </c>
      <c r="G13" s="1" t="s">
        <v>880</v>
      </c>
      <c r="H13" s="1" t="s">
        <v>87</v>
      </c>
      <c r="I13" s="1" t="s">
        <v>423</v>
      </c>
      <c r="J13" s="1" t="s">
        <v>512</v>
      </c>
    </row>
    <row r="14" customFormat="false" ht="15" hidden="false" customHeight="true" outlineLevel="0" collapsed="false">
      <c r="A14" s="1" t="s">
        <v>714</v>
      </c>
      <c r="B14" s="1" t="s">
        <v>715</v>
      </c>
      <c r="C14" s="1" t="s">
        <v>98</v>
      </c>
      <c r="D14" s="1" t="s">
        <v>168</v>
      </c>
      <c r="E14" s="1" t="s">
        <v>91</v>
      </c>
      <c r="F14" s="1" t="s">
        <v>224</v>
      </c>
      <c r="G14" s="1" t="s">
        <v>881</v>
      </c>
      <c r="H14" s="1" t="s">
        <v>87</v>
      </c>
      <c r="I14" s="1" t="s">
        <v>423</v>
      </c>
      <c r="J14" s="1" t="s">
        <v>516</v>
      </c>
      <c r="K14" s="1" t="n">
        <v>3</v>
      </c>
    </row>
    <row r="15" customFormat="false" ht="15" hidden="false" customHeight="true" outlineLevel="0" collapsed="false">
      <c r="A15" s="1" t="s">
        <v>760</v>
      </c>
      <c r="B15" s="1" t="s">
        <v>761</v>
      </c>
      <c r="C15" s="1" t="s">
        <v>90</v>
      </c>
      <c r="D15" s="1" t="s">
        <v>135</v>
      </c>
      <c r="E15" s="1" t="s">
        <v>91</v>
      </c>
      <c r="F15" s="1" t="s">
        <v>224</v>
      </c>
      <c r="G15" s="1" t="s">
        <v>882</v>
      </c>
      <c r="H15" s="1" t="s">
        <v>87</v>
      </c>
      <c r="I15" s="1" t="s">
        <v>423</v>
      </c>
      <c r="J15" s="1" t="s">
        <v>443</v>
      </c>
      <c r="K15" s="1" t="n">
        <v>8</v>
      </c>
    </row>
    <row r="16" customFormat="false" ht="15" hidden="false" customHeight="true" outlineLevel="0" collapsed="false">
      <c r="A16" s="1" t="s">
        <v>762</v>
      </c>
      <c r="B16" s="1" t="s">
        <v>763</v>
      </c>
      <c r="C16" s="1" t="s">
        <v>98</v>
      </c>
      <c r="D16" s="1" t="s">
        <v>168</v>
      </c>
      <c r="E16" s="1" t="s">
        <v>91</v>
      </c>
      <c r="F16" s="1" t="s">
        <v>224</v>
      </c>
      <c r="G16" s="1" t="s">
        <v>883</v>
      </c>
      <c r="H16" s="1" t="s">
        <v>87</v>
      </c>
      <c r="I16" s="1" t="s">
        <v>423</v>
      </c>
      <c r="J16" s="1" t="s">
        <v>542</v>
      </c>
      <c r="K16" s="1" t="n">
        <v>13</v>
      </c>
    </row>
    <row r="17" customFormat="false" ht="15" hidden="false" customHeight="true" outlineLevel="0" collapsed="false">
      <c r="A17" s="1" t="s">
        <v>754</v>
      </c>
      <c r="B17" s="1" t="s">
        <v>755</v>
      </c>
      <c r="C17" s="1" t="s">
        <v>98</v>
      </c>
      <c r="D17" s="1" t="s">
        <v>116</v>
      </c>
      <c r="E17" s="1" t="s">
        <v>91</v>
      </c>
      <c r="F17" s="1" t="s">
        <v>224</v>
      </c>
      <c r="G17" s="1" t="s">
        <v>884</v>
      </c>
      <c r="H17" s="1" t="s">
        <v>354</v>
      </c>
      <c r="I17" s="1" t="s">
        <v>422</v>
      </c>
      <c r="J17" s="1" t="s">
        <v>516</v>
      </c>
      <c r="K17" s="1" t="n">
        <v>5</v>
      </c>
    </row>
    <row r="18" customFormat="false" ht="15" hidden="false" customHeight="true" outlineLevel="0" collapsed="false">
      <c r="A18" s="1" t="s">
        <v>669</v>
      </c>
      <c r="B18" s="1" t="s">
        <v>670</v>
      </c>
      <c r="C18" s="1" t="s">
        <v>98</v>
      </c>
      <c r="D18" s="1" t="s">
        <v>84</v>
      </c>
      <c r="E18" s="1" t="s">
        <v>164</v>
      </c>
      <c r="F18" s="1" t="s">
        <v>224</v>
      </c>
      <c r="G18" s="1" t="s">
        <v>879</v>
      </c>
      <c r="H18" s="1" t="s">
        <v>87</v>
      </c>
      <c r="I18" s="1" t="s">
        <v>422</v>
      </c>
      <c r="J18" s="1" t="s">
        <v>443</v>
      </c>
    </row>
    <row r="19" customFormat="false" ht="15" hidden="false" customHeight="true" outlineLevel="0" collapsed="false">
      <c r="A19" s="1" t="s">
        <v>671</v>
      </c>
      <c r="B19" s="1" t="s">
        <v>672</v>
      </c>
      <c r="C19" s="1" t="s">
        <v>98</v>
      </c>
      <c r="D19" s="1" t="s">
        <v>84</v>
      </c>
      <c r="E19" s="1" t="s">
        <v>164</v>
      </c>
      <c r="F19" s="1" t="s">
        <v>224</v>
      </c>
      <c r="G19" s="1" t="s">
        <v>885</v>
      </c>
      <c r="H19" s="1" t="s">
        <v>87</v>
      </c>
      <c r="I19" s="1" t="s">
        <v>422</v>
      </c>
      <c r="J19" s="1" t="s">
        <v>443</v>
      </c>
    </row>
    <row r="20" customFormat="false" ht="15" hidden="false" customHeight="true" outlineLevel="0" collapsed="false">
      <c r="A20" s="1" t="s">
        <v>673</v>
      </c>
      <c r="B20" s="1" t="s">
        <v>674</v>
      </c>
      <c r="C20" s="1" t="s">
        <v>98</v>
      </c>
      <c r="D20" s="1" t="s">
        <v>84</v>
      </c>
      <c r="E20" s="1" t="s">
        <v>164</v>
      </c>
      <c r="F20" s="1" t="s">
        <v>224</v>
      </c>
      <c r="G20" s="1" t="s">
        <v>886</v>
      </c>
      <c r="H20" s="1" t="s">
        <v>87</v>
      </c>
      <c r="I20" s="1" t="s">
        <v>422</v>
      </c>
      <c r="J20" s="1" t="s">
        <v>443</v>
      </c>
    </row>
    <row r="21" customFormat="false" ht="15" hidden="false" customHeight="true" outlineLevel="0" collapsed="false">
      <c r="A21" s="1" t="s">
        <v>675</v>
      </c>
      <c r="B21" s="1" t="s">
        <v>676</v>
      </c>
      <c r="C21" s="1" t="s">
        <v>98</v>
      </c>
      <c r="D21" s="1" t="s">
        <v>84</v>
      </c>
      <c r="E21" s="1" t="s">
        <v>164</v>
      </c>
      <c r="F21" s="1" t="s">
        <v>224</v>
      </c>
      <c r="G21" s="1" t="s">
        <v>887</v>
      </c>
      <c r="H21" s="1" t="s">
        <v>87</v>
      </c>
      <c r="I21" s="1" t="s">
        <v>422</v>
      </c>
      <c r="J21" s="1" t="s">
        <v>443</v>
      </c>
      <c r="K21" s="1" t="n">
        <v>3</v>
      </c>
    </row>
    <row r="22" customFormat="false" ht="15" hidden="false" customHeight="true" outlineLevel="0" collapsed="false">
      <c r="A22" s="1" t="s">
        <v>677</v>
      </c>
      <c r="B22" s="1" t="s">
        <v>678</v>
      </c>
      <c r="C22" s="1" t="s">
        <v>160</v>
      </c>
      <c r="D22" s="1" t="s">
        <v>84</v>
      </c>
      <c r="E22" s="1" t="s">
        <v>164</v>
      </c>
      <c r="F22" s="1" t="s">
        <v>224</v>
      </c>
      <c r="G22" s="1" t="s">
        <v>888</v>
      </c>
      <c r="H22" s="1" t="s">
        <v>87</v>
      </c>
      <c r="I22" s="1" t="s">
        <v>422</v>
      </c>
      <c r="J22" s="1" t="s">
        <v>454</v>
      </c>
      <c r="K22" s="1" t="n">
        <v>5</v>
      </c>
    </row>
    <row r="23" customFormat="false" ht="15" hidden="false" customHeight="true" outlineLevel="0" collapsed="false">
      <c r="A23" s="1" t="s">
        <v>679</v>
      </c>
      <c r="B23" s="1" t="s">
        <v>680</v>
      </c>
      <c r="C23" s="1" t="s">
        <v>98</v>
      </c>
      <c r="D23" s="1" t="s">
        <v>168</v>
      </c>
      <c r="E23" s="1" t="s">
        <v>91</v>
      </c>
      <c r="F23" s="1" t="s">
        <v>224</v>
      </c>
      <c r="G23" s="1" t="s">
        <v>889</v>
      </c>
      <c r="H23" s="1" t="s">
        <v>87</v>
      </c>
      <c r="I23" s="1" t="s">
        <v>422</v>
      </c>
    </row>
    <row r="24" customFormat="false" ht="15" hidden="false" customHeight="true" outlineLevel="0" collapsed="false">
      <c r="A24" s="1" t="s">
        <v>681</v>
      </c>
      <c r="B24" s="1" t="s">
        <v>682</v>
      </c>
      <c r="C24" s="1" t="s">
        <v>98</v>
      </c>
      <c r="D24" s="1" t="s">
        <v>84</v>
      </c>
      <c r="E24" s="1" t="s">
        <v>164</v>
      </c>
      <c r="F24" s="1" t="s">
        <v>224</v>
      </c>
      <c r="G24" s="1" t="s">
        <v>890</v>
      </c>
      <c r="H24" s="1" t="s">
        <v>87</v>
      </c>
      <c r="I24" s="1" t="s">
        <v>422</v>
      </c>
      <c r="J24" s="1" t="s">
        <v>443</v>
      </c>
      <c r="K24" s="1" t="n">
        <v>5</v>
      </c>
    </row>
    <row r="25" customFormat="false" ht="15" hidden="false" customHeight="true" outlineLevel="0" collapsed="false">
      <c r="A25" s="1" t="s">
        <v>683</v>
      </c>
      <c r="B25" s="1" t="s">
        <v>684</v>
      </c>
      <c r="C25" s="1" t="s">
        <v>98</v>
      </c>
      <c r="D25" s="1" t="s">
        <v>168</v>
      </c>
      <c r="E25" s="1" t="s">
        <v>91</v>
      </c>
      <c r="F25" s="1" t="s">
        <v>224</v>
      </c>
      <c r="G25" s="1" t="s">
        <v>891</v>
      </c>
      <c r="H25" s="1" t="s">
        <v>87</v>
      </c>
      <c r="I25" s="1" t="s">
        <v>422</v>
      </c>
      <c r="J25" s="1" t="s">
        <v>508</v>
      </c>
      <c r="K25" s="1" t="n">
        <v>3</v>
      </c>
    </row>
    <row r="26" customFormat="false" ht="15" hidden="false" customHeight="true" outlineLevel="0" collapsed="false">
      <c r="A26" s="1" t="s">
        <v>685</v>
      </c>
      <c r="B26" s="1" t="s">
        <v>686</v>
      </c>
      <c r="C26" s="1" t="s">
        <v>105</v>
      </c>
      <c r="D26" s="1" t="s">
        <v>687</v>
      </c>
      <c r="E26" s="1" t="s">
        <v>106</v>
      </c>
      <c r="F26" s="1" t="s">
        <v>224</v>
      </c>
      <c r="G26" s="1" t="s">
        <v>892</v>
      </c>
      <c r="H26" s="1" t="s">
        <v>87</v>
      </c>
      <c r="I26" s="1" t="s">
        <v>422</v>
      </c>
      <c r="J26" s="1" t="s">
        <v>516</v>
      </c>
      <c r="K26" s="1" t="n">
        <v>8</v>
      </c>
    </row>
    <row r="27" customFormat="false" ht="15" hidden="false" customHeight="true" outlineLevel="0" collapsed="false">
      <c r="A27" s="1" t="s">
        <v>688</v>
      </c>
      <c r="B27" s="1" t="s">
        <v>689</v>
      </c>
      <c r="C27" s="1" t="s">
        <v>105</v>
      </c>
      <c r="D27" s="1" t="s">
        <v>687</v>
      </c>
      <c r="E27" s="1" t="s">
        <v>106</v>
      </c>
      <c r="F27" s="1" t="s">
        <v>224</v>
      </c>
      <c r="H27" s="1" t="s">
        <v>87</v>
      </c>
      <c r="I27" s="1" t="s">
        <v>422</v>
      </c>
      <c r="K27" s="1" t="n">
        <v>5</v>
      </c>
    </row>
    <row r="28" customFormat="false" ht="15" hidden="false" customHeight="true" outlineLevel="0" collapsed="false">
      <c r="A28" s="1" t="s">
        <v>690</v>
      </c>
      <c r="B28" s="1" t="s">
        <v>691</v>
      </c>
      <c r="C28" s="1" t="s">
        <v>98</v>
      </c>
      <c r="D28" s="1" t="s">
        <v>84</v>
      </c>
      <c r="E28" s="1" t="s">
        <v>164</v>
      </c>
      <c r="F28" s="1" t="s">
        <v>224</v>
      </c>
      <c r="G28" s="1" t="s">
        <v>893</v>
      </c>
      <c r="H28" s="1" t="s">
        <v>87</v>
      </c>
      <c r="I28" s="1" t="s">
        <v>422</v>
      </c>
      <c r="J28" s="1" t="s">
        <v>443</v>
      </c>
      <c r="K28" s="1" t="n">
        <v>2</v>
      </c>
    </row>
    <row r="29" customFormat="false" ht="15" hidden="false" customHeight="true" outlineLevel="0" collapsed="false">
      <c r="A29" s="1" t="s">
        <v>692</v>
      </c>
      <c r="B29" s="1" t="s">
        <v>693</v>
      </c>
      <c r="C29" s="1" t="s">
        <v>160</v>
      </c>
      <c r="D29" s="1" t="s">
        <v>84</v>
      </c>
      <c r="E29" s="1" t="s">
        <v>85</v>
      </c>
      <c r="F29" s="1" t="s">
        <v>224</v>
      </c>
      <c r="H29" s="1" t="s">
        <v>87</v>
      </c>
      <c r="I29" s="1" t="s">
        <v>422</v>
      </c>
      <c r="J29" s="1" t="s">
        <v>443</v>
      </c>
      <c r="K29" s="1" t="n">
        <v>21</v>
      </c>
    </row>
    <row r="30" customFormat="false" ht="15" hidden="false" customHeight="true" outlineLevel="0" collapsed="false">
      <c r="A30" s="1" t="s">
        <v>694</v>
      </c>
      <c r="B30" s="1" t="s">
        <v>695</v>
      </c>
      <c r="C30" s="1" t="s">
        <v>160</v>
      </c>
      <c r="D30" s="1" t="s">
        <v>84</v>
      </c>
      <c r="E30" s="1" t="s">
        <v>85</v>
      </c>
      <c r="F30" s="1" t="s">
        <v>224</v>
      </c>
      <c r="H30" s="1" t="s">
        <v>87</v>
      </c>
      <c r="I30" s="1" t="s">
        <v>422</v>
      </c>
      <c r="J30" s="1" t="s">
        <v>443</v>
      </c>
      <c r="K30" s="1" t="n">
        <v>8</v>
      </c>
    </row>
    <row r="31" customFormat="false" ht="15" hidden="false" customHeight="true" outlineLevel="0" collapsed="false">
      <c r="A31" s="1" t="s">
        <v>696</v>
      </c>
      <c r="B31" s="1" t="s">
        <v>697</v>
      </c>
      <c r="C31" s="1" t="s">
        <v>98</v>
      </c>
      <c r="D31" s="1" t="s">
        <v>84</v>
      </c>
      <c r="E31" s="1" t="s">
        <v>91</v>
      </c>
      <c r="F31" s="1" t="s">
        <v>224</v>
      </c>
      <c r="G31" s="1" t="s">
        <v>894</v>
      </c>
      <c r="H31" s="1" t="s">
        <v>87</v>
      </c>
      <c r="I31" s="1" t="s">
        <v>422</v>
      </c>
      <c r="J31" s="1" t="s">
        <v>443</v>
      </c>
      <c r="K31" s="1" t="n">
        <v>3</v>
      </c>
    </row>
    <row r="32" customFormat="false" ht="15" hidden="false" customHeight="true" outlineLevel="0" collapsed="false">
      <c r="A32" s="1" t="s">
        <v>698</v>
      </c>
      <c r="B32" s="1" t="s">
        <v>699</v>
      </c>
      <c r="C32" s="1" t="s">
        <v>98</v>
      </c>
      <c r="D32" s="1" t="s">
        <v>84</v>
      </c>
      <c r="E32" s="1" t="s">
        <v>91</v>
      </c>
      <c r="F32" s="1" t="s">
        <v>224</v>
      </c>
      <c r="G32" s="1" t="s">
        <v>895</v>
      </c>
      <c r="H32" s="1" t="s">
        <v>87</v>
      </c>
      <c r="I32" s="1" t="s">
        <v>422</v>
      </c>
      <c r="J32" s="1" t="s">
        <v>443</v>
      </c>
      <c r="K32" s="1" t="n">
        <v>5</v>
      </c>
    </row>
    <row r="33" customFormat="false" ht="15" hidden="false" customHeight="true" outlineLevel="0" collapsed="false">
      <c r="A33" s="1" t="s">
        <v>700</v>
      </c>
      <c r="B33" s="1" t="s">
        <v>701</v>
      </c>
      <c r="C33" s="1" t="s">
        <v>98</v>
      </c>
      <c r="D33" s="1" t="s">
        <v>168</v>
      </c>
      <c r="E33" s="1" t="s">
        <v>91</v>
      </c>
      <c r="F33" s="1" t="s">
        <v>224</v>
      </c>
      <c r="G33" s="1" t="s">
        <v>896</v>
      </c>
      <c r="H33" s="1" t="s">
        <v>87</v>
      </c>
      <c r="I33" s="1" t="s">
        <v>422</v>
      </c>
      <c r="J33" s="1" t="s">
        <v>508</v>
      </c>
      <c r="K33" s="1" t="n">
        <v>2</v>
      </c>
    </row>
    <row r="34" customFormat="false" ht="15" hidden="false" customHeight="true" outlineLevel="0" collapsed="false">
      <c r="A34" s="1" t="s">
        <v>702</v>
      </c>
      <c r="B34" s="1" t="s">
        <v>703</v>
      </c>
      <c r="C34" s="1" t="s">
        <v>98</v>
      </c>
      <c r="D34" s="1" t="s">
        <v>168</v>
      </c>
      <c r="E34" s="1" t="s">
        <v>91</v>
      </c>
      <c r="F34" s="1" t="s">
        <v>224</v>
      </c>
      <c r="G34" s="1" t="s">
        <v>891</v>
      </c>
      <c r="H34" s="1" t="s">
        <v>87</v>
      </c>
      <c r="I34" s="1" t="s">
        <v>422</v>
      </c>
      <c r="K34" s="1" t="n">
        <v>3</v>
      </c>
    </row>
    <row r="35" customFormat="false" ht="15" hidden="false" customHeight="true" outlineLevel="0" collapsed="false">
      <c r="A35" s="1" t="s">
        <v>704</v>
      </c>
      <c r="B35" s="1" t="s">
        <v>705</v>
      </c>
      <c r="C35" s="1" t="s">
        <v>98</v>
      </c>
      <c r="D35" s="1" t="s">
        <v>168</v>
      </c>
      <c r="E35" s="1" t="s">
        <v>91</v>
      </c>
      <c r="F35" s="1" t="s">
        <v>224</v>
      </c>
      <c r="G35" s="1" t="s">
        <v>897</v>
      </c>
      <c r="H35" s="1" t="s">
        <v>87</v>
      </c>
      <c r="I35" s="1" t="s">
        <v>422</v>
      </c>
      <c r="J35" s="1" t="s">
        <v>516</v>
      </c>
      <c r="K35" s="1" t="n">
        <v>2</v>
      </c>
    </row>
    <row r="36" customFormat="false" ht="15" hidden="false" customHeight="true" outlineLevel="0" collapsed="false">
      <c r="A36" s="1" t="s">
        <v>706</v>
      </c>
      <c r="B36" s="1" t="s">
        <v>707</v>
      </c>
      <c r="C36" s="1" t="s">
        <v>98</v>
      </c>
      <c r="D36" s="1" t="s">
        <v>120</v>
      </c>
      <c r="E36" s="1" t="s">
        <v>85</v>
      </c>
      <c r="F36" s="1" t="s">
        <v>224</v>
      </c>
      <c r="G36" s="1" t="s">
        <v>898</v>
      </c>
      <c r="H36" s="1" t="s">
        <v>87</v>
      </c>
      <c r="I36" s="1" t="s">
        <v>422</v>
      </c>
      <c r="J36" s="1" t="s">
        <v>538</v>
      </c>
      <c r="K36" s="1" t="n">
        <v>5</v>
      </c>
    </row>
    <row r="37" customFormat="false" ht="15" hidden="false" customHeight="true" outlineLevel="0" collapsed="false">
      <c r="A37" s="1" t="s">
        <v>766</v>
      </c>
      <c r="B37" s="1" t="s">
        <v>767</v>
      </c>
      <c r="C37" s="1" t="s">
        <v>98</v>
      </c>
      <c r="D37" s="1" t="s">
        <v>116</v>
      </c>
      <c r="E37" s="1" t="s">
        <v>91</v>
      </c>
      <c r="F37" s="1" t="s">
        <v>224</v>
      </c>
      <c r="G37" s="1" t="s">
        <v>899</v>
      </c>
      <c r="H37" s="1" t="s">
        <v>354</v>
      </c>
      <c r="I37" s="1" t="s">
        <v>422</v>
      </c>
      <c r="J37" s="1" t="s">
        <v>516</v>
      </c>
      <c r="K37" s="1" t="n">
        <v>13</v>
      </c>
    </row>
    <row r="38" customFormat="false" ht="15" hidden="false" customHeight="true" outlineLevel="0" collapsed="false">
      <c r="A38" s="1" t="s">
        <v>768</v>
      </c>
      <c r="B38" s="1" t="s">
        <v>769</v>
      </c>
      <c r="C38" s="1" t="s">
        <v>98</v>
      </c>
      <c r="D38" s="1" t="s">
        <v>116</v>
      </c>
      <c r="E38" s="1" t="s">
        <v>91</v>
      </c>
      <c r="F38" s="1" t="s">
        <v>224</v>
      </c>
      <c r="G38" s="1" t="s">
        <v>900</v>
      </c>
      <c r="H38" s="1" t="s">
        <v>354</v>
      </c>
      <c r="I38" s="1" t="s">
        <v>422</v>
      </c>
      <c r="J38" s="1" t="s">
        <v>516</v>
      </c>
      <c r="K38" s="1" t="n">
        <v>5</v>
      </c>
    </row>
    <row r="39" customFormat="false" ht="15" hidden="false" customHeight="true" outlineLevel="0" collapsed="false">
      <c r="A39" s="1" t="s">
        <v>770</v>
      </c>
      <c r="B39" s="1" t="s">
        <v>771</v>
      </c>
      <c r="C39" s="1" t="s">
        <v>90</v>
      </c>
      <c r="D39" s="1" t="s">
        <v>135</v>
      </c>
      <c r="E39" s="1" t="s">
        <v>91</v>
      </c>
      <c r="F39" s="1" t="s">
        <v>224</v>
      </c>
      <c r="G39" s="1" t="s">
        <v>901</v>
      </c>
      <c r="H39" s="1" t="s">
        <v>87</v>
      </c>
      <c r="I39" s="1" t="s">
        <v>422</v>
      </c>
      <c r="J39" s="1" t="s">
        <v>516</v>
      </c>
      <c r="K39" s="1" t="n">
        <v>8</v>
      </c>
    </row>
    <row r="40" customFormat="false" ht="15" hidden="false" customHeight="true" outlineLevel="0" collapsed="false">
      <c r="A40" s="1" t="s">
        <v>617</v>
      </c>
      <c r="B40" s="1" t="s">
        <v>618</v>
      </c>
      <c r="C40" s="1" t="s">
        <v>98</v>
      </c>
      <c r="D40" s="1" t="s">
        <v>84</v>
      </c>
      <c r="E40" s="1" t="s">
        <v>164</v>
      </c>
      <c r="F40" s="1" t="s">
        <v>224</v>
      </c>
      <c r="G40" s="1" t="s">
        <v>902</v>
      </c>
      <c r="H40" s="1" t="s">
        <v>87</v>
      </c>
      <c r="I40" s="1" t="s">
        <v>421</v>
      </c>
      <c r="J40" s="1" t="s">
        <v>454</v>
      </c>
      <c r="K40" s="1" t="n">
        <v>8</v>
      </c>
    </row>
    <row r="41" customFormat="false" ht="15" hidden="false" customHeight="true" outlineLevel="0" collapsed="false">
      <c r="A41" s="1" t="s">
        <v>619</v>
      </c>
      <c r="B41" s="1" t="s">
        <v>620</v>
      </c>
      <c r="C41" s="1" t="s">
        <v>98</v>
      </c>
      <c r="D41" s="1" t="s">
        <v>84</v>
      </c>
      <c r="E41" s="1" t="s">
        <v>91</v>
      </c>
      <c r="F41" s="1" t="s">
        <v>224</v>
      </c>
      <c r="G41" s="1" t="s">
        <v>903</v>
      </c>
      <c r="H41" s="1" t="s">
        <v>87</v>
      </c>
      <c r="I41" s="1" t="s">
        <v>421</v>
      </c>
      <c r="J41" s="1" t="s">
        <v>454</v>
      </c>
      <c r="K41" s="1" t="n">
        <v>8</v>
      </c>
    </row>
    <row r="42" customFormat="false" ht="15" hidden="false" customHeight="true" outlineLevel="0" collapsed="false">
      <c r="A42" s="1" t="s">
        <v>621</v>
      </c>
      <c r="B42" s="1" t="s">
        <v>622</v>
      </c>
      <c r="C42" s="1" t="s">
        <v>98</v>
      </c>
      <c r="D42" s="1" t="s">
        <v>84</v>
      </c>
      <c r="E42" s="1" t="s">
        <v>91</v>
      </c>
      <c r="F42" s="1" t="s">
        <v>224</v>
      </c>
      <c r="H42" s="1" t="s">
        <v>87</v>
      </c>
      <c r="I42" s="1" t="s">
        <v>421</v>
      </c>
      <c r="J42" s="1" t="s">
        <v>443</v>
      </c>
      <c r="K42" s="1" t="n">
        <v>5</v>
      </c>
    </row>
    <row r="43" customFormat="false" ht="15" hidden="false" customHeight="true" outlineLevel="0" collapsed="false">
      <c r="A43" s="1" t="s">
        <v>623</v>
      </c>
      <c r="B43" s="1" t="s">
        <v>624</v>
      </c>
      <c r="C43" s="1" t="s">
        <v>98</v>
      </c>
      <c r="D43" s="1" t="s">
        <v>84</v>
      </c>
      <c r="E43" s="1" t="s">
        <v>91</v>
      </c>
      <c r="F43" s="1" t="s">
        <v>224</v>
      </c>
      <c r="H43" s="1" t="s">
        <v>87</v>
      </c>
      <c r="I43" s="1" t="s">
        <v>421</v>
      </c>
      <c r="J43" s="1" t="s">
        <v>443</v>
      </c>
      <c r="K43" s="1" t="n">
        <v>3</v>
      </c>
    </row>
    <row r="44" customFormat="false" ht="15" hidden="false" customHeight="true" outlineLevel="0" collapsed="false">
      <c r="A44" s="1" t="s">
        <v>625</v>
      </c>
      <c r="B44" s="1" t="s">
        <v>626</v>
      </c>
      <c r="C44" s="1" t="s">
        <v>160</v>
      </c>
      <c r="D44" s="1" t="s">
        <v>84</v>
      </c>
      <c r="E44" s="1" t="s">
        <v>164</v>
      </c>
      <c r="F44" s="1" t="s">
        <v>224</v>
      </c>
      <c r="G44" s="1" t="s">
        <v>904</v>
      </c>
      <c r="H44" s="1" t="s">
        <v>87</v>
      </c>
      <c r="I44" s="1" t="s">
        <v>421</v>
      </c>
      <c r="J44" s="1" t="s">
        <v>443</v>
      </c>
      <c r="K44" s="1" t="n">
        <v>5</v>
      </c>
    </row>
    <row r="45" customFormat="false" ht="15" hidden="false" customHeight="true" outlineLevel="0" collapsed="false">
      <c r="A45" s="1" t="s">
        <v>627</v>
      </c>
      <c r="B45" s="1" t="s">
        <v>628</v>
      </c>
      <c r="C45" s="1" t="s">
        <v>98</v>
      </c>
      <c r="D45" s="1" t="s">
        <v>116</v>
      </c>
      <c r="E45" s="1" t="s">
        <v>91</v>
      </c>
      <c r="F45" s="1" t="s">
        <v>224</v>
      </c>
      <c r="G45" s="1" t="s">
        <v>905</v>
      </c>
      <c r="H45" s="1" t="s">
        <v>87</v>
      </c>
      <c r="I45" s="1" t="s">
        <v>421</v>
      </c>
      <c r="J45" s="1" t="s">
        <v>508</v>
      </c>
      <c r="K45" s="1" t="n">
        <v>5</v>
      </c>
    </row>
    <row r="46" customFormat="false" ht="15" hidden="false" customHeight="true" outlineLevel="0" collapsed="false">
      <c r="A46" s="1" t="s">
        <v>629</v>
      </c>
      <c r="B46" s="1" t="s">
        <v>630</v>
      </c>
      <c r="C46" s="1" t="s">
        <v>98</v>
      </c>
      <c r="D46" s="1" t="s">
        <v>116</v>
      </c>
      <c r="E46" s="1" t="s">
        <v>91</v>
      </c>
      <c r="F46" s="1" t="s">
        <v>224</v>
      </c>
      <c r="G46" s="1" t="s">
        <v>906</v>
      </c>
      <c r="H46" s="1" t="s">
        <v>87</v>
      </c>
      <c r="I46" s="1" t="s">
        <v>421</v>
      </c>
      <c r="J46" s="1" t="s">
        <v>516</v>
      </c>
      <c r="K46" s="1" t="n">
        <v>8</v>
      </c>
    </row>
    <row r="47" customFormat="false" ht="15" hidden="false" customHeight="true" outlineLevel="0" collapsed="false">
      <c r="A47" s="1" t="s">
        <v>631</v>
      </c>
      <c r="B47" s="1" t="s">
        <v>632</v>
      </c>
      <c r="C47" s="1" t="s">
        <v>98</v>
      </c>
      <c r="D47" s="1" t="s">
        <v>168</v>
      </c>
      <c r="E47" s="1" t="s">
        <v>91</v>
      </c>
      <c r="F47" s="1" t="s">
        <v>224</v>
      </c>
      <c r="G47" s="1" t="s">
        <v>907</v>
      </c>
      <c r="H47" s="1" t="s">
        <v>87</v>
      </c>
      <c r="I47" s="1" t="s">
        <v>421</v>
      </c>
      <c r="J47" s="1" t="s">
        <v>508</v>
      </c>
      <c r="K47" s="1" t="n">
        <v>3</v>
      </c>
    </row>
    <row r="48" customFormat="false" ht="15" hidden="false" customHeight="true" outlineLevel="0" collapsed="false">
      <c r="A48" s="1" t="s">
        <v>633</v>
      </c>
      <c r="B48" s="1" t="s">
        <v>634</v>
      </c>
      <c r="C48" s="1" t="s">
        <v>98</v>
      </c>
      <c r="D48" s="1" t="s">
        <v>168</v>
      </c>
      <c r="E48" s="1" t="s">
        <v>91</v>
      </c>
      <c r="F48" s="1" t="s">
        <v>224</v>
      </c>
      <c r="G48" s="1" t="s">
        <v>889</v>
      </c>
      <c r="H48" s="1" t="s">
        <v>87</v>
      </c>
      <c r="I48" s="1" t="s">
        <v>421</v>
      </c>
      <c r="J48" s="1" t="s">
        <v>508</v>
      </c>
      <c r="K48" s="1" t="n">
        <v>8</v>
      </c>
    </row>
    <row r="49" customFormat="false" ht="15" hidden="false" customHeight="true" outlineLevel="0" collapsed="false">
      <c r="A49" s="1" t="s">
        <v>635</v>
      </c>
      <c r="B49" s="1" t="s">
        <v>636</v>
      </c>
      <c r="C49" s="1" t="s">
        <v>98</v>
      </c>
      <c r="D49" s="1" t="s">
        <v>168</v>
      </c>
      <c r="E49" s="1" t="s">
        <v>91</v>
      </c>
      <c r="F49" s="1" t="s">
        <v>224</v>
      </c>
      <c r="G49" s="1" t="s">
        <v>908</v>
      </c>
      <c r="H49" s="1" t="s">
        <v>87</v>
      </c>
      <c r="I49" s="1" t="s">
        <v>421</v>
      </c>
      <c r="J49" s="1" t="s">
        <v>508</v>
      </c>
      <c r="K49" s="1" t="n">
        <v>5</v>
      </c>
    </row>
    <row r="50" customFormat="false" ht="15" hidden="false" customHeight="true" outlineLevel="0" collapsed="false">
      <c r="A50" s="1" t="s">
        <v>637</v>
      </c>
      <c r="B50" s="1" t="s">
        <v>638</v>
      </c>
      <c r="C50" s="1" t="s">
        <v>98</v>
      </c>
      <c r="D50" s="1" t="s">
        <v>168</v>
      </c>
      <c r="E50" s="1" t="s">
        <v>91</v>
      </c>
      <c r="F50" s="1" t="s">
        <v>224</v>
      </c>
      <c r="H50" s="1" t="s">
        <v>87</v>
      </c>
      <c r="I50" s="1" t="s">
        <v>421</v>
      </c>
      <c r="K50" s="1" t="n">
        <v>3</v>
      </c>
    </row>
    <row r="51" customFormat="false" ht="15" hidden="false" customHeight="true" outlineLevel="0" collapsed="false">
      <c r="A51" s="1" t="s">
        <v>639</v>
      </c>
      <c r="B51" s="1" t="s">
        <v>640</v>
      </c>
      <c r="C51" s="1" t="s">
        <v>98</v>
      </c>
      <c r="D51" s="1" t="s">
        <v>84</v>
      </c>
      <c r="E51" s="1" t="s">
        <v>164</v>
      </c>
      <c r="F51" s="1" t="s">
        <v>224</v>
      </c>
      <c r="G51" s="1" t="s">
        <v>909</v>
      </c>
      <c r="H51" s="1" t="s">
        <v>87</v>
      </c>
      <c r="I51" s="1" t="s">
        <v>421</v>
      </c>
      <c r="J51" s="1" t="s">
        <v>454</v>
      </c>
      <c r="K51" s="1" t="n">
        <v>2</v>
      </c>
    </row>
    <row r="52" customFormat="false" ht="15" hidden="false" customHeight="true" outlineLevel="0" collapsed="false">
      <c r="A52" s="1" t="s">
        <v>641</v>
      </c>
      <c r="B52" s="1" t="s">
        <v>642</v>
      </c>
      <c r="C52" s="1" t="s">
        <v>160</v>
      </c>
      <c r="D52" s="1" t="s">
        <v>84</v>
      </c>
      <c r="E52" s="1" t="s">
        <v>164</v>
      </c>
      <c r="F52" s="1" t="s">
        <v>224</v>
      </c>
      <c r="G52" s="1" t="s">
        <v>910</v>
      </c>
      <c r="H52" s="1" t="s">
        <v>87</v>
      </c>
      <c r="I52" s="1" t="s">
        <v>421</v>
      </c>
      <c r="J52" s="1" t="s">
        <v>443</v>
      </c>
      <c r="K52" s="1" t="n">
        <v>5</v>
      </c>
    </row>
    <row r="53" customFormat="false" ht="15" hidden="false" customHeight="true" outlineLevel="0" collapsed="false">
      <c r="A53" s="1" t="s">
        <v>643</v>
      </c>
      <c r="B53" s="1" t="s">
        <v>644</v>
      </c>
      <c r="C53" s="1" t="s">
        <v>160</v>
      </c>
      <c r="D53" s="1" t="s">
        <v>84</v>
      </c>
      <c r="E53" s="1" t="s">
        <v>85</v>
      </c>
      <c r="F53" s="1" t="s">
        <v>224</v>
      </c>
      <c r="H53" s="1" t="s">
        <v>87</v>
      </c>
      <c r="I53" s="1" t="s">
        <v>421</v>
      </c>
      <c r="J53" s="1" t="s">
        <v>443</v>
      </c>
      <c r="K53" s="1" t="n">
        <v>5</v>
      </c>
    </row>
    <row r="54" customFormat="false" ht="15" hidden="false" customHeight="true" outlineLevel="0" collapsed="false">
      <c r="A54" s="1" t="s">
        <v>645</v>
      </c>
      <c r="B54" s="1" t="s">
        <v>646</v>
      </c>
      <c r="C54" s="1" t="s">
        <v>98</v>
      </c>
      <c r="D54" s="1" t="s">
        <v>84</v>
      </c>
      <c r="E54" s="1" t="s">
        <v>164</v>
      </c>
      <c r="F54" s="1" t="s">
        <v>224</v>
      </c>
      <c r="G54" s="1" t="s">
        <v>911</v>
      </c>
      <c r="H54" s="1" t="s">
        <v>87</v>
      </c>
      <c r="I54" s="1" t="s">
        <v>421</v>
      </c>
      <c r="J54" s="1" t="s">
        <v>443</v>
      </c>
      <c r="K54" s="1" t="n">
        <v>8</v>
      </c>
    </row>
    <row r="55" customFormat="false" ht="15" hidden="false" customHeight="true" outlineLevel="0" collapsed="false">
      <c r="A55" s="1" t="s">
        <v>647</v>
      </c>
      <c r="B55" s="1" t="s">
        <v>648</v>
      </c>
      <c r="C55" s="1" t="s">
        <v>160</v>
      </c>
      <c r="D55" s="1" t="s">
        <v>84</v>
      </c>
      <c r="E55" s="1" t="s">
        <v>164</v>
      </c>
      <c r="F55" s="1" t="s">
        <v>224</v>
      </c>
      <c r="H55" s="1" t="s">
        <v>87</v>
      </c>
      <c r="I55" s="1" t="s">
        <v>421</v>
      </c>
      <c r="J55" s="1" t="s">
        <v>443</v>
      </c>
      <c r="K55" s="1" t="n">
        <v>5</v>
      </c>
    </row>
    <row r="56" customFormat="false" ht="15" hidden="false" customHeight="true" outlineLevel="0" collapsed="false">
      <c r="A56" s="1" t="s">
        <v>649</v>
      </c>
      <c r="B56" s="1" t="s">
        <v>650</v>
      </c>
      <c r="C56" s="1" t="s">
        <v>98</v>
      </c>
      <c r="D56" s="1" t="s">
        <v>84</v>
      </c>
      <c r="E56" s="1" t="s">
        <v>164</v>
      </c>
      <c r="F56" s="1" t="s">
        <v>224</v>
      </c>
      <c r="G56" s="1" t="s">
        <v>912</v>
      </c>
      <c r="H56" s="1" t="s">
        <v>87</v>
      </c>
      <c r="I56" s="1" t="s">
        <v>421</v>
      </c>
      <c r="J56" s="1" t="s">
        <v>454</v>
      </c>
      <c r="K56" s="1" t="n">
        <v>5</v>
      </c>
    </row>
    <row r="57" customFormat="false" ht="15" hidden="false" customHeight="true" outlineLevel="0" collapsed="false">
      <c r="A57" s="1" t="s">
        <v>651</v>
      </c>
      <c r="B57" s="1" t="s">
        <v>652</v>
      </c>
      <c r="C57" s="1" t="s">
        <v>160</v>
      </c>
      <c r="D57" s="1" t="s">
        <v>168</v>
      </c>
      <c r="E57" s="1" t="s">
        <v>91</v>
      </c>
      <c r="F57" s="1" t="s">
        <v>224</v>
      </c>
      <c r="G57" s="1" t="s">
        <v>913</v>
      </c>
      <c r="H57" s="1" t="s">
        <v>87</v>
      </c>
      <c r="I57" s="1" t="s">
        <v>421</v>
      </c>
      <c r="J57" s="1" t="s">
        <v>508</v>
      </c>
      <c r="K57" s="1" t="n">
        <v>5</v>
      </c>
    </row>
    <row r="58" customFormat="false" ht="15" hidden="false" customHeight="true" outlineLevel="0" collapsed="false">
      <c r="A58" s="1" t="s">
        <v>653</v>
      </c>
      <c r="B58" s="1" t="s">
        <v>654</v>
      </c>
      <c r="C58" s="1" t="s">
        <v>98</v>
      </c>
      <c r="D58" s="1" t="s">
        <v>168</v>
      </c>
      <c r="E58" s="1" t="s">
        <v>91</v>
      </c>
      <c r="F58" s="1" t="s">
        <v>224</v>
      </c>
      <c r="H58" s="1" t="s">
        <v>87</v>
      </c>
      <c r="I58" s="1" t="s">
        <v>421</v>
      </c>
      <c r="K58" s="1" t="n">
        <v>5</v>
      </c>
    </row>
    <row r="59" customFormat="false" ht="15" hidden="false" customHeight="true" outlineLevel="0" collapsed="false">
      <c r="A59" s="1" t="s">
        <v>655</v>
      </c>
      <c r="B59" s="1" t="s">
        <v>656</v>
      </c>
      <c r="C59" s="1" t="s">
        <v>98</v>
      </c>
      <c r="D59" s="1" t="s">
        <v>168</v>
      </c>
      <c r="E59" s="1" t="s">
        <v>91</v>
      </c>
      <c r="F59" s="1" t="s">
        <v>224</v>
      </c>
      <c r="H59" s="1" t="s">
        <v>87</v>
      </c>
      <c r="I59" s="1" t="s">
        <v>421</v>
      </c>
      <c r="K59" s="1" t="n">
        <v>8</v>
      </c>
    </row>
    <row r="60" customFormat="false" ht="15" hidden="false" customHeight="true" outlineLevel="0" collapsed="false">
      <c r="A60" s="1" t="s">
        <v>657</v>
      </c>
      <c r="B60" s="1" t="s">
        <v>658</v>
      </c>
      <c r="C60" s="1" t="s">
        <v>98</v>
      </c>
      <c r="D60" s="1" t="s">
        <v>168</v>
      </c>
      <c r="E60" s="1" t="s">
        <v>91</v>
      </c>
      <c r="F60" s="1" t="s">
        <v>224</v>
      </c>
      <c r="G60" s="1" t="s">
        <v>914</v>
      </c>
      <c r="H60" s="1" t="s">
        <v>87</v>
      </c>
      <c r="I60" s="1" t="s">
        <v>421</v>
      </c>
      <c r="J60" s="1" t="s">
        <v>508</v>
      </c>
      <c r="K60" s="1" t="n">
        <v>3</v>
      </c>
    </row>
    <row r="61" customFormat="false" ht="15" hidden="false" customHeight="true" outlineLevel="0" collapsed="false">
      <c r="A61" s="1" t="s">
        <v>659</v>
      </c>
      <c r="B61" s="1" t="s">
        <v>660</v>
      </c>
      <c r="C61" s="1" t="s">
        <v>98</v>
      </c>
      <c r="D61" s="1" t="s">
        <v>168</v>
      </c>
      <c r="E61" s="1" t="s">
        <v>91</v>
      </c>
      <c r="F61" s="1" t="s">
        <v>224</v>
      </c>
      <c r="G61" s="1" t="s">
        <v>915</v>
      </c>
      <c r="H61" s="1" t="s">
        <v>87</v>
      </c>
      <c r="I61" s="1" t="s">
        <v>421</v>
      </c>
      <c r="J61" s="1" t="s">
        <v>508</v>
      </c>
      <c r="K61" s="1" t="n">
        <v>8</v>
      </c>
    </row>
    <row r="62" customFormat="false" ht="15" hidden="false" customHeight="true" outlineLevel="0" collapsed="false">
      <c r="A62" s="1" t="s">
        <v>661</v>
      </c>
      <c r="B62" s="1" t="s">
        <v>662</v>
      </c>
      <c r="C62" s="1" t="s">
        <v>98</v>
      </c>
      <c r="D62" s="1" t="s">
        <v>168</v>
      </c>
      <c r="E62" s="1" t="s">
        <v>91</v>
      </c>
      <c r="F62" s="1" t="s">
        <v>224</v>
      </c>
      <c r="G62" s="1" t="s">
        <v>916</v>
      </c>
      <c r="H62" s="1" t="s">
        <v>87</v>
      </c>
      <c r="I62" s="1" t="s">
        <v>421</v>
      </c>
      <c r="J62" s="1" t="s">
        <v>508</v>
      </c>
      <c r="K62" s="1" t="n">
        <v>2</v>
      </c>
    </row>
    <row r="63" customFormat="false" ht="15" hidden="false" customHeight="true" outlineLevel="0" collapsed="false">
      <c r="A63" s="1" t="s">
        <v>663</v>
      </c>
      <c r="B63" s="1" t="s">
        <v>664</v>
      </c>
      <c r="C63" s="1" t="s">
        <v>160</v>
      </c>
      <c r="D63" s="1" t="s">
        <v>116</v>
      </c>
      <c r="E63" s="1" t="s">
        <v>91</v>
      </c>
      <c r="F63" s="1" t="s">
        <v>224</v>
      </c>
      <c r="G63" s="1" t="s">
        <v>917</v>
      </c>
      <c r="H63" s="1" t="s">
        <v>87</v>
      </c>
      <c r="I63" s="1" t="s">
        <v>421</v>
      </c>
      <c r="J63" s="1" t="s">
        <v>516</v>
      </c>
      <c r="K63" s="1" t="n">
        <v>5</v>
      </c>
    </row>
    <row r="64" customFormat="false" ht="15" hidden="false" customHeight="true" outlineLevel="0" collapsed="false">
      <c r="A64" s="1" t="s">
        <v>665</v>
      </c>
      <c r="B64" s="1" t="s">
        <v>666</v>
      </c>
      <c r="C64" s="1" t="s">
        <v>98</v>
      </c>
      <c r="D64" s="1" t="s">
        <v>116</v>
      </c>
      <c r="E64" s="1" t="s">
        <v>91</v>
      </c>
      <c r="F64" s="1" t="s">
        <v>224</v>
      </c>
      <c r="G64" s="1" t="s">
        <v>918</v>
      </c>
      <c r="H64" s="1" t="s">
        <v>87</v>
      </c>
      <c r="I64" s="1" t="s">
        <v>421</v>
      </c>
      <c r="J64" s="1" t="s">
        <v>508</v>
      </c>
      <c r="K64" s="1" t="n">
        <v>21</v>
      </c>
    </row>
    <row r="65" customFormat="false" ht="15" hidden="false" customHeight="true" outlineLevel="0" collapsed="false">
      <c r="A65" s="1" t="s">
        <v>667</v>
      </c>
      <c r="B65" s="1" t="s">
        <v>668</v>
      </c>
      <c r="C65" s="1" t="s">
        <v>98</v>
      </c>
      <c r="D65" s="1" t="s">
        <v>120</v>
      </c>
      <c r="E65" s="1" t="s">
        <v>85</v>
      </c>
      <c r="F65" s="1" t="s">
        <v>224</v>
      </c>
      <c r="G65" s="1" t="s">
        <v>919</v>
      </c>
      <c r="H65" s="1" t="s">
        <v>87</v>
      </c>
      <c r="I65" s="1" t="s">
        <v>421</v>
      </c>
      <c r="J65" s="1" t="s">
        <v>508</v>
      </c>
      <c r="K65" s="1" t="n">
        <v>5</v>
      </c>
    </row>
    <row r="66" customFormat="false" ht="15" hidden="false" customHeight="true" outlineLevel="0" collapsed="false">
      <c r="A66" s="1" t="s">
        <v>574</v>
      </c>
      <c r="B66" s="1" t="s">
        <v>575</v>
      </c>
      <c r="C66" s="1" t="s">
        <v>98</v>
      </c>
      <c r="D66" s="1" t="s">
        <v>84</v>
      </c>
      <c r="E66" s="1" t="s">
        <v>164</v>
      </c>
      <c r="F66" s="1" t="s">
        <v>224</v>
      </c>
      <c r="G66" s="1" t="s">
        <v>920</v>
      </c>
      <c r="H66" s="1" t="s">
        <v>87</v>
      </c>
      <c r="I66" s="1" t="s">
        <v>420</v>
      </c>
      <c r="J66" s="1" t="s">
        <v>443</v>
      </c>
      <c r="K66" s="1" t="n">
        <v>5</v>
      </c>
    </row>
    <row r="67" customFormat="false" ht="15" hidden="false" customHeight="true" outlineLevel="0" collapsed="false">
      <c r="A67" s="1" t="s">
        <v>576</v>
      </c>
      <c r="B67" s="1" t="s">
        <v>577</v>
      </c>
      <c r="C67" s="1" t="s">
        <v>160</v>
      </c>
      <c r="D67" s="1" t="s">
        <v>84</v>
      </c>
      <c r="E67" s="1" t="s">
        <v>164</v>
      </c>
      <c r="F67" s="1" t="s">
        <v>224</v>
      </c>
      <c r="G67" s="1" t="s">
        <v>921</v>
      </c>
      <c r="H67" s="1" t="s">
        <v>87</v>
      </c>
      <c r="I67" s="1" t="s">
        <v>420</v>
      </c>
      <c r="J67" s="1" t="s">
        <v>454</v>
      </c>
      <c r="K67" s="1" t="n">
        <v>13</v>
      </c>
    </row>
    <row r="68" customFormat="false" ht="15" hidden="false" customHeight="true" outlineLevel="0" collapsed="false">
      <c r="A68" s="1" t="s">
        <v>578</v>
      </c>
      <c r="B68" s="1" t="s">
        <v>579</v>
      </c>
      <c r="C68" s="1" t="s">
        <v>98</v>
      </c>
      <c r="D68" s="1" t="s">
        <v>168</v>
      </c>
      <c r="E68" s="1" t="s">
        <v>91</v>
      </c>
      <c r="F68" s="1" t="s">
        <v>224</v>
      </c>
      <c r="G68" s="1" t="s">
        <v>922</v>
      </c>
      <c r="H68" s="1" t="s">
        <v>87</v>
      </c>
      <c r="I68" s="1" t="s">
        <v>420</v>
      </c>
      <c r="J68" s="1" t="s">
        <v>494</v>
      </c>
      <c r="K68" s="1" t="n">
        <v>3</v>
      </c>
    </row>
    <row r="69" customFormat="false" ht="15" hidden="false" customHeight="true" outlineLevel="0" collapsed="false">
      <c r="A69" s="1" t="s">
        <v>580</v>
      </c>
      <c r="B69" s="1" t="s">
        <v>581</v>
      </c>
      <c r="C69" s="1" t="s">
        <v>98</v>
      </c>
      <c r="D69" s="1" t="s">
        <v>168</v>
      </c>
      <c r="E69" s="1" t="s">
        <v>91</v>
      </c>
      <c r="F69" s="1" t="s">
        <v>224</v>
      </c>
      <c r="G69" s="1" t="s">
        <v>923</v>
      </c>
      <c r="H69" s="1" t="s">
        <v>87</v>
      </c>
      <c r="I69" s="1" t="s">
        <v>420</v>
      </c>
      <c r="J69" s="1" t="s">
        <v>494</v>
      </c>
      <c r="K69" s="1" t="n">
        <v>2</v>
      </c>
    </row>
    <row r="70" customFormat="false" ht="15" hidden="false" customHeight="true" outlineLevel="0" collapsed="false">
      <c r="A70" s="1" t="s">
        <v>582</v>
      </c>
      <c r="B70" s="1" t="s">
        <v>583</v>
      </c>
      <c r="C70" s="1" t="s">
        <v>160</v>
      </c>
      <c r="D70" s="1" t="s">
        <v>168</v>
      </c>
      <c r="E70" s="1" t="s">
        <v>91</v>
      </c>
      <c r="F70" s="1" t="s">
        <v>224</v>
      </c>
      <c r="G70" s="1" t="s">
        <v>924</v>
      </c>
      <c r="H70" s="1" t="s">
        <v>87</v>
      </c>
      <c r="I70" s="1" t="s">
        <v>420</v>
      </c>
      <c r="J70" s="1" t="s">
        <v>494</v>
      </c>
      <c r="K70" s="1" t="n">
        <v>8</v>
      </c>
    </row>
    <row r="71" customFormat="false" ht="15" hidden="false" customHeight="true" outlineLevel="0" collapsed="false">
      <c r="A71" s="1" t="s">
        <v>584</v>
      </c>
      <c r="B71" s="1" t="s">
        <v>585</v>
      </c>
      <c r="C71" s="1" t="s">
        <v>98</v>
      </c>
      <c r="D71" s="1" t="s">
        <v>168</v>
      </c>
      <c r="E71" s="1" t="s">
        <v>91</v>
      </c>
      <c r="F71" s="1" t="s">
        <v>224</v>
      </c>
      <c r="G71" s="1" t="s">
        <v>925</v>
      </c>
      <c r="H71" s="1" t="s">
        <v>87</v>
      </c>
      <c r="I71" s="1" t="s">
        <v>420</v>
      </c>
      <c r="J71" s="1" t="s">
        <v>494</v>
      </c>
      <c r="K71" s="1" t="n">
        <v>13</v>
      </c>
    </row>
    <row r="72" customFormat="false" ht="15" hidden="false" customHeight="true" outlineLevel="0" collapsed="false">
      <c r="A72" s="1" t="s">
        <v>586</v>
      </c>
      <c r="B72" s="1" t="s">
        <v>587</v>
      </c>
      <c r="C72" s="1" t="s">
        <v>160</v>
      </c>
      <c r="D72" s="1" t="s">
        <v>168</v>
      </c>
      <c r="E72" s="1" t="s">
        <v>91</v>
      </c>
      <c r="F72" s="1" t="s">
        <v>224</v>
      </c>
      <c r="G72" s="1" t="s">
        <v>926</v>
      </c>
      <c r="H72" s="1" t="s">
        <v>87</v>
      </c>
      <c r="I72" s="1" t="s">
        <v>420</v>
      </c>
      <c r="J72" s="1" t="s">
        <v>494</v>
      </c>
      <c r="K72" s="1" t="n">
        <v>5</v>
      </c>
    </row>
    <row r="73" customFormat="false" ht="15" hidden="false" customHeight="true" outlineLevel="0" collapsed="false">
      <c r="A73" s="1" t="s">
        <v>588</v>
      </c>
      <c r="B73" s="1" t="s">
        <v>589</v>
      </c>
      <c r="C73" s="1" t="s">
        <v>98</v>
      </c>
      <c r="D73" s="1" t="s">
        <v>168</v>
      </c>
      <c r="E73" s="1" t="s">
        <v>91</v>
      </c>
      <c r="F73" s="1" t="s">
        <v>224</v>
      </c>
      <c r="G73" s="1" t="s">
        <v>927</v>
      </c>
      <c r="H73" s="1" t="s">
        <v>87</v>
      </c>
      <c r="I73" s="1" t="s">
        <v>420</v>
      </c>
      <c r="J73" s="1" t="s">
        <v>494</v>
      </c>
      <c r="K73" s="1" t="n">
        <v>13</v>
      </c>
    </row>
    <row r="74" customFormat="false" ht="15" hidden="false" customHeight="true" outlineLevel="0" collapsed="false">
      <c r="A74" s="1" t="s">
        <v>590</v>
      </c>
      <c r="B74" s="1" t="s">
        <v>591</v>
      </c>
      <c r="C74" s="1" t="s">
        <v>98</v>
      </c>
      <c r="D74" s="1" t="s">
        <v>84</v>
      </c>
      <c r="E74" s="1" t="s">
        <v>85</v>
      </c>
      <c r="F74" s="1" t="s">
        <v>224</v>
      </c>
      <c r="G74" s="1" t="s">
        <v>928</v>
      </c>
      <c r="H74" s="1" t="s">
        <v>87</v>
      </c>
      <c r="I74" s="1" t="s">
        <v>420</v>
      </c>
      <c r="J74" s="1" t="s">
        <v>454</v>
      </c>
      <c r="K74" s="1" t="n">
        <v>3</v>
      </c>
    </row>
    <row r="75" customFormat="false" ht="15" hidden="false" customHeight="true" outlineLevel="0" collapsed="false">
      <c r="A75" s="1" t="s">
        <v>592</v>
      </c>
      <c r="B75" s="1" t="s">
        <v>593</v>
      </c>
      <c r="C75" s="1" t="s">
        <v>90</v>
      </c>
      <c r="D75" s="1" t="s">
        <v>135</v>
      </c>
      <c r="E75" s="1" t="s">
        <v>91</v>
      </c>
      <c r="F75" s="1" t="s">
        <v>224</v>
      </c>
      <c r="G75" s="1" t="s">
        <v>929</v>
      </c>
      <c r="H75" s="1" t="s">
        <v>87</v>
      </c>
      <c r="I75" s="1" t="s">
        <v>420</v>
      </c>
      <c r="J75" s="1" t="s">
        <v>498</v>
      </c>
      <c r="K75" s="1" t="n">
        <v>2</v>
      </c>
    </row>
    <row r="76" customFormat="false" ht="15" hidden="false" customHeight="true" outlineLevel="0" collapsed="false">
      <c r="A76" s="1" t="s">
        <v>594</v>
      </c>
      <c r="B76" s="1" t="s">
        <v>595</v>
      </c>
      <c r="C76" s="1" t="s">
        <v>105</v>
      </c>
      <c r="D76" s="1" t="s">
        <v>28</v>
      </c>
      <c r="E76" s="1" t="s">
        <v>106</v>
      </c>
      <c r="F76" s="1" t="s">
        <v>224</v>
      </c>
      <c r="G76" s="1" t="s">
        <v>930</v>
      </c>
      <c r="H76" s="1" t="s">
        <v>93</v>
      </c>
      <c r="I76" s="1" t="s">
        <v>420</v>
      </c>
      <c r="K76" s="1" t="n">
        <v>18</v>
      </c>
    </row>
    <row r="77" customFormat="false" ht="15" hidden="false" customHeight="true" outlineLevel="0" collapsed="false">
      <c r="A77" s="1" t="s">
        <v>596</v>
      </c>
      <c r="B77" s="1" t="s">
        <v>597</v>
      </c>
      <c r="C77" s="1" t="s">
        <v>98</v>
      </c>
      <c r="D77" s="1" t="s">
        <v>84</v>
      </c>
      <c r="E77" s="1" t="s">
        <v>85</v>
      </c>
      <c r="F77" s="1" t="s">
        <v>224</v>
      </c>
      <c r="G77" s="1" t="s">
        <v>931</v>
      </c>
      <c r="H77" s="1" t="s">
        <v>87</v>
      </c>
      <c r="I77" s="1" t="s">
        <v>420</v>
      </c>
      <c r="J77" s="1" t="s">
        <v>454</v>
      </c>
      <c r="K77" s="1" t="n">
        <v>21</v>
      </c>
    </row>
    <row r="78" customFormat="false" ht="15" hidden="false" customHeight="true" outlineLevel="0" collapsed="false">
      <c r="A78" s="1" t="s">
        <v>598</v>
      </c>
      <c r="B78" s="1" t="s">
        <v>599</v>
      </c>
      <c r="C78" s="1" t="s">
        <v>105</v>
      </c>
      <c r="D78" s="1" t="s">
        <v>168</v>
      </c>
      <c r="E78" s="1" t="s">
        <v>91</v>
      </c>
      <c r="F78" s="1" t="s">
        <v>224</v>
      </c>
      <c r="G78" s="1" t="s">
        <v>932</v>
      </c>
      <c r="H78" s="1" t="s">
        <v>87</v>
      </c>
      <c r="I78" s="1" t="s">
        <v>420</v>
      </c>
      <c r="K78" s="1" t="n">
        <v>2</v>
      </c>
    </row>
    <row r="79" customFormat="false" ht="15" hidden="false" customHeight="true" outlineLevel="0" collapsed="false">
      <c r="A79" s="1" t="s">
        <v>600</v>
      </c>
      <c r="B79" s="1" t="s">
        <v>601</v>
      </c>
      <c r="C79" s="1" t="s">
        <v>98</v>
      </c>
      <c r="D79" s="1" t="s">
        <v>84</v>
      </c>
      <c r="E79" s="1" t="s">
        <v>91</v>
      </c>
      <c r="F79" s="1" t="s">
        <v>224</v>
      </c>
      <c r="G79" s="1" t="s">
        <v>933</v>
      </c>
      <c r="H79" s="1" t="s">
        <v>87</v>
      </c>
      <c r="I79" s="1" t="s">
        <v>420</v>
      </c>
      <c r="J79" s="1" t="s">
        <v>454</v>
      </c>
      <c r="K79" s="1" t="n">
        <v>8</v>
      </c>
    </row>
    <row r="80" customFormat="false" ht="15" hidden="false" customHeight="true" outlineLevel="0" collapsed="false">
      <c r="A80" s="1" t="s">
        <v>602</v>
      </c>
      <c r="B80" s="1" t="s">
        <v>603</v>
      </c>
      <c r="C80" s="1" t="s">
        <v>98</v>
      </c>
      <c r="D80" s="1" t="s">
        <v>168</v>
      </c>
      <c r="E80" s="1" t="s">
        <v>91</v>
      </c>
      <c r="F80" s="1" t="s">
        <v>224</v>
      </c>
      <c r="G80" s="1" t="s">
        <v>934</v>
      </c>
      <c r="H80" s="1" t="s">
        <v>87</v>
      </c>
      <c r="I80" s="1" t="s">
        <v>420</v>
      </c>
      <c r="K80" s="1" t="n">
        <v>3</v>
      </c>
    </row>
    <row r="81" customFormat="false" ht="15" hidden="false" customHeight="true" outlineLevel="0" collapsed="false">
      <c r="A81" s="1" t="s">
        <v>604</v>
      </c>
      <c r="B81" s="1" t="s">
        <v>605</v>
      </c>
      <c r="C81" s="1" t="s">
        <v>98</v>
      </c>
      <c r="D81" s="1" t="s">
        <v>168</v>
      </c>
      <c r="E81" s="1" t="s">
        <v>91</v>
      </c>
      <c r="F81" s="1" t="s">
        <v>224</v>
      </c>
      <c r="G81" s="1" t="s">
        <v>935</v>
      </c>
      <c r="H81" s="1" t="s">
        <v>87</v>
      </c>
      <c r="I81" s="1" t="s">
        <v>420</v>
      </c>
      <c r="K81" s="1" t="n">
        <v>5</v>
      </c>
    </row>
    <row r="82" customFormat="false" ht="15" hidden="false" customHeight="true" outlineLevel="0" collapsed="false">
      <c r="A82" s="1" t="s">
        <v>606</v>
      </c>
      <c r="B82" s="1" t="s">
        <v>607</v>
      </c>
      <c r="C82" s="1" t="s">
        <v>98</v>
      </c>
      <c r="D82" s="1" t="s">
        <v>168</v>
      </c>
      <c r="E82" s="1" t="s">
        <v>91</v>
      </c>
      <c r="F82" s="1" t="s">
        <v>224</v>
      </c>
      <c r="G82" s="1" t="s">
        <v>927</v>
      </c>
      <c r="H82" s="1" t="s">
        <v>87</v>
      </c>
      <c r="I82" s="1" t="s">
        <v>420</v>
      </c>
      <c r="K82" s="1" t="n">
        <v>5</v>
      </c>
    </row>
    <row r="83" customFormat="false" ht="15" hidden="false" customHeight="true" outlineLevel="0" collapsed="false">
      <c r="A83" s="1" t="s">
        <v>608</v>
      </c>
      <c r="B83" s="1" t="s">
        <v>609</v>
      </c>
      <c r="C83" s="1" t="s">
        <v>98</v>
      </c>
      <c r="D83" s="1" t="s">
        <v>168</v>
      </c>
      <c r="E83" s="1" t="s">
        <v>91</v>
      </c>
      <c r="F83" s="1" t="s">
        <v>224</v>
      </c>
      <c r="G83" s="1" t="s">
        <v>922</v>
      </c>
      <c r="H83" s="1" t="s">
        <v>87</v>
      </c>
      <c r="I83" s="1" t="s">
        <v>420</v>
      </c>
      <c r="K83" s="1" t="n">
        <v>18</v>
      </c>
    </row>
    <row r="84" customFormat="false" ht="15" hidden="false" customHeight="true" outlineLevel="0" collapsed="false">
      <c r="A84" s="1" t="s">
        <v>610</v>
      </c>
      <c r="B84" s="1" t="s">
        <v>611</v>
      </c>
      <c r="C84" s="1" t="s">
        <v>160</v>
      </c>
      <c r="D84" s="1" t="s">
        <v>168</v>
      </c>
      <c r="E84" s="1" t="s">
        <v>91</v>
      </c>
      <c r="F84" s="1" t="s">
        <v>224</v>
      </c>
      <c r="G84" s="1" t="s">
        <v>926</v>
      </c>
      <c r="H84" s="1" t="s">
        <v>87</v>
      </c>
      <c r="I84" s="1" t="s">
        <v>420</v>
      </c>
      <c r="K84" s="1" t="n">
        <v>13</v>
      </c>
    </row>
    <row r="85" customFormat="false" ht="15" hidden="false" customHeight="true" outlineLevel="0" collapsed="false">
      <c r="A85" s="1" t="s">
        <v>612</v>
      </c>
      <c r="B85" s="1" t="s">
        <v>462</v>
      </c>
      <c r="C85" s="1" t="s">
        <v>98</v>
      </c>
      <c r="D85" s="1" t="s">
        <v>168</v>
      </c>
      <c r="E85" s="1" t="s">
        <v>91</v>
      </c>
      <c r="F85" s="1" t="s">
        <v>224</v>
      </c>
      <c r="G85" s="1" t="s">
        <v>936</v>
      </c>
      <c r="H85" s="1" t="s">
        <v>87</v>
      </c>
      <c r="I85" s="1" t="s">
        <v>420</v>
      </c>
      <c r="K85" s="1" t="n">
        <v>13</v>
      </c>
    </row>
    <row r="86" customFormat="false" ht="15" hidden="false" customHeight="true" outlineLevel="0" collapsed="false">
      <c r="A86" s="1" t="s">
        <v>613</v>
      </c>
      <c r="B86" s="1" t="s">
        <v>614</v>
      </c>
      <c r="C86" s="1" t="s">
        <v>98</v>
      </c>
      <c r="D86" s="1" t="s">
        <v>168</v>
      </c>
      <c r="E86" s="1" t="s">
        <v>91</v>
      </c>
      <c r="F86" s="1" t="s">
        <v>224</v>
      </c>
      <c r="G86" s="1" t="s">
        <v>937</v>
      </c>
      <c r="H86" s="1" t="s">
        <v>87</v>
      </c>
      <c r="I86" s="1" t="s">
        <v>420</v>
      </c>
      <c r="J86" s="1" t="s">
        <v>494</v>
      </c>
      <c r="K86" s="1" t="n">
        <v>21</v>
      </c>
    </row>
    <row r="87" customFormat="false" ht="15" hidden="false" customHeight="true" outlineLevel="0" collapsed="false">
      <c r="A87" s="1" t="s">
        <v>615</v>
      </c>
      <c r="B87" s="1" t="s">
        <v>616</v>
      </c>
      <c r="C87" s="1" t="s">
        <v>98</v>
      </c>
      <c r="D87" s="1" t="s">
        <v>120</v>
      </c>
      <c r="E87" s="1" t="s">
        <v>85</v>
      </c>
      <c r="F87" s="1" t="s">
        <v>224</v>
      </c>
      <c r="G87" s="1" t="s">
        <v>938</v>
      </c>
      <c r="H87" s="1" t="s">
        <v>87</v>
      </c>
      <c r="I87" s="1" t="s">
        <v>420</v>
      </c>
      <c r="K87" s="1" t="n">
        <v>8</v>
      </c>
    </row>
    <row r="88" customFormat="false" ht="15" hidden="false" customHeight="true" outlineLevel="0" collapsed="false">
      <c r="A88" s="1" t="s">
        <v>708</v>
      </c>
      <c r="B88" s="1" t="s">
        <v>709</v>
      </c>
      <c r="D88" s="1" t="s">
        <v>120</v>
      </c>
      <c r="F88" s="1" t="s">
        <v>224</v>
      </c>
      <c r="G88" s="1" t="s">
        <v>939</v>
      </c>
      <c r="H88" s="1" t="s">
        <v>87</v>
      </c>
      <c r="I88" s="1" t="s">
        <v>422</v>
      </c>
      <c r="J88" s="1" t="s">
        <v>538</v>
      </c>
      <c r="K88" s="1" t="n">
        <v>5</v>
      </c>
    </row>
    <row r="89" customFormat="false" ht="15" hidden="false" customHeight="true" outlineLevel="0" collapsed="false">
      <c r="A89" s="1" t="s">
        <v>724</v>
      </c>
      <c r="B89" s="1" t="s">
        <v>725</v>
      </c>
      <c r="C89" s="1" t="s">
        <v>98</v>
      </c>
      <c r="D89" s="1" t="s">
        <v>84</v>
      </c>
      <c r="E89" s="1" t="s">
        <v>85</v>
      </c>
      <c r="F89" s="1" t="s">
        <v>224</v>
      </c>
      <c r="G89" s="1" t="s">
        <v>871</v>
      </c>
      <c r="H89" s="1" t="s">
        <v>87</v>
      </c>
      <c r="I89" s="1" t="s">
        <v>423</v>
      </c>
      <c r="J89" s="1" t="s">
        <v>443</v>
      </c>
      <c r="K89" s="1" t="n">
        <v>5</v>
      </c>
    </row>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sheetData>
  <conditionalFormatting sqref="A2:R1000">
    <cfRule type="expression" priority="2" aboveAverage="0" equalAverage="0" bottom="0" percent="0" rank="0" text="" dxfId="10">
      <formula>$D2="US"</formula>
    </cfRule>
    <cfRule type="expression" priority="3" aboveAverage="0" equalAverage="0" bottom="0" percent="0" rank="0" text="" dxfId="11">
      <formula>$D2="MyMSC"</formula>
    </cfRule>
    <cfRule type="expression" priority="4" aboveAverage="0" equalAverage="0" bottom="0" percent="0" rank="0" text="" dxfId="12">
      <formula>$D2="Rollout"</formula>
    </cfRule>
    <cfRule type="expression" priority="5" aboveAverage="0" equalAverage="0" bottom="0" percent="0" rank="0" text="" dxfId="12">
      <formula>$D2="MVP Rollout"</formula>
    </cfRule>
    <cfRule type="expression" priority="6" aboveAverage="0" equalAverage="0" bottom="0" percent="0" rank="0" text="" dxfId="13">
      <formula>$D2="Backlog"</formula>
    </cfRule>
    <cfRule type="expression" priority="7" aboveAverage="0" equalAverage="0" bottom="0" percent="0" rank="0" text="" dxfId="13">
      <formula>$D2="Growth"</formula>
    </cfRule>
    <cfRule type="expression" priority="8" aboveAverage="0" equalAverage="0" bottom="0" percent="0" rank="0" text="" dxfId="14">
      <formula>$D2="Tech Enhancements"</formula>
    </cfRule>
    <cfRule type="expression" priority="9" aboveAverage="0" equalAverage="0" bottom="0" percent="0" rank="0" text="" dxfId="15">
      <formula>LEFT($D2,2)="PI"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Q1" activeCellId="0" sqref="Q1"/>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4" min="3" style="1" width="12"/>
    <col collapsed="false" customWidth="true" hidden="false" outlineLevel="0" max="5" min="5" style="1" width="14"/>
    <col collapsed="false" customWidth="true" hidden="false" outlineLevel="0" max="6" min="6" style="1" width="10"/>
    <col collapsed="false" customWidth="true" hidden="false" outlineLevel="0" max="7" min="7" style="1" width="14"/>
    <col collapsed="false" customWidth="true" hidden="false" outlineLevel="0" max="8" min="8" style="1" width="30"/>
    <col collapsed="false" customWidth="true" hidden="false" outlineLevel="0" max="9" min="9" style="1" width="12"/>
    <col collapsed="false" customWidth="true" hidden="false" outlineLevel="0" max="10" min="10" style="1" width="14"/>
    <col collapsed="false" customWidth="true" hidden="false" outlineLevel="0" max="11" min="11" style="1" width="12"/>
    <col collapsed="false" customWidth="true" hidden="false" outlineLevel="0" max="12" min="12" style="1" width="8"/>
  </cols>
  <sheetData>
    <row r="1" customFormat="false" ht="30" hidden="false" customHeight="true" outlineLevel="0" collapsed="false">
      <c r="A1" s="21" t="s">
        <v>66</v>
      </c>
      <c r="B1" s="21" t="s">
        <v>67</v>
      </c>
      <c r="C1" s="21" t="s">
        <v>68</v>
      </c>
      <c r="D1" s="21" t="s">
        <v>69</v>
      </c>
      <c r="E1" s="21" t="s">
        <v>70</v>
      </c>
      <c r="F1" s="21" t="s">
        <v>71</v>
      </c>
      <c r="G1" s="21" t="s">
        <v>78</v>
      </c>
      <c r="H1" s="21" t="s">
        <v>72</v>
      </c>
      <c r="I1" s="21" t="s">
        <v>74</v>
      </c>
      <c r="J1" s="21" t="s">
        <v>48</v>
      </c>
      <c r="K1" s="21" t="s">
        <v>75</v>
      </c>
      <c r="L1" s="82"/>
      <c r="M1" s="82"/>
      <c r="N1" s="82"/>
      <c r="O1" s="82"/>
      <c r="P1" s="82"/>
      <c r="Q1" s="82"/>
    </row>
    <row r="2" customFormat="false" ht="15" hidden="false" customHeight="true" outlineLevel="0" collapsed="false">
      <c r="A2" s="26" t="s">
        <v>756</v>
      </c>
      <c r="B2" s="26" t="s">
        <v>757</v>
      </c>
      <c r="C2" s="26" t="s">
        <v>98</v>
      </c>
      <c r="D2" s="26" t="s">
        <v>168</v>
      </c>
      <c r="E2" s="26" t="s">
        <v>91</v>
      </c>
      <c r="F2" s="26" t="s">
        <v>224</v>
      </c>
      <c r="G2" s="26" t="s">
        <v>940</v>
      </c>
      <c r="H2" s="26" t="s">
        <v>87</v>
      </c>
      <c r="I2" s="26" t="s">
        <v>424</v>
      </c>
      <c r="J2" s="26"/>
      <c r="K2" s="26" t="n">
        <v>8</v>
      </c>
      <c r="L2" s="26"/>
      <c r="M2" s="26"/>
      <c r="N2" s="26"/>
      <c r="O2" s="26"/>
      <c r="P2" s="26"/>
      <c r="Q2" s="26"/>
    </row>
    <row r="3" customFormat="false" ht="15" hidden="false" customHeight="true" outlineLevel="0" collapsed="false">
      <c r="A3" s="1" t="s">
        <v>750</v>
      </c>
      <c r="B3" s="1" t="s">
        <v>751</v>
      </c>
      <c r="C3" s="1" t="s">
        <v>98</v>
      </c>
      <c r="D3" s="1" t="s">
        <v>116</v>
      </c>
      <c r="E3" s="1" t="s">
        <v>91</v>
      </c>
      <c r="F3" s="1" t="s">
        <v>224</v>
      </c>
      <c r="G3" s="1" t="s">
        <v>941</v>
      </c>
      <c r="H3" s="1" t="s">
        <v>93</v>
      </c>
      <c r="I3" s="1" t="s">
        <v>424</v>
      </c>
      <c r="J3" s="1" t="s">
        <v>443</v>
      </c>
      <c r="K3" s="1" t="n">
        <v>5</v>
      </c>
    </row>
    <row r="4" customFormat="false" ht="15" hidden="false" customHeight="true" outlineLevel="0" collapsed="false">
      <c r="A4" s="1" t="s">
        <v>752</v>
      </c>
      <c r="B4" s="1" t="s">
        <v>753</v>
      </c>
      <c r="C4" s="1" t="s">
        <v>98</v>
      </c>
      <c r="D4" s="1" t="s">
        <v>120</v>
      </c>
      <c r="E4" s="1" t="s">
        <v>316</v>
      </c>
      <c r="F4" s="1" t="s">
        <v>224</v>
      </c>
      <c r="G4" s="1" t="s">
        <v>942</v>
      </c>
      <c r="H4" s="1" t="s">
        <v>93</v>
      </c>
      <c r="I4" s="1" t="s">
        <v>424</v>
      </c>
      <c r="K4" s="1" t="n">
        <v>3</v>
      </c>
    </row>
    <row r="5" customFormat="false" ht="15" hidden="false" customHeight="true" outlineLevel="0" collapsed="false">
      <c r="A5" s="1" t="s">
        <v>758</v>
      </c>
      <c r="B5" s="1" t="s">
        <v>759</v>
      </c>
      <c r="C5" s="1" t="s">
        <v>98</v>
      </c>
      <c r="D5" s="1" t="s">
        <v>168</v>
      </c>
      <c r="E5" s="1" t="s">
        <v>91</v>
      </c>
      <c r="F5" s="1" t="s">
        <v>224</v>
      </c>
      <c r="G5" s="1" t="s">
        <v>943</v>
      </c>
      <c r="H5" s="1" t="s">
        <v>87</v>
      </c>
      <c r="I5" s="1" t="s">
        <v>424</v>
      </c>
      <c r="J5" s="1" t="s">
        <v>443</v>
      </c>
      <c r="K5" s="1" t="n">
        <v>5</v>
      </c>
    </row>
    <row r="6" customFormat="false" ht="15" hidden="false" customHeight="true" outlineLevel="0" collapsed="false">
      <c r="A6" s="1" t="s">
        <v>778</v>
      </c>
      <c r="B6" s="1" t="s">
        <v>779</v>
      </c>
      <c r="C6" s="1" t="s">
        <v>98</v>
      </c>
      <c r="D6" s="1" t="s">
        <v>120</v>
      </c>
      <c r="E6" s="1" t="s">
        <v>316</v>
      </c>
      <c r="F6" s="1" t="s">
        <v>224</v>
      </c>
      <c r="G6" s="1" t="s">
        <v>944</v>
      </c>
      <c r="H6" s="1" t="s">
        <v>93</v>
      </c>
      <c r="I6" s="1" t="s">
        <v>424</v>
      </c>
      <c r="K6" s="1" t="n">
        <v>3</v>
      </c>
    </row>
    <row r="7" customFormat="false" ht="15" hidden="false" customHeight="true" outlineLevel="0" collapsed="false">
      <c r="A7" s="1" t="s">
        <v>780</v>
      </c>
      <c r="B7" s="1" t="s">
        <v>781</v>
      </c>
      <c r="C7" s="1" t="s">
        <v>98</v>
      </c>
      <c r="D7" s="1" t="s">
        <v>120</v>
      </c>
      <c r="E7" s="1" t="s">
        <v>316</v>
      </c>
      <c r="F7" s="1" t="s">
        <v>224</v>
      </c>
      <c r="G7" s="1" t="s">
        <v>945</v>
      </c>
      <c r="H7" s="1" t="s">
        <v>93</v>
      </c>
      <c r="I7" s="1" t="s">
        <v>424</v>
      </c>
      <c r="K7" s="1" t="n">
        <v>3</v>
      </c>
    </row>
    <row r="8" customFormat="false" ht="15" hidden="false" customHeight="true" outlineLevel="0" collapsed="false">
      <c r="A8" s="1" t="s">
        <v>782</v>
      </c>
      <c r="B8" s="1" t="s">
        <v>783</v>
      </c>
      <c r="C8" s="1" t="s">
        <v>98</v>
      </c>
      <c r="D8" s="1" t="s">
        <v>120</v>
      </c>
      <c r="E8" s="1" t="s">
        <v>316</v>
      </c>
      <c r="F8" s="1" t="s">
        <v>224</v>
      </c>
      <c r="G8" s="1" t="s">
        <v>946</v>
      </c>
      <c r="H8" s="1" t="s">
        <v>93</v>
      </c>
      <c r="I8" s="1" t="s">
        <v>424</v>
      </c>
      <c r="K8" s="1" t="n">
        <v>3</v>
      </c>
    </row>
    <row r="9" customFormat="false" ht="15" hidden="false" customHeight="true" outlineLevel="0" collapsed="false">
      <c r="A9" s="1" t="s">
        <v>784</v>
      </c>
      <c r="B9" s="1" t="s">
        <v>785</v>
      </c>
      <c r="C9" s="1" t="s">
        <v>90</v>
      </c>
      <c r="D9" s="1" t="s">
        <v>168</v>
      </c>
      <c r="E9" s="1" t="s">
        <v>91</v>
      </c>
      <c r="F9" s="1" t="s">
        <v>224</v>
      </c>
      <c r="G9" s="1" t="s">
        <v>102</v>
      </c>
      <c r="H9" s="1" t="s">
        <v>87</v>
      </c>
      <c r="I9" s="1" t="s">
        <v>424</v>
      </c>
      <c r="K9" s="1" t="n">
        <v>8</v>
      </c>
    </row>
    <row r="10" customFormat="false" ht="15" hidden="false" customHeight="true" outlineLevel="0" collapsed="false">
      <c r="A10" s="1" t="s">
        <v>736</v>
      </c>
      <c r="B10" s="1" t="s">
        <v>737</v>
      </c>
      <c r="C10" s="1" t="s">
        <v>105</v>
      </c>
      <c r="D10" s="1" t="s">
        <v>84</v>
      </c>
      <c r="E10" s="1" t="s">
        <v>106</v>
      </c>
      <c r="F10" s="1" t="s">
        <v>224</v>
      </c>
      <c r="G10" s="1" t="s">
        <v>947</v>
      </c>
      <c r="H10" s="1" t="s">
        <v>87</v>
      </c>
      <c r="I10" s="1" t="s">
        <v>424</v>
      </c>
      <c r="J10" s="1" t="s">
        <v>443</v>
      </c>
      <c r="K10" s="1" t="n">
        <v>40</v>
      </c>
    </row>
    <row r="11" customFormat="false" ht="15" hidden="false" customHeight="true" outlineLevel="0" collapsed="false">
      <c r="A11" s="1" t="s">
        <v>738</v>
      </c>
      <c r="B11" s="1" t="s">
        <v>739</v>
      </c>
      <c r="C11" s="1" t="s">
        <v>90</v>
      </c>
      <c r="D11" s="1" t="s">
        <v>84</v>
      </c>
      <c r="E11" s="1" t="s">
        <v>91</v>
      </c>
      <c r="F11" s="1" t="s">
        <v>224</v>
      </c>
      <c r="G11" s="1" t="s">
        <v>948</v>
      </c>
      <c r="H11" s="1" t="s">
        <v>87</v>
      </c>
      <c r="I11" s="1" t="s">
        <v>424</v>
      </c>
      <c r="J11" s="1" t="s">
        <v>443</v>
      </c>
      <c r="K11" s="1" t="n">
        <v>8</v>
      </c>
    </row>
    <row r="12" customFormat="false" ht="15" hidden="false" customHeight="true" outlineLevel="0" collapsed="false">
      <c r="A12" s="1" t="s">
        <v>740</v>
      </c>
      <c r="B12" s="1" t="s">
        <v>741</v>
      </c>
      <c r="C12" s="1" t="s">
        <v>90</v>
      </c>
      <c r="D12" s="1" t="s">
        <v>84</v>
      </c>
      <c r="E12" s="1" t="s">
        <v>106</v>
      </c>
      <c r="F12" s="1" t="s">
        <v>224</v>
      </c>
      <c r="G12" s="1" t="s">
        <v>949</v>
      </c>
      <c r="H12" s="1" t="s">
        <v>87</v>
      </c>
      <c r="I12" s="1" t="s">
        <v>424</v>
      </c>
      <c r="J12" s="1" t="s">
        <v>443</v>
      </c>
      <c r="K12" s="1" t="n">
        <v>8</v>
      </c>
    </row>
    <row r="13" customFormat="false" ht="15" hidden="false" customHeight="true" outlineLevel="0" collapsed="false">
      <c r="A13" s="1" t="s">
        <v>742</v>
      </c>
      <c r="B13" s="1" t="s">
        <v>743</v>
      </c>
      <c r="C13" s="1" t="s">
        <v>90</v>
      </c>
      <c r="D13" s="1" t="s">
        <v>84</v>
      </c>
      <c r="E13" s="1" t="s">
        <v>106</v>
      </c>
      <c r="F13" s="1" t="s">
        <v>224</v>
      </c>
      <c r="G13" s="1" t="s">
        <v>950</v>
      </c>
      <c r="H13" s="1" t="s">
        <v>87</v>
      </c>
      <c r="I13" s="1" t="s">
        <v>424</v>
      </c>
      <c r="J13" s="1" t="s">
        <v>443</v>
      </c>
      <c r="K13" s="1" t="n">
        <v>13</v>
      </c>
    </row>
    <row r="14" customFormat="false" ht="15" hidden="false" customHeight="true" outlineLevel="0" collapsed="false">
      <c r="A14" s="1" t="s">
        <v>744</v>
      </c>
      <c r="B14" s="1" t="s">
        <v>745</v>
      </c>
      <c r="C14" s="1" t="s">
        <v>105</v>
      </c>
      <c r="D14" s="1" t="s">
        <v>84</v>
      </c>
      <c r="E14" s="1" t="s">
        <v>106</v>
      </c>
      <c r="F14" s="1" t="s">
        <v>224</v>
      </c>
      <c r="G14" s="1" t="s">
        <v>951</v>
      </c>
      <c r="H14" s="1" t="s">
        <v>93</v>
      </c>
      <c r="I14" s="1" t="s">
        <v>424</v>
      </c>
      <c r="J14" s="1" t="s">
        <v>443</v>
      </c>
      <c r="K14" s="1" t="n">
        <v>5</v>
      </c>
    </row>
    <row r="15" customFormat="false" ht="15" hidden="false" customHeight="true" outlineLevel="0" collapsed="false">
      <c r="A15" s="1" t="s">
        <v>746</v>
      </c>
      <c r="B15" s="1" t="s">
        <v>747</v>
      </c>
      <c r="C15" s="1" t="s">
        <v>90</v>
      </c>
      <c r="D15" s="1" t="s">
        <v>168</v>
      </c>
      <c r="E15" s="1" t="s">
        <v>91</v>
      </c>
      <c r="F15" s="1" t="s">
        <v>224</v>
      </c>
      <c r="G15" s="1" t="s">
        <v>208</v>
      </c>
      <c r="H15" s="1" t="s">
        <v>87</v>
      </c>
      <c r="I15" s="1" t="s">
        <v>424</v>
      </c>
      <c r="J15" s="1" t="s">
        <v>443</v>
      </c>
      <c r="K15" s="1" t="n">
        <v>8</v>
      </c>
    </row>
    <row r="16" customFormat="false" ht="15" hidden="false" customHeight="true" outlineLevel="0" collapsed="false">
      <c r="A16" s="1" t="s">
        <v>748</v>
      </c>
      <c r="B16" s="1" t="s">
        <v>749</v>
      </c>
      <c r="C16" s="1" t="s">
        <v>105</v>
      </c>
      <c r="D16" s="1" t="s">
        <v>131</v>
      </c>
      <c r="E16" s="1" t="s">
        <v>106</v>
      </c>
      <c r="F16" s="1" t="s">
        <v>224</v>
      </c>
      <c r="G16" s="1" t="s">
        <v>952</v>
      </c>
      <c r="H16" s="1" t="s">
        <v>93</v>
      </c>
      <c r="I16" s="1" t="s">
        <v>424</v>
      </c>
      <c r="J16" s="1" t="s">
        <v>443</v>
      </c>
      <c r="K16" s="1" t="n">
        <v>21</v>
      </c>
    </row>
    <row r="17" customFormat="false" ht="15" hidden="false" customHeight="true" outlineLevel="0" collapsed="false">
      <c r="A17" s="1" t="s">
        <v>953</v>
      </c>
      <c r="B17" s="1" t="s">
        <v>954</v>
      </c>
      <c r="C17" s="1" t="s">
        <v>90</v>
      </c>
      <c r="D17" s="1" t="s">
        <v>28</v>
      </c>
      <c r="E17" s="1" t="s">
        <v>85</v>
      </c>
      <c r="F17" s="1" t="s">
        <v>224</v>
      </c>
      <c r="H17" s="1" t="s">
        <v>87</v>
      </c>
      <c r="I17" s="1" t="s">
        <v>415</v>
      </c>
    </row>
    <row r="18" customFormat="false" ht="15" hidden="false" customHeight="true" outlineLevel="0" collapsed="false">
      <c r="A18" s="1" t="s">
        <v>348</v>
      </c>
      <c r="B18" s="1" t="s">
        <v>955</v>
      </c>
      <c r="C18" s="1" t="s">
        <v>90</v>
      </c>
      <c r="D18" s="1" t="s">
        <v>84</v>
      </c>
      <c r="E18" s="1" t="s">
        <v>85</v>
      </c>
      <c r="F18" s="1" t="s">
        <v>224</v>
      </c>
      <c r="H18" s="1" t="s">
        <v>87</v>
      </c>
      <c r="I18" s="1" t="s">
        <v>425</v>
      </c>
    </row>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sheetData>
  <conditionalFormatting sqref="A2:R1000">
    <cfRule type="expression" priority="2" aboveAverage="0" equalAverage="0" bottom="0" percent="0" rank="0" text="" dxfId="10">
      <formula>$D2="US"</formula>
    </cfRule>
    <cfRule type="expression" priority="3" aboveAverage="0" equalAverage="0" bottom="0" percent="0" rank="0" text="" dxfId="11">
      <formula>$D2="MyMSC"</formula>
    </cfRule>
    <cfRule type="expression" priority="4" aboveAverage="0" equalAverage="0" bottom="0" percent="0" rank="0" text="" dxfId="12">
      <formula>$D2="Rollout"</formula>
    </cfRule>
    <cfRule type="expression" priority="5" aboveAverage="0" equalAverage="0" bottom="0" percent="0" rank="0" text="" dxfId="12">
      <formula>$D2="MVP Rollout"</formula>
    </cfRule>
    <cfRule type="expression" priority="6" aboveAverage="0" equalAverage="0" bottom="0" percent="0" rank="0" text="" dxfId="13">
      <formula>$D2="Backlog"</formula>
    </cfRule>
    <cfRule type="expression" priority="7" aboveAverage="0" equalAverage="0" bottom="0" percent="0" rank="0" text="" dxfId="13">
      <formula>$D2="Growth"</formula>
    </cfRule>
    <cfRule type="expression" priority="8" aboveAverage="0" equalAverage="0" bottom="0" percent="0" rank="0" text="" dxfId="14">
      <formula>$D2="Tech Enhancements"</formula>
    </cfRule>
    <cfRule type="expression" priority="9" aboveAverage="0" equalAverage="0" bottom="0" percent="0" rank="0" text="" dxfId="15">
      <formula>LEFT($D2,2)="PI"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4" min="3" style="1" width="12"/>
    <col collapsed="false" customWidth="true" hidden="false" outlineLevel="0" max="5" min="5" style="1" width="14"/>
    <col collapsed="false" customWidth="true" hidden="false" outlineLevel="0" max="6" min="6" style="1" width="10"/>
    <col collapsed="false" customWidth="true" hidden="false" outlineLevel="0" max="7" min="7" style="1" width="14"/>
    <col collapsed="false" customWidth="true" hidden="false" outlineLevel="0" max="8" min="8" style="1" width="30"/>
    <col collapsed="false" customWidth="true" hidden="false" outlineLevel="0" max="9" min="9" style="1" width="12"/>
    <col collapsed="false" customWidth="true" hidden="false" outlineLevel="0" max="10" min="10" style="1" width="14"/>
    <col collapsed="false" customWidth="true" hidden="false" outlineLevel="0" max="11" min="11" style="1" width="12"/>
    <col collapsed="false" customWidth="true" hidden="false" outlineLevel="0" max="12" min="12" style="1" width="8"/>
  </cols>
  <sheetData>
    <row r="1" customFormat="false" ht="30" hidden="false" customHeight="true" outlineLevel="0" collapsed="false">
      <c r="A1" s="21" t="s">
        <v>66</v>
      </c>
      <c r="B1" s="21" t="s">
        <v>67</v>
      </c>
      <c r="C1" s="21" t="s">
        <v>68</v>
      </c>
      <c r="D1" s="21" t="s">
        <v>69</v>
      </c>
      <c r="E1" s="21" t="s">
        <v>70</v>
      </c>
      <c r="F1" s="21" t="s">
        <v>71</v>
      </c>
      <c r="G1" s="21" t="s">
        <v>78</v>
      </c>
      <c r="H1" s="21" t="s">
        <v>72</v>
      </c>
      <c r="I1" s="21" t="s">
        <v>74</v>
      </c>
      <c r="J1" s="21" t="s">
        <v>48</v>
      </c>
      <c r="K1" s="21" t="s">
        <v>75</v>
      </c>
      <c r="L1" s="82"/>
      <c r="M1" s="82"/>
      <c r="N1" s="82"/>
      <c r="O1" s="82"/>
      <c r="P1" s="82"/>
      <c r="Q1" s="82"/>
    </row>
    <row r="2" customFormat="false" ht="15" hidden="false" customHeight="true" outlineLevel="0" collapsed="false">
      <c r="A2" s="26"/>
      <c r="B2" s="26"/>
      <c r="C2" s="26"/>
      <c r="D2" s="26"/>
      <c r="E2" s="26"/>
      <c r="F2" s="26"/>
      <c r="G2" s="26"/>
      <c r="H2" s="26"/>
      <c r="I2" s="26"/>
      <c r="J2" s="26"/>
      <c r="K2" s="26"/>
      <c r="L2" s="26"/>
      <c r="M2" s="26"/>
      <c r="N2" s="26"/>
      <c r="O2" s="26"/>
      <c r="P2" s="26"/>
      <c r="Q2" s="26"/>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sheetData>
  <conditionalFormatting sqref="A2:R1000">
    <cfRule type="expression" priority="2" aboveAverage="0" equalAverage="0" bottom="0" percent="0" rank="0" text="" dxfId="10">
      <formula>$D2="US"</formula>
    </cfRule>
    <cfRule type="expression" priority="3" aboveAverage="0" equalAverage="0" bottom="0" percent="0" rank="0" text="" dxfId="11">
      <formula>$D2="MyMSC"</formula>
    </cfRule>
    <cfRule type="expression" priority="4" aboveAverage="0" equalAverage="0" bottom="0" percent="0" rank="0" text="" dxfId="12">
      <formula>$D2="Rollout"</formula>
    </cfRule>
    <cfRule type="expression" priority="5" aboveAverage="0" equalAverage="0" bottom="0" percent="0" rank="0" text="" dxfId="12">
      <formula>$D2="MVP Rollout"</formula>
    </cfRule>
    <cfRule type="expression" priority="6" aboveAverage="0" equalAverage="0" bottom="0" percent="0" rank="0" text="" dxfId="13">
      <formula>$D2="Backlog"</formula>
    </cfRule>
    <cfRule type="expression" priority="7" aboveAverage="0" equalAverage="0" bottom="0" percent="0" rank="0" text="" dxfId="13">
      <formula>$D2="Growth"</formula>
    </cfRule>
    <cfRule type="expression" priority="8" aboveAverage="0" equalAverage="0" bottom="0" percent="0" rank="0" text="" dxfId="14">
      <formula>$D2="Tech Enhancements"</formula>
    </cfRule>
    <cfRule type="expression" priority="9" aboveAverage="0" equalAverage="0" bottom="0" percent="0" rank="0" text="" dxfId="15">
      <formula>LEFT($D2,2)="PI"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12"/>
    <col collapsed="false" customWidth="true" hidden="false" outlineLevel="0" max="4" min="4" style="1" width="13"/>
    <col collapsed="false" customWidth="true" hidden="false" outlineLevel="0" max="5" min="5" style="1" width="14"/>
    <col collapsed="false" customWidth="true" hidden="false" outlineLevel="0" max="6" min="6" style="1" width="10"/>
    <col collapsed="false" customWidth="true" hidden="false" outlineLevel="0" max="7" min="7" style="1" width="14"/>
    <col collapsed="false" customWidth="true" hidden="false" outlineLevel="0" max="8" min="8" style="1" width="30"/>
    <col collapsed="false" customWidth="true" hidden="false" outlineLevel="0" max="9" min="9" style="1" width="12"/>
    <col collapsed="false" customWidth="true" hidden="false" outlineLevel="0" max="10" min="10" style="1" width="14"/>
    <col collapsed="false" customWidth="true" hidden="false" outlineLevel="0" max="11" min="11" style="1" width="12"/>
  </cols>
  <sheetData>
    <row r="1" customFormat="false" ht="15" hidden="false" customHeight="true" outlineLevel="0" collapsed="false">
      <c r="A1" s="21" t="s">
        <v>66</v>
      </c>
      <c r="B1" s="21" t="s">
        <v>67</v>
      </c>
      <c r="C1" s="21" t="s">
        <v>68</v>
      </c>
      <c r="D1" s="21" t="s">
        <v>69</v>
      </c>
      <c r="E1" s="21" t="s">
        <v>70</v>
      </c>
      <c r="F1" s="21" t="s">
        <v>71</v>
      </c>
      <c r="G1" s="21" t="s">
        <v>78</v>
      </c>
      <c r="H1" s="21" t="s">
        <v>72</v>
      </c>
      <c r="I1" s="21" t="s">
        <v>74</v>
      </c>
      <c r="J1" s="21" t="s">
        <v>48</v>
      </c>
      <c r="K1" s="21"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true" showRowColHeaders="true" showZeros="true" rightToLeft="false" tabSelected="false" showOutlineSymbols="true" defaultGridColor="true" view="normal" topLeftCell="A38" colorId="64" zoomScale="100" zoomScaleNormal="100" zoomScalePageLayoutView="100" workbookViewId="0">
      <selection pane="topLeft" activeCell="A38" activeCellId="0" sqref="A38"/>
    </sheetView>
  </sheetViews>
  <sheetFormatPr defaultColWidth="8.66796875" defaultRowHeight="15" customHeight="false" zeroHeight="false" outlineLevelRow="0" outlineLevelCol="0"/>
  <cols>
    <col collapsed="false" customWidth="true" hidden="false" outlineLevel="0" max="1" min="1" style="1" width="120"/>
    <col collapsed="false" customWidth="true" hidden="false" outlineLevel="0" max="2" min="2" style="1" width="15"/>
  </cols>
  <sheetData>
    <row r="1" customFormat="false" ht="24.75" hidden="false" customHeight="true" outlineLevel="0" collapsed="false">
      <c r="A1" s="83" t="s">
        <v>956</v>
      </c>
    </row>
    <row r="3" customFormat="false" ht="15" hidden="false" customHeight="true" outlineLevel="0" collapsed="false">
      <c r="A3" s="84" t="s">
        <v>957</v>
      </c>
    </row>
    <row r="4" customFormat="false" ht="60" hidden="false" customHeight="true" outlineLevel="0" collapsed="false">
      <c r="A4" s="5" t="s">
        <v>958</v>
      </c>
    </row>
    <row r="5" customFormat="false" ht="15" hidden="false" customHeight="true" outlineLevel="0" collapsed="false">
      <c r="A5" s="5" t="s">
        <v>959</v>
      </c>
    </row>
    <row r="6" customFormat="false" ht="15" hidden="false" customHeight="true" outlineLevel="0" collapsed="false">
      <c r="A6" s="85" t="s">
        <v>960</v>
      </c>
    </row>
    <row r="7" customFormat="false" ht="30" hidden="false" customHeight="true" outlineLevel="0" collapsed="false">
      <c r="A7" s="5" t="s">
        <v>961</v>
      </c>
    </row>
    <row r="8" customFormat="false" ht="30" hidden="false" customHeight="true" outlineLevel="0" collapsed="false">
      <c r="A8" s="5" t="s">
        <v>962</v>
      </c>
    </row>
    <row r="9" customFormat="false" ht="30" hidden="false" customHeight="true" outlineLevel="0" collapsed="false">
      <c r="A9" s="5"/>
    </row>
    <row r="10" customFormat="false" ht="15" hidden="false" customHeight="true" outlineLevel="0" collapsed="false">
      <c r="A10" s="86" t="s">
        <v>963</v>
      </c>
    </row>
    <row r="11" customFormat="false" ht="15" hidden="false" customHeight="true" outlineLevel="0" collapsed="false">
      <c r="A11" s="87" t="s">
        <v>964</v>
      </c>
    </row>
    <row r="12" customFormat="false" ht="15" hidden="false" customHeight="true" outlineLevel="0" collapsed="false">
      <c r="A12" s="5" t="s">
        <v>965</v>
      </c>
    </row>
    <row r="13" customFormat="false" ht="15" hidden="false" customHeight="true" outlineLevel="0" collapsed="false">
      <c r="A13" s="5"/>
    </row>
    <row r="14" customFormat="false" ht="15" hidden="false" customHeight="true" outlineLevel="0" collapsed="false">
      <c r="A14" s="5" t="s">
        <v>966</v>
      </c>
    </row>
    <row r="15" customFormat="false" ht="15" hidden="false" customHeight="true" outlineLevel="0" collapsed="false">
      <c r="A15" s="5" t="s">
        <v>967</v>
      </c>
    </row>
    <row r="16" customFormat="false" ht="15" hidden="false" customHeight="true" outlineLevel="0" collapsed="false">
      <c r="A16" s="5" t="s">
        <v>968</v>
      </c>
    </row>
    <row r="17" customFormat="false" ht="15" hidden="false" customHeight="true" outlineLevel="0" collapsed="false">
      <c r="A17" s="87" t="s">
        <v>969</v>
      </c>
    </row>
    <row r="18" customFormat="false" ht="15" hidden="false" customHeight="true" outlineLevel="0" collapsed="false">
      <c r="A18" s="5" t="s">
        <v>970</v>
      </c>
    </row>
    <row r="19" customFormat="false" ht="15" hidden="false" customHeight="true" outlineLevel="0" collapsed="false">
      <c r="A19" s="5"/>
    </row>
    <row r="20" customFormat="false" ht="15" hidden="false" customHeight="true" outlineLevel="0" collapsed="false">
      <c r="A20" s="5" t="s">
        <v>971</v>
      </c>
    </row>
    <row r="21" customFormat="false" ht="15" hidden="false" customHeight="true" outlineLevel="0" collapsed="false">
      <c r="A21" s="5"/>
    </row>
    <row r="22" customFormat="false" ht="15" hidden="false" customHeight="true" outlineLevel="0" collapsed="false">
      <c r="A22" s="5" t="s">
        <v>966</v>
      </c>
    </row>
    <row r="23" customFormat="false" ht="15" hidden="false" customHeight="true" outlineLevel="0" collapsed="false">
      <c r="A23" s="5" t="s">
        <v>972</v>
      </c>
    </row>
    <row r="24" customFormat="false" ht="15" hidden="false" customHeight="true" outlineLevel="0" collapsed="false">
      <c r="A24" s="5" t="s">
        <v>973</v>
      </c>
    </row>
    <row r="25" customFormat="false" ht="15" hidden="false" customHeight="true" outlineLevel="0" collapsed="false">
      <c r="A25" s="86"/>
    </row>
    <row r="26" customFormat="false" ht="15" hidden="false" customHeight="true" outlineLevel="0" collapsed="false">
      <c r="A26" s="85" t="s">
        <v>974</v>
      </c>
    </row>
    <row r="27" customFormat="false" ht="15" hidden="false" customHeight="true" outlineLevel="0" collapsed="false">
      <c r="A27" s="5" t="s">
        <v>975</v>
      </c>
    </row>
    <row r="28" customFormat="false" ht="15" hidden="false" customHeight="true" outlineLevel="0" collapsed="false">
      <c r="A28" s="88" t="s">
        <v>976</v>
      </c>
    </row>
    <row r="29" customFormat="false" ht="15" hidden="false" customHeight="true" outlineLevel="0" collapsed="false">
      <c r="A29" s="5" t="s">
        <v>977</v>
      </c>
    </row>
    <row r="30" customFormat="false" ht="15" hidden="false" customHeight="true" outlineLevel="0" collapsed="false">
      <c r="A30" s="5" t="s">
        <v>978</v>
      </c>
    </row>
    <row r="31" customFormat="false" ht="15" hidden="false" customHeight="true" outlineLevel="0" collapsed="false">
      <c r="A31" s="5"/>
    </row>
    <row r="32" customFormat="false" ht="19.5" hidden="false" customHeight="true" outlineLevel="0" collapsed="false">
      <c r="A32" s="89" t="s">
        <v>979</v>
      </c>
    </row>
    <row r="33" customFormat="false" ht="199.5" hidden="false" customHeight="true" outlineLevel="0" collapsed="false">
      <c r="A33" s="90" t="s">
        <v>980</v>
      </c>
    </row>
    <row r="34" customFormat="false" ht="199.5" hidden="false" customHeight="true" outlineLevel="0" collapsed="false">
      <c r="A34" s="90" t="s">
        <v>981</v>
      </c>
    </row>
    <row r="35" customFormat="false" ht="199.5" hidden="false" customHeight="true" outlineLevel="0" collapsed="false">
      <c r="A35" s="90" t="s">
        <v>982</v>
      </c>
    </row>
    <row r="36" customFormat="false" ht="199.5" hidden="false" customHeight="true" outlineLevel="0" collapsed="false">
      <c r="A36" s="91" t="s">
        <v>983</v>
      </c>
    </row>
    <row r="37" customFormat="false" ht="199.5" hidden="false" customHeight="true" outlineLevel="0" collapsed="false">
      <c r="A37" s="90" t="s">
        <v>984</v>
      </c>
    </row>
    <row r="38" customFormat="false" ht="199.5" hidden="false" customHeight="true" outlineLevel="0" collapsed="false">
      <c r="A38" s="90" t="s">
        <v>985</v>
      </c>
    </row>
    <row r="39" customFormat="false" ht="199.5" hidden="false" customHeight="true" outlineLevel="0" collapsed="false">
      <c r="A39" s="90" t="s">
        <v>986</v>
      </c>
    </row>
    <row r="40" customFormat="false" ht="199.5" hidden="false" customHeight="true" outlineLevel="0" collapsed="false">
      <c r="A40" s="90" t="s">
        <v>987</v>
      </c>
    </row>
    <row r="41" customFormat="false" ht="199.5" hidden="false" customHeight="true" outlineLevel="0" collapsed="false">
      <c r="A41" s="90" t="s">
        <v>988</v>
      </c>
    </row>
    <row r="42" customFormat="false" ht="199.5" hidden="false" customHeight="true" outlineLevel="0" collapsed="false">
      <c r="A42" s="90" t="s">
        <v>989</v>
      </c>
    </row>
    <row r="43" customFormat="false" ht="199.5" hidden="false" customHeight="true" outlineLevel="0" collapsed="false">
      <c r="A43" s="90" t="s">
        <v>990</v>
      </c>
    </row>
    <row r="44" customFormat="false" ht="199.5" hidden="false" customHeight="true" outlineLevel="0" collapsed="false">
      <c r="A44" s="90" t="s">
        <v>991</v>
      </c>
    </row>
    <row r="45" customFormat="false" ht="199.5" hidden="false" customHeight="true" outlineLevel="0" collapsed="false">
      <c r="A45" s="90" t="s">
        <v>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6" activeCellId="0" sqref="G36"/>
    </sheetView>
  </sheetViews>
  <sheetFormatPr defaultColWidth="8.66796875" defaultRowHeight="15" customHeight="false" zeroHeight="false" outlineLevelRow="0" outlineLevelCol="0"/>
  <sheetData>
    <row r="1" customFormat="false" ht="15" hidden="false" customHeight="true" outlineLevel="0" collapsed="false">
      <c r="A1" s="1" t="s">
        <v>68</v>
      </c>
      <c r="B1" s="1" t="s">
        <v>69</v>
      </c>
      <c r="C1" s="1" t="s">
        <v>71</v>
      </c>
      <c r="D1" s="1" t="s">
        <v>72</v>
      </c>
      <c r="E1" s="1" t="s">
        <v>74</v>
      </c>
      <c r="F1" s="1" t="s">
        <v>374</v>
      </c>
      <c r="G1" s="1" t="s">
        <v>48</v>
      </c>
      <c r="H1" s="1" t="s">
        <v>376</v>
      </c>
      <c r="I1" s="1" t="s">
        <v>70</v>
      </c>
      <c r="K1" s="1" t="s">
        <v>993</v>
      </c>
      <c r="L1" s="1" t="s">
        <v>994</v>
      </c>
      <c r="M1" s="1" t="s">
        <v>995</v>
      </c>
      <c r="N1" s="1" t="s">
        <v>996</v>
      </c>
    </row>
    <row r="2" customFormat="false" ht="15" hidden="false" customHeight="true" outlineLevel="0" collapsed="false">
      <c r="A2" s="1" t="s">
        <v>90</v>
      </c>
      <c r="B2" s="1" t="s">
        <v>84</v>
      </c>
      <c r="C2" s="1" t="s">
        <v>124</v>
      </c>
      <c r="D2" s="1" t="s">
        <v>354</v>
      </c>
      <c r="E2" s="1" t="s">
        <v>413</v>
      </c>
      <c r="F2" s="1" t="s">
        <v>383</v>
      </c>
      <c r="G2" s="1" t="s">
        <v>451</v>
      </c>
      <c r="H2" s="1" t="s">
        <v>997</v>
      </c>
      <c r="I2" s="1" t="s">
        <v>106</v>
      </c>
      <c r="K2" s="1" t="s">
        <v>416</v>
      </c>
      <c r="L2" s="1" t="s">
        <v>998</v>
      </c>
      <c r="M2" s="1" t="s">
        <v>999</v>
      </c>
      <c r="N2" s="1" t="n">
        <v>435</v>
      </c>
    </row>
    <row r="3" customFormat="false" ht="15" hidden="false" customHeight="true" outlineLevel="0" collapsed="false">
      <c r="A3" s="1" t="s">
        <v>98</v>
      </c>
      <c r="B3" s="1" t="s">
        <v>168</v>
      </c>
      <c r="C3" s="1" t="s">
        <v>92</v>
      </c>
      <c r="D3" s="1" t="s">
        <v>93</v>
      </c>
      <c r="E3" s="1" t="s">
        <v>416</v>
      </c>
      <c r="F3" s="1" t="s">
        <v>387</v>
      </c>
      <c r="G3" s="1" t="s">
        <v>455</v>
      </c>
      <c r="H3" s="1" t="s">
        <v>384</v>
      </c>
      <c r="I3" s="1" t="s">
        <v>405</v>
      </c>
      <c r="K3" s="1" t="s">
        <v>417</v>
      </c>
      <c r="L3" s="1" t="s">
        <v>998</v>
      </c>
      <c r="M3" s="1" t="s">
        <v>1000</v>
      </c>
    </row>
    <row r="4" customFormat="false" ht="15" hidden="false" customHeight="true" outlineLevel="0" collapsed="false">
      <c r="A4" s="1" t="s">
        <v>160</v>
      </c>
      <c r="B4" s="1" t="s">
        <v>116</v>
      </c>
      <c r="C4" s="1" t="s">
        <v>224</v>
      </c>
      <c r="D4" s="1" t="s">
        <v>87</v>
      </c>
      <c r="E4" s="1" t="s">
        <v>417</v>
      </c>
      <c r="F4" s="1" t="s">
        <v>83</v>
      </c>
      <c r="G4" s="1" t="s">
        <v>450</v>
      </c>
      <c r="H4" s="1" t="s">
        <v>390</v>
      </c>
      <c r="I4" s="1" t="s">
        <v>85</v>
      </c>
      <c r="K4" s="1" t="s">
        <v>418</v>
      </c>
      <c r="L4" s="1" t="s">
        <v>998</v>
      </c>
      <c r="M4" s="1" t="s">
        <v>1001</v>
      </c>
    </row>
    <row r="5" customFormat="false" ht="15" hidden="false" customHeight="true" outlineLevel="0" collapsed="false">
      <c r="A5" s="1" t="s">
        <v>83</v>
      </c>
      <c r="B5" s="1" t="s">
        <v>135</v>
      </c>
      <c r="C5" s="1" t="s">
        <v>86</v>
      </c>
      <c r="D5" s="1" t="s">
        <v>1002</v>
      </c>
      <c r="E5" s="1" t="s">
        <v>418</v>
      </c>
      <c r="G5" s="1" t="s">
        <v>460</v>
      </c>
      <c r="H5" s="1" t="s">
        <v>1003</v>
      </c>
      <c r="I5" s="1" t="s">
        <v>91</v>
      </c>
      <c r="K5" s="1" t="s">
        <v>419</v>
      </c>
      <c r="L5" s="1" t="s">
        <v>998</v>
      </c>
      <c r="M5" s="1" t="s">
        <v>1004</v>
      </c>
    </row>
    <row r="6" customFormat="false" ht="15" hidden="false" customHeight="true" outlineLevel="0" collapsed="false">
      <c r="A6" s="1" t="s">
        <v>237</v>
      </c>
      <c r="B6" s="1" t="s">
        <v>131</v>
      </c>
      <c r="C6" s="1" t="s">
        <v>139</v>
      </c>
      <c r="E6" s="1" t="s">
        <v>419</v>
      </c>
      <c r="G6" s="1" t="s">
        <v>464</v>
      </c>
      <c r="I6" s="1" t="s">
        <v>164</v>
      </c>
      <c r="K6" s="1" t="s">
        <v>420</v>
      </c>
      <c r="L6" s="1" t="s">
        <v>1005</v>
      </c>
      <c r="M6" s="1" t="s">
        <v>1006</v>
      </c>
    </row>
    <row r="7" customFormat="false" ht="15" hidden="false" customHeight="true" outlineLevel="0" collapsed="false">
      <c r="A7" s="1" t="s">
        <v>105</v>
      </c>
      <c r="B7" s="1" t="s">
        <v>142</v>
      </c>
      <c r="E7" s="1" t="s">
        <v>420</v>
      </c>
      <c r="G7" s="1" t="s">
        <v>467</v>
      </c>
      <c r="I7" s="1" t="s">
        <v>1007</v>
      </c>
      <c r="K7" s="1" t="s">
        <v>421</v>
      </c>
      <c r="L7" s="1" t="s">
        <v>1005</v>
      </c>
      <c r="M7" s="1" t="s">
        <v>1008</v>
      </c>
    </row>
    <row r="8" customFormat="false" ht="15" hidden="false" customHeight="true" outlineLevel="0" collapsed="false">
      <c r="A8" s="1" t="s">
        <v>315</v>
      </c>
      <c r="B8" s="1" t="s">
        <v>28</v>
      </c>
      <c r="E8" s="1" t="s">
        <v>421</v>
      </c>
      <c r="G8" s="1" t="s">
        <v>463</v>
      </c>
      <c r="I8" s="1" t="s">
        <v>399</v>
      </c>
      <c r="K8" s="1" t="s">
        <v>422</v>
      </c>
      <c r="L8" s="1" t="s">
        <v>1005</v>
      </c>
      <c r="M8" s="1" t="s">
        <v>1009</v>
      </c>
    </row>
    <row r="9" customFormat="false" ht="15" hidden="false" customHeight="true" outlineLevel="0" collapsed="false">
      <c r="B9" s="1" t="s">
        <v>434</v>
      </c>
      <c r="E9" s="1" t="s">
        <v>422</v>
      </c>
      <c r="G9" s="1" t="s">
        <v>472</v>
      </c>
      <c r="I9" s="1" t="s">
        <v>288</v>
      </c>
      <c r="K9" s="1" t="s">
        <v>423</v>
      </c>
      <c r="L9" s="1" t="s">
        <v>1005</v>
      </c>
      <c r="M9" s="1" t="s">
        <v>1010</v>
      </c>
    </row>
    <row r="10" customFormat="false" ht="15" hidden="false" customHeight="true" outlineLevel="0" collapsed="false">
      <c r="B10" s="1" t="s">
        <v>435</v>
      </c>
      <c r="E10" s="1" t="s">
        <v>423</v>
      </c>
      <c r="G10" s="1" t="s">
        <v>475</v>
      </c>
      <c r="I10" s="1" t="s">
        <v>316</v>
      </c>
      <c r="K10" s="1" t="s">
        <v>424</v>
      </c>
      <c r="L10" s="1" t="s">
        <v>1011</v>
      </c>
      <c r="M10" s="1" t="s">
        <v>1012</v>
      </c>
    </row>
    <row r="11" customFormat="false" ht="15" hidden="false" customHeight="true" outlineLevel="0" collapsed="false">
      <c r="B11" s="1" t="s">
        <v>436</v>
      </c>
      <c r="E11" s="1" t="s">
        <v>424</v>
      </c>
      <c r="G11" s="1" t="s">
        <v>478</v>
      </c>
      <c r="K11" s="1" t="s">
        <v>415</v>
      </c>
      <c r="L11" s="1" t="s">
        <v>1011</v>
      </c>
      <c r="M11" s="1" t="s">
        <v>1013</v>
      </c>
    </row>
    <row r="12" customFormat="false" ht="15" hidden="false" customHeight="true" outlineLevel="0" collapsed="false">
      <c r="B12" s="1" t="s">
        <v>437</v>
      </c>
      <c r="E12" s="1" t="s">
        <v>415</v>
      </c>
      <c r="G12" s="1" t="s">
        <v>481</v>
      </c>
      <c r="K12" s="1" t="s">
        <v>425</v>
      </c>
      <c r="L12" s="1" t="s">
        <v>1011</v>
      </c>
      <c r="M12" s="1" t="s">
        <v>1014</v>
      </c>
    </row>
    <row r="13" customFormat="false" ht="15" hidden="false" customHeight="true" outlineLevel="0" collapsed="false">
      <c r="B13" s="1" t="s">
        <v>120</v>
      </c>
      <c r="E13" s="1" t="s">
        <v>425</v>
      </c>
      <c r="G13" s="1" t="s">
        <v>485</v>
      </c>
      <c r="K13" s="1" t="s">
        <v>426</v>
      </c>
      <c r="L13" s="1" t="s">
        <v>1011</v>
      </c>
      <c r="M13" s="1" t="s">
        <v>1015</v>
      </c>
    </row>
    <row r="14" customFormat="false" ht="15" hidden="false" customHeight="true" outlineLevel="0" collapsed="false">
      <c r="B14" s="1" t="s">
        <v>316</v>
      </c>
      <c r="E14" s="1" t="s">
        <v>426</v>
      </c>
      <c r="G14" s="1" t="s">
        <v>488</v>
      </c>
      <c r="K14" s="1" t="s">
        <v>427</v>
      </c>
      <c r="L14" s="1" t="s">
        <v>1016</v>
      </c>
      <c r="M14" s="1" t="s">
        <v>1017</v>
      </c>
    </row>
    <row r="15" customFormat="false" ht="15" hidden="false" customHeight="true" outlineLevel="0" collapsed="false">
      <c r="E15" s="1" t="s">
        <v>427</v>
      </c>
      <c r="G15" s="1" t="s">
        <v>491</v>
      </c>
      <c r="K15" s="1" t="s">
        <v>428</v>
      </c>
      <c r="L15" s="1" t="s">
        <v>1016</v>
      </c>
      <c r="M15" s="1" t="s">
        <v>1018</v>
      </c>
    </row>
    <row r="16" customFormat="false" ht="15" hidden="false" customHeight="true" outlineLevel="0" collapsed="false">
      <c r="E16" s="1" t="s">
        <v>428</v>
      </c>
      <c r="G16" s="1" t="s">
        <v>495</v>
      </c>
      <c r="K16" s="1" t="s">
        <v>429</v>
      </c>
      <c r="L16" s="1" t="s">
        <v>1016</v>
      </c>
      <c r="M16" s="1" t="s">
        <v>1019</v>
      </c>
    </row>
    <row r="17" customFormat="false" ht="15" hidden="false" customHeight="true" outlineLevel="0" collapsed="false">
      <c r="E17" s="1" t="s">
        <v>429</v>
      </c>
      <c r="G17" s="1" t="s">
        <v>498</v>
      </c>
      <c r="K17" s="1" t="s">
        <v>430</v>
      </c>
      <c r="L17" s="1" t="s">
        <v>1016</v>
      </c>
      <c r="M17" s="1" t="s">
        <v>1020</v>
      </c>
    </row>
    <row r="18" customFormat="false" ht="15" hidden="false" customHeight="true" outlineLevel="0" collapsed="false">
      <c r="E18" s="1" t="s">
        <v>430</v>
      </c>
      <c r="G18" s="1" t="s">
        <v>502</v>
      </c>
    </row>
    <row r="19" customFormat="false" ht="15" hidden="false" customHeight="true" outlineLevel="0" collapsed="false">
      <c r="G19" s="1" t="s">
        <v>494</v>
      </c>
    </row>
    <row r="20" customFormat="false" ht="15" hidden="false" customHeight="true" outlineLevel="0" collapsed="false">
      <c r="G20" s="1" t="s">
        <v>508</v>
      </c>
    </row>
    <row r="21" customFormat="false" ht="15" hidden="false" customHeight="true" outlineLevel="0" collapsed="false">
      <c r="G21" s="1" t="s">
        <v>513</v>
      </c>
    </row>
    <row r="22" customFormat="false" ht="15" hidden="false" customHeight="true" outlineLevel="0" collapsed="false">
      <c r="G22" s="1" t="s">
        <v>517</v>
      </c>
    </row>
    <row r="23" customFormat="false" ht="15" hidden="false" customHeight="true" outlineLevel="0" collapsed="false">
      <c r="G23" s="1" t="s">
        <v>520</v>
      </c>
    </row>
    <row r="24" customFormat="false" ht="15" hidden="false" customHeight="true" outlineLevel="0" collapsed="false">
      <c r="G24" s="1" t="s">
        <v>523</v>
      </c>
    </row>
    <row r="25" customFormat="false" ht="15" hidden="false" customHeight="true" outlineLevel="0" collapsed="false">
      <c r="G25" s="1" t="s">
        <v>526</v>
      </c>
    </row>
    <row r="26" customFormat="false" ht="15" hidden="false" customHeight="true" outlineLevel="0" collapsed="false">
      <c r="G26" s="1" t="s">
        <v>516</v>
      </c>
    </row>
    <row r="27" customFormat="false" ht="15" hidden="false" customHeight="true" outlineLevel="0" collapsed="false">
      <c r="G27" s="1" t="s">
        <v>532</v>
      </c>
    </row>
    <row r="28" customFormat="false" ht="15" hidden="false" customHeight="true" outlineLevel="0" collapsed="false">
      <c r="G28" s="1" t="s">
        <v>535</v>
      </c>
    </row>
    <row r="29" customFormat="false" ht="15" hidden="false" customHeight="true" outlineLevel="0" collapsed="false">
      <c r="G29" s="1" t="s">
        <v>538</v>
      </c>
    </row>
    <row r="30" customFormat="false" ht="15" hidden="false" customHeight="true" outlineLevel="0" collapsed="false">
      <c r="G30" s="1" t="s">
        <v>542</v>
      </c>
    </row>
    <row r="31" customFormat="false" ht="15" hidden="false" customHeight="true" outlineLevel="0" collapsed="false">
      <c r="G31" s="1" t="s">
        <v>512</v>
      </c>
    </row>
    <row r="32" customFormat="false" ht="15" hidden="false" customHeight="true" outlineLevel="0" collapsed="false">
      <c r="G32" s="1" t="s">
        <v>443</v>
      </c>
    </row>
    <row r="33" customFormat="false" ht="15" hidden="false" customHeight="true" outlineLevel="0" collapsed="false">
      <c r="G33" s="1" t="s">
        <v>454</v>
      </c>
    </row>
    <row r="34" customFormat="false" ht="15" hidden="false" customHeight="true" outlineLevel="0" collapsed="false">
      <c r="G34" s="1" t="s">
        <v>1021</v>
      </c>
    </row>
    <row r="35" customFormat="false" ht="15" hidden="false" customHeight="true" outlineLevel="0" collapsed="false">
      <c r="G35" s="1" t="s">
        <v>1022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2026-07-24T14:08:15Z</dcterms:created>
  <dc:creator>openpyxl</dc:creator>
  <dc:description/>
  <dc:language>en-GB</dc:language>
  <cp:lastModifiedBy>Sarah Ann Suda (sarahann.suda@bbscommunity.it)</cp:lastModifiedBy>
  <dcterms:modified xsi:type="dcterms:W3CDTF">2026-10-12T06:51:40Z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0x01010005DEC81BA0C66F41833F80158C7ECEE5</vt:lpwstr>
  </property>
  <property fmtid="{D5CDD505-2E9C-101B-9397-08002B2CF9AE}" pid="3" name="MediaServiceImageTags">
    <vt:lpwstr/>
  </property>
</Properties>
</file>