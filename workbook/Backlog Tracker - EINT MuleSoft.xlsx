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Backlog" sheetId="2" state="visible" r:id="rId4"/>
    <sheet name="RTM" sheetId="3" state="visible" r:id="rId5"/>
    <sheet name="Sprint Planning" sheetId="4" state="visible" r:id="rId6"/>
    <sheet name="API Design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No scope for MS" sheetId="13" state="visible" r:id="rId15"/>
    <sheet name="Workflows" sheetId="14" state="hidden" r:id="rId16"/>
    <sheet name="Lists" sheetId="15" state="hidden" r:id="rId17"/>
  </sheets>
  <definedNames>
    <definedName function="false" hidden="true" localSheetId="8" name="_xlnm._FilterDatabase" vbProcedure="false">'Q1 Backlog Report 2026'!$D$1:$D$1000</definedName>
    <definedName function="false" hidden="true" localSheetId="9" name="_xlnm._FilterDatabase" vbProcedure="false">'Q2 Backlog Report 2026'!$D$1:$D$1000</definedName>
    <definedName function="false" hidden="true" localSheetId="10" name="_xlnm._FilterDatabase" vbProcedure="false">'Q3 Backlog Report 2026'!$D$1:$D$1000</definedName>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<sst xmlns="http://schemas.openxmlformats.org/spreadsheetml/2006/main" count="4828" uniqueCount="1129">
  <si>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</si>
  <si>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</si>
  <si>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</si>
  <si>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</si>
  <si>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</si>
  <si>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</si>
  <si>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</si>
  <si>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</si>
  <si>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</si>
  <si>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</si>
  <si>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</si>
  <si>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</si>
  <si>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</si>
  <si>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</si>
  <si>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</si>
  <si>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</si>
  <si>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</si>
  <si>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</si>
  <si>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</si>
  <si>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</si>
  <si>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</si>
  <si>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</si>
  <si>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</si>
  <si>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</si>
  <si>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</si>
  <si>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</si>
  <si>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</si>
  <si>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</si>
  <si>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</si>
  <si>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</si>
  <si>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</si>
  <si>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</si>
  <si>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</si>
  <si>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</si>
  <si>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</si>
  <si>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</si>
  <si>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</si>
  <si>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</si>
  <si>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</si>
  <si>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</si>
  <si>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</si>
  <si>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</si>
  <si>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</si>
  <si>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</si>
  <si>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</si>
  <si>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</si>
  <si>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</si>
  <si>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</si>
  <si>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</si>
  <si>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</si>
  <si>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</si>
  <si>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</si>
  <si>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</si>
  <si>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</si>
  <si>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</si>
  <si>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</si>
  <si>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</si>
  <si>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</si>
  <si>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</si>
  <si>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</si>
  <si>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</si>
  <si>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</si>
  <si>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</si>
  <si>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</si>
  <si>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</si>
  <si>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</si>
  <si>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</si>
  <si>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</si>
  <si>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</si>
  <si>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</si>
  <si>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</si>
  <si>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</si>
  <si>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</si>
  <si>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</si>
  <si>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</si>
  <si>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</si>
  <si>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</si>
  <si>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</si>
  <si>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Link</t>
  </si>
  <si>
    <t xml:space="preserve">Notes</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</si>
  <si>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</si>
  <si>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</si>
  <si>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</si>
  <si>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</si>
  <si>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</si>
  <si>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</si>
  <si>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</si>
  <si>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</si>
  <si>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</si>
  <si>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ZAF Rollout - Market Configurations in CHAIN1 &amp; CHAIN2 and PROD</t>
  </si>
  <si>
    <t xml:space="preserve">Config</t>
  </si>
  <si>
    <t xml:space="preserve">MVP Rollout</t>
  </si>
  <si>
    <t xml:space="preserve">B2CW</t>
  </si>
  <si>
    <t xml:space="preserve">NEW</t>
  </si>
  <si>
    <t xml:space="preserve">Created</t>
  </si>
  <si>
    <t xml:space="preserve">https://smartship.atlassian.net/browse/DTTP25-41351</t>
  </si>
  <si>
    <t xml:space="preserve">NEW-0064</t>
  </si>
  <si>
    <t xml:space="preserve">Nordics SWE, DEN, NOR, FIN Rollout - Market Configurations in CHAIN1 &amp; CHAIN2</t>
  </si>
  <si>
    <t xml:space="preserve">https://smartship.atlassian.net/browse/DTTP25-37831</t>
  </si>
  <si>
    <t xml:space="preserve">NEW-0077</t>
  </si>
  <si>
    <t xml:space="preserve">Nordics SWE, DEN, NOR, FIN Rollout - Market Configurations in Production</t>
  </si>
  <si>
    <t xml:space="preserve">NEW-0078</t>
  </si>
  <si>
    <t xml:space="preserve">US Growth - M4M Payment billing data/ US Release AVS Check (Adding the fields in M4M transaction init)</t>
  </si>
  <si>
    <t xml:space="preserve">CR</t>
  </si>
  <si>
    <t xml:space="preserve">Growth</t>
  </si>
  <si>
    <t xml:space="preserve">High</t>
  </si>
  <si>
    <t xml:space="preserve">Q3 2026</t>
  </si>
  <si>
    <t xml:space="preserve">https://smartship.atlassian.net/browse/MDTTPU-15254</t>
  </si>
  <si>
    <t xml:space="preserve">NEW-0410</t>
  </si>
  <si>
    <t xml:space="preserve">Whatsapp Subscription (Phase 1)</t>
  </si>
  <si>
    <t xml:space="preserve">New</t>
  </si>
  <si>
    <t xml:space="preserve">https://smartship.atlassian.net/browse/DTTP25-36678</t>
  </si>
  <si>
    <t xml:space="preserve">NEW-0001</t>
  </si>
  <si>
    <t xml:space="preserve">Friends and Family INT 157</t>
  </si>
  <si>
    <t xml:space="preserve">S&amp;S</t>
  </si>
  <si>
    <t xml:space="preserve">https://smartship.atlassian.net/browse/DTTP25-36959</t>
  </si>
  <si>
    <t xml:space="preserve">Due Date to complete Dev Oct 15</t>
  </si>
  <si>
    <t xml:space="preserve">NEW-0003</t>
  </si>
  <si>
    <t xml:space="preserve">Handling of additional errors INT 139/ INT 140</t>
  </si>
  <si>
    <t xml:space="preserve">MyMSC</t>
  </si>
  <si>
    <t xml:space="preserve">https://smartship.atlassian.net/browse/DTTP25-40357</t>
  </si>
  <si>
    <t xml:space="preserve">NEW-0030</t>
  </si>
  <si>
    <t xml:space="preserve">Hypercare</t>
  </si>
  <si>
    <t xml:space="preserve">Tech Task</t>
  </si>
  <si>
    <t xml:space="preserve">ALL</t>
  </si>
  <si>
    <t xml:space="preserve">IN PROGRESS</t>
  </si>
  <si>
    <t xml:space="preserve">NEW-0080</t>
  </si>
  <si>
    <t xml:space="preserve">PI11-08 [CDP] [INTP-21] Lead Management - Option event creation in CDP</t>
  </si>
  <si>
    <t xml:space="preserve">PI11</t>
  </si>
  <si>
    <t xml:space="preserve">https://smartship.atlassian.net/browse/DTTP25-41937</t>
  </si>
  <si>
    <t xml:space="preserve">NEW-0085</t>
  </si>
  <si>
    <t xml:space="preserve">PI11-11 [CRM] [EA-1008] DTTP - Lead Management - FCC new outbound sources</t>
  </si>
  <si>
    <t xml:space="preserve">NA</t>
  </si>
  <si>
    <t xml:space="preserve">https://smartship.atlassian.net/browse/DTTP25-41939</t>
  </si>
  <si>
    <t xml:space="preserve">NEW-0086</t>
  </si>
  <si>
    <t xml:space="preserve">PI11-12 [CDP/CRM] CRM2-11097 / [INTP-20] Lead Management - IRL Outbound Sources Activation &amp; Form Creation</t>
  </si>
  <si>
    <t xml:space="preserve">https://smartship.atlassian.net/browse/DTTP25-41940</t>
  </si>
  <si>
    <t xml:space="preserve">only configurations, application maintenance - AM team?</t>
  </si>
  <si>
    <t xml:space="preserve">NEW-0087</t>
  </si>
  <si>
    <t xml:space="preserve">INT139 / INT140 / INT187 / INT188 / INT163 - speciality restaurants CR to handle dining inventory errors</t>
  </si>
  <si>
    <t xml:space="preserve">Q4 2026</t>
  </si>
  <si>
    <t xml:space="preserve">https://smartship.atlassian.net/browse/DTTP25-40356</t>
  </si>
  <si>
    <t xml:space="preserve">NEW-0316</t>
  </si>
  <si>
    <t xml:space="preserve">PI11-03 [B2C] Flight Enhancement - DTTP25-38915</t>
  </si>
  <si>
    <t xml:space="preserve">https://smartship.atlassian.net/browse/DTTP25-41930</t>
  </si>
  <si>
    <t xml:space="preserve">NEW-0066</t>
  </si>
  <si>
    <t xml:space="preserve">Whatsapp Subscription (Phase 2)</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</si>
  <si>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</si>
  <si>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</si>
  <si>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</si>
  <si>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</si>
  <si>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</si>
  <si>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</si>
  <si>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</si>
  <si>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</si>
  <si>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</si>
  <si>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https://smartship.atlassian.net/browse/MDTTPU-8135</t>
  </si>
  <si>
    <t xml:space="preserve">NEW-0011</t>
  </si>
  <si>
    <t xml:space="preserve">myMSC Add USA Market Configuration - Chain 1/ Chain 2 </t>
  </si>
  <si>
    <t xml:space="preserve">https://smartship.atlassian.net/browse/MDTTPU-13662</t>
  </si>
  <si>
    <t xml:space="preserve">NEW-0016</t>
  </si>
  <si>
    <t xml:space="preserve">ARG Payment provider Pagtur</t>
  </si>
  <si>
    <t xml:space="preserve">NEW-0017</t>
  </si>
  <si>
    <t xml:space="preserve">BR Payment providerDireçao</t>
  </si>
  <si>
    <t xml:space="preserve">NEW-0018</t>
  </si>
  <si>
    <t xml:space="preserve">MyMSC Spa </t>
  </si>
  <si>
    <t xml:space="preserve">https://smartship.atlassian.net/browse/DTTP25-44114</t>
  </si>
  <si>
    <t xml:space="preserve">NEW-0020</t>
  </si>
  <si>
    <t xml:space="preserve">Super Agency Access</t>
  </si>
  <si>
    <t xml:space="preserve">NEW-0022</t>
  </si>
  <si>
    <t xml:space="preserve">Pending Configurations for DACH, MED, LATAM</t>
  </si>
  <si>
    <t xml:space="preserve">https://smartship.atlassian.net/browse/DTTP25-21230</t>
  </si>
  <si>
    <t xml:space="preserve">NEW-0033</t>
  </si>
  <si>
    <t xml:space="preserve">[EAINT] [CR][INT026][INT133][INT130] Split calls to CMS for excursion/OBS data into chunks</t>
  </si>
  <si>
    <t xml:space="preserve">NEW-0068</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</si>
  <si>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</si>
  <si>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</si>
  <si>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</si>
  <si>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</si>
  <si>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</si>
  <si>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</si>
  <si>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</si>
  <si>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</si>
  <si>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</si>
  <si>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</si>
  <si>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</si>
  <si>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</si>
  <si>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</si>
  <si>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</si>
  <si>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</si>
  <si>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</si>
  <si>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</si>
  <si>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</si>
  <si>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</si>
  <si>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</si>
  <si>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</si>
  <si>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</si>
  <si>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</si>
  <si>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</si>
  <si>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</si>
  <si>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</si>
  <si>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</si>
  <si>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</si>
  <si>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</si>
  <si>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</si>
  <si>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</si>
  <si>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</si>
  <si>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</si>
  <si>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</si>
  <si>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</si>
  <si>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</si>
  <si>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</si>
  <si>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</si>
  <si>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</si>
  <si>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</si>
  <si>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</si>
  <si>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</si>
  <si>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</si>
  <si>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</si>
  <si>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</si>
  <si>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</si>
  <si>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</si>
  <si>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</si>
  <si>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</si>
  <si>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</si>
  <si>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</si>
  <si>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</si>
  <si>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</si>
  <si>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</si>
  <si>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</si>
  <si>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</si>
  <si>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</si>
  <si>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</si>
  <si>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</si>
  <si>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</si>
  <si>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</si>
  <si>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</si>
  <si>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</si>
  <si>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</si>
  <si>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</si>
  <si>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</si>
  <si>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</si>
  <si>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</si>
  <si>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</si>
  <si>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</si>
  <si>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</si>
  <si>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</si>
  <si>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</si>
  <si>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</si>
  <si>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</si>
  <si>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</si>
  <si>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</si>
  <si>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</si>
  <si>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</si>
  <si>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</si>
  <si>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[EINT][INT187][INT139][INT145] - Remove phone number mapping from Datatrans transaction creation</t>
  </si>
  <si>
    <t xml:space="preserve">Tech Story</t>
  </si>
  <si>
    <t xml:space="preserve">PI10</t>
  </si>
  <si>
    <t xml:space="preserve">M4M</t>
  </si>
  <si>
    <t xml:space="preserve">https://smartship.atlassian.net/browse/DTTP25-41728</t>
  </si>
  <si>
    <t xml:space="preserve">NEW-0413</t>
  </si>
  <si>
    <t xml:space="preserve">[EINT][INT139][INT140][INT187][INT188] - Fix PromoCodeData coupon/discount code field mapping</t>
  </si>
  <si>
    <t xml:space="preserve">https://smartship.atlassian.net/browse/DTTP25-41730</t>
  </si>
  <si>
    <t xml:space="preserve">NEW-0414</t>
  </si>
  <si>
    <t xml:space="preserve">[EINT][INT139][INT187][INT140][INT188] - Improve error handling: BKGREQ_098, BKGREQ_050, PPI_DRIPR_11</t>
  </si>
  <si>
    <t xml:space="preserve">https://smartship.atlassian.net/browse/DTTP25-41725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</si>
  <si>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</si>
  <si>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</si>
  <si>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</si>
  <si>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</si>
  <si>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https://smartship.atlassian.net/browse/DTTP25-41932</t>
  </si>
  <si>
    <t xml:space="preserve">NEW-0072</t>
  </si>
  <si>
    <t xml:space="preserve">PI11-05 [B2C] Accessibility Form - DTTP25-38914</t>
  </si>
  <si>
    <t xml:space="preserve">https://smartship.atlassian.net/browse/DTTP25-41933</t>
  </si>
  <si>
    <t xml:space="preserve">NEW-0073</t>
  </si>
  <si>
    <t xml:space="preserve">PI11-06 [B2C] Cabin Position - DTTP25-40042</t>
  </si>
  <si>
    <t xml:space="preserve">https://smartship.atlassian.net/browse/DTTP25-41934</t>
  </si>
  <si>
    <t xml:space="preserve">NEW-0074</t>
  </si>
  <si>
    <t xml:space="preserve">US: Changes to A070/A013 mapping - refund</t>
  </si>
  <si>
    <t xml:space="preserve">NEW-0453</t>
  </si>
  <si>
    <t xml:space="preserve">M4M New Fields on INT181</t>
  </si>
  <si>
    <t xml:space="preserve">https://smartship.atlassian.net/browse/DTTP25-43299</t>
  </si>
  <si>
    <t xml:space="preserve">NEW-0454</t>
  </si>
  <si>
    <t xml:space="preserve">M4M Gender in Marketing email in INT188</t>
  </si>
  <si>
    <t xml:space="preserve">NEW-0455</t>
  </si>
  <si>
    <t xml:space="preserve">M4M Datatrans information in INT188 response</t>
  </si>
  <si>
    <t xml:space="preserve">NEW-0456</t>
  </si>
  <si>
    <t xml:space="preserve">[EINT] [CR] INT112/ INT 153 :  Voyager Member Club Update Asynch Management</t>
  </si>
  <si>
    <t xml:space="preserve">DONE</t>
  </si>
  <si>
    <t xml:space="preserve">1. new interface INT178 
2. CR to INT112, INT153 
NB: The change to INT153 must not impact INT154 </t>
  </si>
  <si>
    <t xml:space="preserve">NEW-0457</t>
  </si>
  <si>
    <t xml:space="preserve">Restructure the orchestration of INT188</t>
  </si>
  <si>
    <t xml:space="preserve">https://smartship.atlassian.net/browse/DTTP25-42277</t>
  </si>
  <si>
    <t xml:space="preserve">NEW-0458</t>
  </si>
  <si>
    <t xml:space="preserve">[INT139][INT145] MyMSC Removal of phone number in transaction creation</t>
  </si>
  <si>
    <t xml:space="preserve">NEW-0459</t>
  </si>
  <si>
    <t xml:space="preserve">E2E Ticket Support - FAT and Canary Tests - Sprint 12</t>
  </si>
  <si>
    <t xml:space="preserve">Cross</t>
  </si>
  <si>
    <t xml:space="preserve">NEW-0460</t>
  </si>
  <si>
    <t xml:space="preserve">B2CW CMS Optimisations - INC1117192</t>
  </si>
  <si>
    <t xml:space="preserve">NEW-0461</t>
  </si>
  <si>
    <t xml:space="preserve">[INT139][INT140][INT187][INT188] MyMSC / M4M Handling of package upgrade not available</t>
  </si>
  <si>
    <t xml:space="preserve">NEW-0462</t>
  </si>
  <si>
    <t xml:space="preserve">INTP-50 CRM Dependency- Lead Management - Campaign Name value available within AJO API campaigns</t>
  </si>
  <si>
    <t xml:space="preserve">PI12</t>
  </si>
  <si>
    <t xml:space="preserve">Low</t>
  </si>
  <si>
    <t xml:space="preserve">Including campaign name in transactional emails (A070)</t>
  </si>
  <si>
    <t xml:space="preserve">NEW-0463</t>
  </si>
  <si>
    <t xml:space="preserve">ZAF Rollout - Payment success Campaign removal</t>
  </si>
  <si>
    <t xml:space="preserve">NEW-0464</t>
  </si>
  <si>
    <t xml:space="preserve">MyMSC Light Login session extension</t>
  </si>
  <si>
    <t xml:space="preserve">NEW-0465</t>
  </si>
  <si>
    <t xml:space="preserve">INT 139/ INT 140 - Age restriction Errors on ACT items </t>
  </si>
  <si>
    <t xml:space="preserve">https://smartship.atlassian.net/browse/DTTP25-42997</t>
  </si>
  <si>
    <t xml:space="preserve">NEW-0466</t>
  </si>
  <si>
    <t xml:space="preserve">Performance Testing - Enhancements Part 3 </t>
  </si>
  <si>
    <t xml:space="preserve">NEW-0467</t>
  </si>
  <si>
    <t xml:space="preserve">US: INT178 Eventhub Event Processing for Club Enrolment</t>
  </si>
  <si>
    <t xml:space="preserve">NEW-0468</t>
  </si>
  <si>
    <t xml:space="preserve">Fix AVS issues from PROD release on Sep 10th</t>
  </si>
  <si>
    <t xml:space="preserve">Critical</t>
  </si>
  <si>
    <t xml:space="preserve">https://smartship.atlassian.net/browse/MDTTPU-17466</t>
  </si>
  <si>
    <t xml:space="preserve">NEW-0469</t>
  </si>
  <si>
    <t xml:space="preserve">MyMSC Handling login for inactive existing web accounts</t>
  </si>
  <si>
    <t xml:space="preserve">NEW-0470</t>
  </si>
  <si>
    <t xml:space="preserve">MyMSC Light Login Allowed Agencies</t>
  </si>
  <si>
    <t xml:space="preserve">https://smartship.atlassian.net/browse/MDTTPU-17651</t>
  </si>
  <si>
    <t xml:space="preserve">HLE is a guess based on change from blacklist to whitelist approach discussed with JP.</t>
  </si>
  <si>
    <t xml:space="preserve">NEW-0471</t>
  </si>
  <si>
    <t xml:space="preserve">[B2C Owned] CRM - LOYALTY - Voyagers Club Enrollment Opportunity After Booking Confirmation</t>
  </si>
  <si>
    <t xml:space="preserve">NEW-0472</t>
  </si>
  <si>
    <t xml:space="preserve">Removal of campaigns for web user cancellation by market</t>
  </si>
  <si>
    <t xml:space="preserve">NEW-0473</t>
  </si>
  <si>
    <t xml:space="preserve">[B2CW] Hold-Option hourly validity logic update</t>
  </si>
  <si>
    <t xml:space="preserve">https://smartship.atlassian.net/browse/DTTP25-43302</t>
  </si>
  <si>
    <t xml:space="preserve">NEW-0474</t>
  </si>
  <si>
    <t xml:space="preserve">[M4M][Precruise][Prepaid][Mulesoft] Flexible and Customizable Product Tags System</t>
  </si>
  <si>
    <t xml:space="preserve">Due date Nov 15 for CHAIIN2 deployment</t>
  </si>
  <si>
    <t xml:space="preserve">NEW-0475</t>
  </si>
  <si>
    <t xml:space="preserve">[B2CW] Display CO2 Emissions for Each Flight</t>
  </si>
  <si>
    <t xml:space="preserve">NEW-0476</t>
  </si>
  <si>
    <t xml:space="preserve">INT166 Handling of individual markets for LATAM</t>
  </si>
  <si>
    <t xml:space="preserve">https://smartship.atlassian.net/browse/DTTP25-44262</t>
  </si>
  <si>
    <t xml:space="preserve">NEW-0477</t>
  </si>
  <si>
    <t xml:space="preserve">[B2C] ZAF - MyArea Multiple Purchase</t>
  </si>
  <si>
    <t xml:space="preserve">No change expected, front end fix only </t>
  </si>
  <si>
    <t xml:space="preserve">NEW-0478</t>
  </si>
  <si>
    <t xml:space="preserve">[B2C] ZAF - Management of entertainment fee</t>
  </si>
  <si>
    <t xml:space="preserve">NEW-0479</t>
  </si>
  <si>
    <t xml:space="preserve">[B2C] ZAF - Age restriction for thematic cruises</t>
  </si>
  <si>
    <t xml:space="preserve">NEW-0480</t>
  </si>
  <si>
    <t xml:space="preserve">[B2C] ZAF - Min occupancy for adults (4 pax) for specific thematic cruise</t>
  </si>
  <si>
    <t xml:space="preserve">NEW-0481</t>
  </si>
  <si>
    <t xml:space="preserve">S&amp;S Map country code of customer address INT014</t>
  </si>
  <si>
    <t xml:space="preserve">NEW-0482</t>
  </si>
  <si>
    <t xml:space="preserve">[EINT] [CR] Customer Error Messaging For special events check-in block</t>
  </si>
  <si>
    <t xml:space="preserve">https://smartship.atlassian.net/browse/DTTP25-44214</t>
  </si>
  <si>
    <t xml:space="preserve">NEW-0483</t>
  </si>
  <si>
    <t xml:space="preserve">MyMSC - ZAF Configurations - Chain 1, Chain 2, Prod </t>
  </si>
  <si>
    <t xml:space="preserve">https://smartship.atlassian.net/browse/DTTP25-44234</t>
  </si>
  <si>
    <t xml:space="preserve">NEW-0484</t>
  </si>
  <si>
    <t xml:space="preserve">[EINT] [PROD] INT166 Handling of individual markets for LATAM</t>
  </si>
  <si>
    <t xml:space="preserve">NEW-0485</t>
  </si>
  <si>
    <t xml:space="preserve">Production Release Preparation (PI11, ALL INC, ZAF)</t>
  </si>
  <si>
    <t xml:space="preserve">NEW-0486</t>
  </si>
  <si>
    <t xml:space="preserve">[B2CW] ThankYou page revamp (BKD &amp; OPT)</t>
  </si>
  <si>
    <t xml:space="preserve">NEW-0487</t>
  </si>
  <si>
    <t xml:space="preserve">Wrong countryCode passed in the membership on the MSC Voyager Club page</t>
  </si>
  <si>
    <t xml:space="preserve">NEW-0488</t>
  </si>
  <si>
    <t xml:space="preserve">[INT011] Map and transform LanguageCode in DTS Cabin Availability Request</t>
  </si>
  <si>
    <t xml:space="preserve">https://smartship.atlassian.net/browse/DTTP25-44464</t>
  </si>
  <si>
    <t xml:space="preserve">NEW-0489</t>
  </si>
  <si>
    <t xml:space="preserve">Logging Module Optimisation</t>
  </si>
  <si>
    <t xml:space="preserve">https://smartship.atlassian.net/browse/DTTP25-44467</t>
  </si>
  <si>
    <t xml:space="preserve">NEW-0490</t>
  </si>
  <si>
    <t xml:space="preserve">Sprint 13 - US GO Live Hypercare Support </t>
  </si>
  <si>
    <t xml:space="preserve">https://smartship.atlassian.net/browse/DTTP25-44463</t>
  </si>
  <si>
    <t xml:space="preserve">NEW-0491</t>
  </si>
  <si>
    <t xml:space="preserve">INT710 Add timezone field to Salesforce Case Object</t>
  </si>
  <si>
    <t xml:space="preserve">https://smartship.atlassian.net/browse/MDTTPU-18150</t>
  </si>
  <si>
    <t xml:space="preserve">NEW-0492</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</si>
  <si>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</si>
  <si>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</si>
  <si>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</si>
  <si>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</si>
  <si>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</si>
  <si>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</si>
  <si>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</si>
  <si>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</si>
  <si>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CHUB</t>
  </si>
  <si>
    <t xml:space="preserve">Update to CH042 on profiling consents</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</si>
  <si>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</si>
  <si>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</si>
  <si>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</si>
  <si>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</si>
  <si>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Yes</t>
  </si>
  <si>
    <t xml:space="preserve">No</t>
  </si>
  <si>
    <t xml:space="preserve">CHUB updates of consents </t>
  </si>
  <si>
    <t xml:space="preserve">https://smartship.atlassian.net/browse/DTTP25-43949</t>
  </si>
  <si>
    <t xml:space="preserve">Open </t>
  </si>
  <si>
    <t xml:space="preserve">CRM-AS-IS</t>
  </si>
  <si>
    <t xml:space="preserve">1. CRM AS IS to deploy updated pspActivationInsertProspect API including new market code field
2. CRM AS IS to deploy CAI022 event publishing</t>
  </si>
  <si>
    <t xml:space="preserve">Credentials need to be provided to subscribe to CAI022 events
E2E testing can start after MS implementation</t>
  </si>
  <si>
    <t xml:space="preserve">https://smartship.atlassian.net/browse/RES2-15399 + https://smartship.atlassian.net/browse/RES2-15642</t>
  </si>
  <si>
    <t xml:space="preserve">https://smartship.atlassian.net/browse/RES2-34535</t>
  </si>
  <si>
    <t xml:space="preserve">OP: Campaign Codes (prod), Sinch/Web user cancellation campaign</t>
  </si>
  <si>
    <t xml:space="preserve">DTTP25-43320</t>
  </si>
  <si>
    <t xml:space="preserve">OP: Field name </t>
  </si>
  <si>
    <t xml:space="preserve">MDTTPU-18152</t>
  </si>
  <si>
    <t xml:space="preserve">Sort Key</t>
  </si>
  <si>
    <t xml:space="preserve">Total HLE by Sprint</t>
  </si>
  <si>
    <t xml:space="preserve">To Plan</t>
  </si>
  <si>
    <t xml:space="preserve">Total HLE</t>
  </si>
  <si>
    <t xml:space="preserve">Sprint 1</t>
  </si>
  <si>
    <t xml:space="preserve">Sprint 2</t>
  </si>
  <si>
    <t xml:space="preserve">Sprint 3</t>
  </si>
  <si>
    <t xml:space="preserve">Sprint 4</t>
  </si>
  <si>
    <t xml:space="preserve">Sprint 14</t>
  </si>
  <si>
    <t xml:space="preserve">Sprint 5</t>
  </si>
  <si>
    <t xml:space="preserve">Sprint 13</t>
  </si>
  <si>
    <t xml:space="preserve">Sprint 6</t>
  </si>
  <si>
    <t xml:space="preserve">Sprint 7</t>
  </si>
  <si>
    <t xml:space="preserve">Sprint 12</t>
  </si>
  <si>
    <t xml:space="preserve">Sprint 8</t>
  </si>
  <si>
    <t xml:space="preserve">Sprint 9</t>
  </si>
  <si>
    <t xml:space="preserve">Sprint 10</t>
  </si>
  <si>
    <t xml:space="preserve">Sprint 11</t>
  </si>
  <si>
    <t xml:space="preserve">Sprint 15</t>
  </si>
  <si>
    <t xml:space="preserve">Sprint 16</t>
  </si>
  <si>
    <t xml:space="preserve">RAML Required</t>
  </si>
  <si>
    <t xml:space="preserve">RAML Delivery Date</t>
  </si>
  <si>
    <t xml:space="preserve">Assignee</t>
  </si>
  <si>
    <t xml:space="preserve">Design Status</t>
  </si>
  <si>
    <t xml:space="preserve">Design estimate</t>
  </si>
  <si>
    <t xml:space="preserve">Handover</t>
  </si>
  <si>
    <t xml:space="preserve">Pending Solution</t>
  </si>
  <si>
    <t xml:space="preserve">No Design Required</t>
  </si>
  <si>
    <t xml:space="preserve">Ready for Development</t>
  </si>
  <si>
    <t xml:space="preserve">Pending Design</t>
  </si>
  <si>
    <t xml:space="preserve">Luke</t>
  </si>
  <si>
    <t xml:space="preserve">Development to start on the 4th of September. </t>
  </si>
  <si>
    <t xml:space="preserve">Praneeth to review</t>
  </si>
  <si>
    <t xml:space="preserve">Praneeth</t>
  </si>
  <si>
    <t xml:space="preserve">Pending changes - Luke provided feedback</t>
  </si>
  <si>
    <t xml:space="preserve">pending LLD</t>
  </si>
  <si>
    <t xml:space="preserve">Bipin</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</si>
  <si>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</si>
  <si>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</si>
  <si>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</si>
  <si>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</si>
  <si>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</si>
  <si>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</si>
  <si>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</si>
  <si>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</si>
  <si>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</si>
  <si>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</si>
  <si>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</si>
  <si>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</si>
  <si>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</si>
  <si>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</si>
  <si>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</si>
  <si>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</si>
  <si>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</si>
  <si>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</si>
  <si>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</si>
  <si>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</si>
  <si>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</si>
  <si>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</si>
  <si>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</si>
  <si>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</si>
  <si>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</si>
  <si>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</si>
  <si>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</si>
  <si>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</si>
  <si>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</si>
  <si>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</si>
  <si>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</si>
  <si>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</si>
  <si>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</si>
  <si>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</si>
  <si>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</si>
  <si>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</si>
  <si>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</si>
  <si>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</si>
  <si>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</si>
  <si>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</si>
  <si>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</si>
  <si>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</si>
  <si>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</si>
  <si>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</si>
  <si>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</si>
  <si>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</si>
  <si>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</si>
  <si>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</si>
  <si>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</si>
  <si>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</si>
  <si>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</si>
  <si>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</si>
  <si>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</si>
  <si>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</si>
  <si>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</si>
  <si>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</si>
  <si>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</si>
  <si>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</si>
  <si>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</si>
  <si>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</si>
  <si>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</si>
  <si>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</si>
  <si>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</si>
  <si>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</si>
  <si>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</si>
  <si>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</si>
  <si>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</si>
  <si>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</si>
  <si>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</si>
  <si>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</si>
  <si>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</si>
  <si>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</si>
  <si>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</si>
  <si>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</si>
  <si>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</si>
  <si>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</si>
  <si>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</si>
  <si>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</si>
  <si>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</si>
  <si>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</si>
  <si>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</si>
  <si>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</si>
  <si>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</si>
  <si>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</si>
  <si>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</si>
  <si>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</si>
  <si>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</si>
  <si>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</si>
  <si>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</si>
  <si>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</si>
  <si>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</si>
  <si>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</si>
  <si>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</si>
  <si>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</si>
  <si>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</si>
  <si>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</si>
  <si>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</si>
  <si>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</si>
  <si>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</si>
  <si>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</si>
  <si>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</si>
  <si>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</si>
  <si>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</si>
  <si>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</si>
  <si>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</si>
  <si>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</si>
  <si>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</si>
  <si>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</si>
  <si>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</si>
  <si>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</si>
  <si>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</si>
  <si>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</si>
  <si>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</si>
  <si>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</si>
  <si>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</si>
  <si>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</si>
  <si>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</si>
  <si>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</si>
  <si>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</si>
  <si>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</si>
  <si>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</si>
  <si>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</si>
  <si>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</si>
  <si>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</si>
  <si>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</si>
  <si>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</si>
  <si>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</si>
  <si>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</si>
  <si>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</si>
  <si>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</si>
  <si>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</si>
  <si>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</si>
  <si>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</si>
  <si>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</si>
  <si>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</si>
  <si>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</si>
  <si>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</si>
  <si>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</si>
  <si>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</si>
  <si>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</si>
  <si>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</si>
  <si>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</si>
  <si>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</si>
  <si>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</si>
  <si>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</si>
  <si>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</si>
  <si>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</si>
  <si>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</si>
  <si>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</si>
  <si>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</si>
  <si>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</si>
  <si>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</si>
  <si>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</si>
  <si>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</si>
  <si>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</si>
  <si>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</si>
  <si>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</si>
  <si>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</si>
  <si>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</si>
  <si>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</si>
  <si>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</si>
  <si>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</si>
  <si>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</si>
  <si>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</si>
  <si>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</si>
  <si>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</si>
  <si>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</si>
  <si>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</si>
  <si>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</si>
  <si>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</si>
  <si>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</si>
  <si>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</si>
  <si>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</si>
  <si>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</si>
  <si>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</si>
  <si>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</si>
  <si>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</si>
  <si>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</si>
  <si>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</si>
  <si>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</si>
  <si>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</si>
  <si>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</si>
  <si>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</si>
  <si>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</si>
  <si>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</si>
  <si>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</si>
  <si>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</si>
  <si>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</si>
  <si>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</si>
  <si>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</si>
  <si>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</si>
  <si>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</si>
  <si>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</si>
  <si>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</si>
  <si>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</si>
  <si>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</si>
  <si>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</si>
  <si>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</si>
  <si>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</si>
  <si>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</si>
  <si>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</si>
  <si>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</si>
  <si>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</si>
  <si>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</si>
  <si>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</si>
  <si>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</si>
  <si>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</si>
  <si>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</si>
  <si>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</si>
  <si>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</si>
  <si>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</si>
  <si>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</si>
  <si>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</si>
  <si>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</si>
  <si>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</si>
  <si>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</si>
  <si>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</si>
  <si>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</si>
  <si>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</si>
  <si>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</si>
  <si>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</si>
  <si>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</si>
  <si>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</si>
  <si>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</si>
  <si>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</si>
  <si>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</si>
  <si>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</si>
  <si>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</si>
  <si>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</si>
  <si>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</si>
  <si>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</si>
  <si>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</si>
  <si>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</si>
  <si>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</si>
  <si>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</si>
  <si>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</si>
  <si>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</si>
  <si>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</si>
  <si>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</si>
  <si>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</si>
  <si>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</si>
  <si>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</si>
  <si>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</si>
  <si>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</si>
  <si>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</si>
  <si>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</si>
  <si>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</si>
  <si>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</si>
  <si>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</si>
  <si>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</si>
  <si>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</si>
  <si>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</si>
  <si>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</si>
  <si>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</si>
  <si>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</si>
  <si>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</si>
  <si>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</si>
  <si>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</si>
  <si>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</si>
  <si>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</si>
  <si>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</si>
  <si>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</si>
  <si>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</si>
  <si>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</si>
  <si>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</si>
  <si>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</si>
  <si>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</si>
  <si>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</si>
  <si>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</si>
  <si>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</si>
  <si>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</si>
  <si>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</si>
  <si>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</si>
  <si>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</si>
  <si>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</si>
  <si>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</si>
  <si>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</si>
  <si>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</si>
  <si>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</si>
  <si>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</si>
  <si>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</si>
  <si>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</si>
  <si>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</si>
  <si>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</si>
  <si>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</si>
  <si>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</si>
  <si>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</si>
  <si>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</si>
  <si>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</si>
  <si>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</si>
  <si>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</si>
  <si>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</si>
  <si>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</si>
  <si>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</si>
  <si>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</si>
  <si>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</si>
  <si>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</si>
  <si>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</si>
  <si>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</si>
  <si>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</si>
  <si>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</si>
  <si>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</si>
  <si>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</si>
  <si>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</si>
  <si>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</si>
  <si>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</si>
  <si>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</si>
  <si>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</si>
  <si>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</si>
  <si>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</si>
  <si>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</si>
  <si>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</si>
  <si>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</si>
  <si>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</si>
  <si>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</si>
  <si>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</si>
  <si>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</si>
  <si>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</si>
  <si>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</si>
  <si>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</si>
  <si>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</si>
  <si>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NEW-0389</t>
  </si>
  <si>
    <t xml:space="preserve">[DTTP] Implementation of Online Post-Cruise Complaint Form – Salesforce Integration_EA</t>
  </si>
  <si>
    <t xml:space="preserve">NEW-0392</t>
  </si>
  <si>
    <t xml:space="preserve">INT183 - Add price per night</t>
  </si>
  <si>
    <t xml:space="preserve">NEW-0057</t>
  </si>
  <si>
    <t xml:space="preserve">API Prod Configurations - Attentive / Webforms</t>
  </si>
  <si>
    <t xml:space="preserve">NEW-0058</t>
  </si>
  <si>
    <t xml:space="preserve">CR - Attentive Error Scenarios INT 175</t>
  </si>
  <si>
    <t xml:space="preserve">NEW-0060</t>
  </si>
  <si>
    <t xml:space="preserve">[MyMSC] [EINT] Configurations for US - Prod</t>
  </si>
  <si>
    <t xml:space="preserve">NEW-0061</t>
  </si>
  <si>
    <t xml:space="preserve">Load Test + Performance Enhancements - Part 1</t>
  </si>
  <si>
    <t xml:space="preserve">NEW-0063</t>
  </si>
  <si>
    <t xml:space="preserve">INT 005.2 - Support One-Way Air Packages in Flight Availability</t>
  </si>
  <si>
    <t xml:space="preserve">NEW-0067</t>
  </si>
  <si>
    <t xml:space="preserve">PI11-14 [CRM] [EA-1722] CRM Dependency - Lead Management - Price Description info in CDP</t>
  </si>
  <si>
    <t xml:space="preserve">NEW-0071</t>
  </si>
  <si>
    <t xml:space="preserve">E2E Ticket Support - FAT and Canary Tests</t>
  </si>
  <si>
    <t xml:space="preserve">NEW-0275</t>
  </si>
  <si>
    <t xml:space="preserve">[EINT] [Tech Task] INT172 INT174 - Attentive Error Scenarios</t>
  </si>
  <si>
    <t xml:space="preserve">NEW-0368</t>
  </si>
  <si>
    <t xml:space="preserve">MyMSC US | [INT112][INT137][INT140][INT146][INT153][INT154][INT188] Add per-country/language MyMSC campaign config check to skip optional marketing automation calls</t>
  </si>
  <si>
    <t xml:space="preserve">NEW-0075</t>
  </si>
  <si>
    <t xml:space="preserve">PI11-13 [CRM] [INTP-25] CRM Dependency - Marketing Automation - Calculated fields Booking B2B/B2C</t>
  </si>
  <si>
    <t xml:space="preserve">NEW-0076</t>
  </si>
  <si>
    <t xml:space="preserve">[EINT] [CR] [INT006] PI11-15 CRM Dependency - Lead Management - Hold option additional event fields in CDP</t>
  </si>
  <si>
    <t xml:space="preserve">NEW-0029</t>
  </si>
  <si>
    <t xml:space="preserve">MYMSC All inc CR remove logic from AEM</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</si>
  <si>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</si>
  <si>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</si>
  <si>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</si>
  <si>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</si>
  <si>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</si>
  <si>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</si>
  <si>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</si>
  <si>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</si>
  <si>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</si>
  <si>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</si>
  <si>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</si>
  <si>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</si>
  <si>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</si>
  <si>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</si>
  <si>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</si>
  <si>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</si>
  <si>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</si>
  <si>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</si>
  <si>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NEW-0408</t>
  </si>
  <si>
    <t xml:space="preserve">US Growth - B2CW Payment billing data/ US Release ACS Check - Part 1 (Adding the new fields to INT007, INT140, INT146)</t>
  </si>
  <si>
    <t xml:space="preserve">Release 21</t>
  </si>
  <si>
    <t xml:space="preserve">NEW-0409</t>
  </si>
  <si>
    <t xml:space="preserve">US Growth - B2CW Payment billing data/ US Release AVS Check - Part 2 (Wiring the new fields to Datatrans in INT007, INT140, INT146)</t>
  </si>
  <si>
    <t xml:space="preserve">NEW-0411</t>
  </si>
  <si>
    <t xml:space="preserve">Load Test Perf - Support &amp; Analysis</t>
  </si>
  <si>
    <t xml:space="preserve">NEW-0412</t>
  </si>
  <si>
    <t xml:space="preserve">US 0.1 Release Preparation - Aug 24</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</si>
  <si>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</si>
  <si>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</si>
  <si>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</si>
  <si>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</si>
  <si>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</si>
  <si>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</si>
  <si>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</si>
  <si>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</si>
  <si>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</si>
  <si>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</si>
  <si>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</si>
  <si>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</si>
  <si>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</si>
  <si>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</si>
  <si>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</si>
  <si>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</si>
  <si>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</si>
  <si>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Notes - Sep 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</si>
  <si>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</si>
  <si>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</si>
  <si>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</si>
  <si>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Released in Production on July 16 (CHG0070881)
- Still waiting from Silvio Marini for market on which the feature will be validated so that campaign code can be requested.
- Feature is not actually used in Production.</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</si>
  <si>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</si>
  <si>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</si>
  <si>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</si>
  <si>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LLD completed
- Moved from Sprint 11 to Sprint 12
</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</si>
  <si>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</si>
  <si>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</si>
  <si>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</si>
  <si>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 Ready For Development
- Moved from Sprint 11 to Sprint 12</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</si>
  <si>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</si>
  <si>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</si>
  <si>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</si>
  <si>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LLD. No call has been organised.
- Originally Planned for Sprint 12. To be moved to PI12.</t>
  </si>
  <si>
    <t xml:space="preserve">cod</t>
  </si>
  <si>
    <t xml:space="preserve">- Pending E2E Arch Solution - HLD
- Campaign codes from MA Needed
- To clarify integration with S&amp;S</t>
  </si>
  <si>
    <t xml:space="preserve">- No clear requirement. 
- No updates.</t>
  </si>
  <si>
    <t xml:space="preserve">- No clear requirement.
- Potentially no work for  us.
- To be moved to PI12.</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</si>
  <si>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</si>
  <si>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</si>
  <si>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</si>
  <si>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</si>
  <si>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</si>
  <si>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</si>
  <si>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</si>
  <si>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NEW-0384</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</si>
  <si>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</si>
  <si>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</si>
  <si>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</si>
  <si>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</si>
  <si>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</si>
  <si>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</si>
  <si>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</si>
  <si>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</si>
  <si>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</si>
  <si>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</si>
  <si>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</si>
  <si>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</si>
  <si>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</si>
  <si>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</si>
  <si>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</si>
  <si>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https://smartship.atlassian.net/browse/MDTTPU-2694</t>
  </si>
  <si>
    <t xml:space="preserve">https://smartship.atlassian.net/browse/MDTTPU-1817</t>
  </si>
  <si>
    <t xml:space="preserve">https://smartship.atlassian.net/browse/MDTTPU-1818</t>
  </si>
  <si>
    <t xml:space="preserve">https://smartship.atlassian.net/browse/MDTTPU-3291</t>
  </si>
  <si>
    <t xml:space="preserve">https://smartship.atlassian.net/browse/MDTTPU-2801</t>
  </si>
  <si>
    <t xml:space="preserve">https://smartship.atlassian.net/browse/MDTTPU-2693</t>
  </si>
  <si>
    <t xml:space="preserve">https://smartship.atlassian.net/browse/MDTTPU-4426</t>
  </si>
  <si>
    <t xml:space="preserve">https://smartship.atlassian.net/browse/MDTTPU-2597</t>
  </si>
  <si>
    <t xml:space="preserve">https://smartship.atlassian.net/browse/DTTP25-34471</t>
  </si>
  <si>
    <t xml:space="preserve">https://smartship.atlassian.net/browse/DTTP25-32814</t>
  </si>
  <si>
    <t xml:space="preserve">https://smartship.atlassian.net/browse/DTTP25-33595</t>
  </si>
  <si>
    <t xml:space="preserve">https://smartship.atlassian.net/browse/DTTP25-34477</t>
  </si>
  <si>
    <t xml:space="preserve">https://smartship.atlassian.net/browse/CRM2-5703</t>
  </si>
  <si>
    <t xml:space="preserve">https://smartship.atlassian.net/browse/MDTTPU-1452</t>
  </si>
  <si>
    <t xml:space="preserve">https://smartship.atlassian.net/browse/DTTP25-31218</t>
  </si>
  <si>
    <t xml:space="preserve">https://smartship.atlassian.net/browse/MDTTPU-4055</t>
  </si>
  <si>
    <t xml:space="preserve">https://smartship.atlassian.net/browse/DTTP25-14580</t>
  </si>
  <si>
    <t xml:space="preserve">https://smartship.atlassian.net/browse/DTTP25-15335</t>
  </si>
  <si>
    <t xml:space="preserve">https://smartship.atlassian.net/browse/DTTP25-36961</t>
  </si>
  <si>
    <t xml:space="preserve">https://smartship.atlassian.net/browse/DTTP25-31069</t>
  </si>
  <si>
    <t xml:space="preserve">https://smartship.atlassian.net/browse/DTTP25-32844</t>
  </si>
  <si>
    <t xml:space="preserve">https://smartship.atlassian.net/browse/DTTP25-38109</t>
  </si>
  <si>
    <t xml:space="preserve">https://smartship.atlassian.net/browse/DTTP25-31070</t>
  </si>
  <si>
    <t xml:space="preserve">https://smartship.atlassian.net/browse/DTTP25-15383</t>
  </si>
  <si>
    <t xml:space="preserve">https://smartship.atlassian.net/browse/DTTP25-15384</t>
  </si>
  <si>
    <t xml:space="preserve">https://smartship.atlassian.net/browse/MDTTPU-1248</t>
  </si>
  <si>
    <t xml:space="preserve">https://smartship.atlassian.net/browse/MDTTPU-1255</t>
  </si>
  <si>
    <t xml:space="preserve">https://smartship.atlassian.net/browse/FFPP-348</t>
  </si>
  <si>
    <t xml:space="preserve">https://smartship.atlassian.net/browse/MDTTPU-1450</t>
  </si>
  <si>
    <t xml:space="preserve">https://smartship.atlassian.net/browse/DTTP25-29370</t>
  </si>
  <si>
    <t xml:space="preserve">https://smartship.atlassian.net/browse/DE-39</t>
  </si>
  <si>
    <t xml:space="preserve">https://smartship.atlassian.net/browse/DTTP25-31264</t>
  </si>
  <si>
    <t xml:space="preserve">https://smartship.atlassian.net/browse/DTTP25-32150</t>
  </si>
  <si>
    <t xml:space="preserve">https://smartship.atlassian.net/browse/EA-1124</t>
  </si>
  <si>
    <t xml:space="preserve">https://smartship.atlassian.net/browse/MDTTPU-1291</t>
  </si>
  <si>
    <t xml:space="preserve">https://smartship.atlassian.net/browse/FFPP-337</t>
  </si>
  <si>
    <t xml:space="preserve">https://smartship.atlassian.net/browse/MDTTPU-1285</t>
  </si>
  <si>
    <t xml:space="preserve">https://smartship.atlassian.net/browse/DTTP25-25776</t>
  </si>
  <si>
    <t xml:space="preserve">https://smartship.atlassian.net/browse/DTTP25-28557</t>
  </si>
  <si>
    <t xml:space="preserve">https://smartship.atlassian.net/browse/DTTP25-27361</t>
  </si>
  <si>
    <t xml:space="preserve">https://smartship.atlassian.net/browse/EA-1097</t>
  </si>
  <si>
    <t xml:space="preserve">https://smartship.atlassian.net/browse/EA-1154</t>
  </si>
  <si>
    <t xml:space="preserve">https://smartship.atlassian.net/browse/EA-1130</t>
  </si>
  <si>
    <t xml:space="preserve">https://smartship.atlassian.net/browse/MDTTPU-6137</t>
  </si>
  <si>
    <t xml:space="preserve">https://smartship.atlassian.net/browse/MDTTPU-10926</t>
  </si>
  <si>
    <t xml:space="preserve">https://smartship.atlassian.net/browse/DTTP25-38934</t>
  </si>
  <si>
    <t xml:space="preserve">https://smartship.atlassian.net/browse/DTTP25-38931</t>
  </si>
  <si>
    <t xml:space="preserve">https://smartship.atlassian.net/browse/MDTTPU-4728</t>
  </si>
  <si>
    <t xml:space="preserve">https://smartship.atlassian.net/browse/DTTP25-35604</t>
  </si>
  <si>
    <t xml:space="preserve">https://smartship.atlassian.net/browse/DTTP25-35603</t>
  </si>
  <si>
    <t xml:space="preserve">https://smartship.atlassian.net/browse/DTTP25-36938</t>
  </si>
  <si>
    <t xml:space="preserve">https://smartship.atlassian.net/browse/DTTP25-38409</t>
  </si>
  <si>
    <t xml:space="preserve">https://smartship.atlassian.net/browse/DTTP25-36972</t>
  </si>
  <si>
    <t xml:space="preserve">https://smartship.atlassian.net/browse/EA-1117</t>
  </si>
  <si>
    <t xml:space="preserve">https://smartship.atlassian.net/browse/DTTP25-36939</t>
  </si>
  <si>
    <t xml:space="preserve">https://smartship.atlassian.net/browse/DTTP25-40332</t>
  </si>
  <si>
    <t xml:space="preserve">https://smartship.atlassian.net/browse/DTTP25-38635</t>
  </si>
  <si>
    <t xml:space="preserve">https://smartship.atlassian.net/browse/DTTP25-37438</t>
  </si>
  <si>
    <t xml:space="preserve">https://smartship.atlassian.net/browse/MDTTPU-6141</t>
  </si>
  <si>
    <t xml:space="preserve">https://smartship.atlassian.net/browse/MDTTPU-8133</t>
  </si>
  <si>
    <t xml:space="preserve">https://smartship.atlassian.net/browse/MDTTPU-6140</t>
  </si>
  <si>
    <t xml:space="preserve">https://smartship.atlassian.net/browse/MDTTPU-2675</t>
  </si>
  <si>
    <t xml:space="preserve">https://smartship.atlassian.net/browse/DTTP25-35437</t>
  </si>
  <si>
    <t xml:space="preserve">https://smartship.atlassian.net/browse/MDTTPU-5929</t>
  </si>
  <si>
    <t xml:space="preserve">https://smartship.atlassian.net/browse/DTTP25-38013</t>
  </si>
  <si>
    <t xml:space="preserve">https://smartship.atlassian.net/browse/DTTP25-34120</t>
  </si>
  <si>
    <t xml:space="preserve">https://smartship.atlassian.net/browse/MDTTPU-4777</t>
  </si>
  <si>
    <t xml:space="preserve">https://smartship.atlassian.net/browse/MDTTPU-9536</t>
  </si>
  <si>
    <t xml:space="preserve">https://smartship.atlassian.net/browse/MDTTPU-7976</t>
  </si>
  <si>
    <t xml:space="preserve">https://smartship.atlassian.net/browse/DTTP25-37982</t>
  </si>
  <si>
    <t xml:space="preserve">https://smartship.atlassian.net/browse/DTTP25-35435</t>
  </si>
  <si>
    <t xml:space="preserve">https://smartship.atlassian.net/browse/EA-1307</t>
  </si>
  <si>
    <t xml:space="preserve">https://smartship.atlassian.net/browse/DTTP25-37439</t>
  </si>
  <si>
    <t xml:space="preserve">https://smartship.atlassian.net/browse/DTTP25-31684</t>
  </si>
  <si>
    <t xml:space="preserve">https://smartship.atlassian.net/browse/DTTP25-39645</t>
  </si>
  <si>
    <t xml:space="preserve">https://smartship.atlassian.net/browse/MDTTPU-4412</t>
  </si>
  <si>
    <t xml:space="preserve">https://smartship.atlassian.net/browse/MDTTPU-5928</t>
  </si>
  <si>
    <t xml:space="preserve">https://smartship.atlassian.net/browse/MDTTPU-1816</t>
  </si>
  <si>
    <t xml:space="preserve">https://smartship.atlassian.net/browse/DTTP25-35414</t>
  </si>
  <si>
    <t xml:space="preserve">https://smartship.atlassian.net/browse/DTTP25-36856</t>
  </si>
  <si>
    <t xml:space="preserve">https://smartship.atlassian.net/browse/DTTP25-35956</t>
  </si>
  <si>
    <t xml:space="preserve">https://smartship.atlassian.net/browse/DTTP25-37062</t>
  </si>
  <si>
    <t xml:space="preserve">https://smartship.atlassian.net/browse/MDTTPU-6139</t>
  </si>
  <si>
    <t xml:space="preserve">https://smartship.atlassian.net/browse/MDTTPU-1336</t>
  </si>
  <si>
    <t xml:space="preserve">https://smartship.atlassian.net/browse/MDTTPU-2573</t>
  </si>
  <si>
    <t xml:space="preserve">https://smartship.atlassian.net/browse/MDTTPU-6142</t>
  </si>
  <si>
    <t xml:space="preserve">https://smartship.atlassian.net/browse/DTTP25-35279</t>
  </si>
  <si>
    <t xml:space="preserve">https://smartship.atlassian.net/browse/DTTP25-36730</t>
  </si>
  <si>
    <t xml:space="preserve">https://smartship.atlassian.net/browse/DTTP25-34505</t>
  </si>
  <si>
    <t xml:space="preserve">https://smartship.atlassian.net/browse/DTTP25-36916</t>
  </si>
  <si>
    <t xml:space="preserve">https://smartship.atlassian.net/browse/DTTP25-34473</t>
  </si>
  <si>
    <t xml:space="preserve">https://smartship.atlassian.net/browse/DTTP25-35415</t>
  </si>
  <si>
    <t xml:space="preserve">https://smartship.atlassian.net/browse/EA-1280</t>
  </si>
  <si>
    <t xml:space="preserve">https://smartship.atlassian.net/browse/MDTTPU-2673</t>
  </si>
  <si>
    <t xml:space="preserve">https://smartship.atlassian.net/browse/MDTTPU-2674</t>
  </si>
  <si>
    <t xml:space="preserve">https://smartship.atlassian.net/browse/DTTP25-31539</t>
  </si>
  <si>
    <t xml:space="preserve">https://smartship.atlassian.net/browse/DTTP25-34294</t>
  </si>
  <si>
    <t xml:space="preserve">https://smartship.atlassian.net/browse/DTTP25-34293</t>
  </si>
  <si>
    <t xml:space="preserve">https://smartship.atlassian.net/browse/DTTP25-34295</t>
  </si>
  <si>
    <t xml:space="preserve">https://smartship.atlassian.net/browse/DTTP25-34475</t>
  </si>
  <si>
    <t xml:space="preserve">https://smartship.atlassian.net/browse/DTTP25-35278</t>
  </si>
  <si>
    <t xml:space="preserve">https://smartship.atlassian.net/browse/MDTTPU-5927</t>
  </si>
  <si>
    <t xml:space="preserve">https://smartship.atlassian.net/browse/DTTP25-35439</t>
  </si>
  <si>
    <t xml:space="preserve">https://smartship.atlassian.net/browse/DTTP25-35644</t>
  </si>
  <si>
    <t xml:space="preserve">https://smartship.atlassian.net/browse/MDTTPU-5925</t>
  </si>
  <si>
    <t xml:space="preserve">https://smartship.atlassian.net/browse/DTTP25-35257</t>
  </si>
  <si>
    <t xml:space="preserve">https://smartship.atlassian.net/browse/MDTTPU-5926</t>
  </si>
  <si>
    <t xml:space="preserve">https://smartship.atlassian.net/browse/DTTP25-34495</t>
  </si>
  <si>
    <t xml:space="preserve">https://smartship.atlassian.net/browse/DTTP25-14439</t>
  </si>
  <si>
    <t xml:space="preserve">https://smartship.atlassian.net/browse/DTTP25-29365</t>
  </si>
  <si>
    <t xml:space="preserve">https://smartship.atlassian.net/browse/DTTP25-14697</t>
  </si>
  <si>
    <t xml:space="preserve">https://smartship.atlassian.net/browse/EA-1125</t>
  </si>
  <si>
    <t xml:space="preserve">https://smartship.atlassian.net/browse/EA-1327</t>
  </si>
  <si>
    <t xml:space="preserve">https://smartship.atlassian.net/browse/DTTP25-40256</t>
  </si>
  <si>
    <t xml:space="preserve">https://smartship.atlassian.net/browse/DTTP25-19655</t>
  </si>
  <si>
    <t xml:space="preserve">https://smartship.atlassian.net/browse/EA-1772</t>
  </si>
  <si>
    <t xml:space="preserve">https://smartship.atlassian.net/browse/DTTP25-41462</t>
  </si>
  <si>
    <t xml:space="preserve">https://smartship.atlassian.net/browse/EA-1774</t>
  </si>
  <si>
    <t xml:space="preserve">https://smartship.atlassian.net/browse/EA-1775</t>
  </si>
  <si>
    <t xml:space="preserve">https://smartship.atlassian.net/browse/EA-1773</t>
  </si>
  <si>
    <t xml:space="preserve">https://smartship.atlassian.net/browse/MDTTPU-14018</t>
  </si>
  <si>
    <t xml:space="preserve">https://smartship.atlassian.net/browse/MDTTPU-13969</t>
  </si>
  <si>
    <t xml:space="preserve">https://smartship.atlassian.net/browse/MDTTPU-1292</t>
  </si>
  <si>
    <t xml:space="preserve">https://smartship.atlassian.net/browse/MDTTPU-13739</t>
  </si>
  <si>
    <t xml:space="preserve">https://smartship.atlassian.net/browse/MDTTPU-13740</t>
  </si>
  <si>
    <t xml:space="preserve">https://smartship.atlassian.net/browse/MDTTPU-13970</t>
  </si>
  <si>
    <t xml:space="preserve">https://smartship.atlassian.net/browse/MDTTPU-13971</t>
  </si>
  <si>
    <t xml:space="preserve">NEW-0435</t>
  </si>
  <si>
    <t xml:space="preserve">new item</t>
  </si>
  <si>
    <t xml:space="preserve">NEW-0440</t>
  </si>
  <si>
    <t xml:space="preserve">neew item 2</t>
  </si>
  <si>
    <t xml:space="preserve">https://smartship.atlassian.net/browse/MDTTPU-14019</t>
  </si>
  <si>
    <t xml:space="preserve">https://smartship.atlassian.net/browse/MDTTPU-13413</t>
  </si>
  <si>
    <t xml:space="preserve">https://smartship.atlassian.net/browse/MDTTPU-15260</t>
  </si>
  <si>
    <t xml:space="preserve">https://smartship.atlassian.net/browse/DTTP25-41779</t>
  </si>
  <si>
    <t xml:space="preserve">https://smartship.atlassian.net/browse/MDTTPU-13796</t>
  </si>
  <si>
    <t xml:space="preserve">https://smartship.atlassian.net/browse/MDTTPU-14929</t>
  </si>
  <si>
    <t xml:space="preserve">https://smartship.atlassian.net/browse/DTTP25-40322</t>
  </si>
  <si>
    <t xml:space="preserve">https://smartship.atlassian.net/browse/MDTTPU-15252</t>
  </si>
  <si>
    <t xml:space="preserve">https://smartship.atlassian.net/browse/MDTTPU-15262</t>
  </si>
  <si>
    <t xml:space="preserve">NEW-0407</t>
  </si>
  <si>
    <t xml:space="preserve">Puerto Rico on US site Status Match (INT010.3)</t>
  </si>
  <si>
    <t xml:space="preserve">https://smartship.atlassian.net/browse/MDTTPU-15251</t>
  </si>
  <si>
    <t xml:space="preserve">https://smartship.atlassian.net/browse/MDTTPU-15253</t>
  </si>
  <si>
    <t xml:space="preserve">https://smartship.atlassian.net/browse/DTTP25-38250</t>
  </si>
  <si>
    <t xml:space="preserve">[Growth] [CR] [INT005.2][INT004.3][INT004.4][INT006][INT007] - Conditionally capture outbound/return dates for One-Way Air Packages</t>
  </si>
  <si>
    <t xml:space="preserve">https://smartship.atlassian.net/browse/DTTP25-40435</t>
  </si>
  <si>
    <t xml:space="preserve">Frictionless secure fields payments</t>
  </si>
  <si>
    <t xml:space="preserve">https://smartship.atlassian.net/browse/DTTP25-42079</t>
  </si>
  <si>
    <t xml:space="preserve">[EINT] [CR] Map timezone in case creation in scheduled callback - US Stream</t>
  </si>
  <si>
    <t xml:space="preserve">https://smartship.atlassian.net/browse/MDTTPU-16586</t>
  </si>
  <si>
    <t xml:space="preserve">E2E Ticket Support - FAT and Canary Tests - Sprint 11</t>
  </si>
  <si>
    <t xml:space="preserve">2nd of September Release Prep</t>
  </si>
  <si>
    <t xml:space="preserve">MyMSC Login after Purchase in Booking Funnel</t>
  </si>
  <si>
    <t xml:space="preserve">https://smartship.atlassian.net/browse/DTTP25-42351</t>
  </si>
  <si>
    <t xml:space="preserve">M4M Configuration of AU+DE markets</t>
  </si>
  <si>
    <t xml:space="preserve">NEW-0451</t>
  </si>
  <si>
    <t xml:space="preserve">[INT188] EAPI incorrectly calling CHUB</t>
  </si>
  <si>
    <t xml:space="preserve">https://smartship.atlassian.net/browse/DTTP25-41817</t>
  </si>
  <si>
    <t xml:space="preserve">MyMSC US Removal of campaign configuration</t>
  </si>
  <si>
    <t xml:space="preserve">US Growth - B2CW Payment billing data/ US Release AVS Check - Part 3 (Store customer data to Datatrans in INT007, INT140, INT146)</t>
  </si>
  <si>
    <t xml:space="preserve">https://smartship.atlassian.net/browse/DTTP25-41935</t>
  </si>
  <si>
    <t xml:space="preserve">https://smartship.atlassian.net/browse/DTTP25-41936</t>
  </si>
  <si>
    <t xml:space="preserve">https://smartship.atlassian.net/browse/DTTP25-41931</t>
  </si>
  <si>
    <t xml:space="preserve">Release Prep - Sept 17th (ALL INC + ONE WAY AIR PACKAGES)</t>
  </si>
  <si>
    <t xml:space="preserve">Release Prep - Sept 24th (CLUB ENROLLMENT)</t>
  </si>
  <si>
    <t xml:space="preserve">Release Prep - Oct 1st (ZAF ROLLOUT)</t>
  </si>
  <si>
    <t xml:space="preserve">MyMSC Support PR country of residence in loyalty club subscription INT112/INT153</t>
  </si>
  <si>
    <t xml:space="preserve">MyMSC Map country code of customer address INT148/INT149</t>
  </si>
  <si>
    <t xml:space="preserve">https://smartship.atlassian.net/browse/DTTP25-43951</t>
  </si>
  <si>
    <t xml:space="preserve">[INT178] Add retry logic for Azure AD B2C lookup</t>
  </si>
  <si>
    <t xml:space="preserve">https://smartship.atlassian.net/browse/DTTP25-43955</t>
  </si>
  <si>
    <t xml:space="preserve">NEW-0065</t>
  </si>
  <si>
    <t xml:space="preserve">ZAFRollout - Market Configurations in Production</t>
  </si>
  <si>
    <t xml:space="preserve">NEW-0452</t>
  </si>
  <si>
    <t xml:space="preserve">MSC-US | Homeless Email Flexibility - Additional Requirement</t>
  </si>
  <si>
    <t xml:space="preserve">NEW-0265</t>
  </si>
  <si>
    <t xml:space="preserve">TLI 99.1</t>
  </si>
  <si>
    <t xml:space="preserve">NEW-0266</t>
  </si>
  <si>
    <t xml:space="preserve">Campaigns for loyalty program management</t>
  </si>
  <si>
    <t xml:space="preserve">New Security Remediation - DTTP Stack to CRM ASIS_EA</t>
  </si>
  <si>
    <t xml:space="preserve">CRMASIS</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</si>
  <si>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</si>
  <si>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</si>
  <si>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</si>
  <si>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</si>
  <si>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</si>
  <si>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</si>
  <si>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</si>
  <si>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</si>
  <si>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</si>
  <si>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</si>
  <si>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</si>
  <si>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</si>
  <si>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</si>
  <si>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</si>
  <si>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</si>
  <si>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</si>
  <si>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</si>
  <si>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</si>
  <si>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</si>
  <si>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</si>
  <si>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</si>
  <si>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</si>
  <si>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</si>
  <si>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also archives Status=NA items to "No scope for MS")</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</si>
  <si>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For every Backlog row whose Status = "NA" (no scope for MuleSoft) that
 * isn't already archived:
 *   1. Appends the row to the "No scope for MS" sheet
 *   2. Deletes any matching row from the Release tab (nothing to ship)
 *   3. Deletes the row from Sprint Planning, RTM, API Design Planning
 *   4. Deletes the row from Backlog
 * (Same removal treatment as DONE items — steps 3–4 are identical.)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G=JiraLink  H=Priority  I=Sprint  J=Release  K=HLE
// (Jira Link is now a plain pasted URL, carried straight through from
// Backlog — there is no separate Jira Key column anywhere anymore.)
const Q_COLS = [
  "reqId", "name", "type", "stream", "owner", "status",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 Fixed destination for Status="NA" items — same column order as the
// quarter tabs (Q_COLS), so the existing buildQRow/write logic works as-is.
const NA_SHEET = "No scope for MS";
const FREEZE_KEYS = ["name", "stream", "sprint</t>
  </si>
  <si>
    <t xml:space="preserve">", "status", "priority", "hle"] as const;
type FreezeKey = typeof FREEZE_KEYS[number];
interface ArchiveItem {
  reqId:        string;
  blRow:        number;   // index into blVals (1-based, 0 = header)
  quarterSheet: string | null;   // null = destined for the NA_SHEET, not a quarter
  name:         string;
  type:         string;
  stream:       string;
  owner:        string;
  status:       string;
  priority:     string | number | boolean;
  sprint:       string;
  hle:          string | number | boolean;
  jiraLink:     string;
  release:      string | number | boolean;
}
// ─── Main ────────────────────────────────────────────────────────────────────
function main(workbook: ExcelScript.Workbook): string {
  // Sprint number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t>
  </si>
  <si>
    <t xml:space="preserve">[][];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"No scope for MS" sheet — same read pattern as the quarter tabs above
  const naWs   = workbook.getWorksheet(NA_SHEET);
  const naUsed = naWs.getUsedRange();
  const naVals = naUsed ? naUsed.getValues() : [] as (string | number | boolean)[][];
  const naNext = naUsed ? naUsed.getRowIndex() + naUsed.getRowCount()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t>
  </si>
  <si>
    <t xml:space="preserve">;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boolean)[][];
  const relStart = relUsed ? relUsed.getRowIndex() : 0;
  const relHdr  = relVals.length &gt; 0 ? relVals[0].map(v =&gt; asStr(v).toLowerCase()) : [];
  const relIdCol  = colWith(relHdr, ["req", "id"]) ?? 0;
  const relRelCol = colWith(relHdr, ["release"]);
  const freezeCols = FREEZE_KEYS.map(k =&gt; colWith(relHdr, [k]));
  const relTables = relWs.getTables();
  const relTable  = relTables.length &gt; 0 ? relTables[0] : null;
  const relHdrRow = relTable ? relTable.getHeaderRowRange().getRowIndex() : relStart;
  const relTblBodyRow = relHdrRow + 1;
  // ════════════════════════════════════════════════════════════════════════════
  // PHASE 2 — PROCESS IN MEMORY (pure JavaScript, no Excel API calls)
  // ════════════════════════════════════════════════════════════════════════════
  // Collect already-archived IDs from all four quarter tabs AND the NA sheet —
  // an item counts as "already archived" regardless of </t>
  </si>
  <si>
    <t xml:space="preserve">which destination it
  // landed in, so re-runs never duplicate it and the Backlog orphan-cleanup
  // below also catches leftover NA rows.
  const archived = new Set&lt;string&gt;();
  const allQVals = [q1Vals, q2Vals, q3Vals, q4Vals, naVals];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and NA rows in Backlog not yet archived
  // Backlog columns (0-based): 0=ReqID 1=Name 2=Type 3=Stream 4=Owner 5=Status
  //                            6=Priority 9=HLE 13=JiraLink (plain pasted URL)
  const items: ArchiveItem[] = [];
  const skipped: string[] = [];
  for (let r = 1; r &lt; blVals.length; r++) {
    const reqId  = asStr(blVals[r][0]);
    const status = asStr(blVals[r][5]).toUpperCase();
    if (!reqId || archived.has(reqId)) continue;
    if (status !== "DONE" &amp;&amp; status !== "NA") continue;
    const sprint = sprintMap.get(reqId) ?? asStr(blVals[r][8]);
    // DONE items route to whichever quarter their sprint maps to; NA items
    // always go to the single fixed NA_SHEET (quarterSheet = null marks this).
    let qName: string | null = null;
    if (status === "DONE") {
      const sprintNo = firstInt(sprint);
      qName = sprintNo !== null ? (QUARTER[sprintNo] ?? null) : null;
      if (!qName) {
        skipped.push(`${reqId} (sprint="${sprint}")`);
        continue;
      }
    }
    // status === "NA": qName stays null → destined for NA</t>
  </si>
  <si>
    <t xml:space="preserve">_SHEET
    items.push({
      reqId,
      blRow:        r,
      quarterSheet: qName,
      name:         asStr(blVals[r][1]),
      type:         asStr(blVals[r][2]),
      stream:       asStr(blVals[r][3]),
      owner:        asStr(blVals[r][4]),
      status:       asStr(blVals[r][5]),
      priority:     blVals[r][6] as string | number | boolean,
      sprint,
      hle:          blVals[r][9] as string | number | boolean,
      jiraLink:     asStr(blVals[r][13]),
      release:      "",
    });
  }
  if (!items.length &amp;&amp; !skipped.length) {
    console.log("Nothing to archive — no new Done or NA items found.");
    return "Nothing to archive.";
  }
  // Look up Release value for DONE items only — NA items have their Release
  // row deleted outright below, not frozen, so no lookup is needed for them.
  for (let r = 1; r &lt; relVals.length; r++) {
    const id = asStr(relVals[r][relIdCol]);
    const item = items.find(i =&gt; i.reqId === id &amp;&amp; i.quarterSheet !== null);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maxArchivedNum) maxArchivedNum = n;
    }
  }
  const newHwm = Math.max(c</t>
  </si>
  <si>
    <t xml:space="preserve">urrentHwm, maxArchivedNum);
  // Group items by quarter sheet (for batch writes); NA items go to forNA
  const forQ1 = items.filter(i =&gt; i.quarterSheet === Q1);
  const forQ2 = items.filter(i =&gt; i.quarterSheet === Q2);
  const forQ3 = items.filter(i =&gt; i.quarterSheet === Q3);
  const forQ4 = items.filter(i =&gt; i.quarterSheet === Q4);
  const forNA = items.filter(i =&gt; i.quarterSheet === null);
  const naArchivingIds = new Set&lt;string&gt;(forNA.map(i =&gt; i.reqId));
  // Build Release row updates: clone existing row values, overwrite freeze
  // cols. DONE items only — an NA item's Release row (if any) is deleted
  // outright further down, not frozen.
  interface RelUpdate { wsRow: number; rowData: (string | number | boolean)[]; }
  const relUpdates: RelUpdate[] = [];
  for (let r = 1; r &lt; relVals.length; r++) {
    const id   = asStr(relVals[r][relIdCol]);
    const item = items.find(i =&gt; i.reqId === id &amp;&amp; i.quarterSheet !== null);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NA items: delete their Release row outright (nothing to ship), rather
  // than freezing it. Reuses the same rowsToDelete/deleteTableRows machinery
  // used for Sprint Planning/RTM/API Design Planning below.
  const relDelRows = rowsToDelete(relVals, relStart, relIdCol, naArchivingIds);
  // Collect rows to delete per sheet (0-based worksheet row, sorted bottom-up)
  const spDelRows  = rowsToDelete(spVals,  spStart,  spIdCol,  archivingIds);
  const rtmDelRows = rowsToDelete(rtmVals, rtmStart, colWith(rtmVals.length &gt; 0 ? rtmVals[0].map(v =&gt; asS</t>
  </si>
  <si>
    <t xml:space="preserve">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and the NA sheet (one setValues call each)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if (forNA.length) naWs.getRangeByIndexes(naNext, 0, forNA.length, Q_COLS.length).setValues(forNA.map(i =&gt; buildQRow(i)));
  // 2. Freeze Release tab rows for DONE items (one setValues call per item)
  for (const u of relUpdates) {
    relWs.getRangeByIndexes(u.wsRow, 0, 1, u.rowData.length).setValues([u.rowData]);
  }
  // 3. Delete rows from supporting sheets, then Backlog (bottom-up per sheet).
  // Strategy: use deleteRowsAt fo</t>
  </si>
  <si>
    <t xml:space="preserve">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t>
  </si>
  <si>
    <t xml:space="preserve">)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t>
  </si>
  <si>
    <t xml:space="preserve">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deleteTableRows(relWs, relTable, relTblBodyRow, relDelRows, "Release (NA items only)");
  deleteBacklogRows(blWs, blTable, blTblBodyRow, blAllDelRows);
  // 4. Bump the ID High-Water Mark if this run archived anything with a higher
  // NEW-XXXX number than what's currently recorded — prevents future new items
  // from reusing an ID that just got archived.
  if (newHwm &gt; currentHwm) {
    hwmCell.setValue(newHwm);
    console.log(`ID High-Water Mark bumped: ${currentHwm} -&gt; ${newHwm}`);
  }
  // ── Summary ────────────────────────────────────────────────────────────────
  const doneCount = items.length - forNA.length;
  const dest = [
    forQ1.length ? `${forQ1.length}→Q1` : "",
    forQ2.length ? `${forQ2.length}→Q2` : "",
    forQ3.length ? `${forQ3.length}→Q3` : "",
    forQ4.length ? `${forQ4.length}→Q4` : "",
  ].filter(s =&gt; !!s).join(", ");
  const summary = [
    doneCount ? `Archived ${doneCount} item(s)${dest ? ` (${dest})` : ""}.` : "",
    forNA.length ? `Archived ${forNA.length} item(s) to "${NA_SHEET}".`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t>
  </si>
  <si>
    <t xml:space="preserve">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</si>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</sst>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yyyy\-mm\-dd;@"/>
    <numFmt numFmtId="168" formatCode="mm/dd/yyyy"/>
  </numFmts>
  <fonts count="30">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u val="single"/>
      <sz val="11"/>
      <color theme="10"/>
      <name val="Calibri"/>
      <family val="2"/>
      <charset val="1"/>
    </font>
    <font>
      <b val="true"/>
      <sz val="11"/>
      <color rgb="FF000000"/>
      <name val="Aptos"/>
      <family val="0"/>
      <charset val="1"/>
    </font>
    <font>
      <b val="true"/>
      <sz val="11"/>
      <color rgb="FFFFFFFF"/>
      <name val="Cambria"/>
      <family val="1"/>
      <charset val="1"/>
    </font>
    <font>
      <b val="true"/>
      <sz val="11"/>
      <color theme="0"/>
      <name val="Calibri"/>
      <family val="2"/>
      <charset val="1"/>
    </font>
    <font>
      <sz val="11"/>
      <color rgb="FF000000"/>
      <name val="Calibri"/>
      <family val="2"/>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3">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D7E4BD"/>
      </patternFill>
    </fill>
    <fill>
      <patternFill patternType="solid">
        <fgColor rgb="FFF2F2F2"/>
        <bgColor rgb="FFFFFFFF"/>
      </patternFill>
    </fill>
    <fill>
      <patternFill patternType="solid">
        <fgColor rgb="FFC6E0B4"/>
        <bgColor rgb="FFD7E4BD"/>
      </patternFill>
    </fill>
    <fill>
      <patternFill patternType="solid">
        <fgColor rgb="FF1F4E78"/>
        <bgColor rgb="FF1F497D"/>
      </patternFill>
    </fill>
    <fill>
      <patternFill patternType="solid">
        <fgColor theme="0"/>
        <bgColor rgb="FFF2F2F2"/>
      </patternFill>
    </fill>
    <fill>
      <patternFill patternType="solid">
        <fgColor theme="3"/>
        <bgColor rgb="FF1F4E78"/>
      </patternFill>
    </fill>
    <fill>
      <patternFill patternType="solid">
        <fgColor theme="6" tint="0.5999"/>
        <bgColor rgb="FFC6E0B4"/>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9" borderId="2" xfId="0" applyFont="true" applyBorder="tru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8"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9" fillId="10" borderId="0" xfId="0" applyFont="true" applyBorder="fals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11" borderId="1" xfId="0" applyFont="tru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false" indent="0" shrinkToFit="false"/>
      <protection locked="true" hidden="false"/>
    </xf>
    <xf numFmtId="164" fontId="22" fillId="10"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8" fillId="8"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4" fillId="8"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18" fillId="12"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9" fillId="1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1F497D"/>
          <bgColor rgb="FF00000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D9D9D9"/>
      <rgbColor rgb="FF808080"/>
      <rgbColor rgb="FF9999FF"/>
      <rgbColor rgb="FF993366"/>
      <rgbColor rgb="FFF2F2F2"/>
      <rgbColor rgb="FFD7E4BD"/>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6E0B4"/>
      <rgbColor rgb="FFC6EFCE"/>
      <rgbColor rgb="FFFFEB9C"/>
      <rgbColor rgb="FFFCE4D6"/>
      <rgbColor rgb="FFF8D7DA"/>
      <rgbColor rgb="FFCC99FF"/>
      <rgbColor rgb="FFFFC7CE"/>
      <rgbColor rgb="FF3366FF"/>
      <rgbColor rgb="FF33CCCC"/>
      <rgbColor rgb="FF99CC00"/>
      <rgbColor rgb="FFFFCC00"/>
      <rgbColor rgb="FFFF9900"/>
      <rgbColor rgb="FFFF6600"/>
      <rgbColor rgb="FF595959"/>
      <rgbColor rgb="FF969696"/>
      <rgbColor rgb="FF1F4E78"/>
      <rgbColor rgb="FF339966"/>
      <rgbColor rgb="FF003300"/>
      <rgbColor rgb="FF333300"/>
      <rgbColor rgb="FF9C57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PIDesignPlanning" displayName="APIDesignPlanning" ref="A1:N286" headerRowCount="1" totalsRowCount="0" totalsRowShown="0">
  <autoFilter ref="A1:N286">
    <filterColumn colId="5">
      <filters>
        <filter val="To Plan"/>
      </filters>
    </filterColumn>
  </autoFilter>
  <tableColumns count="14">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Design estimate"/>
    <tableColumn id="13" name="Handover"/>
    <tableColumn id="14" name="Notes"/>
  </tableColumns>
</table>
</file>

<file path=xl/tables/table2.xml><?xml version="1.0" encoding="utf-8"?>
<table xmlns="http://schemas.openxmlformats.org/spreadsheetml/2006/main" id="2" name="Backlog" displayName="Backlog" ref="A1:Q956" headerRowCount="1" totalsRowCount="0" totalsRowShown="0">
  <autoFilter ref="A1:Q956">
    <filterColumn colId="1">
      <filters>
        <filter val="[M4M][Precruise][Prepaid][Mulesoft] Flexible and Customizable Product Tags System"/>
        <filter val="(NonBlanks)"/>
      </filters>
    </filterColumn>
  </autoFilter>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Link"/>
    <tableColumn id="15" name="Notes"/>
    <tableColumn id="16" name="ID Number"/>
    <tableColumn id="17" name="Frozen ID"/>
  </tableColumns>
</table>
</file>

<file path=xl/tables/table3.xml><?xml version="1.0" encoding="utf-8"?>
<table xmlns="http://schemas.openxmlformats.org/spreadsheetml/2006/main" id="3" name="PIGovernance" displayName="PIGovernance" ref="A1:L30" headerRowCount="1" totalsRowCount="0" totalsRowShown="0">
  <autoFilter ref="A1:L30">
    <filterColumn colId="1">
      <filters>
        <filter val="PI10"/>
        <filter val="PI11"/>
      </filters>
    </filterColumn>
  </autoFilter>
  <tableColumns count="12">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 id="12" name="Notes - Sep 3"/>
  </tableColumns>
</table>
</file>

<file path=xl/tables/table4.xml><?xml version="1.0" encoding="utf-8"?>
<table xmlns="http://schemas.openxmlformats.org/spreadsheetml/2006/main" id="4" name="Release" displayName="Release" ref="A1:H187" headerRowCount="1" totalsRowCount="0" totalsRowShown="0">
  <autoFilter ref="A1:H187"/>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284" headerRowCount="1" totalsRowCount="0" totalsRowShown="0">
  <autoFilter ref="A1:Q284"/>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284" headerRowCount="1" totalsRowCount="0" totalsRowShown="0">
  <autoFilter ref="A1:H284">
    <filterColumn colId="5">
      <filters>
        <filter val="Sprint 13"/>
        <filter val="Sprint 14"/>
        <filter val="Sprint 15"/>
      </filters>
    </filterColumn>
  </autoFilter>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martship.atlassian.net/browse/DTTP25-36678" TargetMode="External"/><Relationship Id="rId2" Type="http://schemas.openxmlformats.org/officeDocument/2006/relationships/hyperlink" Target="https://smartship.atlassian.net/browse/DTTP25-36959" TargetMode="External"/><Relationship Id="rId3" Type="http://schemas.openxmlformats.org/officeDocument/2006/relationships/hyperlink" Target="https://smartship.atlassian.net/browse/DTTP25-40357" TargetMode="External"/><Relationship Id="rId4" Type="http://schemas.openxmlformats.org/officeDocument/2006/relationships/hyperlink" Target="https://smartship.atlassian.net/browse/DTTP25-41940" TargetMode="External"/><Relationship Id="rId5" Type="http://schemas.openxmlformats.org/officeDocument/2006/relationships/hyperlink" Target="https://smartship.atlassian.net/browse/DTTP25-40356" TargetMode="External"/><Relationship Id="rId6" Type="http://schemas.openxmlformats.org/officeDocument/2006/relationships/hyperlink" Target="https://smartship.atlassian.net/browse/DTTP25-41930" TargetMode="External"/><Relationship Id="rId7" Type="http://schemas.openxmlformats.org/officeDocument/2006/relationships/hyperlink" Target="https://smartship.atlassian.net/browse/DTTP25-44114" TargetMode="External"/><Relationship Id="rId8" Type="http://schemas.openxmlformats.org/officeDocument/2006/relationships/hyperlink" Target="https://smartship.atlassian.net/browse/DTTP25-41934" TargetMode="External"/><Relationship Id="rId9" Type="http://schemas.openxmlformats.org/officeDocument/2006/relationships/hyperlink" Target="https://smartship.atlassian.net/browse/DTTP25-43299" TargetMode="External"/><Relationship Id="rId10" Type="http://schemas.openxmlformats.org/officeDocument/2006/relationships/hyperlink" Target="https://smartship.atlassian.net/browse/DTTP25-43299" TargetMode="External"/><Relationship Id="rId11" Type="http://schemas.openxmlformats.org/officeDocument/2006/relationships/hyperlink" Target="https://smartship.atlassian.net/browse/DTTP25-42997" TargetMode="External"/><Relationship Id="rId12" Type="http://schemas.openxmlformats.org/officeDocument/2006/relationships/hyperlink" Target="https://smartship.atlassian.net/browse/MDTTPU-17466" TargetMode="External"/><Relationship Id="rId13" Type="http://schemas.openxmlformats.org/officeDocument/2006/relationships/hyperlink" Target="https://smartship.atlassian.net/browse/MDTTPU-17651" TargetMode="External"/><Relationship Id="rId14" Type="http://schemas.openxmlformats.org/officeDocument/2006/relationships/hyperlink" Target="https://smartship.atlassian.net/browse/DTTP25-43302" TargetMode="External"/><Relationship Id="rId15" Type="http://schemas.openxmlformats.org/officeDocument/2006/relationships/hyperlink" Target="https://smartship.atlassian.net/browse/DTTP25-44262" TargetMode="External"/><Relationship Id="rId16" Type="http://schemas.openxmlformats.org/officeDocument/2006/relationships/hyperlink" Target="https://smartship.atlassian.net/browse/DTTP25-44214" TargetMode="External"/><Relationship Id="rId17" Type="http://schemas.openxmlformats.org/officeDocument/2006/relationships/hyperlink" Target="https://smartship.atlassian.net/browse/DTTP25-44234" TargetMode="External"/><Relationship Id="rId18" Type="http://schemas.openxmlformats.org/officeDocument/2006/relationships/hyperlink" Target="https://smartship.atlassian.net/browse/DTTP25-44262" TargetMode="External"/><Relationship Id="rId19" Type="http://schemas.openxmlformats.org/officeDocument/2006/relationships/hyperlink" Target="https://smartship.atlassian.net/browse/DTTP25-44262" TargetMode="External"/><Relationship Id="rId20" Type="http://schemas.openxmlformats.org/officeDocument/2006/relationships/hyperlink" Target="https://smartship.atlassian.net/browse/DTTP25-44464" TargetMode="External"/><Relationship Id="rId21" Type="http://schemas.openxmlformats.org/officeDocument/2006/relationships/hyperlink" Target="https://smartship.atlassian.net/browse/DTTP25-44467" TargetMode="External"/><Relationship Id="rId22" Type="http://schemas.openxmlformats.org/officeDocument/2006/relationships/hyperlink" Target="https://smartship.atlassian.net/browse/DTTP25-44463" TargetMode="External"/><Relationship Id="rId23" Type="http://schemas.openxmlformats.org/officeDocument/2006/relationships/hyperlink" Target="https://smartship.atlassian.net/browse/MDTTPU-18150" TargetMode="External"/><Relationship Id="rId2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hyperlink" Target="https://smartship.atlassian.net/browse/DTTP25-43949" TargetMode="External"/><Relationship Id="rId2" Type="http://schemas.openxmlformats.org/officeDocument/2006/relationships/hyperlink" Target="https://smartship.atlassian.net/browse/RES2-15399%20+%20https:/smartship.atlassian.net/browse/RES2-15642" TargetMode="External"/><Relationship Id="rId3" Type="http://schemas.openxmlformats.org/officeDocument/2006/relationships/hyperlink" Target="https://smartship.atlassian.net/browse/RES2-34535" TargetMode="External"/><Relationship Id="rId4" Type="http://schemas.openxmlformats.org/officeDocument/2006/relationships/hyperlink" Target="https://smartship.atlassian.net/browse/DTTP25-43320" TargetMode="External"/><Relationship Id="rId5" Type="http://schemas.openxmlformats.org/officeDocument/2006/relationships/hyperlink" Target="https://smartship.atlassian.net/browse/MDTTPU-18152" TargetMode="External"/><Relationship Id="rId6"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hyperlink" Target="https://smartship.atlassian.net/browse/MDTTPU-14929" TargetMode="External"/><Relationship Id="rId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5" activePane="bottomLeft" state="frozen"/>
      <selection pane="topLeft" activeCell="A1" activeCellId="0" sqref="A1"/>
      <selection pane="bottomLeft" activeCell="O965" activeCellId="0" sqref="O96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49.42"/>
    <col collapsed="false" customWidth="true" hidden="false" outlineLevel="0" max="15" min="15" style="1" width="30"/>
    <col collapsed="false" customWidth="true" hidden="true" outlineLevel="0" max="16" min="16" style="1" width="43.42"/>
    <col collapsed="false" customWidth="true" hidden="true" outlineLevel="0" max="17" min="17"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2" t="s">
        <v>78</v>
      </c>
      <c r="O1" s="22" t="s">
        <v>79</v>
      </c>
      <c r="P1" s="23" t="s">
        <v>80</v>
      </c>
      <c r="Q1" s="23" t="s">
        <v>81</v>
      </c>
    </row>
    <row r="2" customFormat="false" ht="15" hidden="true" customHeight="true" outlineLevel="0" collapsed="false">
      <c r="A2" s="24" t="str">
        <f aca="false">IF(AND(B2="",C2="",D2="",E2="",F2="",G2="",H2="",J2="",L2="",M2="",N2=""),"",Q2)</f>
        <v>NEW-0267</v>
      </c>
      <c r="B2" s="25" t="s">
        <v>82</v>
      </c>
      <c r="C2" s="25" t="s">
        <v>83</v>
      </c>
      <c r="D2" s="25" t="s">
        <v>84</v>
      </c>
      <c r="E2" s="25" t="s">
        <v>85</v>
      </c>
      <c r="F2" s="25" t="s">
        <v>86</v>
      </c>
      <c r="G2" s="25" t="s">
        <v>87</v>
      </c>
      <c r="H2" s="25"/>
      <c r="I2" s="26" t="str">
        <f aca="false">IF($A2="","",IFERROR(IF(ISBLANK(INDEX(SprintPlanning[Sprint],MATCH($A2,SprintPlanning[Requirement ID],0))),"To Plan",INDEX(SprintPlanning[Sprint],MATCH($A2,SprintPlanning[Requirement ID],0))),"To Plan"))</f>
        <v>To Plan</v>
      </c>
      <c r="J2" s="25"/>
      <c r="K2" s="26" t="str">
        <f aca="false">IFERROR(IF(ISBLANK(INDEX(Release[Release],MATCH($A2,Release[Requirement ID],0))),"",INDEX(Release[Release],MATCH($A2,Release[Requirement ID],0))),"")</f>
        <v/>
      </c>
      <c r="L2" s="27" t="n">
        <v>46232</v>
      </c>
      <c r="M2" s="25"/>
      <c r="N2" s="26"/>
      <c r="P2" s="1" t="n">
        <f aca="false">IFERROR(VALUE(MID($A2,5,4)),0)</f>
        <v>267</v>
      </c>
      <c r="Q2" s="1" t="s">
        <v>88</v>
      </c>
    </row>
    <row r="3" customFormat="false" ht="15" hidden="true" customHeight="true" outlineLevel="0" collapsed="false">
      <c r="A3" s="24" t="str">
        <f aca="false">IF(AND(B3="",C3="",D3="",E3="",F3="",G3="",H3="",J3="",L3="",M3="",N3=""),"",Q3)</f>
        <v>NEW-0064</v>
      </c>
      <c r="B3" s="25" t="s">
        <v>89</v>
      </c>
      <c r="C3" s="25" t="s">
        <v>90</v>
      </c>
      <c r="D3" s="25" t="s">
        <v>91</v>
      </c>
      <c r="E3" s="25" t="s">
        <v>92</v>
      </c>
      <c r="F3" s="25" t="s">
        <v>93</v>
      </c>
      <c r="G3" s="25" t="s">
        <v>87</v>
      </c>
      <c r="H3" s="25"/>
      <c r="I3" s="26" t="str">
        <f aca="false">IF($A3="","",IFERROR(IF(ISBLANK(INDEX(SprintPlanning[Sprint],MATCH($A3,SprintPlanning[Requirement ID],0))),"To Plan",INDEX(SprintPlanning[Sprint],MATCH($A3,SprintPlanning[Requirement ID],0))),"To Plan"))</f>
        <v>To Plan</v>
      </c>
      <c r="J3" s="25" t="n">
        <v>8</v>
      </c>
      <c r="K3" s="26" t="str">
        <f aca="false">IFERROR(IF(ISBLANK(INDEX(Release[Release],MATCH($A3,Release[Requirement ID],0))),"",INDEX(Release[Release],MATCH($A3,Release[Requirement ID],0))),"")</f>
        <v/>
      </c>
      <c r="L3" s="27" t="n">
        <v>46226</v>
      </c>
      <c r="M3" s="25" t="s">
        <v>94</v>
      </c>
      <c r="N3" s="26" t="s">
        <v>95</v>
      </c>
      <c r="P3" s="1" t="n">
        <f aca="false">IFERROR(VALUE(MID($A3,5,4)),0)</f>
        <v>64</v>
      </c>
      <c r="Q3" s="1" t="s">
        <v>96</v>
      </c>
    </row>
    <row r="4" customFormat="false" ht="15" hidden="true" customHeight="true" outlineLevel="0" collapsed="false">
      <c r="A4" s="24" t="str">
        <f aca="false">IF(AND(B4="",C4="",D4="",E4="",F4="",G4="",H4="",J4="",L4="",M4="",N4=""),"",Q4)</f>
        <v>NEW-0077</v>
      </c>
      <c r="B4" s="25" t="s">
        <v>97</v>
      </c>
      <c r="C4" s="25" t="s">
        <v>90</v>
      </c>
      <c r="D4" s="25" t="s">
        <v>91</v>
      </c>
      <c r="E4" s="25" t="s">
        <v>92</v>
      </c>
      <c r="F4" s="25" t="s">
        <v>93</v>
      </c>
      <c r="G4" s="25" t="s">
        <v>87</v>
      </c>
      <c r="H4" s="25"/>
      <c r="I4" s="26" t="str">
        <f aca="false">IF($A4="","",IFERROR(IF(ISBLANK(INDEX(SprintPlanning[Sprint],MATCH($A4,SprintPlanning[Requirement ID],0))),"To Plan",INDEX(SprintPlanning[Sprint],MATCH($A4,SprintPlanning[Requirement ID],0))),"To Plan"))</f>
        <v>To Plan</v>
      </c>
      <c r="J4" s="25" t="n">
        <v>8</v>
      </c>
      <c r="K4" s="26" t="str">
        <f aca="false">IFERROR(IF(ISBLANK(INDEX(Release[Release],MATCH($A4,Release[Requirement ID],0))),"",INDEX(Release[Release],MATCH($A4,Release[Requirement ID],0))),"")</f>
        <v/>
      </c>
      <c r="L4" s="27" t="n">
        <v>46226</v>
      </c>
      <c r="M4" s="25" t="s">
        <v>94</v>
      </c>
      <c r="N4" s="26" t="s">
        <v>98</v>
      </c>
      <c r="P4" s="1" t="n">
        <f aca="false">IFERROR(VALUE(MID($A4,5,4)),0)</f>
        <v>77</v>
      </c>
      <c r="Q4" s="1" t="s">
        <v>99</v>
      </c>
    </row>
    <row r="5" customFormat="false" ht="15" hidden="true" customHeight="true" outlineLevel="0" collapsed="false">
      <c r="A5" s="24" t="str">
        <f aca="false">IF(AND(B5="",C5="",D5="",E5="",F5="",G5="",H5="",J5="",L5="",M5="",N5=""),"",Q5)</f>
        <v>NEW-0078</v>
      </c>
      <c r="B5" s="25" t="s">
        <v>100</v>
      </c>
      <c r="C5" s="25" t="s">
        <v>90</v>
      </c>
      <c r="D5" s="25" t="s">
        <v>91</v>
      </c>
      <c r="E5" s="25" t="s">
        <v>92</v>
      </c>
      <c r="F5" s="25" t="s">
        <v>93</v>
      </c>
      <c r="G5" s="25" t="s">
        <v>87</v>
      </c>
      <c r="H5" s="25"/>
      <c r="I5" s="26" t="str">
        <f aca="false">IF($A5="","",IFERROR(IF(ISBLANK(INDEX(SprintPlanning[Sprint],MATCH($A5,SprintPlanning[Requirement ID],0))),"To Plan",INDEX(SprintPlanning[Sprint],MATCH($A5,SprintPlanning[Requirement ID],0))),"To Plan"))</f>
        <v>To Plan</v>
      </c>
      <c r="J5" s="25" t="n">
        <v>8</v>
      </c>
      <c r="K5" s="26" t="str">
        <f aca="false">IFERROR(IF(ISBLANK(INDEX(Release[Release],MATCH($A5,Release[Requirement ID],0))),"",INDEX(Release[Release],MATCH($A5,Release[Requirement ID],0))),"")</f>
        <v/>
      </c>
      <c r="L5" s="27" t="n">
        <v>46226</v>
      </c>
      <c r="M5" s="25" t="s">
        <v>94</v>
      </c>
      <c r="N5" s="26" t="s">
        <v>98</v>
      </c>
      <c r="P5" s="1" t="n">
        <f aca="false">IFERROR(VALUE(MID($A5,5,4)),0)</f>
        <v>78</v>
      </c>
      <c r="Q5" s="1" t="s">
        <v>101</v>
      </c>
    </row>
    <row r="6" customFormat="false" ht="15" hidden="true" customHeight="true" outlineLevel="0" collapsed="false">
      <c r="A6" s="28" t="str">
        <f aca="false">IF(AND(B6="",C6="",D6="",E6="",F6="",G6="",H6="",J6="",L6="",M6="",N6=""),"",Q6)</f>
        <v>NEW-0410</v>
      </c>
      <c r="B6" s="29" t="s">
        <v>102</v>
      </c>
      <c r="C6" s="29" t="s">
        <v>103</v>
      </c>
      <c r="D6" s="29" t="s">
        <v>104</v>
      </c>
      <c r="E6" s="29" t="s">
        <v>92</v>
      </c>
      <c r="F6" s="29" t="s">
        <v>86</v>
      </c>
      <c r="G6" s="29" t="s">
        <v>105</v>
      </c>
      <c r="H6" s="29" t="s">
        <v>106</v>
      </c>
      <c r="I6" s="30" t="str">
        <f aca="false">IF($A6="","",IFERROR(IF(ISBLANK(INDEX(SprintPlanning[Sprint],MATCH($A6,SprintPlanning[Requirement ID],0))),"To Plan",INDEX(SprintPlanning[Sprint],MATCH($A6,SprintPlanning[Requirement ID],0))),"To Plan"))</f>
        <v>To Plan</v>
      </c>
      <c r="J6" s="29" t="n">
        <v>8</v>
      </c>
      <c r="K6" s="30" t="str">
        <f aca="false">IFERROR(IF(ISBLANK(INDEX(Release[Release],MATCH($A6,Release[Requirement ID],0))),"",INDEX(Release[Release],MATCH($A6,Release[Requirement ID],0))),"")</f>
        <v/>
      </c>
      <c r="L6" s="31" t="n">
        <v>46237</v>
      </c>
      <c r="M6" s="29" t="s">
        <v>94</v>
      </c>
      <c r="N6" s="30" t="s">
        <v>107</v>
      </c>
      <c r="P6" s="1" t="n">
        <f aca="false">IFERROR(VALUE(MID($A6,5,4)),0)</f>
        <v>410</v>
      </c>
      <c r="Q6" s="1" t="s">
        <v>108</v>
      </c>
    </row>
    <row r="7" customFormat="false" ht="15" hidden="true" customHeight="true" outlineLevel="0" collapsed="false">
      <c r="A7" s="24" t="str">
        <f aca="false">IF(AND(B7="",C7="",D7="",E7="",F7="",G7="",H7="",J7="",L7="",M7="",N7=""),"",Q7)</f>
        <v>NEW-0001</v>
      </c>
      <c r="B7" s="25" t="s">
        <v>109</v>
      </c>
      <c r="C7" s="25" t="s">
        <v>110</v>
      </c>
      <c r="D7" s="25" t="s">
        <v>28</v>
      </c>
      <c r="E7" s="25" t="s">
        <v>85</v>
      </c>
      <c r="F7" s="25" t="s">
        <v>93</v>
      </c>
      <c r="G7" s="25" t="s">
        <v>87</v>
      </c>
      <c r="H7" s="25" t="s">
        <v>106</v>
      </c>
      <c r="I7" s="26" t="str">
        <f aca="false">IF($A7="","",IFERROR(IF(ISBLANK(INDEX(SprintPlanning[Sprint],MATCH($A7,SprintPlanning[Requirement ID],0))),"To Plan",INDEX(SprintPlanning[Sprint],MATCH($A7,SprintPlanning[Requirement ID],0))),"To Plan"))</f>
        <v>Sprint 14</v>
      </c>
      <c r="J7" s="25" t="n">
        <v>13</v>
      </c>
      <c r="K7" s="26" t="str">
        <f aca="false">IFERROR(IF(ISBLANK(INDEX(Release[Release],MATCH($A7,Release[Requirement ID],0))),"",INDEX(Release[Release],MATCH($A7,Release[Requirement ID],0))),"")</f>
        <v/>
      </c>
      <c r="L7" s="27" t="n">
        <v>46226</v>
      </c>
      <c r="M7" s="25" t="s">
        <v>94</v>
      </c>
      <c r="N7" s="32" t="s">
        <v>111</v>
      </c>
      <c r="P7" s="1" t="n">
        <f aca="false">IFERROR(VALUE(MID($A7,5,4)),0)</f>
        <v>1</v>
      </c>
      <c r="Q7" s="1" t="s">
        <v>112</v>
      </c>
    </row>
    <row r="8" customFormat="false" ht="15" hidden="true" customHeight="true" outlineLevel="0" collapsed="false">
      <c r="A8" s="24" t="str">
        <f aca="false">IF(AND(B8="",C8="",D8="",E8="",F8="",G8="",H8="",J8="",L8="",M8="",N8=""),"",Q8)</f>
        <v>NEW-0003</v>
      </c>
      <c r="B8" s="25" t="s">
        <v>113</v>
      </c>
      <c r="C8" s="25" t="s">
        <v>110</v>
      </c>
      <c r="D8" s="25" t="s">
        <v>28</v>
      </c>
      <c r="E8" s="25" t="s">
        <v>114</v>
      </c>
      <c r="F8" s="25" t="s">
        <v>93</v>
      </c>
      <c r="G8" s="25" t="s">
        <v>105</v>
      </c>
      <c r="H8" s="25"/>
      <c r="I8" s="26" t="str">
        <f aca="false">IF($A8="","",IFERROR(IF(ISBLANK(INDEX(SprintPlanning[Sprint],MATCH($A8,SprintPlanning[Requirement ID],0))),"To Plan",INDEX(SprintPlanning[Sprint],MATCH($A8,SprintPlanning[Requirement ID],0))),"To Plan"))</f>
        <v>Sprint 13</v>
      </c>
      <c r="J8" s="25" t="n">
        <v>21</v>
      </c>
      <c r="K8" s="26" t="str">
        <f aca="false">IFERROR(IF(ISBLANK(INDEX(Release[Release],MATCH($A8,Release[Requirement ID],0))),"",INDEX(Release[Release],MATCH($A8,Release[Requirement ID],0))),"")</f>
        <v/>
      </c>
      <c r="L8" s="27" t="n">
        <v>46226</v>
      </c>
      <c r="M8" s="25" t="s">
        <v>94</v>
      </c>
      <c r="N8" s="32" t="s">
        <v>115</v>
      </c>
      <c r="O8" s="1" t="s">
        <v>116</v>
      </c>
      <c r="P8" s="1" t="n">
        <f aca="false">IFERROR(VALUE(MID($A8,5,4)),0)</f>
        <v>3</v>
      </c>
      <c r="Q8" s="1" t="s">
        <v>117</v>
      </c>
    </row>
    <row r="9" customFormat="false" ht="15" hidden="true" customHeight="true" outlineLevel="0" collapsed="false">
      <c r="A9" s="24" t="str">
        <f aca="false">IF(AND(B9="",C9="",D9="",E9="",F9="",G9="",H9="",J9="",L9="",M9="",N9=""),"",Q9)</f>
        <v>NEW-0030</v>
      </c>
      <c r="B9" s="25" t="s">
        <v>118</v>
      </c>
      <c r="C9" s="25" t="s">
        <v>103</v>
      </c>
      <c r="D9" s="25" t="s">
        <v>119</v>
      </c>
      <c r="E9" s="25" t="s">
        <v>92</v>
      </c>
      <c r="F9" s="25" t="s">
        <v>86</v>
      </c>
      <c r="G9" s="25" t="s">
        <v>87</v>
      </c>
      <c r="H9" s="25"/>
      <c r="I9" s="26" t="str">
        <f aca="false">IF($A9="","",IFERROR(IF(ISBLANK(INDEX(SprintPlanning[Sprint],MATCH($A9,SprintPlanning[Requirement ID],0))),"To Plan",INDEX(SprintPlanning[Sprint],MATCH($A9,SprintPlanning[Requirement ID],0))),"To Plan"))</f>
        <v>To Plan</v>
      </c>
      <c r="J9" s="25" t="n">
        <v>8</v>
      </c>
      <c r="K9" s="26" t="str">
        <f aca="false">IFERROR(IF(ISBLANK(INDEX(Release[Release],MATCH($A9,Release[Requirement ID],0))),"",INDEX(Release[Release],MATCH($A9,Release[Requirement ID],0))),"")</f>
        <v/>
      </c>
      <c r="L9" s="27" t="n">
        <v>46226</v>
      </c>
      <c r="M9" s="25" t="s">
        <v>94</v>
      </c>
      <c r="N9" s="32" t="s">
        <v>120</v>
      </c>
      <c r="P9" s="1" t="n">
        <f aca="false">IFERROR(VALUE(MID($A9,5,4)),0)</f>
        <v>30</v>
      </c>
      <c r="Q9" s="1" t="s">
        <v>121</v>
      </c>
    </row>
    <row r="10" customFormat="false" ht="15" hidden="true" customHeight="true" outlineLevel="0" collapsed="false">
      <c r="A10" s="24" t="str">
        <f aca="false">IF(AND(B10="",C10="",D10="",E10="",F10="",G10="",H10="",J10="",L10="",M10="",N10=""),"",Q10)</f>
        <v>NEW-0080</v>
      </c>
      <c r="B10" s="25" t="s">
        <v>122</v>
      </c>
      <c r="C10" s="25" t="s">
        <v>123</v>
      </c>
      <c r="D10" s="25" t="s">
        <v>84</v>
      </c>
      <c r="E10" s="25" t="s">
        <v>124</v>
      </c>
      <c r="F10" s="25" t="s">
        <v>125</v>
      </c>
      <c r="G10" s="25" t="s">
        <v>105</v>
      </c>
      <c r="H10" s="25"/>
      <c r="I10" s="26" t="str">
        <f aca="false">IF($A10="","",IFERROR(IF(ISBLANK(INDEX(SprintPlanning[Sprint],MATCH($A10,SprintPlanning[Requirement ID],0))),"To Plan",INDEX(SprintPlanning[Sprint],MATCH($A10,SprintPlanning[Requirement ID],0))),"To Plan"))</f>
        <v>Sprint 12</v>
      </c>
      <c r="J10" s="25" t="n">
        <v>13</v>
      </c>
      <c r="K10" s="26" t="str">
        <f aca="false">IFERROR(IF(ISBLANK(INDEX(Release[Release],MATCH($A10,Release[Requirement ID],0))),"",INDEX(Release[Release],MATCH($A10,Release[Requirement ID],0))),"")</f>
        <v/>
      </c>
      <c r="L10" s="27" t="n">
        <v>46226</v>
      </c>
      <c r="M10" s="25"/>
      <c r="N10" s="26"/>
      <c r="P10" s="1" t="n">
        <f aca="false">IFERROR(VALUE(MID($A10,5,4)),0)</f>
        <v>80</v>
      </c>
      <c r="Q10" s="1" t="s">
        <v>126</v>
      </c>
    </row>
    <row r="11" customFormat="false" ht="15" hidden="true" customHeight="true" outlineLevel="0" collapsed="false">
      <c r="A11" s="24" t="str">
        <f aca="false">IF(AND(B11="",C11="",D11="",E11="",F11="",G11="",H11="",J11="",L11="",M11="",N11=""),"",Q11)</f>
        <v>NEW-0085</v>
      </c>
      <c r="B11" s="25" t="s">
        <v>127</v>
      </c>
      <c r="C11" s="25" t="s">
        <v>103</v>
      </c>
      <c r="D11" s="25" t="s">
        <v>128</v>
      </c>
      <c r="E11" s="25" t="s">
        <v>85</v>
      </c>
      <c r="F11" s="25" t="s">
        <v>93</v>
      </c>
      <c r="G11" s="25" t="s">
        <v>87</v>
      </c>
      <c r="H11" s="25"/>
      <c r="I11" s="26" t="str">
        <f aca="false">IF($A11="","",IFERROR(IF(ISBLANK(INDEX(SprintPlanning[Sprint],MATCH($A11,SprintPlanning[Requirement ID],0))),"To Plan",INDEX(SprintPlanning[Sprint],MATCH($A11,SprintPlanning[Requirement ID],0))),"To Plan"))</f>
        <v>To Plan</v>
      </c>
      <c r="J11" s="25" t="n">
        <v>5</v>
      </c>
      <c r="K11" s="26" t="str">
        <f aca="false">IFERROR(IF(ISBLANK(INDEX(Release[Release],MATCH($A11,Release[Requirement ID],0))),"",INDEX(Release[Release],MATCH($A11,Release[Requirement ID],0))),"")</f>
        <v/>
      </c>
      <c r="L11" s="27" t="n">
        <v>46226</v>
      </c>
      <c r="M11" s="25" t="s">
        <v>94</v>
      </c>
      <c r="N11" s="26" t="s">
        <v>129</v>
      </c>
      <c r="P11" s="1" t="n">
        <f aca="false">IFERROR(VALUE(MID($A11,5,4)),0)</f>
        <v>85</v>
      </c>
      <c r="Q11" s="1" t="s">
        <v>130</v>
      </c>
    </row>
    <row r="12" customFormat="false" ht="15" hidden="true" customHeight="true" outlineLevel="0" collapsed="false">
      <c r="A12" s="24" t="str">
        <f aca="false">IF(AND(B12="",C12="",D12="",E12="",F12="",G12="",H12="",J12="",L12="",M12="",N12=""),"",Q12)</f>
        <v>NEW-0086</v>
      </c>
      <c r="B12" s="25" t="s">
        <v>131</v>
      </c>
      <c r="C12" s="25" t="s">
        <v>83</v>
      </c>
      <c r="D12" s="25" t="s">
        <v>128</v>
      </c>
      <c r="E12" s="25" t="s">
        <v>85</v>
      </c>
      <c r="F12" s="25" t="s">
        <v>132</v>
      </c>
      <c r="G12" s="25" t="s">
        <v>87</v>
      </c>
      <c r="H12" s="25"/>
      <c r="I12" s="26" t="str">
        <f aca="false">IF($A12="","",IFERROR(IF(ISBLANK(INDEX(SprintPlanning[Sprint],MATCH($A12,SprintPlanning[Requirement ID],0))),"To Plan",INDEX(SprintPlanning[Sprint],MATCH($A12,SprintPlanning[Requirement ID],0))),"To Plan"))</f>
        <v>To Plan</v>
      </c>
      <c r="J12" s="25" t="n">
        <v>8</v>
      </c>
      <c r="K12" s="26" t="str">
        <f aca="false">IFERROR(IF(ISBLANK(INDEX(Release[Release],MATCH($A12,Release[Requirement ID],0))),"",INDEX(Release[Release],MATCH($A12,Release[Requirement ID],0))),"")</f>
        <v/>
      </c>
      <c r="L12" s="27" t="n">
        <v>46226</v>
      </c>
      <c r="M12" s="25" t="s">
        <v>94</v>
      </c>
      <c r="N12" s="26" t="s">
        <v>133</v>
      </c>
      <c r="P12" s="1" t="n">
        <f aca="false">IFERROR(VALUE(MID($A12,5,4)),0)</f>
        <v>86</v>
      </c>
      <c r="Q12" s="1" t="s">
        <v>134</v>
      </c>
    </row>
    <row r="13" customFormat="false" ht="15" hidden="true" customHeight="true" outlineLevel="0" collapsed="false">
      <c r="A13" s="24" t="str">
        <f aca="false">IF(AND(B13="",C13="",D13="",E13="",F13="",G13="",H13="",J13="",L13="",M13="",N13=""),"",Q13)</f>
        <v>NEW-0087</v>
      </c>
      <c r="B13" s="25" t="s">
        <v>135</v>
      </c>
      <c r="C13" s="25" t="s">
        <v>103</v>
      </c>
      <c r="D13" s="25" t="s">
        <v>128</v>
      </c>
      <c r="E13" s="25" t="s">
        <v>85</v>
      </c>
      <c r="F13" s="25" t="s">
        <v>93</v>
      </c>
      <c r="G13" s="25" t="s">
        <v>87</v>
      </c>
      <c r="H13" s="25"/>
      <c r="I13" s="26" t="str">
        <f aca="false">IF($A13="","",IFERROR(IF(ISBLANK(INDEX(SprintPlanning[Sprint],MATCH($A13,SprintPlanning[Requirement ID],0))),"To Plan",INDEX(SprintPlanning[Sprint],MATCH($A13,SprintPlanning[Requirement ID],0))),"To Plan"))</f>
        <v>To Plan</v>
      </c>
      <c r="J13" s="25" t="n">
        <v>5</v>
      </c>
      <c r="K13" s="26" t="str">
        <f aca="false">IFERROR(IF(ISBLANK(INDEX(Release[Release],MATCH($A13,Release[Requirement ID],0))),"",INDEX(Release[Release],MATCH($A13,Release[Requirement ID],0))),"")</f>
        <v/>
      </c>
      <c r="L13" s="27" t="n">
        <v>46226</v>
      </c>
      <c r="M13" s="25" t="s">
        <v>94</v>
      </c>
      <c r="N13" s="32" t="s">
        <v>136</v>
      </c>
      <c r="O13" s="1" t="s">
        <v>137</v>
      </c>
      <c r="P13" s="1" t="n">
        <f aca="false">IFERROR(VALUE(MID($A13,5,4)),0)</f>
        <v>87</v>
      </c>
      <c r="Q13" s="1" t="s">
        <v>138</v>
      </c>
    </row>
    <row r="14" customFormat="false" ht="15" hidden="true" customHeight="true" outlineLevel="0" collapsed="false">
      <c r="A14" s="24" t="str">
        <f aca="false">IF(AND(B14="",C14="",D14="",E14="",F14="",G14="",H14="",J14="",L14="",M14="",N14=""),"",Q14)</f>
        <v>NEW-0316</v>
      </c>
      <c r="B14" s="25" t="s">
        <v>139</v>
      </c>
      <c r="C14" s="25" t="s">
        <v>103</v>
      </c>
      <c r="D14" s="25" t="s">
        <v>119</v>
      </c>
      <c r="E14" s="25" t="s">
        <v>92</v>
      </c>
      <c r="F14" s="25" t="s">
        <v>86</v>
      </c>
      <c r="G14" s="25" t="s">
        <v>87</v>
      </c>
      <c r="H14" s="25" t="s">
        <v>140</v>
      </c>
      <c r="I14" s="26" t="str">
        <f aca="false">IF($A14="","",IFERROR(IF(ISBLANK(INDEX(SprintPlanning[Sprint],MATCH($A14,SprintPlanning[Requirement ID],0))),"To Plan",INDEX(SprintPlanning[Sprint],MATCH($A14,SprintPlanning[Requirement ID],0))),"To Plan"))</f>
        <v>Sprint 15</v>
      </c>
      <c r="J14" s="25" t="n">
        <v>8</v>
      </c>
      <c r="K14" s="26" t="str">
        <f aca="false">IFERROR(IF(ISBLANK(INDEX(Release[Release],MATCH($A14,Release[Requirement ID],0))),"",INDEX(Release[Release],MATCH($A14,Release[Requirement ID],0))),"")</f>
        <v/>
      </c>
      <c r="L14" s="27" t="n">
        <v>46232</v>
      </c>
      <c r="M14" s="25" t="s">
        <v>94</v>
      </c>
      <c r="N14" s="32" t="s">
        <v>141</v>
      </c>
      <c r="P14" s="1" t="n">
        <f aca="false">IFERROR(VALUE(MID($A14,5,4)),0)</f>
        <v>316</v>
      </c>
      <c r="Q14" s="1" t="s">
        <v>142</v>
      </c>
    </row>
    <row r="15" customFormat="false" ht="15" hidden="true" customHeight="true" outlineLevel="0" collapsed="false">
      <c r="A15" s="24" t="str">
        <f aca="false">IF(AND(B15="",C15="",D15="",E15="",F15="",G15="",H15="",J15="",L15="",M15="",N15=""),"",Q15)</f>
        <v>NEW-0066</v>
      </c>
      <c r="B15" s="25" t="s">
        <v>143</v>
      </c>
      <c r="C15" s="25" t="s">
        <v>103</v>
      </c>
      <c r="D15" s="25" t="s">
        <v>128</v>
      </c>
      <c r="E15" s="25" t="s">
        <v>92</v>
      </c>
      <c r="F15" s="25" t="s">
        <v>93</v>
      </c>
      <c r="G15" s="25" t="s">
        <v>105</v>
      </c>
      <c r="H15" s="25"/>
      <c r="I15" s="26" t="str">
        <f aca="false">IF($A15="","",IFERROR(IF(ISBLANK(INDEX(SprintPlanning[Sprint],MATCH($A15,SprintPlanning[Requirement ID],0))),"To Plan",INDEX(SprintPlanning[Sprint],MATCH($A15,SprintPlanning[Requirement ID],0))),"To Plan"))</f>
        <v>Sprint 13</v>
      </c>
      <c r="J15" s="25" t="n">
        <v>5</v>
      </c>
      <c r="K15" s="26" t="str">
        <f aca="false">IFERROR(IF(ISBLANK(INDEX(Release[Release],MATCH($A15,Release[Requirement ID],0))),"",INDEX(Release[Release],MATCH($A15,Release[Requirement ID],0))),"")</f>
        <v/>
      </c>
      <c r="L15" s="27" t="n">
        <v>46226</v>
      </c>
      <c r="M15" s="25" t="s">
        <v>94</v>
      </c>
      <c r="N15" s="32" t="s">
        <v>144</v>
      </c>
      <c r="P15" s="1" t="n">
        <f aca="false">IFERROR(VALUE(MID($A15,5,4)),0)</f>
        <v>66</v>
      </c>
      <c r="Q15" s="1" t="s">
        <v>145</v>
      </c>
    </row>
    <row r="16" customFormat="false" ht="15" hidden="true" customHeight="true" outlineLevel="0" collapsed="false">
      <c r="A16" s="24" t="str">
        <f aca="false">IF(AND(B16="",C16="",D16="",E16="",F16="",G16="",H16="",J16="",L16="",M16="",N16=""),"",Q16)</f>
        <v>NEW-0002</v>
      </c>
      <c r="B16" s="25" t="s">
        <v>146</v>
      </c>
      <c r="C16" s="25" t="s">
        <v>103</v>
      </c>
      <c r="D16" s="25" t="s">
        <v>28</v>
      </c>
      <c r="E16" s="25" t="s">
        <v>85</v>
      </c>
      <c r="F16" s="25" t="s">
        <v>86</v>
      </c>
      <c r="G16" s="25" t="s">
        <v>87</v>
      </c>
      <c r="H16" s="25" t="s">
        <v>140</v>
      </c>
      <c r="I16" s="26" t="str">
        <f aca="false">IF($A16="","",IFERROR(IF(ISBLANK(INDEX(SprintPlanning[Sprint],MATCH($A16,SprintPlanning[Requirement ID],0))),"To Plan",INDEX(SprintPlanning[Sprint],MATCH($A16,SprintPlanning[Requirement ID],0))),"To Plan"))</f>
        <v>To Plan</v>
      </c>
      <c r="J16" s="25"/>
      <c r="K16" s="26" t="str">
        <f aca="false">IFERROR(IF(ISBLANK(INDEX(Release[Release],MATCH($A16,Release[Requirement ID],0))),"",INDEX(Release[Release],MATCH($A16,Release[Requirement ID],0))),"")</f>
        <v/>
      </c>
      <c r="L16" s="27" t="n">
        <v>46226</v>
      </c>
      <c r="M16" s="25"/>
      <c r="N16" s="26"/>
      <c r="P16" s="1" t="n">
        <f aca="false">IFERROR(VALUE(MID($A16,5,4)),0)</f>
        <v>2</v>
      </c>
      <c r="Q16" s="1" t="s">
        <v>147</v>
      </c>
    </row>
    <row r="17" customFormat="false" ht="15" hidden="true" customHeight="true" outlineLevel="0" collapsed="false">
      <c r="A17" s="24" t="str">
        <f aca="false">IF(AND(B17="",C17="",D17="",E17="",F17="",G17="",H17="",J17="",L17="",M17="",N17=""),"",Q17)</f>
        <v>NEW-0005</v>
      </c>
      <c r="B17" s="25" t="s">
        <v>148</v>
      </c>
      <c r="C17" s="25" t="s">
        <v>103</v>
      </c>
      <c r="D17" s="25" t="s">
        <v>104</v>
      </c>
      <c r="E17" s="25" t="s">
        <v>92</v>
      </c>
      <c r="F17" s="25" t="s">
        <v>93</v>
      </c>
      <c r="G17" s="25" t="s">
        <v>87</v>
      </c>
      <c r="H17" s="33" t="s">
        <v>140</v>
      </c>
      <c r="I17" s="26" t="str">
        <f aca="false">IF($A17="","",IFERROR(IF(ISBLANK(INDEX(SprintPlanning[Sprint],MATCH($A17,SprintPlanning[Requirement ID],0))),"To Plan",INDEX(SprintPlanning[Sprint],MATCH($A17,SprintPlanning[Requirement ID],0))),"To Plan"))</f>
        <v>To Plan</v>
      </c>
      <c r="J17" s="25" t="n">
        <v>21</v>
      </c>
      <c r="K17" s="26" t="str">
        <f aca="false">IFERROR(IF(ISBLANK(INDEX(Release[Release],MATCH($A17,Release[Requirement ID],0))),"",INDEX(Release[Release],MATCH($A17,Release[Requirement ID],0))),"")</f>
        <v/>
      </c>
      <c r="L17" s="27" t="n">
        <v>46226</v>
      </c>
      <c r="M17" s="25"/>
      <c r="N17" s="26"/>
      <c r="P17" s="1" t="n">
        <f aca="false">IFERROR(VALUE(MID($A17,5,4)),0)</f>
        <v>5</v>
      </c>
      <c r="Q17" s="1" t="s">
        <v>149</v>
      </c>
    </row>
    <row r="18" customFormat="false" ht="15" hidden="true" customHeight="true" outlineLevel="0" collapsed="false">
      <c r="A18" s="24" t="str">
        <f aca="false">IF(AND(B18="",C18="",D18="",E18="",F18="",G18="",H18="",J18="",L18="",M18="",N18=""),"",Q18)</f>
        <v>NEW-0006</v>
      </c>
      <c r="B18" s="25" t="s">
        <v>150</v>
      </c>
      <c r="C18" s="25" t="s">
        <v>110</v>
      </c>
      <c r="D18" s="25" t="s">
        <v>104</v>
      </c>
      <c r="E18" s="25" t="s">
        <v>92</v>
      </c>
      <c r="F18" s="25" t="s">
        <v>93</v>
      </c>
      <c r="G18" s="25" t="s">
        <v>87</v>
      </c>
      <c r="H18" s="25" t="s">
        <v>151</v>
      </c>
      <c r="I18" s="26" t="str">
        <f aca="false">IF($A18="","",IFERROR(IF(ISBLANK(INDEX(SprintPlanning[Sprint],MATCH($A18,SprintPlanning[Requirement ID],0))),"To Plan",INDEX(SprintPlanning[Sprint],MATCH($A18,SprintPlanning[Requirement ID],0))),"To Plan"))</f>
        <v>To Plan</v>
      </c>
      <c r="J18" s="25" t="n">
        <v>3</v>
      </c>
      <c r="K18" s="26" t="str">
        <f aca="false">IFERROR(IF(ISBLANK(INDEX(Release[Release],MATCH($A18,Release[Requirement ID],0))),"",INDEX(Release[Release],MATCH($A18,Release[Requirement ID],0))),"")</f>
        <v/>
      </c>
      <c r="L18" s="27" t="n">
        <v>46226</v>
      </c>
      <c r="M18" s="25"/>
      <c r="N18" s="26"/>
      <c r="P18" s="1" t="n">
        <f aca="false">IFERROR(VALUE(MID($A18,5,4)),0)</f>
        <v>6</v>
      </c>
      <c r="Q18" s="1" t="s">
        <v>152</v>
      </c>
    </row>
    <row r="19" customFormat="false" ht="15" hidden="true" customHeight="true" outlineLevel="0" collapsed="false">
      <c r="A19" s="24" t="str">
        <f aca="false">IF(AND(B19="",C19="",D19="",E19="",F19="",G19="",H19="",J19="",L19="",M19="",N19=""),"",Q19)</f>
        <v>NEW-0007</v>
      </c>
      <c r="B19" s="25" t="s">
        <v>153</v>
      </c>
      <c r="C19" s="25" t="s">
        <v>103</v>
      </c>
      <c r="D19" s="25" t="s">
        <v>104</v>
      </c>
      <c r="E19" s="25" t="s">
        <v>92</v>
      </c>
      <c r="F19" s="25" t="s">
        <v>93</v>
      </c>
      <c r="G19" s="25" t="s">
        <v>87</v>
      </c>
      <c r="H19" s="25" t="s">
        <v>151</v>
      </c>
      <c r="I19" s="26" t="str">
        <f aca="false">IF($A19="","",IFERROR(IF(ISBLANK(INDEX(SprintPlanning[Sprint],MATCH($A19,SprintPlanning[Requirement ID],0))),"To Plan",INDEX(SprintPlanning[Sprint],MATCH($A19,SprintPlanning[Requirement ID],0))),"To Plan"))</f>
        <v>To Plan</v>
      </c>
      <c r="J19" s="25" t="n">
        <v>3</v>
      </c>
      <c r="K19" s="26" t="str">
        <f aca="false">IFERROR(IF(ISBLANK(INDEX(Release[Release],MATCH($A19,Release[Requirement ID],0))),"",INDEX(Release[Release],MATCH($A19,Release[Requirement ID],0))),"")</f>
        <v/>
      </c>
      <c r="L19" s="27" t="n">
        <v>46226</v>
      </c>
      <c r="M19" s="25"/>
      <c r="N19" s="26"/>
      <c r="P19" s="1" t="n">
        <f aca="false">IFERROR(VALUE(MID($A19,5,4)),0)</f>
        <v>7</v>
      </c>
      <c r="Q19" s="1" t="s">
        <v>154</v>
      </c>
    </row>
    <row r="20" customFormat="false" ht="15" hidden="true" customHeight="true" outlineLevel="0" collapsed="false">
      <c r="A20" s="24" t="str">
        <f aca="false">IF(AND(B20="",C20="",D20="",E20="",F20="",G20="",H20="",J20="",L20="",M20="",N20=""),"",Q20)</f>
        <v>NEW-0011</v>
      </c>
      <c r="B20" s="25" t="s">
        <v>155</v>
      </c>
      <c r="C20" s="25" t="s">
        <v>103</v>
      </c>
      <c r="D20" s="25" t="s">
        <v>104</v>
      </c>
      <c r="E20" s="25" t="s">
        <v>114</v>
      </c>
      <c r="F20" s="25" t="s">
        <v>93</v>
      </c>
      <c r="G20" s="25" t="s">
        <v>87</v>
      </c>
      <c r="H20" s="25" t="s">
        <v>140</v>
      </c>
      <c r="I20" s="26" t="str">
        <f aca="false">IF($A20="","",IFERROR(IF(ISBLANK(INDEX(SprintPlanning[Sprint],MATCH($A20,SprintPlanning[Requirement ID],0))),"To Plan",INDEX(SprintPlanning[Sprint],MATCH($A20,SprintPlanning[Requirement ID],0))),"To Plan"))</f>
        <v>To Plan</v>
      </c>
      <c r="J20" s="25" t="n">
        <v>8</v>
      </c>
      <c r="K20" s="26" t="str">
        <f aca="false">IFERROR(IF(ISBLANK(INDEX(Release[Release],MATCH($A20,Release[Requirement ID],0))),"",INDEX(Release[Release],MATCH($A20,Release[Requirement ID],0))),"")</f>
        <v/>
      </c>
      <c r="L20" s="27" t="n">
        <v>46226</v>
      </c>
      <c r="M20" s="25" t="s">
        <v>94</v>
      </c>
      <c r="N20" s="26" t="s">
        <v>156</v>
      </c>
      <c r="P20" s="1" t="n">
        <f aca="false">IFERROR(VALUE(MID($A20,5,4)),0)</f>
        <v>11</v>
      </c>
      <c r="Q20" s="1" t="s">
        <v>157</v>
      </c>
    </row>
    <row r="21" customFormat="false" ht="15" hidden="true" customHeight="true" outlineLevel="0" collapsed="false">
      <c r="A21" s="24" t="str">
        <f aca="false">IF(AND(B21="",C21="",D21="",E21="",F21="",G21="",H21="",J21="",L21="",M21="",N21=""),"",Q21)</f>
        <v>NEW-0016</v>
      </c>
      <c r="B21" s="25" t="s">
        <v>158</v>
      </c>
      <c r="C21" s="25" t="s">
        <v>90</v>
      </c>
      <c r="D21" s="25" t="s">
        <v>84</v>
      </c>
      <c r="E21" s="25" t="s">
        <v>92</v>
      </c>
      <c r="F21" s="25" t="s">
        <v>93</v>
      </c>
      <c r="G21" s="25" t="s">
        <v>87</v>
      </c>
      <c r="H21" s="25" t="s">
        <v>106</v>
      </c>
      <c r="I21" s="26" t="str">
        <f aca="false">IF($A21="","",IFERROR(IF(ISBLANK(INDEX(SprintPlanning[Sprint],MATCH($A21,SprintPlanning[Requirement ID],0))),"To Plan",INDEX(SprintPlanning[Sprint],MATCH($A21,SprintPlanning[Requirement ID],0))),"To Plan"))</f>
        <v>To Plan</v>
      </c>
      <c r="J21" s="25" t="n">
        <v>8</v>
      </c>
      <c r="K21" s="26" t="str">
        <f aca="false">IFERROR(IF(ISBLANK(INDEX(Release[Release],MATCH($A21,Release[Requirement ID],0))),"",INDEX(Release[Release],MATCH($A21,Release[Requirement ID],0))),"")</f>
        <v/>
      </c>
      <c r="L21" s="27" t="n">
        <v>46226</v>
      </c>
      <c r="M21" s="25" t="s">
        <v>94</v>
      </c>
      <c r="N21" s="26" t="s">
        <v>159</v>
      </c>
      <c r="P21" s="1" t="n">
        <f aca="false">IFERROR(VALUE(MID($A21,5,4)),0)</f>
        <v>16</v>
      </c>
      <c r="Q21" s="1" t="s">
        <v>160</v>
      </c>
    </row>
    <row r="22" customFormat="false" ht="15" hidden="true" customHeight="true" outlineLevel="0" collapsed="false">
      <c r="A22" s="24" t="str">
        <f aca="false">IF(AND(B22="",C22="",D22="",E22="",F22="",G22="",H22="",J22="",L22="",M22="",N22=""),"",Q22)</f>
        <v>NEW-0017</v>
      </c>
      <c r="B22" s="25" t="s">
        <v>161</v>
      </c>
      <c r="C22" s="25" t="s">
        <v>110</v>
      </c>
      <c r="D22" s="25" t="s">
        <v>91</v>
      </c>
      <c r="E22" s="25" t="s">
        <v>92</v>
      </c>
      <c r="F22" s="25" t="s">
        <v>93</v>
      </c>
      <c r="G22" s="25" t="s">
        <v>87</v>
      </c>
      <c r="H22" s="25" t="s">
        <v>151</v>
      </c>
      <c r="I22" s="26" t="str">
        <f aca="false">IF($A22="","",IFERROR(IF(ISBLANK(INDEX(SprintPlanning[Sprint],MATCH($A22,SprintPlanning[Requirement ID],0))),"To Plan",INDEX(SprintPlanning[Sprint],MATCH($A22,SprintPlanning[Requirement ID],0))),"To Plan"))</f>
        <v>To Plan</v>
      </c>
      <c r="J22" s="25" t="n">
        <v>40</v>
      </c>
      <c r="K22" s="26" t="str">
        <f aca="false">IFERROR(IF(ISBLANK(INDEX(Release[Release],MATCH($A22,Release[Requirement ID],0))),"",INDEX(Release[Release],MATCH($A22,Release[Requirement ID],0))),"")</f>
        <v/>
      </c>
      <c r="L22" s="27" t="n">
        <v>46226</v>
      </c>
      <c r="M22" s="25"/>
      <c r="N22" s="26"/>
      <c r="P22" s="1" t="n">
        <f aca="false">IFERROR(VALUE(MID($A22,5,4)),0)</f>
        <v>17</v>
      </c>
      <c r="Q22" s="1" t="s">
        <v>162</v>
      </c>
    </row>
    <row r="23" customFormat="false" ht="15" hidden="true" customHeight="true" outlineLevel="0" collapsed="false">
      <c r="A23" s="24" t="str">
        <f aca="false">IF(AND(B23="",C23="",D23="",E23="",F23="",G23="",H23="",J23="",L23="",M23="",N23=""),"",Q23)</f>
        <v>NEW-0018</v>
      </c>
      <c r="B23" s="25" t="s">
        <v>163</v>
      </c>
      <c r="C23" s="25" t="s">
        <v>110</v>
      </c>
      <c r="D23" s="25" t="s">
        <v>91</v>
      </c>
      <c r="E23" s="25" t="s">
        <v>92</v>
      </c>
      <c r="F23" s="25" t="s">
        <v>93</v>
      </c>
      <c r="G23" s="25" t="s">
        <v>87</v>
      </c>
      <c r="H23" s="25" t="s">
        <v>151</v>
      </c>
      <c r="I23" s="26" t="str">
        <f aca="false">IF($A23="","",IFERROR(IF(ISBLANK(INDEX(SprintPlanning[Sprint],MATCH($A23,SprintPlanning[Requirement ID],0))),"To Plan",INDEX(SprintPlanning[Sprint],MATCH($A23,SprintPlanning[Requirement ID],0))),"To Plan"))</f>
        <v>To Plan</v>
      </c>
      <c r="J23" s="25" t="n">
        <v>40</v>
      </c>
      <c r="K23" s="26" t="str">
        <f aca="false">IFERROR(IF(ISBLANK(INDEX(Release[Release],MATCH($A23,Release[Requirement ID],0))),"",INDEX(Release[Release],MATCH($A23,Release[Requirement ID],0))),"")</f>
        <v/>
      </c>
      <c r="L23" s="27" t="n">
        <v>46226</v>
      </c>
      <c r="M23" s="25"/>
      <c r="N23" s="26"/>
      <c r="P23" s="1" t="n">
        <f aca="false">IFERROR(VALUE(MID($A23,5,4)),0)</f>
        <v>18</v>
      </c>
      <c r="Q23" s="1" t="s">
        <v>164</v>
      </c>
    </row>
    <row r="24" customFormat="false" ht="15" hidden="true" customHeight="true" outlineLevel="0" collapsed="false">
      <c r="A24" s="24" t="str">
        <f aca="false">IF(AND(B24="",C24="",D24="",E24="",F24="",G24="",H24="",J24="",L24="",M24="",N24=""),"",Q24)</f>
        <v>NEW-0020</v>
      </c>
      <c r="B24" s="25" t="s">
        <v>165</v>
      </c>
      <c r="C24" s="25" t="s">
        <v>110</v>
      </c>
      <c r="D24" s="25" t="s">
        <v>119</v>
      </c>
      <c r="E24" s="25" t="s">
        <v>92</v>
      </c>
      <c r="F24" s="25" t="s">
        <v>93</v>
      </c>
      <c r="G24" s="25" t="s">
        <v>87</v>
      </c>
      <c r="H24" s="25"/>
      <c r="I24" s="26" t="str">
        <f aca="false">IF($A24="","",IFERROR(IF(ISBLANK(INDEX(SprintPlanning[Sprint],MATCH($A24,SprintPlanning[Requirement ID],0))),"To Plan",INDEX(SprintPlanning[Sprint],MATCH($A24,SprintPlanning[Requirement ID],0))),"To Plan"))</f>
        <v>Sprint 14</v>
      </c>
      <c r="J24" s="25" t="n">
        <v>20</v>
      </c>
      <c r="K24" s="26" t="str">
        <f aca="false">IFERROR(IF(ISBLANK(INDEX(Release[Release],MATCH($A24,Release[Requirement ID],0))),"",INDEX(Release[Release],MATCH($A24,Release[Requirement ID],0))),"")</f>
        <v/>
      </c>
      <c r="L24" s="27" t="n">
        <v>46226</v>
      </c>
      <c r="M24" s="25"/>
      <c r="N24" s="32" t="s">
        <v>166</v>
      </c>
      <c r="P24" s="1" t="n">
        <f aca="false">IFERROR(VALUE(MID($A24,5,4)),0)</f>
        <v>20</v>
      </c>
      <c r="Q24" s="1" t="s">
        <v>167</v>
      </c>
    </row>
    <row r="25" customFormat="false" ht="15" hidden="true" customHeight="true" outlineLevel="0" collapsed="false">
      <c r="A25" s="24" t="str">
        <f aca="false">IF(AND(B25="",C25="",D25="",E25="",F25="",G25="",H25="",J25="",L25="",M25="",N25=""),"",Q25)</f>
        <v>NEW-0022</v>
      </c>
      <c r="B25" s="25" t="s">
        <v>168</v>
      </c>
      <c r="C25" s="25" t="s">
        <v>110</v>
      </c>
      <c r="D25" s="25" t="s">
        <v>119</v>
      </c>
      <c r="E25" s="25" t="s">
        <v>92</v>
      </c>
      <c r="F25" s="25" t="s">
        <v>93</v>
      </c>
      <c r="G25" s="25" t="s">
        <v>87</v>
      </c>
      <c r="H25" s="25"/>
      <c r="I25" s="26" t="str">
        <f aca="false">IF($A25="","",IFERROR(IF(ISBLANK(INDEX(SprintPlanning[Sprint],MATCH($A25,SprintPlanning[Requirement ID],0))),"To Plan",INDEX(SprintPlanning[Sprint],MATCH($A25,SprintPlanning[Requirement ID],0))),"To Plan"))</f>
        <v>To Plan</v>
      </c>
      <c r="J25" s="25" t="n">
        <v>8</v>
      </c>
      <c r="K25" s="26" t="str">
        <f aca="false">IFERROR(IF(ISBLANK(INDEX(Release[Release],MATCH($A25,Release[Requirement ID],0))),"",INDEX(Release[Release],MATCH($A25,Release[Requirement ID],0))),"")</f>
        <v/>
      </c>
      <c r="L25" s="27" t="n">
        <v>46226</v>
      </c>
      <c r="M25" s="25"/>
      <c r="N25" s="26"/>
      <c r="P25" s="1" t="n">
        <f aca="false">IFERROR(VALUE(MID($A25,5,4)),0)</f>
        <v>22</v>
      </c>
      <c r="Q25" s="1" t="s">
        <v>169</v>
      </c>
    </row>
    <row r="26" customFormat="false" ht="15" hidden="true" customHeight="true" outlineLevel="0" collapsed="false">
      <c r="A26" s="24" t="str">
        <f aca="false">IF(AND(B26="",C26="",D26="",E26="",F26="",G26="",H26="",J26="",L26="",M26="",N26=""),"",Q26)</f>
        <v>NEW-0033</v>
      </c>
      <c r="B26" s="25" t="s">
        <v>170</v>
      </c>
      <c r="C26" s="25" t="s">
        <v>90</v>
      </c>
      <c r="D26" s="25" t="s">
        <v>119</v>
      </c>
      <c r="E26" s="25" t="s">
        <v>92</v>
      </c>
      <c r="F26" s="25" t="s">
        <v>93</v>
      </c>
      <c r="G26" s="25" t="s">
        <v>87</v>
      </c>
      <c r="H26" s="25"/>
      <c r="I26" s="26" t="str">
        <f aca="false">IF($A26="","",IFERROR(IF(ISBLANK(INDEX(SprintPlanning[Sprint],MATCH($A26,SprintPlanning[Requirement ID],0))),"To Plan",INDEX(SprintPlanning[Sprint],MATCH($A26,SprintPlanning[Requirement ID],0))),"To Plan"))</f>
        <v>To Plan</v>
      </c>
      <c r="J26" s="25" t="n">
        <v>3</v>
      </c>
      <c r="K26" s="26" t="str">
        <f aca="false">IFERROR(IF(ISBLANK(INDEX(Release[Release],MATCH($A26,Release[Requirement ID],0))),"",INDEX(Release[Release],MATCH($A26,Release[Requirement ID],0))),"")</f>
        <v/>
      </c>
      <c r="L26" s="27" t="n">
        <v>46226</v>
      </c>
      <c r="M26" s="25" t="s">
        <v>94</v>
      </c>
      <c r="N26" s="26" t="s">
        <v>171</v>
      </c>
      <c r="P26" s="1" t="n">
        <f aca="false">IFERROR(VALUE(MID($A26,5,4)),0)</f>
        <v>33</v>
      </c>
      <c r="Q26" s="1" t="s">
        <v>172</v>
      </c>
    </row>
    <row r="27" customFormat="false" ht="15" hidden="true" customHeight="true" outlineLevel="0" collapsed="false">
      <c r="A27" s="24" t="str">
        <f aca="false">IF(AND(B27="",C27="",D27="",E27="",F27="",G27="",H27="",J27="",L27="",M27="",N27=""),"",Q27)</f>
        <v>NEW-0068</v>
      </c>
      <c r="B27" s="25" t="s">
        <v>173</v>
      </c>
      <c r="C27" s="25" t="s">
        <v>103</v>
      </c>
      <c r="D27" s="25" t="s">
        <v>119</v>
      </c>
      <c r="E27" s="25" t="s">
        <v>92</v>
      </c>
      <c r="F27" s="25" t="s">
        <v>93</v>
      </c>
      <c r="G27" s="25" t="s">
        <v>87</v>
      </c>
      <c r="H27" s="25"/>
      <c r="I27" s="26" t="str">
        <f aca="false">IF($A27="","",IFERROR(IF(ISBLANK(INDEX(SprintPlanning[Sprint],MATCH($A27,SprintPlanning[Requirement ID],0))),"To Plan",INDEX(SprintPlanning[Sprint],MATCH($A27,SprintPlanning[Requirement ID],0))),"To Plan"))</f>
        <v>To Plan</v>
      </c>
      <c r="J27" s="25" t="n">
        <v>8</v>
      </c>
      <c r="K27" s="26" t="str">
        <f aca="false">IFERROR(IF(ISBLANK(INDEX(Release[Release],MATCH($A27,Release[Requirement ID],0))),"",INDEX(Release[Release],MATCH($A27,Release[Requirement ID],0))),"")</f>
        <v/>
      </c>
      <c r="L27" s="27" t="n">
        <v>46226</v>
      </c>
      <c r="M27" s="25"/>
      <c r="N27" s="26"/>
      <c r="P27" s="1" t="n">
        <f aca="false">IFERROR(VALUE(MID($A27,5,4)),0)</f>
        <v>68</v>
      </c>
      <c r="Q27" s="1" t="s">
        <v>174</v>
      </c>
    </row>
    <row r="28" customFormat="false" ht="15" hidden="true" customHeight="true" outlineLevel="0" collapsed="false">
      <c r="A28" s="24" t="str">
        <f aca="false">IF(AND(B28="",C28="",D28="",E28="",F28="",G28="",H28="",J28="",L28="",M28="",N28=""),"",Q28)</f>
        <v>NEW-0270</v>
      </c>
      <c r="B28" s="25" t="s">
        <v>175</v>
      </c>
      <c r="C28" s="25" t="s">
        <v>103</v>
      </c>
      <c r="D28" s="25" t="s">
        <v>84</v>
      </c>
      <c r="E28" s="25" t="s">
        <v>92</v>
      </c>
      <c r="F28" s="25" t="s">
        <v>93</v>
      </c>
      <c r="G28" s="25" t="s">
        <v>87</v>
      </c>
      <c r="H28" s="25"/>
      <c r="I28" s="26" t="str">
        <f aca="false">IF($A28="","",IFERROR(IF(ISBLANK(INDEX(SprintPlanning[Sprint],MATCH($A28,SprintPlanning[Requirement ID],0))),"To Plan",INDEX(SprintPlanning[Sprint],MATCH($A28,SprintPlanning[Requirement ID],0))),"To Plan"))</f>
        <v>To Plan</v>
      </c>
      <c r="J28" s="25" t="n">
        <v>5</v>
      </c>
      <c r="K28" s="26" t="str">
        <f aca="false">IFERROR(IF(ISBLANK(INDEX(Release[Release],MATCH($A28,Release[Requirement ID],0))),"",INDEX(Release[Release],MATCH($A28,Release[Requirement ID],0))),"")</f>
        <v/>
      </c>
      <c r="L28" s="27" t="n">
        <v>46232</v>
      </c>
      <c r="M28" s="25"/>
      <c r="N28" s="26"/>
      <c r="P28" s="1" t="n">
        <f aca="false">IFERROR(VALUE(MID($A28,5,4)),0)</f>
        <v>270</v>
      </c>
      <c r="Q28" s="1" t="s">
        <v>176</v>
      </c>
    </row>
    <row r="29" customFormat="false" ht="15" hidden="true" customHeight="true" outlineLevel="0" collapsed="false">
      <c r="A29" s="24" t="str">
        <f aca="false">IF(AND(B29="",C29="",D29="",E29="",F29="",G29="",H29="",J29="",L29="",M29="",N29=""),"",Q29)</f>
        <v>NEW-0274</v>
      </c>
      <c r="B29" s="25" t="s">
        <v>177</v>
      </c>
      <c r="C29" s="25" t="s">
        <v>103</v>
      </c>
      <c r="D29" s="25" t="s">
        <v>104</v>
      </c>
      <c r="E29" s="25" t="s">
        <v>114</v>
      </c>
      <c r="F29" s="25" t="s">
        <v>93</v>
      </c>
      <c r="G29" s="25" t="s">
        <v>87</v>
      </c>
      <c r="H29" s="25"/>
      <c r="I29" s="26" t="str">
        <f aca="false">IF($A29="","",IFERROR(IF(ISBLANK(INDEX(SprintPlanning[Sprint],MATCH($A29,SprintPlanning[Requirement ID],0))),"To Plan",INDEX(SprintPlanning[Sprint],MATCH($A29,SprintPlanning[Requirement ID],0))),"To Plan"))</f>
        <v>To Plan</v>
      </c>
      <c r="J29" s="25" t="n">
        <v>3</v>
      </c>
      <c r="K29" s="26" t="str">
        <f aca="false">IFERROR(IF(ISBLANK(INDEX(Release[Release],MATCH($A29,Release[Requirement ID],0))),"",INDEX(Release[Release],MATCH($A29,Release[Requirement ID],0))),"")</f>
        <v/>
      </c>
      <c r="L29" s="27" t="n">
        <v>46232</v>
      </c>
      <c r="M29" s="25"/>
      <c r="N29" s="26"/>
      <c r="P29" s="1" t="n">
        <f aca="false">IFERROR(VALUE(MID($A29,5,4)),0)</f>
        <v>274</v>
      </c>
      <c r="Q29" s="1" t="s">
        <v>178</v>
      </c>
    </row>
    <row r="30" customFormat="false" ht="15" hidden="true" customHeight="true" outlineLevel="0" collapsed="false">
      <c r="A30" s="24" t="str">
        <f aca="false">IF(AND(B30="",C30="",D30="",E30="",F30="",G30="",H30="",J30="",L30="",M30="",N30=""),"",Q30)</f>
        <v>NEW-0284</v>
      </c>
      <c r="B30" s="25" t="s">
        <v>179</v>
      </c>
      <c r="C30" s="25" t="s">
        <v>103</v>
      </c>
      <c r="D30" s="25" t="s">
        <v>119</v>
      </c>
      <c r="E30" s="25" t="s">
        <v>92</v>
      </c>
      <c r="F30" s="25" t="s">
        <v>93</v>
      </c>
      <c r="G30" s="25" t="s">
        <v>87</v>
      </c>
      <c r="H30" s="25"/>
      <c r="I30" s="26" t="str">
        <f aca="false">IF($A30="","",IFERROR(IF(ISBLANK(INDEX(SprintPlanning[Sprint],MATCH($A30,SprintPlanning[Requirement ID],0))),"To Plan",INDEX(SprintPlanning[Sprint],MATCH($A30,SprintPlanning[Requirement ID],0))),"To Plan"))</f>
        <v>To Plan</v>
      </c>
      <c r="J30" s="25"/>
      <c r="K30" s="26" t="str">
        <f aca="false">IFERROR(IF(ISBLANK(INDEX(Release[Release],MATCH($A30,Release[Requirement ID],0))),"",INDEX(Release[Release],MATCH($A30,Release[Requirement ID],0))),"")</f>
        <v/>
      </c>
      <c r="L30" s="27" t="n">
        <v>46232</v>
      </c>
      <c r="M30" s="25"/>
      <c r="N30" s="26"/>
      <c r="P30" s="1" t="n">
        <f aca="false">IFERROR(VALUE(MID($A30,5,4)),0)</f>
        <v>284</v>
      </c>
      <c r="Q30" s="1" t="s">
        <v>180</v>
      </c>
    </row>
    <row r="31" customFormat="false" ht="15" hidden="true" customHeight="true" outlineLevel="0" collapsed="false">
      <c r="A31" s="24" t="str">
        <f aca="false">IF(AND(B31="",C31="",D31="",E31="",F31="",G31="",H31="",J31="",L31="",M31="",N31=""),"",Q31)</f>
        <v>NEW-0288</v>
      </c>
      <c r="B31" s="25" t="s">
        <v>181</v>
      </c>
      <c r="C31" s="25" t="s">
        <v>123</v>
      </c>
      <c r="D31" s="25" t="s">
        <v>119</v>
      </c>
      <c r="E31" s="25" t="s">
        <v>124</v>
      </c>
      <c r="F31" s="25" t="s">
        <v>93</v>
      </c>
      <c r="G31" s="25" t="s">
        <v>87</v>
      </c>
      <c r="H31" s="25"/>
      <c r="I31" s="26" t="str">
        <f aca="false">IF($A31="","",IFERROR(IF(ISBLANK(INDEX(SprintPlanning[Sprint],MATCH($A31,SprintPlanning[Requirement ID],0))),"To Plan",INDEX(SprintPlanning[Sprint],MATCH($A31,SprintPlanning[Requirement ID],0))),"To Plan"))</f>
        <v>To Plan</v>
      </c>
      <c r="J31" s="25" t="n">
        <v>8</v>
      </c>
      <c r="K31" s="26" t="str">
        <f aca="false">IFERROR(IF(ISBLANK(INDEX(Release[Release],MATCH($A31,Release[Requirement ID],0))),"",INDEX(Release[Release],MATCH($A31,Release[Requirement ID],0))),"")</f>
        <v/>
      </c>
      <c r="L31" s="27" t="n">
        <v>46232</v>
      </c>
      <c r="M31" s="25"/>
      <c r="N31" s="26"/>
      <c r="P31" s="1" t="n">
        <f aca="false">IFERROR(VALUE(MID($A31,5,4)),0)</f>
        <v>288</v>
      </c>
      <c r="Q31" s="1" t="s">
        <v>182</v>
      </c>
    </row>
    <row r="32" customFormat="false" ht="15" hidden="true" customHeight="true" outlineLevel="0" collapsed="false">
      <c r="A32" s="24" t="str">
        <f aca="false">IF(AND(B32="",C32="",D32="",E32="",F32="",G32="",H32="",J32="",L32="",M32="",N32=""),"",Q32)</f>
        <v>NEW-0290</v>
      </c>
      <c r="B32" s="25" t="s">
        <v>183</v>
      </c>
      <c r="C32" s="25" t="s">
        <v>184</v>
      </c>
      <c r="D32" s="25" t="s">
        <v>119</v>
      </c>
      <c r="E32" s="25" t="s">
        <v>92</v>
      </c>
      <c r="F32" s="25" t="s">
        <v>93</v>
      </c>
      <c r="G32" s="25" t="s">
        <v>87</v>
      </c>
      <c r="H32" s="25"/>
      <c r="I32" s="26" t="str">
        <f aca="false">IF($A32="","",IFERROR(IF(ISBLANK(INDEX(SprintPlanning[Sprint],MATCH($A32,SprintPlanning[Requirement ID],0))),"To Plan",INDEX(SprintPlanning[Sprint],MATCH($A32,SprintPlanning[Requirement ID],0))),"To Plan"))</f>
        <v>To Plan</v>
      </c>
      <c r="J32" s="25" t="n">
        <v>5</v>
      </c>
      <c r="K32" s="26" t="str">
        <f aca="false">IFERROR(IF(ISBLANK(INDEX(Release[Release],MATCH($A32,Release[Requirement ID],0))),"",INDEX(Release[Release],MATCH($A32,Release[Requirement ID],0))),"")</f>
        <v/>
      </c>
      <c r="L32" s="27" t="n">
        <v>46232</v>
      </c>
      <c r="M32" s="25" t="s">
        <v>94</v>
      </c>
      <c r="N32" s="32" t="s">
        <v>185</v>
      </c>
      <c r="P32" s="1" t="n">
        <f aca="false">IFERROR(VALUE(MID($A32,5,4)),0)</f>
        <v>290</v>
      </c>
      <c r="Q32" s="1" t="s">
        <v>186</v>
      </c>
    </row>
    <row r="33" customFormat="false" ht="15" hidden="true" customHeight="true" outlineLevel="0" collapsed="false">
      <c r="A33" s="24" t="str">
        <f aca="false">IF(AND(B33="",C33="",D33="",E33="",F33="",G33="",H33="",J33="",L33="",M33="",N33=""),"",Q33)</f>
        <v>NEW-0299</v>
      </c>
      <c r="B33" s="25" t="s">
        <v>187</v>
      </c>
      <c r="C33" s="25" t="s">
        <v>103</v>
      </c>
      <c r="D33" s="25" t="s">
        <v>119</v>
      </c>
      <c r="E33" s="25" t="s">
        <v>92</v>
      </c>
      <c r="F33" s="25" t="s">
        <v>93</v>
      </c>
      <c r="G33" s="25" t="s">
        <v>87</v>
      </c>
      <c r="H33" s="25"/>
      <c r="I33" s="26" t="str">
        <f aca="false">IF($A33="","",IFERROR(IF(ISBLANK(INDEX(SprintPlanning[Sprint],MATCH($A33,SprintPlanning[Requirement ID],0))),"To Plan",INDEX(SprintPlanning[Sprint],MATCH($A33,SprintPlanning[Requirement ID],0))),"To Plan"))</f>
        <v>To Plan</v>
      </c>
      <c r="J33" s="25" t="n">
        <v>33</v>
      </c>
      <c r="K33" s="26" t="str">
        <f aca="false">IFERROR(IF(ISBLANK(INDEX(Release[Release],MATCH($A33,Release[Requirement ID],0))),"",INDEX(Release[Release],MATCH($A33,Release[Requirement ID],0))),"")</f>
        <v/>
      </c>
      <c r="L33" s="27" t="n">
        <v>46232</v>
      </c>
      <c r="M33" s="25"/>
      <c r="N33" s="26"/>
      <c r="P33" s="1" t="n">
        <f aca="false">IFERROR(VALUE(MID($A33,5,4)),0)</f>
        <v>299</v>
      </c>
      <c r="Q33" s="1" t="s">
        <v>188</v>
      </c>
    </row>
    <row r="34" customFormat="false" ht="15" hidden="true" customHeight="true" outlineLevel="0" collapsed="false">
      <c r="A34" s="24" t="str">
        <f aca="false">IF(AND(B34="",C34="",D34="",E34="",F34="",G34="",H34="",J34="",L34="",M34="",N34=""),"",Q34)</f>
        <v>NEW-0315</v>
      </c>
      <c r="B34" s="25" t="s">
        <v>189</v>
      </c>
      <c r="C34" s="25" t="s">
        <v>103</v>
      </c>
      <c r="D34" s="25" t="s">
        <v>119</v>
      </c>
      <c r="E34" s="25" t="s">
        <v>92</v>
      </c>
      <c r="F34" s="25" t="s">
        <v>93</v>
      </c>
      <c r="G34" s="25" t="s">
        <v>87</v>
      </c>
      <c r="H34" s="25"/>
      <c r="I34" s="26" t="str">
        <f aca="false">IF($A34="","",IFERROR(IF(ISBLANK(INDEX(SprintPlanning[Sprint],MATCH($A34,SprintPlanning[Requirement ID],0))),"To Plan",INDEX(SprintPlanning[Sprint],MATCH($A34,SprintPlanning[Requirement ID],0))),"To Plan"))</f>
        <v>To Plan</v>
      </c>
      <c r="J34" s="25" t="n">
        <v>8</v>
      </c>
      <c r="K34" s="26" t="str">
        <f aca="false">IFERROR(IF(ISBLANK(INDEX(Release[Release],MATCH($A34,Release[Requirement ID],0))),"",INDEX(Release[Release],MATCH($A34,Release[Requirement ID],0))),"")</f>
        <v/>
      </c>
      <c r="L34" s="27" t="n">
        <v>46232</v>
      </c>
      <c r="M34" s="25"/>
      <c r="N34" s="26"/>
      <c r="P34" s="1" t="n">
        <f aca="false">IFERROR(VALUE(MID($A34,5,4)),0)</f>
        <v>315</v>
      </c>
      <c r="Q34" s="1" t="s">
        <v>190</v>
      </c>
    </row>
    <row r="35" customFormat="false" ht="15" hidden="true" customHeight="true" outlineLevel="0" collapsed="false">
      <c r="A35" s="24" t="str">
        <f aca="false">IF(AND(B35="",C35="",D35="",E35="",F35="",G35="",H35="",J35="",L35="",M35="",N35=""),"",Q35)</f>
        <v>NEW-0322</v>
      </c>
      <c r="B35" s="25" t="s">
        <v>191</v>
      </c>
      <c r="C35" s="25" t="s">
        <v>103</v>
      </c>
      <c r="D35" s="25" t="s">
        <v>119</v>
      </c>
      <c r="E35" s="25" t="s">
        <v>92</v>
      </c>
      <c r="F35" s="25" t="s">
        <v>93</v>
      </c>
      <c r="G35" s="25" t="s">
        <v>87</v>
      </c>
      <c r="H35" s="25"/>
      <c r="I35" s="26" t="str">
        <f aca="false">IF($A35="","",IFERROR(IF(ISBLANK(INDEX(SprintPlanning[Sprint],MATCH($A35,SprintPlanning[Requirement ID],0))),"To Plan",INDEX(SprintPlanning[Sprint],MATCH($A35,SprintPlanning[Requirement ID],0))),"To Plan"))</f>
        <v>To Plan</v>
      </c>
      <c r="J35" s="25" t="n">
        <v>13</v>
      </c>
      <c r="K35" s="26" t="str">
        <f aca="false">IFERROR(IF(ISBLANK(INDEX(Release[Release],MATCH($A35,Release[Requirement ID],0))),"",INDEX(Release[Release],MATCH($A35,Release[Requirement ID],0))),"")</f>
        <v/>
      </c>
      <c r="L35" s="27" t="n">
        <v>46232</v>
      </c>
      <c r="M35" s="25"/>
      <c r="N35" s="26"/>
      <c r="P35" s="1" t="n">
        <f aca="false">IFERROR(VALUE(MID($A35,5,4)),0)</f>
        <v>322</v>
      </c>
      <c r="Q35" s="1" t="s">
        <v>192</v>
      </c>
    </row>
    <row r="36" customFormat="false" ht="15" hidden="true" customHeight="true" outlineLevel="0" collapsed="false">
      <c r="A36" s="24" t="str">
        <f aca="false">IF(AND(B36="",C36="",D36="",E36="",F36="",G36="",H36="",J36="",L36="",M36="",N36=""),"",Q36)</f>
        <v>NEW-0324</v>
      </c>
      <c r="B36" s="25" t="s">
        <v>193</v>
      </c>
      <c r="C36" s="25" t="s">
        <v>103</v>
      </c>
      <c r="D36" s="25" t="s">
        <v>119</v>
      </c>
      <c r="E36" s="25" t="s">
        <v>92</v>
      </c>
      <c r="F36" s="25" t="s">
        <v>93</v>
      </c>
      <c r="G36" s="25" t="s">
        <v>87</v>
      </c>
      <c r="H36" s="25"/>
      <c r="I36" s="26" t="str">
        <f aca="false">IF($A36="","",IFERROR(IF(ISBLANK(INDEX(SprintPlanning[Sprint],MATCH($A36,SprintPlanning[Requirement ID],0))),"To Plan",INDEX(SprintPlanning[Sprint],MATCH($A36,SprintPlanning[Requirement ID],0))),"To Plan"))</f>
        <v>To Plan</v>
      </c>
      <c r="J36" s="25"/>
      <c r="K36" s="26" t="str">
        <f aca="false">IFERROR(IF(ISBLANK(INDEX(Release[Release],MATCH($A36,Release[Requirement ID],0))),"",INDEX(Release[Release],MATCH($A36,Release[Requirement ID],0))),"")</f>
        <v/>
      </c>
      <c r="L36" s="27" t="n">
        <v>46232</v>
      </c>
      <c r="M36" s="25"/>
      <c r="N36" s="26"/>
      <c r="P36" s="1" t="n">
        <f aca="false">IFERROR(VALUE(MID($A36,5,4)),0)</f>
        <v>324</v>
      </c>
      <c r="Q36" s="1" t="s">
        <v>194</v>
      </c>
    </row>
    <row r="37" customFormat="false" ht="15" hidden="true" customHeight="true" outlineLevel="0" collapsed="false">
      <c r="A37" s="24" t="str">
        <f aca="false">IF(AND(B37="",C37="",D37="",E37="",F37="",G37="",H37="",J37="",L37="",M37="",N37=""),"",Q37)</f>
        <v>NEW-0343</v>
      </c>
      <c r="B37" s="25" t="s">
        <v>195</v>
      </c>
      <c r="C37" s="25" t="s">
        <v>103</v>
      </c>
      <c r="D37" s="25" t="s">
        <v>28</v>
      </c>
      <c r="E37" s="25" t="s">
        <v>85</v>
      </c>
      <c r="F37" s="25" t="s">
        <v>86</v>
      </c>
      <c r="G37" s="25" t="s">
        <v>87</v>
      </c>
      <c r="H37" s="25"/>
      <c r="I37" s="26" t="str">
        <f aca="false">IF($A37="","",IFERROR(IF(ISBLANK(INDEX(SprintPlanning[Sprint],MATCH($A37,SprintPlanning[Requirement ID],0))),"To Plan",INDEX(SprintPlanning[Sprint],MATCH($A37,SprintPlanning[Requirement ID],0))),"To Plan"))</f>
        <v>To Plan</v>
      </c>
      <c r="J37" s="25"/>
      <c r="K37" s="26" t="str">
        <f aca="false">IFERROR(IF(ISBLANK(INDEX(Release[Release],MATCH($A37,Release[Requirement ID],0))),"",INDEX(Release[Release],MATCH($A37,Release[Requirement ID],0))),"")</f>
        <v/>
      </c>
      <c r="L37" s="27" t="n">
        <v>46232</v>
      </c>
      <c r="M37" s="25"/>
      <c r="N37" s="26"/>
      <c r="P37" s="1" t="n">
        <f aca="false">IFERROR(VALUE(MID($A37,5,4)),0)</f>
        <v>343</v>
      </c>
      <c r="Q37" s="1" t="s">
        <v>196</v>
      </c>
    </row>
    <row r="38" customFormat="false" ht="15" hidden="true" customHeight="true" outlineLevel="0" collapsed="false">
      <c r="A38" s="24" t="str">
        <f aca="false">IF(AND(B38="",C38="",D38="",E38="",F38="",G38="",H38="",J38="",L38="",M38="",N38=""),"",Q38)</f>
        <v>NEW-0344</v>
      </c>
      <c r="B38" s="25" t="s">
        <v>197</v>
      </c>
      <c r="C38" s="25" t="s">
        <v>103</v>
      </c>
      <c r="D38" s="25" t="s">
        <v>28</v>
      </c>
      <c r="E38" s="25" t="s">
        <v>85</v>
      </c>
      <c r="F38" s="25" t="s">
        <v>93</v>
      </c>
      <c r="G38" s="25" t="s">
        <v>87</v>
      </c>
      <c r="H38" s="25"/>
      <c r="I38" s="26" t="str">
        <f aca="false">IF($A38="","",IFERROR(IF(ISBLANK(INDEX(SprintPlanning[Sprint],MATCH($A38,SprintPlanning[Requirement ID],0))),"To Plan",INDEX(SprintPlanning[Sprint],MATCH($A38,SprintPlanning[Requirement ID],0))),"To Plan"))</f>
        <v>To Plan</v>
      </c>
      <c r="J38" s="25"/>
      <c r="K38" s="26" t="str">
        <f aca="false">IFERROR(IF(ISBLANK(INDEX(Release[Release],MATCH($A38,Release[Requirement ID],0))),"",INDEX(Release[Release],MATCH($A38,Release[Requirement ID],0))),"")</f>
        <v/>
      </c>
      <c r="L38" s="27" t="n">
        <v>46232</v>
      </c>
      <c r="M38" s="25"/>
      <c r="N38" s="26"/>
      <c r="P38" s="1" t="n">
        <f aca="false">IFERROR(VALUE(MID($A38,5,4)),0)</f>
        <v>344</v>
      </c>
      <c r="Q38" s="1" t="s">
        <v>198</v>
      </c>
    </row>
    <row r="39" customFormat="false" ht="15" hidden="true" customHeight="true" outlineLevel="0" collapsed="false">
      <c r="A39" s="24" t="str">
        <f aca="false">IF(AND(B39="",C39="",D39="",E39="",F39="",G39="",H39="",J39="",L39="",M39="",N39=""),"",Q39)</f>
        <v>NEW-0345</v>
      </c>
      <c r="B39" s="25" t="s">
        <v>199</v>
      </c>
      <c r="C39" s="25" t="s">
        <v>103</v>
      </c>
      <c r="D39" s="25" t="s">
        <v>28</v>
      </c>
      <c r="E39" s="25" t="s">
        <v>85</v>
      </c>
      <c r="F39" s="25" t="s">
        <v>93</v>
      </c>
      <c r="G39" s="25" t="s">
        <v>87</v>
      </c>
      <c r="H39" s="25"/>
      <c r="I39" s="26" t="str">
        <f aca="false">IF($A39="","",IFERROR(IF(ISBLANK(INDEX(SprintPlanning[Sprint],MATCH($A39,SprintPlanning[Requirement ID],0))),"To Plan",INDEX(SprintPlanning[Sprint],MATCH($A39,SprintPlanning[Requirement ID],0))),"To Plan"))</f>
        <v>To Plan</v>
      </c>
      <c r="J39" s="25"/>
      <c r="K39" s="26" t="str">
        <f aca="false">IFERROR(IF(ISBLANK(INDEX(Release[Release],MATCH($A39,Release[Requirement ID],0))),"",INDEX(Release[Release],MATCH($A39,Release[Requirement ID],0))),"")</f>
        <v/>
      </c>
      <c r="L39" s="27" t="n">
        <v>46232</v>
      </c>
      <c r="M39" s="25"/>
      <c r="N39" s="26"/>
      <c r="P39" s="1" t="n">
        <f aca="false">IFERROR(VALUE(MID($A39,5,4)),0)</f>
        <v>345</v>
      </c>
      <c r="Q39" s="1" t="s">
        <v>200</v>
      </c>
    </row>
    <row r="40" customFormat="false" ht="15" hidden="true" customHeight="true" outlineLevel="0" collapsed="false">
      <c r="A40" s="24" t="str">
        <f aca="false">IF(AND(B40="",C40="",D40="",E40="",F40="",G40="",H40="",J40="",L40="",M40="",N40=""),"",Q40)</f>
        <v>NEW-0346</v>
      </c>
      <c r="B40" s="25" t="s">
        <v>201</v>
      </c>
      <c r="C40" s="25" t="s">
        <v>103</v>
      </c>
      <c r="D40" s="25" t="s">
        <v>28</v>
      </c>
      <c r="E40" s="25" t="s">
        <v>85</v>
      </c>
      <c r="F40" s="25" t="s">
        <v>93</v>
      </c>
      <c r="G40" s="25" t="s">
        <v>87</v>
      </c>
      <c r="H40" s="25"/>
      <c r="I40" s="26" t="str">
        <f aca="false">IF($A40="","",IFERROR(IF(ISBLANK(INDEX(SprintPlanning[Sprint],MATCH($A40,SprintPlanning[Requirement ID],0))),"To Plan",INDEX(SprintPlanning[Sprint],MATCH($A40,SprintPlanning[Requirement ID],0))),"To Plan"))</f>
        <v>To Plan</v>
      </c>
      <c r="J40" s="25"/>
      <c r="K40" s="26" t="str">
        <f aca="false">IFERROR(IF(ISBLANK(INDEX(Release[Release],MATCH($A40,Release[Requirement ID],0))),"",INDEX(Release[Release],MATCH($A40,Release[Requirement ID],0))),"")</f>
        <v/>
      </c>
      <c r="L40" s="27" t="n">
        <v>46232</v>
      </c>
      <c r="M40" s="25"/>
      <c r="N40" s="26"/>
      <c r="P40" s="1" t="n">
        <f aca="false">IFERROR(VALUE(MID($A40,5,4)),0)</f>
        <v>346</v>
      </c>
      <c r="Q40" s="1" t="s">
        <v>202</v>
      </c>
    </row>
    <row r="41" customFormat="false" ht="15" hidden="true" customHeight="true" outlineLevel="0" collapsed="false">
      <c r="A41" s="24" t="str">
        <f aca="false">IF(AND(B41="",C41="",D41="",E41="",F41="",G41="",H41="",J41="",L41="",M41="",N41=""),"",Q41)</f>
        <v>NEW-0356</v>
      </c>
      <c r="B41" s="25" t="s">
        <v>203</v>
      </c>
      <c r="C41" s="25" t="s">
        <v>103</v>
      </c>
      <c r="D41" s="25" t="s">
        <v>104</v>
      </c>
      <c r="E41" s="25" t="s">
        <v>92</v>
      </c>
      <c r="F41" s="25" t="s">
        <v>86</v>
      </c>
      <c r="G41" s="25" t="s">
        <v>87</v>
      </c>
      <c r="H41" s="25"/>
      <c r="I41" s="26" t="str">
        <f aca="false">IF($A41="","",IFERROR(IF(ISBLANK(INDEX(SprintPlanning[Sprint],MATCH($A41,SprintPlanning[Requirement ID],0))),"To Plan",INDEX(SprintPlanning[Sprint],MATCH($A41,SprintPlanning[Requirement ID],0))),"To Plan"))</f>
        <v>To Plan</v>
      </c>
      <c r="J41" s="25" t="n">
        <v>8</v>
      </c>
      <c r="K41" s="26" t="str">
        <f aca="false">IFERROR(IF(ISBLANK(INDEX(Release[Release],MATCH($A41,Release[Requirement ID],0))),"",INDEX(Release[Release],MATCH($A41,Release[Requirement ID],0))),"")</f>
        <v/>
      </c>
      <c r="L41" s="27" t="n">
        <v>46232</v>
      </c>
      <c r="M41" s="25"/>
      <c r="N41" s="26"/>
      <c r="P41" s="1" t="n">
        <f aca="false">IFERROR(VALUE(MID($A41,5,4)),0)</f>
        <v>356</v>
      </c>
      <c r="Q41" s="1" t="s">
        <v>204</v>
      </c>
    </row>
    <row r="42" customFormat="false" ht="15" hidden="true" customHeight="true" outlineLevel="0" collapsed="false">
      <c r="A42" s="24" t="str">
        <f aca="false">IF(AND(B42="",C42="",D42="",E42="",F42="",G42="",H42="",J42="",L42="",M42="",N42=""),"",Q42)</f>
        <v>NEW-0358</v>
      </c>
      <c r="B42" s="25" t="s">
        <v>205</v>
      </c>
      <c r="C42" s="25" t="s">
        <v>103</v>
      </c>
      <c r="D42" s="25" t="s">
        <v>104</v>
      </c>
      <c r="E42" s="25" t="s">
        <v>92</v>
      </c>
      <c r="F42" s="25" t="s">
        <v>86</v>
      </c>
      <c r="G42" s="25" t="s">
        <v>87</v>
      </c>
      <c r="H42" s="25"/>
      <c r="I42" s="26" t="str">
        <f aca="false">IF($A42="","",IFERROR(IF(ISBLANK(INDEX(SprintPlanning[Sprint],MATCH($A42,SprintPlanning[Requirement ID],0))),"To Plan",INDEX(SprintPlanning[Sprint],MATCH($A42,SprintPlanning[Requirement ID],0))),"To Plan"))</f>
        <v>To Plan</v>
      </c>
      <c r="J42" s="25"/>
      <c r="K42" s="26" t="str">
        <f aca="false">IFERROR(IF(ISBLANK(INDEX(Release[Release],MATCH($A42,Release[Requirement ID],0))),"",INDEX(Release[Release],MATCH($A42,Release[Requirement ID],0))),"")</f>
        <v/>
      </c>
      <c r="L42" s="27" t="n">
        <v>46232</v>
      </c>
      <c r="M42" s="25"/>
      <c r="N42" s="26"/>
      <c r="P42" s="1" t="n">
        <f aca="false">IFERROR(VALUE(MID($A42,5,4)),0)</f>
        <v>358</v>
      </c>
      <c r="Q42" s="1" t="s">
        <v>206</v>
      </c>
    </row>
    <row r="43" customFormat="false" ht="15" hidden="true" customHeight="true" outlineLevel="0" collapsed="false">
      <c r="A43" s="24" t="str">
        <f aca="false">IF(AND(B43="",C43="",D43="",E43="",F43="",G43="",H43="",J43="",L43="",M43="",N43=""),"",Q43)</f>
        <v>NEW-0360</v>
      </c>
      <c r="B43" s="25" t="s">
        <v>207</v>
      </c>
      <c r="C43" s="25" t="s">
        <v>103</v>
      </c>
      <c r="D43" s="25" t="s">
        <v>104</v>
      </c>
      <c r="E43" s="25" t="s">
        <v>92</v>
      </c>
      <c r="F43" s="25" t="s">
        <v>93</v>
      </c>
      <c r="G43" s="25" t="s">
        <v>87</v>
      </c>
      <c r="H43" s="25" t="s">
        <v>140</v>
      </c>
      <c r="I43" s="26" t="str">
        <f aca="false">IF($A43="","",IFERROR(IF(ISBLANK(INDEX(SprintPlanning[Sprint],MATCH($A43,SprintPlanning[Requirement ID],0))),"To Plan",INDEX(SprintPlanning[Sprint],MATCH($A43,SprintPlanning[Requirement ID],0))),"To Plan"))</f>
        <v>To Plan</v>
      </c>
      <c r="J43" s="25" t="n">
        <v>5</v>
      </c>
      <c r="K43" s="26" t="str">
        <f aca="false">IFERROR(IF(ISBLANK(INDEX(Release[Release],MATCH($A43,Release[Requirement ID],0))),"",INDEX(Release[Release],MATCH($A43,Release[Requirement ID],0))),"")</f>
        <v/>
      </c>
      <c r="L43" s="27" t="n">
        <v>46232</v>
      </c>
      <c r="M43" s="25"/>
      <c r="N43" s="26"/>
      <c r="P43" s="1" t="n">
        <f aca="false">IFERROR(VALUE(MID($A43,5,4)),0)</f>
        <v>360</v>
      </c>
      <c r="Q43" s="1" t="s">
        <v>208</v>
      </c>
    </row>
    <row r="44" customFormat="false" ht="15" hidden="true" customHeight="true" outlineLevel="0" collapsed="false">
      <c r="A44" s="24" t="str">
        <f aca="false">IF(AND(B44="",C44="",D44="",E44="",F44="",G44="",H44="",J44="",L44="",M44="",N44=""),"",Q44)</f>
        <v>NEW-0361</v>
      </c>
      <c r="B44" s="34" t="s">
        <v>209</v>
      </c>
      <c r="C44" s="25" t="s">
        <v>103</v>
      </c>
      <c r="D44" s="25" t="s">
        <v>104</v>
      </c>
      <c r="E44" s="25" t="s">
        <v>85</v>
      </c>
      <c r="F44" s="25" t="s">
        <v>93</v>
      </c>
      <c r="G44" s="25" t="s">
        <v>87</v>
      </c>
      <c r="H44" s="25" t="s">
        <v>140</v>
      </c>
      <c r="I44" s="26" t="str">
        <f aca="false">IF($A44="","",IFERROR(IF(ISBLANK(INDEX(SprintPlanning[Sprint],MATCH($A44,SprintPlanning[Requirement ID],0))),"To Plan",INDEX(SprintPlanning[Sprint],MATCH($A44,SprintPlanning[Requirement ID],0))),"To Plan"))</f>
        <v>To Plan</v>
      </c>
      <c r="J44" s="25"/>
      <c r="K44" s="26" t="str">
        <f aca="false">IFERROR(IF(ISBLANK(INDEX(Release[Release],MATCH($A44,Release[Requirement ID],0))),"",INDEX(Release[Release],MATCH($A44,Release[Requirement ID],0))),"")</f>
        <v/>
      </c>
      <c r="L44" s="27" t="n">
        <v>46232</v>
      </c>
      <c r="M44" s="25"/>
      <c r="N44" s="26"/>
      <c r="P44" s="1" t="n">
        <f aca="false">IFERROR(VALUE(MID($A44,5,4)),0)</f>
        <v>361</v>
      </c>
      <c r="Q44" s="1" t="s">
        <v>210</v>
      </c>
    </row>
    <row r="45" customFormat="false" ht="15" hidden="true" customHeight="true" outlineLevel="0" collapsed="false">
      <c r="A45" s="24" t="str">
        <f aca="false">IF(AND(B45="",C45="",D45="",E45="",F45="",G45="",H45="",J45="",L45="",M45="",N45=""),"",Q45)</f>
        <v>NEW-0362</v>
      </c>
      <c r="B45" s="25" t="s">
        <v>211</v>
      </c>
      <c r="C45" s="25" t="s">
        <v>103</v>
      </c>
      <c r="D45" s="25" t="s">
        <v>104</v>
      </c>
      <c r="E45" s="25" t="s">
        <v>85</v>
      </c>
      <c r="F45" s="25" t="s">
        <v>93</v>
      </c>
      <c r="G45" s="25" t="s">
        <v>87</v>
      </c>
      <c r="H45" s="25" t="s">
        <v>140</v>
      </c>
      <c r="I45" s="26" t="str">
        <f aca="false">IF($A45="","",IFERROR(IF(ISBLANK(INDEX(SprintPlanning[Sprint],MATCH($A45,SprintPlanning[Requirement ID],0))),"To Plan",INDEX(SprintPlanning[Sprint],MATCH($A45,SprintPlanning[Requirement ID],0))),"To Plan"))</f>
        <v>To Plan</v>
      </c>
      <c r="J45" s="25"/>
      <c r="K45" s="26" t="str">
        <f aca="false">IFERROR(IF(ISBLANK(INDEX(Release[Release],MATCH($A45,Release[Requirement ID],0))),"",INDEX(Release[Release],MATCH($A45,Release[Requirement ID],0))),"")</f>
        <v/>
      </c>
      <c r="L45" s="27" t="n">
        <v>46232</v>
      </c>
      <c r="M45" s="25"/>
      <c r="N45" s="26"/>
      <c r="P45" s="1" t="n">
        <f aca="false">IFERROR(VALUE(MID($A45,5,4)),0)</f>
        <v>362</v>
      </c>
      <c r="Q45" s="1" t="s">
        <v>212</v>
      </c>
    </row>
    <row r="46" customFormat="false" ht="15" hidden="true" customHeight="true" outlineLevel="0" collapsed="false">
      <c r="A46" s="24" t="str">
        <f aca="false">IF(AND(B46="",C46="",D46="",E46="",F46="",G46="",H46="",J46="",L46="",M46="",N46=""),"",Q46)</f>
        <v>NEW-0363</v>
      </c>
      <c r="B46" s="25" t="s">
        <v>213</v>
      </c>
      <c r="C46" s="25" t="s">
        <v>103</v>
      </c>
      <c r="D46" s="25" t="s">
        <v>104</v>
      </c>
      <c r="E46" s="25" t="s">
        <v>92</v>
      </c>
      <c r="F46" s="25" t="s">
        <v>93</v>
      </c>
      <c r="G46" s="25" t="s">
        <v>87</v>
      </c>
      <c r="H46" s="25" t="s">
        <v>140</v>
      </c>
      <c r="I46" s="26" t="str">
        <f aca="false">IF($A46="","",IFERROR(IF(ISBLANK(INDEX(SprintPlanning[Sprint],MATCH($A46,SprintPlanning[Requirement ID],0))),"To Plan",INDEX(SprintPlanning[Sprint],MATCH($A46,SprintPlanning[Requirement ID],0))),"To Plan"))</f>
        <v>To Plan</v>
      </c>
      <c r="J46" s="25"/>
      <c r="K46" s="26" t="str">
        <f aca="false">IFERROR(IF(ISBLANK(INDEX(Release[Release],MATCH($A46,Release[Requirement ID],0))),"",INDEX(Release[Release],MATCH($A46,Release[Requirement ID],0))),"")</f>
        <v/>
      </c>
      <c r="L46" s="27" t="n">
        <v>46232</v>
      </c>
      <c r="M46" s="25"/>
      <c r="N46" s="26"/>
      <c r="P46" s="1" t="n">
        <f aca="false">IFERROR(VALUE(MID($A46,5,4)),0)</f>
        <v>363</v>
      </c>
      <c r="Q46" s="1" t="s">
        <v>214</v>
      </c>
    </row>
    <row r="47" customFormat="false" ht="15" hidden="true" customHeight="true" outlineLevel="0" collapsed="false">
      <c r="A47" s="24" t="str">
        <f aca="false">IF(AND(B47="",C47="",D47="",E47="",F47="",G47="",H47="",J47="",L47="",M47="",N47=""),"",Q47)</f>
        <v>NEW-0364</v>
      </c>
      <c r="B47" s="25" t="s">
        <v>215</v>
      </c>
      <c r="C47" s="25" t="s">
        <v>83</v>
      </c>
      <c r="D47" s="25" t="s">
        <v>104</v>
      </c>
      <c r="E47" s="25" t="s">
        <v>92</v>
      </c>
      <c r="F47" s="25" t="s">
        <v>132</v>
      </c>
      <c r="G47" s="25" t="s">
        <v>87</v>
      </c>
      <c r="H47" s="25" t="s">
        <v>140</v>
      </c>
      <c r="I47" s="26" t="str">
        <f aca="false">IF($A47="","",IFERROR(IF(ISBLANK(INDEX(SprintPlanning[Sprint],MATCH($A47,SprintPlanning[Requirement ID],0))),"To Plan",INDEX(SprintPlanning[Sprint],MATCH($A47,SprintPlanning[Requirement ID],0))),"To Plan"))</f>
        <v>To Plan</v>
      </c>
      <c r="J47" s="25"/>
      <c r="K47" s="26" t="str">
        <f aca="false">IFERROR(IF(ISBLANK(INDEX(Release[Release],MATCH($A47,Release[Requirement ID],0))),"",INDEX(Release[Release],MATCH($A47,Release[Requirement ID],0))),"")</f>
        <v/>
      </c>
      <c r="L47" s="27" t="n">
        <v>46232</v>
      </c>
      <c r="M47" s="25"/>
      <c r="N47" s="26"/>
      <c r="P47" s="1" t="n">
        <f aca="false">IFERROR(VALUE(MID($A47,5,4)),0)</f>
        <v>364</v>
      </c>
      <c r="Q47" s="1" t="s">
        <v>216</v>
      </c>
    </row>
    <row r="48" customFormat="false" ht="15" hidden="true" customHeight="true" outlineLevel="0" collapsed="false">
      <c r="A48" s="24" t="str">
        <f aca="false">IF(AND(B48="",C48="",D48="",E48="",F48="",G48="",H48="",J48="",L48="",M48="",N48=""),"",Q48)</f>
        <v>NEW-0366</v>
      </c>
      <c r="B48" s="25" t="s">
        <v>217</v>
      </c>
      <c r="C48" s="25" t="s">
        <v>103</v>
      </c>
      <c r="D48" s="25" t="s">
        <v>104</v>
      </c>
      <c r="E48" s="25" t="s">
        <v>92</v>
      </c>
      <c r="F48" s="25" t="s">
        <v>93</v>
      </c>
      <c r="G48" s="25" t="s">
        <v>87</v>
      </c>
      <c r="H48" s="25" t="s">
        <v>140</v>
      </c>
      <c r="I48" s="26" t="str">
        <f aca="false">IF($A48="","",IFERROR(IF(ISBLANK(INDEX(SprintPlanning[Sprint],MATCH($A48,SprintPlanning[Requirement ID],0))),"To Plan",INDEX(SprintPlanning[Sprint],MATCH($A48,SprintPlanning[Requirement ID],0))),"To Plan"))</f>
        <v>To Plan</v>
      </c>
      <c r="J48" s="25"/>
      <c r="K48" s="26" t="str">
        <f aca="false">IFERROR(IF(ISBLANK(INDEX(Release[Release],MATCH($A48,Release[Requirement ID],0))),"",INDEX(Release[Release],MATCH($A48,Release[Requirement ID],0))),"")</f>
        <v/>
      </c>
      <c r="L48" s="27" t="n">
        <v>46232</v>
      </c>
      <c r="M48" s="25"/>
      <c r="N48" s="26"/>
      <c r="P48" s="1" t="n">
        <f aca="false">IFERROR(VALUE(MID($A48,5,4)),0)</f>
        <v>366</v>
      </c>
      <c r="Q48" s="1" t="s">
        <v>218</v>
      </c>
    </row>
    <row r="49" customFormat="false" ht="15" hidden="true" customHeight="true" outlineLevel="0" collapsed="false">
      <c r="A49" s="24" t="str">
        <f aca="false">IF(AND(B49="",C49="",D49="",E49="",F49="",G49="",H49="",J49="",L49="",M49="",N49=""),"",Q49)</f>
        <v>NEW-0367</v>
      </c>
      <c r="B49" s="25" t="s">
        <v>219</v>
      </c>
      <c r="C49" s="25" t="s">
        <v>103</v>
      </c>
      <c r="D49" s="25" t="s">
        <v>104</v>
      </c>
      <c r="E49" s="25" t="s">
        <v>92</v>
      </c>
      <c r="F49" s="25" t="s">
        <v>93</v>
      </c>
      <c r="G49" s="25" t="s">
        <v>87</v>
      </c>
      <c r="H49" s="25" t="s">
        <v>140</v>
      </c>
      <c r="I49" s="26" t="str">
        <f aca="false">IF($A49="","",IFERROR(IF(ISBLANK(INDEX(SprintPlanning[Sprint],MATCH($A49,SprintPlanning[Requirement ID],0))),"To Plan",INDEX(SprintPlanning[Sprint],MATCH($A49,SprintPlanning[Requirement ID],0))),"To Plan"))</f>
        <v>To Plan</v>
      </c>
      <c r="J49" s="25" t="n">
        <v>5</v>
      </c>
      <c r="K49" s="26" t="str">
        <f aca="false">IFERROR(IF(ISBLANK(INDEX(Release[Release],MATCH($A49,Release[Requirement ID],0))),"",INDEX(Release[Release],MATCH($A49,Release[Requirement ID],0))),"")</f>
        <v/>
      </c>
      <c r="L49" s="27" t="n">
        <v>46232</v>
      </c>
      <c r="M49" s="25"/>
      <c r="N49" s="26"/>
      <c r="P49" s="1" t="n">
        <f aca="false">IFERROR(VALUE(MID($A49,5,4)),0)</f>
        <v>367</v>
      </c>
      <c r="Q49" s="1" t="s">
        <v>220</v>
      </c>
    </row>
    <row r="50" customFormat="false" ht="15" hidden="true" customHeight="true" outlineLevel="0" collapsed="false">
      <c r="A50" s="24" t="str">
        <f aca="false">IF(AND(B50="",C50="",D50="",E50="",F50="",G50="",H50="",J50="",L50="",M50="",N50=""),"",Q50)</f>
        <v>NEW-0370</v>
      </c>
      <c r="B50" s="25" t="s">
        <v>221</v>
      </c>
      <c r="C50" s="25" t="s">
        <v>103</v>
      </c>
      <c r="D50" s="25" t="s">
        <v>104</v>
      </c>
      <c r="E50" s="25" t="s">
        <v>92</v>
      </c>
      <c r="F50" s="25" t="s">
        <v>93</v>
      </c>
      <c r="G50" s="25" t="s">
        <v>87</v>
      </c>
      <c r="H50" s="25"/>
      <c r="I50" s="26" t="str">
        <f aca="false">IF($A50="","",IFERROR(IF(ISBLANK(INDEX(SprintPlanning[Sprint],MATCH($A50,SprintPlanning[Requirement ID],0))),"To Plan",INDEX(SprintPlanning[Sprint],MATCH($A50,SprintPlanning[Requirement ID],0))),"To Plan"))</f>
        <v>To Plan</v>
      </c>
      <c r="J50" s="25"/>
      <c r="K50" s="26" t="str">
        <f aca="false">IFERROR(IF(ISBLANK(INDEX(Release[Release],MATCH($A50,Release[Requirement ID],0))),"",INDEX(Release[Release],MATCH($A50,Release[Requirement ID],0))),"")</f>
        <v/>
      </c>
      <c r="L50" s="27" t="n">
        <v>46232</v>
      </c>
      <c r="M50" s="25"/>
      <c r="N50" s="26"/>
      <c r="P50" s="1" t="n">
        <f aca="false">IFERROR(VALUE(MID($A50,5,4)),0)</f>
        <v>370</v>
      </c>
      <c r="Q50" s="1" t="s">
        <v>222</v>
      </c>
    </row>
    <row r="51" customFormat="false" ht="15" hidden="true" customHeight="true" outlineLevel="0" collapsed="false">
      <c r="A51" s="24" t="str">
        <f aca="false">IF(AND(B51="",C51="",D51="",E51="",F51="",G51="",H51="",J51="",L51="",M51="",N51=""),"",Q51)</f>
        <v>NEW-0371</v>
      </c>
      <c r="B51" s="25" t="s">
        <v>223</v>
      </c>
      <c r="C51" s="25" t="s">
        <v>83</v>
      </c>
      <c r="D51" s="25" t="s">
        <v>104</v>
      </c>
      <c r="E51" s="25" t="s">
        <v>92</v>
      </c>
      <c r="F51" s="25" t="s">
        <v>93</v>
      </c>
      <c r="G51" s="25" t="s">
        <v>87</v>
      </c>
      <c r="H51" s="25"/>
      <c r="I51" s="26" t="str">
        <f aca="false">IF($A51="","",IFERROR(IF(ISBLANK(INDEX(SprintPlanning[Sprint],MATCH($A51,SprintPlanning[Requirement ID],0))),"To Plan",INDEX(SprintPlanning[Sprint],MATCH($A51,SprintPlanning[Requirement ID],0))),"To Plan"))</f>
        <v>To Plan</v>
      </c>
      <c r="J51" s="25" t="n">
        <v>5</v>
      </c>
      <c r="K51" s="26" t="str">
        <f aca="false">IFERROR(IF(ISBLANK(INDEX(Release[Release],MATCH($A51,Release[Requirement ID],0))),"",INDEX(Release[Release],MATCH($A51,Release[Requirement ID],0))),"")</f>
        <v/>
      </c>
      <c r="L51" s="27" t="n">
        <v>46232</v>
      </c>
      <c r="M51" s="25"/>
      <c r="N51" s="26"/>
      <c r="P51" s="1" t="n">
        <f aca="false">IFERROR(VALUE(MID($A51,5,4)),0)</f>
        <v>371</v>
      </c>
      <c r="Q51" s="1" t="s">
        <v>224</v>
      </c>
    </row>
    <row r="52" customFormat="false" ht="15" hidden="true" customHeight="true" outlineLevel="0" collapsed="false">
      <c r="A52" s="24" t="str">
        <f aca="false">IF(AND(B52="",C52="",D52="",E52="",F52="",G52="",H52="",J52="",L52="",M52="",N52=""),"",Q52)</f>
        <v>NEW-0373</v>
      </c>
      <c r="B52" s="25" t="s">
        <v>225</v>
      </c>
      <c r="C52" s="25" t="s">
        <v>123</v>
      </c>
      <c r="D52" s="25" t="s">
        <v>226</v>
      </c>
      <c r="E52" s="25" t="s">
        <v>124</v>
      </c>
      <c r="F52" s="25" t="s">
        <v>93</v>
      </c>
      <c r="G52" s="25" t="s">
        <v>87</v>
      </c>
      <c r="H52" s="25"/>
      <c r="I52" s="26" t="str">
        <f aca="false">IF($A52="","",IFERROR(IF(ISBLANK(INDEX(SprintPlanning[Sprint],MATCH($A52,SprintPlanning[Requirement ID],0))),"To Plan",INDEX(SprintPlanning[Sprint],MATCH($A52,SprintPlanning[Requirement ID],0))),"To Plan"))</f>
        <v>To Plan</v>
      </c>
      <c r="J52" s="25"/>
      <c r="K52" s="26" t="str">
        <f aca="false">IFERROR(IF(ISBLANK(INDEX(Release[Release],MATCH($A52,Release[Requirement ID],0))),"",INDEX(Release[Release],MATCH($A52,Release[Requirement ID],0))),"")</f>
        <v/>
      </c>
      <c r="L52" s="27" t="n">
        <v>46232</v>
      </c>
      <c r="M52" s="25"/>
      <c r="N52" s="26"/>
      <c r="P52" s="1" t="n">
        <f aca="false">IFERROR(VALUE(MID($A52,5,4)),0)</f>
        <v>373</v>
      </c>
      <c r="Q52" s="1" t="s">
        <v>227</v>
      </c>
    </row>
    <row r="53" customFormat="false" ht="15" hidden="true" customHeight="true" outlineLevel="0" collapsed="false">
      <c r="A53" s="24" t="str">
        <f aca="false">IF(AND(B53="",C53="",D53="",E53="",F53="",G53="",H53="",J53="",L53="",M53="",N53=""),"",Q53)</f>
        <v>NEW-0375</v>
      </c>
      <c r="B53" s="25" t="s">
        <v>228</v>
      </c>
      <c r="C53" s="25" t="s">
        <v>123</v>
      </c>
      <c r="D53" s="25" t="s">
        <v>226</v>
      </c>
      <c r="E53" s="25" t="s">
        <v>124</v>
      </c>
      <c r="F53" s="25" t="s">
        <v>125</v>
      </c>
      <c r="G53" s="25" t="s">
        <v>87</v>
      </c>
      <c r="H53" s="25"/>
      <c r="I53" s="26" t="str">
        <f aca="false">IF($A53="","",IFERROR(IF(ISBLANK(INDEX(SprintPlanning[Sprint],MATCH($A53,SprintPlanning[Requirement ID],0))),"To Plan",INDEX(SprintPlanning[Sprint],MATCH($A53,SprintPlanning[Requirement ID],0))),"To Plan"))</f>
        <v>To Plan</v>
      </c>
      <c r="J53" s="25"/>
      <c r="K53" s="26" t="str">
        <f aca="false">IFERROR(IF(ISBLANK(INDEX(Release[Release],MATCH($A53,Release[Requirement ID],0))),"",INDEX(Release[Release],MATCH($A53,Release[Requirement ID],0))),"")</f>
        <v/>
      </c>
      <c r="L53" s="27" t="n">
        <v>46232</v>
      </c>
      <c r="M53" s="25"/>
      <c r="N53" s="26"/>
      <c r="P53" s="1" t="n">
        <f aca="false">IFERROR(VALUE(MID($A53,5,4)),0)</f>
        <v>375</v>
      </c>
      <c r="Q53" s="1" t="s">
        <v>229</v>
      </c>
    </row>
    <row r="54" customFormat="false" ht="15" hidden="true" customHeight="true" outlineLevel="0" collapsed="false">
      <c r="A54" s="24" t="str">
        <f aca="false">IF(AND(B54="",C54="",D54="",E54="",F54="",G54="",H54="",J54="",L54="",M54="",N54=""),"",Q54)</f>
        <v>NEW-0376</v>
      </c>
      <c r="B54" s="25" t="s">
        <v>230</v>
      </c>
      <c r="C54" s="25" t="s">
        <v>123</v>
      </c>
      <c r="D54" s="25" t="s">
        <v>226</v>
      </c>
      <c r="E54" s="25" t="s">
        <v>124</v>
      </c>
      <c r="F54" s="25" t="s">
        <v>93</v>
      </c>
      <c r="G54" s="25" t="s">
        <v>87</v>
      </c>
      <c r="H54" s="25"/>
      <c r="I54" s="26" t="str">
        <f aca="false">IF($A54="","",IFERROR(IF(ISBLANK(INDEX(SprintPlanning[Sprint],MATCH($A54,SprintPlanning[Requirement ID],0))),"To Plan",INDEX(SprintPlanning[Sprint],MATCH($A54,SprintPlanning[Requirement ID],0))),"To Plan"))</f>
        <v>To Plan</v>
      </c>
      <c r="J54" s="25"/>
      <c r="K54" s="26" t="str">
        <f aca="false">IFERROR(IF(ISBLANK(INDEX(Release[Release],MATCH($A54,Release[Requirement ID],0))),"",INDEX(Release[Release],MATCH($A54,Release[Requirement ID],0))),"")</f>
        <v/>
      </c>
      <c r="L54" s="27" t="n">
        <v>46232</v>
      </c>
      <c r="M54" s="25"/>
      <c r="N54" s="26"/>
      <c r="P54" s="1" t="n">
        <f aca="false">IFERROR(VALUE(MID($A54,5,4)),0)</f>
        <v>376</v>
      </c>
      <c r="Q54" s="1" t="s">
        <v>231</v>
      </c>
    </row>
    <row r="55" customFormat="false" ht="15" hidden="true" customHeight="true" outlineLevel="0" collapsed="false">
      <c r="A55" s="24" t="str">
        <f aca="false">IF(AND(B55="",C55="",D55="",E55="",F55="",G55="",H55="",J55="",L55="",M55="",N55=""),"",Q55)</f>
        <v>NEW-0377</v>
      </c>
      <c r="B55" s="25" t="s">
        <v>232</v>
      </c>
      <c r="C55" s="25" t="s">
        <v>123</v>
      </c>
      <c r="D55" s="25" t="s">
        <v>226</v>
      </c>
      <c r="E55" s="25" t="s">
        <v>124</v>
      </c>
      <c r="F55" s="25" t="s">
        <v>93</v>
      </c>
      <c r="G55" s="25" t="s">
        <v>87</v>
      </c>
      <c r="H55" s="25"/>
      <c r="I55" s="26" t="str">
        <f aca="false">IF($A55="","",IFERROR(IF(ISBLANK(INDEX(SprintPlanning[Sprint],MATCH($A55,SprintPlanning[Requirement ID],0))),"To Plan",INDEX(SprintPlanning[Sprint],MATCH($A55,SprintPlanning[Requirement ID],0))),"To Plan"))</f>
        <v>To Plan</v>
      </c>
      <c r="J55" s="25"/>
      <c r="K55" s="26" t="str">
        <f aca="false">IFERROR(IF(ISBLANK(INDEX(Release[Release],MATCH($A55,Release[Requirement ID],0))),"",INDEX(Release[Release],MATCH($A55,Release[Requirement ID],0))),"")</f>
        <v/>
      </c>
      <c r="L55" s="27" t="n">
        <v>46232</v>
      </c>
      <c r="M55" s="25"/>
      <c r="N55" s="26"/>
      <c r="P55" s="1" t="n">
        <f aca="false">IFERROR(VALUE(MID($A55,5,4)),0)</f>
        <v>377</v>
      </c>
      <c r="Q55" s="1" t="s">
        <v>233</v>
      </c>
    </row>
    <row r="56" customFormat="false" ht="15" hidden="true" customHeight="true" outlineLevel="0" collapsed="false">
      <c r="A56" s="24" t="str">
        <f aca="false">IF(AND(B56="",C56="",D56="",E56="",F56="",G56="",H56="",J56="",L56="",M56="",N56=""),"",Q56)</f>
        <v>NEW-0395</v>
      </c>
      <c r="B56" s="25" t="s">
        <v>234</v>
      </c>
      <c r="C56" s="25" t="s">
        <v>103</v>
      </c>
      <c r="D56" s="25" t="s">
        <v>119</v>
      </c>
      <c r="E56" s="25" t="s">
        <v>92</v>
      </c>
      <c r="F56" s="25" t="s">
        <v>93</v>
      </c>
      <c r="G56" s="25" t="s">
        <v>87</v>
      </c>
      <c r="H56" s="25" t="s">
        <v>235</v>
      </c>
      <c r="I56" s="26" t="str">
        <f aca="false">IF($A56="","",IFERROR(IF(ISBLANK(INDEX(SprintPlanning[Sprint],MATCH($A56,SprintPlanning[Requirement ID],0))),"To Plan",INDEX(SprintPlanning[Sprint],MATCH($A56,SprintPlanning[Requirement ID],0))),"To Plan"))</f>
        <v>To Plan</v>
      </c>
      <c r="J56" s="25" t="n">
        <v>5</v>
      </c>
      <c r="K56" s="26" t="str">
        <f aca="false">IFERROR(IF(ISBLANK(INDEX(Release[Release],MATCH($A56,Release[Requirement ID],0))),"",INDEX(Release[Release],MATCH($A56,Release[Requirement ID],0))),"")</f>
        <v/>
      </c>
      <c r="L56" s="27" t="n">
        <v>46232</v>
      </c>
      <c r="M56" s="25"/>
      <c r="N56" s="26"/>
      <c r="P56" s="1" t="n">
        <f aca="false">IFERROR(VALUE(MID($A56,5,4)),0)</f>
        <v>395</v>
      </c>
      <c r="Q56" s="1" t="s">
        <v>236</v>
      </c>
    </row>
    <row r="57" customFormat="false" ht="15" hidden="true" customHeight="true" outlineLevel="0" collapsed="false">
      <c r="A57" s="24" t="str">
        <f aca="false">IF(AND(B57="",C57="",D57="",E57="",F57="",G57="",H57="",J57="",L57="",M57="",N57=""),"",Q57)</f>
        <v>NEW-0397</v>
      </c>
      <c r="B57" s="25" t="s">
        <v>237</v>
      </c>
      <c r="C57" s="25" t="s">
        <v>103</v>
      </c>
      <c r="D57" s="25" t="s">
        <v>119</v>
      </c>
      <c r="E57" s="25" t="s">
        <v>92</v>
      </c>
      <c r="F57" s="25" t="s">
        <v>93</v>
      </c>
      <c r="G57" s="25" t="s">
        <v>87</v>
      </c>
      <c r="H57" s="25" t="s">
        <v>151</v>
      </c>
      <c r="I57" s="26" t="str">
        <f aca="false">IF($A57="","",IFERROR(IF(ISBLANK(INDEX(SprintPlanning[Sprint],MATCH($A57,SprintPlanning[Requirement ID],0))),"To Plan",INDEX(SprintPlanning[Sprint],MATCH($A57,SprintPlanning[Requirement ID],0))),"To Plan"))</f>
        <v>To Plan</v>
      </c>
      <c r="J57" s="25" t="n">
        <v>8</v>
      </c>
      <c r="K57" s="26" t="str">
        <f aca="false">IFERROR(IF(ISBLANK(INDEX(Release[Release],MATCH($A57,Release[Requirement ID],0))),"",INDEX(Release[Release],MATCH($A57,Release[Requirement ID],0))),"")</f>
        <v/>
      </c>
      <c r="L57" s="27" t="n">
        <v>46232</v>
      </c>
      <c r="M57" s="25"/>
      <c r="N57" s="26"/>
      <c r="P57" s="1" t="n">
        <f aca="false">IFERROR(VALUE(MID($A57,5,4)),0)</f>
        <v>397</v>
      </c>
      <c r="Q57" s="1" t="s">
        <v>238</v>
      </c>
    </row>
    <row r="58" customFormat="false" ht="15" hidden="true" customHeight="true" outlineLevel="0" collapsed="false">
      <c r="A58" s="24" t="str">
        <f aca="false">IF(AND(B58="",C58="",D58="",E58="",F58="",G58="",H58="",J58="",L58="",M58="",N58=""),"",Q58)</f>
        <v>NEW-0398</v>
      </c>
      <c r="B58" s="25" t="s">
        <v>239</v>
      </c>
      <c r="C58" s="25" t="s">
        <v>103</v>
      </c>
      <c r="D58" s="25" t="s">
        <v>119</v>
      </c>
      <c r="E58" s="25" t="s">
        <v>92</v>
      </c>
      <c r="F58" s="25" t="s">
        <v>93</v>
      </c>
      <c r="G58" s="25" t="s">
        <v>87</v>
      </c>
      <c r="H58" s="25" t="s">
        <v>151</v>
      </c>
      <c r="I58" s="26" t="str">
        <f aca="false">IF($A58="","",IFERROR(IF(ISBLANK(INDEX(SprintPlanning[Sprint],MATCH($A58,SprintPlanning[Requirement ID],0))),"To Plan",INDEX(SprintPlanning[Sprint],MATCH($A58,SprintPlanning[Requirement ID],0))),"To Plan"))</f>
        <v>To Plan</v>
      </c>
      <c r="J58" s="25" t="n">
        <v>13</v>
      </c>
      <c r="K58" s="26" t="str">
        <f aca="false">IFERROR(IF(ISBLANK(INDEX(Release[Release],MATCH($A58,Release[Requirement ID],0))),"",INDEX(Release[Release],MATCH($A58,Release[Requirement ID],0))),"")</f>
        <v/>
      </c>
      <c r="L58" s="27" t="n">
        <v>46232</v>
      </c>
      <c r="M58" s="25"/>
      <c r="N58" s="26"/>
      <c r="P58" s="1" t="n">
        <f aca="false">IFERROR(VALUE(MID($A58,5,4)),0)</f>
        <v>398</v>
      </c>
      <c r="Q58" s="1" t="s">
        <v>240</v>
      </c>
    </row>
    <row r="59" customFormat="false" ht="15" hidden="true" customHeight="true" outlineLevel="0" collapsed="false">
      <c r="A59" s="24" t="str">
        <f aca="false">IF(AND(B59="",C59="",D59="",E59="",F59="",G59="",H59="",J59="",L59="",M59="",N59=""),"",Q59)</f>
        <v>NEW-0399</v>
      </c>
      <c r="B59" s="25" t="s">
        <v>241</v>
      </c>
      <c r="C59" s="25" t="s">
        <v>103</v>
      </c>
      <c r="D59" s="25" t="s">
        <v>119</v>
      </c>
      <c r="E59" s="25" t="s">
        <v>92</v>
      </c>
      <c r="F59" s="25" t="s">
        <v>93</v>
      </c>
      <c r="G59" s="25" t="s">
        <v>87</v>
      </c>
      <c r="H59" s="25" t="s">
        <v>151</v>
      </c>
      <c r="I59" s="26" t="str">
        <f aca="false">IF($A59="","",IFERROR(IF(ISBLANK(INDEX(SprintPlanning[Sprint],MATCH($A59,SprintPlanning[Requirement ID],0))),"To Plan",INDEX(SprintPlanning[Sprint],MATCH($A59,SprintPlanning[Requirement ID],0))),"To Plan"))</f>
        <v>To Plan</v>
      </c>
      <c r="J59" s="25" t="n">
        <v>8</v>
      </c>
      <c r="K59" s="26" t="str">
        <f aca="false">IFERROR(IF(ISBLANK(INDEX(Release[Release],MATCH($A59,Release[Requirement ID],0))),"",INDEX(Release[Release],MATCH($A59,Release[Requirement ID],0))),"")</f>
        <v/>
      </c>
      <c r="L59" s="27" t="n">
        <v>46232</v>
      </c>
      <c r="M59" s="25"/>
      <c r="N59" s="26"/>
      <c r="P59" s="1" t="n">
        <f aca="false">IFERROR(VALUE(MID($A59,5,4)),0)</f>
        <v>399</v>
      </c>
      <c r="Q59" s="1" t="s">
        <v>242</v>
      </c>
    </row>
    <row r="60" customFormat="false" ht="15" hidden="true" customHeight="true" outlineLevel="0" collapsed="false">
      <c r="A60" s="24" t="str">
        <f aca="false">IF(AND(B60="",C60="",D60="",E60="",F60="",G60="",H60="",J60="",L60="",M60="",N60=""),"",Q60)</f>
        <v>NEW-0400</v>
      </c>
      <c r="B60" s="25" t="s">
        <v>243</v>
      </c>
      <c r="C60" s="25" t="s">
        <v>103</v>
      </c>
      <c r="D60" s="25" t="s">
        <v>119</v>
      </c>
      <c r="E60" s="25" t="s">
        <v>92</v>
      </c>
      <c r="F60" s="25" t="s">
        <v>93</v>
      </c>
      <c r="G60" s="25" t="s">
        <v>87</v>
      </c>
      <c r="H60" s="25" t="s">
        <v>151</v>
      </c>
      <c r="I60" s="26" t="str">
        <f aca="false">IF($A60="","",IFERROR(IF(ISBLANK(INDEX(SprintPlanning[Sprint],MATCH($A60,SprintPlanning[Requirement ID],0))),"To Plan",INDEX(SprintPlanning[Sprint],MATCH($A60,SprintPlanning[Requirement ID],0))),"To Plan"))</f>
        <v>To Plan</v>
      </c>
      <c r="J60" s="25" t="n">
        <v>8</v>
      </c>
      <c r="K60" s="26" t="str">
        <f aca="false">IFERROR(IF(ISBLANK(INDEX(Release[Release],MATCH($A60,Release[Requirement ID],0))),"",INDEX(Release[Release],MATCH($A60,Release[Requirement ID],0))),"")</f>
        <v/>
      </c>
      <c r="L60" s="27" t="n">
        <v>46232</v>
      </c>
      <c r="M60" s="25"/>
      <c r="N60" s="26"/>
      <c r="P60" s="1" t="n">
        <f aca="false">IFERROR(VALUE(MID($A60,5,4)),0)</f>
        <v>400</v>
      </c>
      <c r="Q60" s="1" t="s">
        <v>244</v>
      </c>
    </row>
    <row r="61" customFormat="false" ht="15" hidden="true" customHeight="true" outlineLevel="0" collapsed="false">
      <c r="A61" s="24" t="str">
        <f aca="false">IF(AND(B61="",C61="",D61="",E61="",F61="",G61="",H61="",J61="",L61="",M61="",N61=""),"",Q61)</f>
        <v>NEW-0401</v>
      </c>
      <c r="B61" s="25" t="s">
        <v>245</v>
      </c>
      <c r="C61" s="25" t="s">
        <v>103</v>
      </c>
      <c r="D61" s="25" t="s">
        <v>119</v>
      </c>
      <c r="E61" s="25" t="s">
        <v>92</v>
      </c>
      <c r="F61" s="25" t="s">
        <v>93</v>
      </c>
      <c r="G61" s="25" t="s">
        <v>87</v>
      </c>
      <c r="H61" s="25" t="s">
        <v>151</v>
      </c>
      <c r="I61" s="26" t="str">
        <f aca="false">IF($A61="","",IFERROR(IF(ISBLANK(INDEX(SprintPlanning[Sprint],MATCH($A61,SprintPlanning[Requirement ID],0))),"To Plan",INDEX(SprintPlanning[Sprint],MATCH($A61,SprintPlanning[Requirement ID],0))),"To Plan"))</f>
        <v>To Plan</v>
      </c>
      <c r="J61" s="25" t="n">
        <v>8</v>
      </c>
      <c r="K61" s="26" t="str">
        <f aca="false">IFERROR(IF(ISBLANK(INDEX(Release[Release],MATCH($A61,Release[Requirement ID],0))),"",INDEX(Release[Release],MATCH($A61,Release[Requirement ID],0))),"")</f>
        <v/>
      </c>
      <c r="L61" s="27" t="n">
        <v>46232</v>
      </c>
      <c r="M61" s="25"/>
      <c r="N61" s="26"/>
      <c r="P61" s="1" t="n">
        <f aca="false">IFERROR(VALUE(MID($A61,5,4)),0)</f>
        <v>401</v>
      </c>
      <c r="Q61" s="1" t="s">
        <v>246</v>
      </c>
    </row>
    <row r="62" customFormat="false" ht="15" hidden="true" customHeight="true" outlineLevel="0" collapsed="false">
      <c r="A62" s="24" t="str">
        <f aca="false">IF(AND(B62="",C62="",D62="",E62="",F62="",G62="",H62="",J62="",L62="",M62="",N62=""),"",Q62)</f>
        <v>NEW-0402</v>
      </c>
      <c r="B62" s="25" t="s">
        <v>247</v>
      </c>
      <c r="C62" s="25" t="s">
        <v>103</v>
      </c>
      <c r="D62" s="25" t="s">
        <v>119</v>
      </c>
      <c r="E62" s="25" t="s">
        <v>92</v>
      </c>
      <c r="F62" s="25" t="s">
        <v>93</v>
      </c>
      <c r="G62" s="25" t="s">
        <v>87</v>
      </c>
      <c r="H62" s="25" t="s">
        <v>151</v>
      </c>
      <c r="I62" s="26" t="str">
        <f aca="false">IF($A62="","",IFERROR(IF(ISBLANK(INDEX(SprintPlanning[Sprint],MATCH($A62,SprintPlanning[Requirement ID],0))),"To Plan",INDEX(SprintPlanning[Sprint],MATCH($A62,SprintPlanning[Requirement ID],0))),"To Plan"))</f>
        <v>To Plan</v>
      </c>
      <c r="J62" s="25" t="n">
        <v>8</v>
      </c>
      <c r="K62" s="26" t="str">
        <f aca="false">IFERROR(IF(ISBLANK(INDEX(Release[Release],MATCH($A62,Release[Requirement ID],0))),"",INDEX(Release[Release],MATCH($A62,Release[Requirement ID],0))),"")</f>
        <v/>
      </c>
      <c r="L62" s="27" t="n">
        <v>46232</v>
      </c>
      <c r="M62" s="25"/>
      <c r="N62" s="26"/>
      <c r="P62" s="1" t="n">
        <f aca="false">IFERROR(VALUE(MID($A62,5,4)),0)</f>
        <v>402</v>
      </c>
      <c r="Q62" s="1" t="s">
        <v>248</v>
      </c>
    </row>
    <row r="63" customFormat="false" ht="15" hidden="true" customHeight="true" outlineLevel="0" collapsed="false">
      <c r="A63" s="24" t="str">
        <f aca="false">IF(AND(B63="",C63="",D63="",E63="",F63="",G63="",H63="",J63="",L63="",M63="",N63=""),"",Q63)</f>
        <v>NEW-0403</v>
      </c>
      <c r="B63" s="25" t="s">
        <v>249</v>
      </c>
      <c r="C63" s="25" t="s">
        <v>83</v>
      </c>
      <c r="D63" s="25" t="s">
        <v>119</v>
      </c>
      <c r="E63" s="25" t="s">
        <v>92</v>
      </c>
      <c r="F63" s="25" t="s">
        <v>93</v>
      </c>
      <c r="G63" s="25" t="s">
        <v>87</v>
      </c>
      <c r="H63" s="25" t="s">
        <v>151</v>
      </c>
      <c r="I63" s="26" t="str">
        <f aca="false">IF($A63="","",IFERROR(IF(ISBLANK(INDEX(SprintPlanning[Sprint],MATCH($A63,SprintPlanning[Requirement ID],0))),"To Plan",INDEX(SprintPlanning[Sprint],MATCH($A63,SprintPlanning[Requirement ID],0))),"To Plan"))</f>
        <v>To Plan</v>
      </c>
      <c r="J63" s="25"/>
      <c r="K63" s="26" t="str">
        <f aca="false">IFERROR(IF(ISBLANK(INDEX(Release[Release],MATCH($A63,Release[Requirement ID],0))),"",INDEX(Release[Release],MATCH($A63,Release[Requirement ID],0))),"")</f>
        <v/>
      </c>
      <c r="L63" s="27" t="n">
        <v>46232</v>
      </c>
      <c r="M63" s="25"/>
      <c r="N63" s="26"/>
      <c r="P63" s="1" t="n">
        <f aca="false">IFERROR(VALUE(MID($A63,5,4)),0)</f>
        <v>403</v>
      </c>
      <c r="Q63" s="1" t="s">
        <v>250</v>
      </c>
    </row>
    <row r="64" customFormat="false" ht="15" hidden="true" customHeight="true" outlineLevel="0" collapsed="false">
      <c r="A64" s="24" t="str">
        <f aca="false">IF(AND(B64="",C64="",D64="",E64="",F64="",G64="",H64="",J64="",L64="",M64="",N64=""),"",Q64)</f>
        <v>NEW-0404</v>
      </c>
      <c r="B64" s="25" t="s">
        <v>251</v>
      </c>
      <c r="C64" s="25" t="s">
        <v>83</v>
      </c>
      <c r="D64" s="25" t="s">
        <v>119</v>
      </c>
      <c r="E64" s="25" t="s">
        <v>92</v>
      </c>
      <c r="F64" s="25" t="s">
        <v>93</v>
      </c>
      <c r="G64" s="25" t="s">
        <v>87</v>
      </c>
      <c r="H64" s="25" t="s">
        <v>151</v>
      </c>
      <c r="I64" s="26" t="str">
        <f aca="false">IF($A64="","",IFERROR(IF(ISBLANK(INDEX(SprintPlanning[Sprint],MATCH($A64,SprintPlanning[Requirement ID],0))),"To Plan",INDEX(SprintPlanning[Sprint],MATCH($A64,SprintPlanning[Requirement ID],0))),"To Plan"))</f>
        <v>To Plan</v>
      </c>
      <c r="J64" s="25"/>
      <c r="K64" s="26" t="str">
        <f aca="false">IFERROR(IF(ISBLANK(INDEX(Release[Release],MATCH($A64,Release[Requirement ID],0))),"",INDEX(Release[Release],MATCH($A64,Release[Requirement ID],0))),"")</f>
        <v/>
      </c>
      <c r="L64" s="27" t="n">
        <v>46232</v>
      </c>
      <c r="M64" s="25"/>
      <c r="N64" s="26"/>
      <c r="P64" s="1" t="n">
        <f aca="false">IFERROR(VALUE(MID($A64,5,4)),0)</f>
        <v>404</v>
      </c>
      <c r="Q64" s="1" t="s">
        <v>252</v>
      </c>
    </row>
    <row r="65" customFormat="false" ht="15" hidden="true" customHeight="true" outlineLevel="0" collapsed="false">
      <c r="A65" s="24" t="str">
        <f aca="false">IF(AND(B65="",C65="",D65="",E65="",F65="",G65="",H65="",J65="",L65="",M65="",N65=""),"",Q65)</f>
        <v>NEW-0405</v>
      </c>
      <c r="B65" s="25" t="s">
        <v>253</v>
      </c>
      <c r="C65" s="25" t="s">
        <v>103</v>
      </c>
      <c r="D65" s="25" t="s">
        <v>28</v>
      </c>
      <c r="E65" s="25" t="s">
        <v>85</v>
      </c>
      <c r="F65" s="25" t="s">
        <v>93</v>
      </c>
      <c r="G65" s="25" t="s">
        <v>87</v>
      </c>
      <c r="H65" s="25" t="s">
        <v>140</v>
      </c>
      <c r="I65" s="26" t="str">
        <f aca="false">IF($A65="","",IFERROR(IF(ISBLANK(INDEX(SprintPlanning[Sprint],MATCH($A65,SprintPlanning[Requirement ID],0))),"To Plan",INDEX(SprintPlanning[Sprint],MATCH($A65,SprintPlanning[Requirement ID],0))),"To Plan"))</f>
        <v>To Plan</v>
      </c>
      <c r="J65" s="25" t="n">
        <v>16</v>
      </c>
      <c r="K65" s="26" t="str">
        <f aca="false">IFERROR(IF(ISBLANK(INDEX(Release[Release],MATCH($A65,Release[Requirement ID],0))),"",INDEX(Release[Release],MATCH($A65,Release[Requirement ID],0))),"")</f>
        <v/>
      </c>
      <c r="L65" s="27" t="n">
        <v>46233</v>
      </c>
      <c r="M65" s="25"/>
      <c r="N65" s="26"/>
      <c r="P65" s="1" t="n">
        <f aca="false">IFERROR(VALUE(MID($A65,5,4)),0)</f>
        <v>405</v>
      </c>
      <c r="Q65" s="1" t="s">
        <v>254</v>
      </c>
    </row>
    <row r="66" customFormat="false" ht="15" hidden="true" customHeight="true" outlineLevel="0" collapsed="false">
      <c r="A66" s="28" t="str">
        <f aca="false">IF(AND(B66="",C66="",D66="",E66="",F66="",G66="",H66="",J66="",L66="",M66="",N66=""),"",Q66)</f>
        <v>NEW-0413</v>
      </c>
      <c r="B66" s="29" t="s">
        <v>255</v>
      </c>
      <c r="C66" s="29" t="s">
        <v>256</v>
      </c>
      <c r="D66" s="29" t="s">
        <v>257</v>
      </c>
      <c r="E66" s="29" t="s">
        <v>258</v>
      </c>
      <c r="F66" s="29" t="s">
        <v>93</v>
      </c>
      <c r="G66" s="29" t="s">
        <v>87</v>
      </c>
      <c r="H66" s="29"/>
      <c r="I66" s="30" t="str">
        <f aca="false">IF($A66="","",IFERROR(IF(ISBLANK(INDEX(SprintPlanning[Sprint],MATCH($A66,SprintPlanning[Requirement ID],0))),"To Plan",INDEX(SprintPlanning[Sprint],MATCH($A66,SprintPlanning[Requirement ID],0))),"To Plan"))</f>
        <v>To Plan</v>
      </c>
      <c r="J66" s="29" t="n">
        <v>3</v>
      </c>
      <c r="K66" s="30" t="str">
        <f aca="false">IFERROR(IF(ISBLANK(INDEX(Release[Release],MATCH($A66,Release[Requirement ID],0))),"",INDEX(Release[Release],MATCH($A66,Release[Requirement ID],0))),"")</f>
        <v/>
      </c>
      <c r="L66" s="31" t="n">
        <v>46237</v>
      </c>
      <c r="M66" s="29" t="s">
        <v>94</v>
      </c>
      <c r="N66" s="30" t="s">
        <v>259</v>
      </c>
      <c r="P66" s="1" t="n">
        <f aca="false">IFERROR(VALUE(MID($A66,5,4)),0)</f>
        <v>413</v>
      </c>
      <c r="Q66" s="1" t="s">
        <v>260</v>
      </c>
    </row>
    <row r="67" customFormat="false" ht="15" hidden="true" customHeight="true" outlineLevel="0" collapsed="false">
      <c r="A67" s="28" t="str">
        <f aca="false">IF(AND(B67="",C67="",D67="",E67="",F67="",G67="",H67="",J67="",L67="",M67="",N67=""),"",Q67)</f>
        <v>NEW-0414</v>
      </c>
      <c r="B67" s="29" t="s">
        <v>261</v>
      </c>
      <c r="C67" s="29" t="s">
        <v>256</v>
      </c>
      <c r="D67" s="29" t="s">
        <v>257</v>
      </c>
      <c r="E67" s="29" t="s">
        <v>258</v>
      </c>
      <c r="F67" s="29" t="s">
        <v>93</v>
      </c>
      <c r="G67" s="29" t="s">
        <v>87</v>
      </c>
      <c r="H67" s="29"/>
      <c r="I67" s="30" t="str">
        <f aca="false">IF($A67="","",IFERROR(IF(ISBLANK(INDEX(SprintPlanning[Sprint],MATCH($A67,SprintPlanning[Requirement ID],0))),"To Plan",INDEX(SprintPlanning[Sprint],MATCH($A67,SprintPlanning[Requirement ID],0))),"To Plan"))</f>
        <v>To Plan</v>
      </c>
      <c r="J67" s="29" t="n">
        <v>5</v>
      </c>
      <c r="K67" s="30" t="str">
        <f aca="false">IFERROR(IF(ISBLANK(INDEX(Release[Release],MATCH($A67,Release[Requirement ID],0))),"",INDEX(Release[Release],MATCH($A67,Release[Requirement ID],0))),"")</f>
        <v/>
      </c>
      <c r="L67" s="31" t="n">
        <v>46237</v>
      </c>
      <c r="M67" s="29" t="s">
        <v>94</v>
      </c>
      <c r="N67" s="30" t="s">
        <v>262</v>
      </c>
      <c r="P67" s="1" t="n">
        <f aca="false">IFERROR(VALUE(MID($A67,5,4)),0)</f>
        <v>414</v>
      </c>
      <c r="Q67" s="1" t="s">
        <v>263</v>
      </c>
    </row>
    <row r="68" customFormat="false" ht="15" hidden="true" customHeight="true" outlineLevel="0" collapsed="false">
      <c r="A68" s="28" t="str">
        <f aca="false">IF(AND(B68="",C68="",D68="",E68="",F68="",G68="",H68="",J68="",L68="",M68="",N68=""),"",Q68)</f>
        <v>NEW-0415</v>
      </c>
      <c r="B68" s="29" t="s">
        <v>264</v>
      </c>
      <c r="C68" s="29" t="s">
        <v>256</v>
      </c>
      <c r="D68" s="29" t="s">
        <v>257</v>
      </c>
      <c r="E68" s="29" t="s">
        <v>258</v>
      </c>
      <c r="F68" s="29" t="s">
        <v>93</v>
      </c>
      <c r="G68" s="29" t="s">
        <v>87</v>
      </c>
      <c r="H68" s="29"/>
      <c r="I68" s="30" t="str">
        <f aca="false">IF($A68="","",IFERROR(IF(ISBLANK(INDEX(SprintPlanning[Sprint],MATCH($A68,SprintPlanning[Requirement ID],0))),"To Plan",INDEX(SprintPlanning[Sprint],MATCH($A68,SprintPlanning[Requirement ID],0))),"To Plan"))</f>
        <v>To Plan</v>
      </c>
      <c r="J68" s="29" t="n">
        <v>5</v>
      </c>
      <c r="K68" s="30" t="str">
        <f aca="false">IFERROR(IF(ISBLANK(INDEX(Release[Release],MATCH($A68,Release[Requirement ID],0))),"",INDEX(Release[Release],MATCH($A68,Release[Requirement ID],0))),"")</f>
        <v/>
      </c>
      <c r="L68" s="31" t="n">
        <v>46237</v>
      </c>
      <c r="M68" s="29" t="s">
        <v>94</v>
      </c>
      <c r="N68" s="30" t="s">
        <v>265</v>
      </c>
      <c r="P68" s="1" t="n">
        <f aca="false">IFERROR(VALUE(MID($A68,5,4)),0)</f>
        <v>415</v>
      </c>
      <c r="Q68" s="1" t="s">
        <v>266</v>
      </c>
    </row>
    <row r="69" customFormat="false" ht="15" hidden="true" customHeight="true" outlineLevel="0" collapsed="false">
      <c r="A69" s="24" t="str">
        <f aca="false">IF(AND(B69="",C69="",D69="",E69="",F69="",G69="",H69="",J69="",L69="",M69="",N69=""),"",Q69)</f>
        <v>NEW-0084</v>
      </c>
      <c r="B69" s="25" t="s">
        <v>267</v>
      </c>
      <c r="C69" s="25" t="s">
        <v>83</v>
      </c>
      <c r="D69" s="25" t="s">
        <v>128</v>
      </c>
      <c r="E69" s="25" t="s">
        <v>92</v>
      </c>
      <c r="F69" s="25" t="s">
        <v>93</v>
      </c>
      <c r="G69" s="25" t="s">
        <v>87</v>
      </c>
      <c r="H69" s="25"/>
      <c r="I69" s="26" t="str">
        <f aca="false">IF($A69="","",IFERROR(IF(ISBLANK(INDEX(SprintPlanning[Sprint],MATCH($A69,SprintPlanning[Requirement ID],0))),"To Plan",INDEX(SprintPlanning[Sprint],MATCH($A69,SprintPlanning[Requirement ID],0))),"To Plan"))</f>
        <v>To Plan</v>
      </c>
      <c r="J69" s="25"/>
      <c r="K69" s="26" t="str">
        <f aca="false">IFERROR(IF(ISBLANK(INDEX(Release[Release],MATCH($A69,Release[Requirement ID],0))),"",INDEX(Release[Release],MATCH($A69,Release[Requirement ID],0))),"")</f>
        <v/>
      </c>
      <c r="L69" s="27" t="n">
        <v>46226</v>
      </c>
      <c r="M69" s="25"/>
      <c r="N69" s="26"/>
      <c r="P69" s="1" t="n">
        <f aca="false">IFERROR(VALUE(MID($A69,5,4)),0)</f>
        <v>84</v>
      </c>
      <c r="Q69" s="1" t="s">
        <v>268</v>
      </c>
    </row>
    <row r="70" customFormat="false" ht="15" hidden="true" customHeight="true" outlineLevel="0" collapsed="false">
      <c r="A70" s="24" t="str">
        <f aca="false">IF(AND(B70="",C70="",D70="",E70="",F70="",G70="",H70="",J70="",L70="",M70="",N70=""),"",Q70)</f>
        <v>NEW-0072</v>
      </c>
      <c r="B70" s="25" t="s">
        <v>269</v>
      </c>
      <c r="C70" s="25" t="s">
        <v>103</v>
      </c>
      <c r="D70" s="25" t="s">
        <v>128</v>
      </c>
      <c r="E70" s="25" t="s">
        <v>92</v>
      </c>
      <c r="F70" s="25" t="s">
        <v>93</v>
      </c>
      <c r="G70" s="25" t="s">
        <v>87</v>
      </c>
      <c r="H70" s="25"/>
      <c r="I70" s="26" t="str">
        <f aca="false">IF($A70="","",IFERROR(IF(ISBLANK(INDEX(SprintPlanning[Sprint],MATCH($A70,SprintPlanning[Requirement ID],0))),"To Plan",INDEX(SprintPlanning[Sprint],MATCH($A70,SprintPlanning[Requirement ID],0))),"To Plan"))</f>
        <v>To Plan</v>
      </c>
      <c r="J70" s="25" t="n">
        <v>21</v>
      </c>
      <c r="K70" s="26" t="str">
        <f aca="false">IFERROR(IF(ISBLANK(INDEX(Release[Release],MATCH($A70,Release[Requirement ID],0))),"",INDEX(Release[Release],MATCH($A70,Release[Requirement ID],0))),"")</f>
        <v/>
      </c>
      <c r="L70" s="27" t="n">
        <v>46226</v>
      </c>
      <c r="M70" s="25" t="s">
        <v>94</v>
      </c>
      <c r="N70" s="26" t="s">
        <v>270</v>
      </c>
      <c r="P70" s="1" t="n">
        <f aca="false">IFERROR(VALUE(MID($A70,5,4)),0)</f>
        <v>72</v>
      </c>
      <c r="Q70" s="1" t="s">
        <v>271</v>
      </c>
    </row>
    <row r="71" customFormat="false" ht="15" hidden="true" customHeight="true" outlineLevel="0" collapsed="false">
      <c r="A71" s="24" t="str">
        <f aca="false">IF(AND(B71="",C71="",D71="",E71="",F71="",G71="",H71="",J71="",L71="",M71="",N71=""),"",Q71)</f>
        <v>NEW-0073</v>
      </c>
      <c r="B71" s="25" t="s">
        <v>272</v>
      </c>
      <c r="C71" s="25" t="s">
        <v>103</v>
      </c>
      <c r="D71" s="25" t="s">
        <v>128</v>
      </c>
      <c r="E71" s="25" t="s">
        <v>92</v>
      </c>
      <c r="F71" s="25" t="s">
        <v>93</v>
      </c>
      <c r="G71" s="25" t="s">
        <v>87</v>
      </c>
      <c r="H71" s="25"/>
      <c r="I71" s="26" t="str">
        <f aca="false">IF($A71="","",IFERROR(IF(ISBLANK(INDEX(SprintPlanning[Sprint],MATCH($A71,SprintPlanning[Requirement ID],0))),"To Plan",INDEX(SprintPlanning[Sprint],MATCH($A71,SprintPlanning[Requirement ID],0))),"To Plan"))</f>
        <v>To Plan</v>
      </c>
      <c r="J71" s="25"/>
      <c r="K71" s="26" t="str">
        <f aca="false">IFERROR(IF(ISBLANK(INDEX(Release[Release],MATCH($A71,Release[Requirement ID],0))),"",INDEX(Release[Release],MATCH($A71,Release[Requirement ID],0))),"")</f>
        <v/>
      </c>
      <c r="L71" s="27" t="n">
        <v>46226</v>
      </c>
      <c r="M71" s="25" t="s">
        <v>94</v>
      </c>
      <c r="N71" s="26" t="s">
        <v>273</v>
      </c>
      <c r="P71" s="1" t="n">
        <f aca="false">IFERROR(VALUE(MID($A71,5,4)),0)</f>
        <v>73</v>
      </c>
      <c r="Q71" s="1" t="s">
        <v>274</v>
      </c>
    </row>
    <row r="72" customFormat="false" ht="15" hidden="true" customHeight="true" outlineLevel="0" collapsed="false">
      <c r="A72" s="24" t="str">
        <f aca="false">IF(AND(B72="",C72="",D72="",E72="",F72="",G72="",H72="",J72="",L72="",M72="",N72=""),"",Q72)</f>
        <v>NEW-0074</v>
      </c>
      <c r="B72" s="25" t="s">
        <v>275</v>
      </c>
      <c r="C72" s="25" t="s">
        <v>103</v>
      </c>
      <c r="D72" s="25" t="s">
        <v>128</v>
      </c>
      <c r="E72" s="25" t="s">
        <v>92</v>
      </c>
      <c r="F72" s="25" t="s">
        <v>93</v>
      </c>
      <c r="G72" s="25" t="s">
        <v>105</v>
      </c>
      <c r="H72" s="25"/>
      <c r="I72" s="26" t="str">
        <f aca="false">IF($A72="","",IFERROR(IF(ISBLANK(INDEX(SprintPlanning[Sprint],MATCH($A72,SprintPlanning[Requirement ID],0))),"To Plan",INDEX(SprintPlanning[Sprint],MATCH($A72,SprintPlanning[Requirement ID],0))),"To Plan"))</f>
        <v>Sprint 13</v>
      </c>
      <c r="J72" s="25" t="n">
        <v>1</v>
      </c>
      <c r="K72" s="26" t="str">
        <f aca="false">IFERROR(IF(ISBLANK(INDEX(Release[Release],MATCH($A72,Release[Requirement ID],0))),"",INDEX(Release[Release],MATCH($A72,Release[Requirement ID],0))),"")</f>
        <v/>
      </c>
      <c r="L72" s="27" t="n">
        <v>46226</v>
      </c>
      <c r="M72" s="25" t="s">
        <v>94</v>
      </c>
      <c r="N72" s="32" t="s">
        <v>276</v>
      </c>
      <c r="P72" s="1" t="n">
        <f aca="false">IFERROR(VALUE(MID($A72,5,4)),0)</f>
        <v>74</v>
      </c>
      <c r="Q72" s="1" t="s">
        <v>277</v>
      </c>
    </row>
    <row r="73" customFormat="false" ht="15" hidden="true" customHeight="true" outlineLevel="0" collapsed="false">
      <c r="A73" s="35" t="str">
        <f aca="false">IF(AND(B73="",C73="",D73="",E73="",F73="",G73="",H73="",J73="",L73="",M73="",N73=""),"",Q73)</f>
        <v>NEW-0453</v>
      </c>
      <c r="B73" s="36" t="s">
        <v>278</v>
      </c>
      <c r="C73" s="36" t="s">
        <v>103</v>
      </c>
      <c r="D73" s="36" t="s">
        <v>104</v>
      </c>
      <c r="E73" s="36" t="s">
        <v>85</v>
      </c>
      <c r="F73" s="36" t="s">
        <v>93</v>
      </c>
      <c r="G73" s="36" t="s">
        <v>87</v>
      </c>
      <c r="H73" s="36"/>
      <c r="I73" s="1" t="str">
        <f aca="false">IF($A73="","",IFERROR(IF(ISBLANK(INDEX(SprintPlanning[Sprint],MATCH($A73,SprintPlanning[Requirement ID],0))),"To Plan",INDEX(SprintPlanning[Sprint],MATCH($A73,SprintPlanning[Requirement ID],0))),"To Plan"))</f>
        <v>To Plan</v>
      </c>
      <c r="J73" s="36"/>
      <c r="K73" s="1" t="str">
        <f aca="false">IFERROR(IF(ISBLANK(INDEX(Release[Release],MATCH($A73,Release[Requirement ID],0))),"",INDEX(Release[Release],MATCH($A73,Release[Requirement ID],0))),"")</f>
        <v/>
      </c>
      <c r="L73" s="37" t="n">
        <v>46247</v>
      </c>
      <c r="M73" s="36"/>
      <c r="P73" s="1" t="n">
        <f aca="false">IFERROR(VALUE(MID($A73,5,4)),0)</f>
        <v>453</v>
      </c>
      <c r="Q73" s="1" t="s">
        <v>279</v>
      </c>
    </row>
    <row r="74" customFormat="false" ht="15" hidden="true" customHeight="true" outlineLevel="0" collapsed="false">
      <c r="A74" s="35" t="str">
        <f aca="false">IF(AND(B74="",C74="",D74="",E74="",F74="",G74="",H74="",J74="",L74="",M74="",N74=""),"",Q74)</f>
        <v>NEW-0454</v>
      </c>
      <c r="B74" s="36" t="s">
        <v>280</v>
      </c>
      <c r="C74" s="36" t="s">
        <v>103</v>
      </c>
      <c r="D74" s="36" t="s">
        <v>258</v>
      </c>
      <c r="E74" s="36" t="s">
        <v>258</v>
      </c>
      <c r="F74" s="36" t="s">
        <v>93</v>
      </c>
      <c r="G74" s="36" t="s">
        <v>105</v>
      </c>
      <c r="H74" s="36"/>
      <c r="I74" s="1" t="str">
        <f aca="false">IF($A74="","",IFERROR(IF(ISBLANK(INDEX(SprintPlanning[Sprint],MATCH($A74,SprintPlanning[Requirement ID],0))),"To Plan",INDEX(SprintPlanning[Sprint],MATCH($A74,SprintPlanning[Requirement ID],0))),"To Plan"))</f>
        <v>Sprint 14</v>
      </c>
      <c r="J74" s="36" t="n">
        <v>5</v>
      </c>
      <c r="K74" s="1" t="str">
        <f aca="false">IFERROR(IF(ISBLANK(INDEX(Release[Release],MATCH($A74,Release[Requirement ID],0))),"",INDEX(Release[Release],MATCH($A74,Release[Requirement ID],0))),"")</f>
        <v/>
      </c>
      <c r="L74" s="38" t="n">
        <v>46254</v>
      </c>
      <c r="M74" s="25" t="s">
        <v>94</v>
      </c>
      <c r="N74" s="39" t="s">
        <v>281</v>
      </c>
      <c r="P74" s="1" t="n">
        <f aca="false">IFERROR(VALUE(MID($A74,5,4)),0)</f>
        <v>454</v>
      </c>
      <c r="Q74" s="1" t="s">
        <v>282</v>
      </c>
    </row>
    <row r="75" customFormat="false" ht="15" hidden="true" customHeight="true" outlineLevel="0" collapsed="false">
      <c r="A75" s="35" t="str">
        <f aca="false">IF(AND(B75="",C75="",D75="",E75="",F75="",G75="",H75="",J75="",L75="",M75="",N75=""),"",Q75)</f>
        <v>NEW-0455</v>
      </c>
      <c r="B75" s="36" t="s">
        <v>283</v>
      </c>
      <c r="C75" s="36" t="s">
        <v>103</v>
      </c>
      <c r="D75" s="36" t="s">
        <v>258</v>
      </c>
      <c r="E75" s="36" t="s">
        <v>258</v>
      </c>
      <c r="F75" s="36" t="s">
        <v>93</v>
      </c>
      <c r="G75" s="36" t="s">
        <v>87</v>
      </c>
      <c r="H75" s="36"/>
      <c r="I75" s="1" t="str">
        <f aca="false">IF($A75="","",IFERROR(IF(ISBLANK(INDEX(SprintPlanning[Sprint],MATCH($A75,SprintPlanning[Requirement ID],0))),"To Plan",INDEX(SprintPlanning[Sprint],MATCH($A75,SprintPlanning[Requirement ID],0))),"To Plan"))</f>
        <v>To Plan</v>
      </c>
      <c r="J75" s="36"/>
      <c r="K75" s="1" t="str">
        <f aca="false">IFERROR(IF(ISBLANK(INDEX(Release[Release],MATCH($A75,Release[Requirement ID],0))),"",INDEX(Release[Release],MATCH($A75,Release[Requirement ID],0))),"")</f>
        <v/>
      </c>
      <c r="L75" s="38" t="n">
        <v>46254</v>
      </c>
      <c r="M75" s="36"/>
      <c r="P75" s="1" t="n">
        <f aca="false">IFERROR(VALUE(MID($A75,5,4)),0)</f>
        <v>455</v>
      </c>
      <c r="Q75" s="1" t="s">
        <v>284</v>
      </c>
    </row>
    <row r="76" customFormat="false" ht="15" hidden="true" customHeight="true" outlineLevel="0" collapsed="false">
      <c r="A76" s="35" t="str">
        <f aca="false">IF(AND(B76="",C76="",D76="",E76="",F76="",G76="",H76="",J76="",L76="",M76="",N76=""),"",Q76)</f>
        <v>NEW-0456</v>
      </c>
      <c r="B76" s="36" t="s">
        <v>285</v>
      </c>
      <c r="C76" s="36" t="s">
        <v>103</v>
      </c>
      <c r="D76" s="36" t="s">
        <v>258</v>
      </c>
      <c r="E76" s="36" t="s">
        <v>258</v>
      </c>
      <c r="F76" s="36" t="s">
        <v>93</v>
      </c>
      <c r="G76" s="36" t="s">
        <v>105</v>
      </c>
      <c r="H76" s="36"/>
      <c r="I76" s="1" t="str">
        <f aca="false">IF($A76="","",IFERROR(IF(ISBLANK(INDEX(SprintPlanning[Sprint],MATCH($A76,SprintPlanning[Requirement ID],0))),"To Plan",INDEX(SprintPlanning[Sprint],MATCH($A76,SprintPlanning[Requirement ID],0))),"To Plan"))</f>
        <v>Sprint 14</v>
      </c>
      <c r="J76" s="36" t="n">
        <v>5</v>
      </c>
      <c r="K76" s="1" t="str">
        <f aca="false">IFERROR(IF(ISBLANK(INDEX(Release[Release],MATCH($A76,Release[Requirement ID],0))),"",INDEX(Release[Release],MATCH($A76,Release[Requirement ID],0))),"")</f>
        <v/>
      </c>
      <c r="L76" s="38" t="n">
        <v>46254</v>
      </c>
      <c r="M76" s="25" t="s">
        <v>94</v>
      </c>
      <c r="N76" s="39" t="s">
        <v>281</v>
      </c>
      <c r="P76" s="1" t="n">
        <f aca="false">IFERROR(VALUE(MID($A76,5,4)),0)</f>
        <v>456</v>
      </c>
      <c r="Q76" s="1" t="s">
        <v>286</v>
      </c>
    </row>
    <row r="77" customFormat="false" ht="15" hidden="true" customHeight="true" outlineLevel="0" collapsed="false">
      <c r="A77" s="35" t="str">
        <f aca="false">IF(AND(B77="",C77="",D77="",E77="",F77="",G77="",H77="",J77="",L77="",M77="",N77=""),"",Q77)</f>
        <v>NEW-0457</v>
      </c>
      <c r="B77" s="36" t="s">
        <v>287</v>
      </c>
      <c r="C77" s="36" t="s">
        <v>103</v>
      </c>
      <c r="D77" s="36" t="s">
        <v>119</v>
      </c>
      <c r="E77" s="36" t="s">
        <v>92</v>
      </c>
      <c r="F77" s="36" t="s">
        <v>288</v>
      </c>
      <c r="G77" s="36" t="s">
        <v>105</v>
      </c>
      <c r="H77" s="36"/>
      <c r="I77" s="1" t="str">
        <f aca="false">IF($A77="","",IFERROR(IF(ISBLANK(INDEX(SprintPlanning[Sprint],MATCH($A77,SprintPlanning[Requirement ID],0))),"To Plan",INDEX(SprintPlanning[Sprint],MATCH($A77,SprintPlanning[Requirement ID],0))),"To Plan"))</f>
        <v>Sprint 11</v>
      </c>
      <c r="J77" s="36" t="n">
        <v>8</v>
      </c>
      <c r="K77" s="1" t="str">
        <f aca="false">IFERROR(IF(ISBLANK(INDEX(Release[Release],MATCH($A77,Release[Requirement ID],0))),"",INDEX(Release[Release],MATCH($A77,Release[Requirement ID],0))),"")</f>
        <v/>
      </c>
      <c r="L77" s="38" t="n">
        <v>46254</v>
      </c>
      <c r="M77" s="36"/>
      <c r="O77" s="5" t="s">
        <v>289</v>
      </c>
      <c r="P77" s="1" t="n">
        <f aca="false">IFERROR(VALUE(MID($A77,5,4)),0)</f>
        <v>457</v>
      </c>
      <c r="Q77" s="1" t="s">
        <v>290</v>
      </c>
    </row>
    <row r="78" customFormat="false" ht="15" hidden="true" customHeight="true" outlineLevel="0" collapsed="false">
      <c r="A78" s="35" t="str">
        <f aca="false">IF(AND(B78="",C78="",D78="",E78="",F78="",G78="",H78="",J78="",L78="",M78="",N78=""),"",Q78)</f>
        <v>NEW-0458</v>
      </c>
      <c r="B78" s="35" t="s">
        <v>291</v>
      </c>
      <c r="C78" s="36" t="s">
        <v>184</v>
      </c>
      <c r="D78" s="36" t="s">
        <v>258</v>
      </c>
      <c r="E78" s="36" t="s">
        <v>258</v>
      </c>
      <c r="F78" s="36" t="s">
        <v>93</v>
      </c>
      <c r="G78" s="36" t="s">
        <v>105</v>
      </c>
      <c r="H78" s="36"/>
      <c r="I78" s="1" t="str">
        <f aca="false">IF($A78="","",IFERROR(IF(ISBLANK(INDEX(SprintPlanning[Sprint],MATCH($A78,SprintPlanning[Requirement ID],0))),"To Plan",INDEX(SprintPlanning[Sprint],MATCH($A78,SprintPlanning[Requirement ID],0))),"To Plan"))</f>
        <v>To Plan</v>
      </c>
      <c r="J78" s="36" t="n">
        <v>8</v>
      </c>
      <c r="K78" s="1" t="str">
        <f aca="false">IFERROR(IF(ISBLANK(INDEX(Release[Release],MATCH($A78,Release[Requirement ID],0))),"",INDEX(Release[Release],MATCH($A78,Release[Requirement ID],0))),"")</f>
        <v/>
      </c>
      <c r="L78" s="38" t="n">
        <v>46254</v>
      </c>
      <c r="M78" s="36" t="s">
        <v>94</v>
      </c>
      <c r="N78" s="1" t="s">
        <v>292</v>
      </c>
      <c r="P78" s="1" t="n">
        <f aca="false">IFERROR(VALUE(MID($A78,5,4)),0)</f>
        <v>458</v>
      </c>
      <c r="Q78" s="1" t="s">
        <v>293</v>
      </c>
    </row>
    <row r="79" customFormat="false" ht="15" hidden="true" customHeight="true" outlineLevel="0" collapsed="false">
      <c r="A79" s="35" t="str">
        <f aca="false">IF(AND(B79="",C79="",D79="",E79="",F79="",G79="",H79="",J79="",L79="",M79="",N79=""),"",Q79)</f>
        <v>NEW-0459</v>
      </c>
      <c r="B79" s="36" t="s">
        <v>294</v>
      </c>
      <c r="C79" s="36" t="s">
        <v>103</v>
      </c>
      <c r="D79" s="36" t="s">
        <v>104</v>
      </c>
      <c r="E79" s="36" t="s">
        <v>92</v>
      </c>
      <c r="F79" s="36" t="s">
        <v>93</v>
      </c>
      <c r="G79" s="36" t="s">
        <v>87</v>
      </c>
      <c r="H79" s="36"/>
      <c r="I79" s="1" t="str">
        <f aca="false">IF($A79="","",IFERROR(IF(ISBLANK(INDEX(SprintPlanning[Sprint],MATCH($A79,SprintPlanning[Requirement ID],0))),"To Plan",INDEX(SprintPlanning[Sprint],MATCH($A79,SprintPlanning[Requirement ID],0))),"To Plan"))</f>
        <v>To Plan</v>
      </c>
      <c r="J79" s="36" t="n">
        <v>3</v>
      </c>
      <c r="K79" s="1" t="str">
        <f aca="false">IFERROR(IF(ISBLANK(INDEX(Release[Release],MATCH($A79,Release[Requirement ID],0))),"",INDEX(Release[Release],MATCH($A79,Release[Requirement ID],0))),"")</f>
        <v/>
      </c>
      <c r="L79" s="38" t="n">
        <v>46259</v>
      </c>
      <c r="M79" s="36"/>
      <c r="N79" s="39"/>
      <c r="P79" s="1" t="n">
        <f aca="false">IFERROR(VALUE(MID($A79,5,4)),0)</f>
        <v>459</v>
      </c>
      <c r="Q79" s="1" t="s">
        <v>295</v>
      </c>
    </row>
    <row r="80" customFormat="false" ht="15" hidden="true" customHeight="true" outlineLevel="0" collapsed="false">
      <c r="A80" s="35" t="str">
        <f aca="false">IF(AND(B80="",C80="",D80="",E80="",F80="",G80="",H80="",J80="",L80="",M80="",N80=""),"",Q80)</f>
        <v>NEW-0460</v>
      </c>
      <c r="B80" s="36" t="s">
        <v>296</v>
      </c>
      <c r="C80" s="36" t="s">
        <v>123</v>
      </c>
      <c r="D80" s="36" t="s">
        <v>297</v>
      </c>
      <c r="E80" s="36" t="s">
        <v>124</v>
      </c>
      <c r="F80" s="36" t="s">
        <v>125</v>
      </c>
      <c r="G80" s="36" t="s">
        <v>105</v>
      </c>
      <c r="H80" s="36"/>
      <c r="I80" s="1" t="str">
        <f aca="false">IF($A80="","",IFERROR(IF(ISBLANK(INDEX(SprintPlanning[Sprint],MATCH($A80,SprintPlanning[Requirement ID],0))),"To Plan",INDEX(SprintPlanning[Sprint],MATCH($A80,SprintPlanning[Requirement ID],0))),"To Plan"))</f>
        <v>Sprint 12</v>
      </c>
      <c r="J80" s="36" t="n">
        <v>13</v>
      </c>
      <c r="K80" s="1" t="str">
        <f aca="false">IFERROR(IF(ISBLANK(INDEX(Release[Release],MATCH($A80,Release[Requirement ID],0))),"",INDEX(Release[Release],MATCH($A80,Release[Requirement ID],0))),"")</f>
        <v/>
      </c>
      <c r="L80" s="38" t="n">
        <v>46260</v>
      </c>
      <c r="M80" s="36"/>
      <c r="P80" s="1" t="n">
        <f aca="false">IFERROR(VALUE(MID($A80,5,4)),0)</f>
        <v>460</v>
      </c>
      <c r="Q80" s="1" t="s">
        <v>298</v>
      </c>
    </row>
    <row r="81" customFormat="false" ht="15" hidden="true" customHeight="true" outlineLevel="0" collapsed="false">
      <c r="A81" s="35" t="str">
        <f aca="false">IF(AND(B81="",C81="",D81="",E81="",F81="",G81="",H81="",J81="",L81="",M81="",N81=""),"",Q81)</f>
        <v>NEW-0461</v>
      </c>
      <c r="B81" s="36" t="s">
        <v>299</v>
      </c>
      <c r="C81" s="36" t="s">
        <v>83</v>
      </c>
      <c r="D81" s="36" t="s">
        <v>104</v>
      </c>
      <c r="E81" s="36" t="s">
        <v>92</v>
      </c>
      <c r="F81" s="36" t="s">
        <v>93</v>
      </c>
      <c r="G81" s="36" t="s">
        <v>87</v>
      </c>
      <c r="H81" s="36"/>
      <c r="I81" s="1" t="str">
        <f aca="false">IF($A81="","",IFERROR(IF(ISBLANK(INDEX(SprintPlanning[Sprint],MATCH($A81,SprintPlanning[Requirement ID],0))),"To Plan",INDEX(SprintPlanning[Sprint],MATCH($A81,SprintPlanning[Requirement ID],0))),"To Plan"))</f>
        <v>To Plan</v>
      </c>
      <c r="J81" s="36"/>
      <c r="K81" s="1" t="str">
        <f aca="false">IFERROR(IF(ISBLANK(INDEX(Release[Release],MATCH($A81,Release[Requirement ID],0))),"",INDEX(Release[Release],MATCH($A81,Release[Requirement ID],0))),"")</f>
        <v/>
      </c>
      <c r="L81" s="38" t="n">
        <v>46260</v>
      </c>
      <c r="M81" s="36"/>
      <c r="P81" s="1" t="n">
        <f aca="false">IFERROR(VALUE(MID($A81,5,4)),0)</f>
        <v>461</v>
      </c>
      <c r="Q81" s="1" t="s">
        <v>300</v>
      </c>
    </row>
    <row r="82" customFormat="false" ht="15" hidden="true" customHeight="true" outlineLevel="0" collapsed="false">
      <c r="A82" s="35" t="str">
        <f aca="false">IF(AND(B82="",C82="",D82="",E82="",F82="",G82="",H82="",J82="",L82="",M82="",N82=""),"",Q82)</f>
        <v>NEW-0462</v>
      </c>
      <c r="B82" s="36" t="s">
        <v>301</v>
      </c>
      <c r="C82" s="36" t="s">
        <v>83</v>
      </c>
      <c r="D82" s="36" t="s">
        <v>258</v>
      </c>
      <c r="E82" s="36" t="s">
        <v>258</v>
      </c>
      <c r="F82" s="36" t="s">
        <v>93</v>
      </c>
      <c r="G82" s="36" t="s">
        <v>105</v>
      </c>
      <c r="H82" s="36"/>
      <c r="I82" s="1" t="str">
        <f aca="false">IF($A82="","",IFERROR(IF(ISBLANK(INDEX(SprintPlanning[Sprint],MATCH($A82,SprintPlanning[Requirement ID],0))),"To Plan",INDEX(SprintPlanning[Sprint],MATCH($A82,SprintPlanning[Requirement ID],0))),"To Plan"))</f>
        <v>To Plan</v>
      </c>
      <c r="J82" s="36" t="n">
        <v>5</v>
      </c>
      <c r="K82" s="1" t="str">
        <f aca="false">IFERROR(IF(ISBLANK(INDEX(Release[Release],MATCH($A82,Release[Requirement ID],0))),"",INDEX(Release[Release],MATCH($A82,Release[Requirement ID],0))),"")</f>
        <v/>
      </c>
      <c r="L82" s="38" t="n">
        <v>46260</v>
      </c>
      <c r="M82" s="36"/>
      <c r="P82" s="1" t="n">
        <f aca="false">IFERROR(VALUE(MID($A82,5,4)),0)</f>
        <v>462</v>
      </c>
      <c r="Q82" s="1" t="s">
        <v>302</v>
      </c>
    </row>
    <row r="83" customFormat="false" ht="15" hidden="true" customHeight="true" outlineLevel="0" collapsed="false">
      <c r="A83" s="35" t="str">
        <f aca="false">IF(AND(B83="",C83="",D83="",E83="",F83="",G83="",H83="",J83="",L83="",M83="",N83=""),"",Q83)</f>
        <v>NEW-0463</v>
      </c>
      <c r="B83" s="36" t="s">
        <v>303</v>
      </c>
      <c r="C83" s="36" t="s">
        <v>83</v>
      </c>
      <c r="D83" s="36" t="s">
        <v>304</v>
      </c>
      <c r="E83" s="36" t="s">
        <v>85</v>
      </c>
      <c r="F83" s="36" t="s">
        <v>93</v>
      </c>
      <c r="G83" s="36" t="s">
        <v>305</v>
      </c>
      <c r="H83" s="36"/>
      <c r="I83" s="1" t="str">
        <f aca="false">IF($A83="","",IFERROR(IF(ISBLANK(INDEX(SprintPlanning[Sprint],MATCH($A83,SprintPlanning[Requirement ID],0))),"To Plan",INDEX(SprintPlanning[Sprint],MATCH($A83,SprintPlanning[Requirement ID],0))),"To Plan"))</f>
        <v>To Plan</v>
      </c>
      <c r="J83" s="36"/>
      <c r="K83" s="1" t="str">
        <f aca="false">IFERROR(IF(ISBLANK(INDEX(Release[Release],MATCH($A83,Release[Requirement ID],0))),"",INDEX(Release[Release],MATCH($A83,Release[Requirement ID],0))),"")</f>
        <v/>
      </c>
      <c r="L83" s="38" t="n">
        <v>46261</v>
      </c>
      <c r="M83" s="36"/>
      <c r="O83" s="1" t="s">
        <v>306</v>
      </c>
      <c r="P83" s="1" t="n">
        <f aca="false">IFERROR(VALUE(MID($A83,5,4)),0)</f>
        <v>463</v>
      </c>
      <c r="Q83" s="1" t="s">
        <v>307</v>
      </c>
    </row>
    <row r="84" customFormat="false" ht="15" hidden="true" customHeight="true" outlineLevel="0" collapsed="false">
      <c r="A84" s="35" t="str">
        <f aca="false">IF(AND(B84="",C84="",D84="",E84="",F84="",G84="",H84="",J84="",L84="",M84="",N84=""),"",Q84)</f>
        <v>NEW-0464</v>
      </c>
      <c r="B84" s="36" t="s">
        <v>308</v>
      </c>
      <c r="C84" s="36" t="s">
        <v>83</v>
      </c>
      <c r="D84" s="36" t="s">
        <v>91</v>
      </c>
      <c r="E84" s="36" t="s">
        <v>85</v>
      </c>
      <c r="F84" s="36" t="s">
        <v>93</v>
      </c>
      <c r="G84" s="36" t="s">
        <v>87</v>
      </c>
      <c r="H84" s="36"/>
      <c r="I84" s="1" t="str">
        <f aca="false">IF($A84="","",IFERROR(IF(ISBLANK(INDEX(SprintPlanning[Sprint],MATCH($A84,SprintPlanning[Requirement ID],0))),"To Plan",INDEX(SprintPlanning[Sprint],MATCH($A84,SprintPlanning[Requirement ID],0))),"To Plan"))</f>
        <v>To Plan</v>
      </c>
      <c r="J84" s="36" t="n">
        <v>3</v>
      </c>
      <c r="K84" s="1" t="str">
        <f aca="false">IFERROR(IF(ISBLANK(INDEX(Release[Release],MATCH($A84,Release[Requirement ID],0))),"",INDEX(Release[Release],MATCH($A84,Release[Requirement ID],0))),"")</f>
        <v/>
      </c>
      <c r="L84" s="38" t="n">
        <v>46262</v>
      </c>
      <c r="M84" s="36"/>
      <c r="P84" s="1" t="n">
        <f aca="false">IFERROR(VALUE(MID($A84,5,4)),0)</f>
        <v>464</v>
      </c>
      <c r="Q84" s="1" t="s">
        <v>309</v>
      </c>
    </row>
    <row r="85" customFormat="false" ht="15" hidden="true" customHeight="true" outlineLevel="0" collapsed="false">
      <c r="A85" s="35" t="str">
        <f aca="false">IF(AND(B85="",C85="",D85="",E85="",F85="",G85="",H85="",J85="",L85="",M85="",N85=""),"",Q85)</f>
        <v>NEW-0465</v>
      </c>
      <c r="B85" s="36" t="s">
        <v>310</v>
      </c>
      <c r="C85" s="36" t="s">
        <v>83</v>
      </c>
      <c r="D85" s="36" t="s">
        <v>84</v>
      </c>
      <c r="E85" s="36" t="s">
        <v>92</v>
      </c>
      <c r="F85" s="36" t="s">
        <v>93</v>
      </c>
      <c r="G85" s="36" t="s">
        <v>87</v>
      </c>
      <c r="H85" s="36"/>
      <c r="I85" s="1" t="str">
        <f aca="false">IF($A85="","",IFERROR(IF(ISBLANK(INDEX(SprintPlanning[Sprint],MATCH($A85,SprintPlanning[Requirement ID],0))),"To Plan",INDEX(SprintPlanning[Sprint],MATCH($A85,SprintPlanning[Requirement ID],0))),"To Plan"))</f>
        <v>To Plan</v>
      </c>
      <c r="J85" s="36" t="n">
        <v>8</v>
      </c>
      <c r="K85" s="1" t="str">
        <f aca="false">IFERROR(IF(ISBLANK(INDEX(Release[Release],MATCH($A85,Release[Requirement ID],0))),"",INDEX(Release[Release],MATCH($A85,Release[Requirement ID],0))),"")</f>
        <v/>
      </c>
      <c r="L85" s="38" t="n">
        <v>46262</v>
      </c>
      <c r="M85" s="36"/>
      <c r="P85" s="1" t="n">
        <f aca="false">IFERROR(VALUE(MID($A85,5,4)),0)</f>
        <v>465</v>
      </c>
      <c r="Q85" s="1" t="s">
        <v>311</v>
      </c>
    </row>
    <row r="86" customFormat="false" ht="15" hidden="true" customHeight="true" outlineLevel="0" collapsed="false">
      <c r="A86" s="35" t="str">
        <f aca="false">IF(AND(B86="",C86="",D86="",E86="",F86="",G86="",H86="",J86="",L86="",M86="",N86=""),"",Q86)</f>
        <v>NEW-0466</v>
      </c>
      <c r="B86" s="36" t="s">
        <v>312</v>
      </c>
      <c r="C86" s="36" t="s">
        <v>103</v>
      </c>
      <c r="D86" s="36" t="s">
        <v>104</v>
      </c>
      <c r="E86" s="36" t="s">
        <v>92</v>
      </c>
      <c r="F86" s="36" t="s">
        <v>93</v>
      </c>
      <c r="G86" s="36" t="s">
        <v>87</v>
      </c>
      <c r="H86" s="36"/>
      <c r="I86" s="1" t="str">
        <f aca="false">IF($A86="","",IFERROR(IF(ISBLANK(INDEX(SprintPlanning[Sprint],MATCH($A86,SprintPlanning[Requirement ID],0))),"To Plan",INDEX(SprintPlanning[Sprint],MATCH($A86,SprintPlanning[Requirement ID],0))),"To Plan"))</f>
        <v>To Plan</v>
      </c>
      <c r="J86" s="36" t="n">
        <v>5</v>
      </c>
      <c r="K86" s="1" t="str">
        <f aca="false">IFERROR(IF(ISBLANK(INDEX(Release[Release],MATCH($A86,Release[Requirement ID],0))),"",INDEX(Release[Release],MATCH($A86,Release[Requirement ID],0))),"")</f>
        <v/>
      </c>
      <c r="L86" s="38" t="n">
        <v>46268</v>
      </c>
      <c r="M86" s="36"/>
      <c r="N86" s="39" t="s">
        <v>313</v>
      </c>
      <c r="P86" s="1" t="n">
        <f aca="false">IFERROR(VALUE(MID($A86,5,4)),0)</f>
        <v>466</v>
      </c>
      <c r="Q86" s="1" t="s">
        <v>314</v>
      </c>
    </row>
    <row r="87" customFormat="false" ht="15" hidden="true" customHeight="true" outlineLevel="0" collapsed="false">
      <c r="A87" s="35" t="str">
        <f aca="false">IF(AND(B87="",C87="",D87="",E87="",F87="",G87="",H87="",J87="",L87="",M87="",N87=""),"",Q87)</f>
        <v>NEW-0467</v>
      </c>
      <c r="B87" s="36" t="s">
        <v>315</v>
      </c>
      <c r="C87" s="36" t="s">
        <v>123</v>
      </c>
      <c r="D87" s="36" t="s">
        <v>84</v>
      </c>
      <c r="E87" s="36" t="s">
        <v>124</v>
      </c>
      <c r="F87" s="36" t="s">
        <v>125</v>
      </c>
      <c r="G87" s="36" t="s">
        <v>105</v>
      </c>
      <c r="H87" s="36"/>
      <c r="I87" s="1" t="str">
        <f aca="false">IF($A87="","",IFERROR(IF(ISBLANK(INDEX(SprintPlanning[Sprint],MATCH($A87,SprintPlanning[Requirement ID],0))),"To Plan",INDEX(SprintPlanning[Sprint],MATCH($A87,SprintPlanning[Requirement ID],0))),"To Plan"))</f>
        <v>Sprint 12</v>
      </c>
      <c r="J87" s="36"/>
      <c r="K87" s="1" t="str">
        <f aca="false">IFERROR(IF(ISBLANK(INDEX(Release[Release],MATCH($A87,Release[Requirement ID],0))),"",INDEX(Release[Release],MATCH($A87,Release[Requirement ID],0))),"")</f>
        <v/>
      </c>
      <c r="L87" s="36"/>
      <c r="M87" s="36"/>
      <c r="P87" s="1" t="n">
        <f aca="false">IFERROR(VALUE(MID($A87,5,4)),0)</f>
        <v>467</v>
      </c>
      <c r="Q87" s="1" t="s">
        <v>316</v>
      </c>
    </row>
    <row r="88" customFormat="false" ht="15" hidden="true" customHeight="true" outlineLevel="0" collapsed="false">
      <c r="A88" s="35" t="str">
        <f aca="false">IF(AND(B88="",C88="",D88="",E88="",F88="",G88="",H88="",J88="",L88="",M88="",N88=""),"",Q88)</f>
        <v>NEW-0468</v>
      </c>
      <c r="B88" s="36" t="s">
        <v>317</v>
      </c>
      <c r="C88" s="36" t="s">
        <v>110</v>
      </c>
      <c r="D88" s="36" t="s">
        <v>119</v>
      </c>
      <c r="E88" s="36" t="s">
        <v>92</v>
      </c>
      <c r="F88" s="36" t="s">
        <v>288</v>
      </c>
      <c r="G88" s="36" t="s">
        <v>105</v>
      </c>
      <c r="H88" s="36"/>
      <c r="I88" s="1" t="str">
        <f aca="false">IF($A88="","",IFERROR(IF(ISBLANK(INDEX(SprintPlanning[Sprint],MATCH($A88,SprintPlanning[Requirement ID],0))),"To Plan",INDEX(SprintPlanning[Sprint],MATCH($A88,SprintPlanning[Requirement ID],0))),"To Plan"))</f>
        <v>Sprint 12</v>
      </c>
      <c r="J88" s="36" t="n">
        <v>5</v>
      </c>
      <c r="K88" s="1" t="str">
        <f aca="false">IFERROR(IF(ISBLANK(INDEX(Release[Release],MATCH($A88,Release[Requirement ID],0))),"",INDEX(Release[Release],MATCH($A88,Release[Requirement ID],0))),"")</f>
        <v/>
      </c>
      <c r="L88" s="36"/>
      <c r="M88" s="36"/>
      <c r="P88" s="1" t="n">
        <f aca="false">IFERROR(VALUE(MID($A88,5,4)),0)</f>
        <v>468</v>
      </c>
      <c r="Q88" s="1" t="s">
        <v>318</v>
      </c>
    </row>
    <row r="89" customFormat="false" ht="15" hidden="true" customHeight="true" outlineLevel="0" collapsed="false">
      <c r="A89" s="35" t="str">
        <f aca="false">IF(AND(B89="",C89="",D89="",E89="",F89="",G89="",H89="",J89="",L89="",M89="",N89=""),"",Q89)</f>
        <v>NEW-0469</v>
      </c>
      <c r="B89" s="36" t="s">
        <v>319</v>
      </c>
      <c r="C89" s="36" t="s">
        <v>184</v>
      </c>
      <c r="D89" s="36" t="s">
        <v>84</v>
      </c>
      <c r="E89" s="36" t="s">
        <v>92</v>
      </c>
      <c r="F89" s="36" t="s">
        <v>93</v>
      </c>
      <c r="G89" s="36" t="s">
        <v>320</v>
      </c>
      <c r="H89" s="36"/>
      <c r="I89" s="1" t="str">
        <f aca="false">IF($A89="","",IFERROR(IF(ISBLANK(INDEX(SprintPlanning[Sprint],MATCH($A89,SprintPlanning[Requirement ID],0))),"To Plan",INDEX(SprintPlanning[Sprint],MATCH($A89,SprintPlanning[Requirement ID],0))),"To Plan"))</f>
        <v>Sprint 12</v>
      </c>
      <c r="J89" s="36" t="n">
        <v>2</v>
      </c>
      <c r="K89" s="1" t="str">
        <f aca="false">IFERROR(IF(ISBLANK(INDEX(Release[Release],MATCH($A89,Release[Requirement ID],0))),"",INDEX(Release[Release],MATCH($A89,Release[Requirement ID],0))),"")</f>
        <v/>
      </c>
      <c r="L89" s="38" t="n">
        <v>46276</v>
      </c>
      <c r="M89" s="36"/>
      <c r="N89" s="39" t="s">
        <v>321</v>
      </c>
      <c r="P89" s="1" t="n">
        <f aca="false">IFERROR(VALUE(MID($A89,5,4)),0)</f>
        <v>469</v>
      </c>
      <c r="Q89" s="1" t="s">
        <v>322</v>
      </c>
    </row>
    <row r="90" customFormat="false" ht="15" hidden="true" customHeight="true" outlineLevel="0" collapsed="false">
      <c r="A90" s="35" t="str">
        <f aca="false">IF(AND(B90="",C90="",D90="",E90="",F90="",G90="",H90="",J90="",L90="",M90="",N90=""),"",Q90)</f>
        <v>NEW-0470</v>
      </c>
      <c r="B90" s="36" t="s">
        <v>323</v>
      </c>
      <c r="C90" s="36" t="s">
        <v>83</v>
      </c>
      <c r="D90" s="36" t="s">
        <v>119</v>
      </c>
      <c r="E90" s="36" t="s">
        <v>92</v>
      </c>
      <c r="F90" s="36" t="s">
        <v>93</v>
      </c>
      <c r="G90" s="36" t="s">
        <v>87</v>
      </c>
      <c r="H90" s="36"/>
      <c r="I90" s="1" t="str">
        <f aca="false">IF($A90="","",IFERROR(IF(ISBLANK(INDEX(SprintPlanning[Sprint],MATCH($A90,SprintPlanning[Requirement ID],0))),"To Plan",INDEX(SprintPlanning[Sprint],MATCH($A90,SprintPlanning[Requirement ID],0))),"To Plan"))</f>
        <v>To Plan</v>
      </c>
      <c r="J90" s="36"/>
      <c r="K90" s="1" t="str">
        <f aca="false">IFERROR(IF(ISBLANK(INDEX(Release[Release],MATCH($A90,Release[Requirement ID],0))),"",INDEX(Release[Release],MATCH($A90,Release[Requirement ID],0))),"")</f>
        <v/>
      </c>
      <c r="L90" s="38" t="n">
        <v>46276</v>
      </c>
      <c r="M90" s="36"/>
      <c r="P90" s="1" t="n">
        <f aca="false">IFERROR(VALUE(MID($A90,5,4)),0)</f>
        <v>470</v>
      </c>
      <c r="Q90" s="1" t="s">
        <v>324</v>
      </c>
    </row>
    <row r="91" customFormat="false" ht="15" hidden="true" customHeight="true" outlineLevel="0" collapsed="false">
      <c r="A91" s="35" t="str">
        <f aca="false">IF(AND(B91="",C91="",D91="",E91="",F91="",G91="",H91="",J91="",L91="",M91="",N91=""),"",Q91)</f>
        <v>NEW-0471</v>
      </c>
      <c r="B91" s="36" t="s">
        <v>325</v>
      </c>
      <c r="C91" s="36" t="s">
        <v>83</v>
      </c>
      <c r="D91" s="36" t="s">
        <v>119</v>
      </c>
      <c r="E91" s="36" t="s">
        <v>92</v>
      </c>
      <c r="F91" s="36" t="s">
        <v>93</v>
      </c>
      <c r="G91" s="36" t="s">
        <v>105</v>
      </c>
      <c r="H91" s="36"/>
      <c r="I91" s="1" t="str">
        <f aca="false">IF($A91="","",IFERROR(IF(ISBLANK(INDEX(SprintPlanning[Sprint],MATCH($A91,SprintPlanning[Requirement ID],0))),"To Plan",INDEX(SprintPlanning[Sprint],MATCH($A91,SprintPlanning[Requirement ID],0))),"To Plan"))</f>
        <v>Sprint 12</v>
      </c>
      <c r="J91" s="36" t="n">
        <v>5</v>
      </c>
      <c r="K91" s="1" t="str">
        <f aca="false">IFERROR(IF(ISBLANK(INDEX(Release[Release],MATCH($A91,Release[Requirement ID],0))),"",INDEX(Release[Release],MATCH($A91,Release[Requirement ID],0))),"")</f>
        <v/>
      </c>
      <c r="L91" s="38" t="n">
        <v>46276</v>
      </c>
      <c r="M91" s="36"/>
      <c r="N91" s="39" t="s">
        <v>326</v>
      </c>
      <c r="O91" s="1" t="s">
        <v>327</v>
      </c>
      <c r="P91" s="1" t="n">
        <f aca="false">IFERROR(VALUE(MID($A91,5,4)),0)</f>
        <v>471</v>
      </c>
      <c r="Q91" s="1" t="s">
        <v>328</v>
      </c>
    </row>
    <row r="92" customFormat="false" ht="15" hidden="true" customHeight="true" outlineLevel="0" collapsed="false">
      <c r="A92" s="35" t="str">
        <f aca="false">IF(AND(B92="",C92="",D92="",E92="",F92="",G92="",H92="",J92="",L92="",M92="",N92=""),"",Q92)</f>
        <v>NEW-0472</v>
      </c>
      <c r="B92" s="36" t="s">
        <v>329</v>
      </c>
      <c r="C92" s="36" t="s">
        <v>83</v>
      </c>
      <c r="D92" s="36" t="s">
        <v>304</v>
      </c>
      <c r="E92" s="36" t="s">
        <v>85</v>
      </c>
      <c r="F92" s="36" t="s">
        <v>93</v>
      </c>
      <c r="G92" s="36" t="s">
        <v>87</v>
      </c>
      <c r="H92" s="36"/>
      <c r="I92" s="1" t="str">
        <f aca="false">IF($A92="","",IFERROR(IF(ISBLANK(INDEX(SprintPlanning[Sprint],MATCH($A92,SprintPlanning[Requirement ID],0))),"To Plan",INDEX(SprintPlanning[Sprint],MATCH($A92,SprintPlanning[Requirement ID],0))),"To Plan"))</f>
        <v>To Plan</v>
      </c>
      <c r="J92" s="36"/>
      <c r="K92" s="1" t="str">
        <f aca="false">IFERROR(IF(ISBLANK(INDEX(Release[Release],MATCH($A92,Release[Requirement ID],0))),"",INDEX(Release[Release],MATCH($A92,Release[Requirement ID],0))),"")</f>
        <v/>
      </c>
      <c r="L92" s="38" t="n">
        <v>46279</v>
      </c>
      <c r="M92" s="36"/>
      <c r="P92" s="1" t="n">
        <f aca="false">IFERROR(VALUE(MID($A92,5,4)),0)</f>
        <v>472</v>
      </c>
      <c r="Q92" s="1" t="s">
        <v>330</v>
      </c>
    </row>
    <row r="93" customFormat="false" ht="15" hidden="true" customHeight="true" outlineLevel="0" collapsed="false">
      <c r="A93" s="35" t="str">
        <f aca="false">IF(AND(B93="",C93="",D93="",E93="",F93="",G93="",H93="",J93="",L93="",M93="",N93=""),"",Q93)</f>
        <v>NEW-0473</v>
      </c>
      <c r="B93" s="36" t="s">
        <v>331</v>
      </c>
      <c r="C93" s="36" t="s">
        <v>83</v>
      </c>
      <c r="D93" s="36" t="s">
        <v>91</v>
      </c>
      <c r="E93" s="36" t="s">
        <v>85</v>
      </c>
      <c r="F93" s="36" t="s">
        <v>132</v>
      </c>
      <c r="G93" s="36" t="s">
        <v>87</v>
      </c>
      <c r="H93" s="36"/>
      <c r="I93" s="1" t="str">
        <f aca="false">IF($A93="","",IFERROR(IF(ISBLANK(INDEX(SprintPlanning[Sprint],MATCH($A93,SprintPlanning[Requirement ID],0))),"To Plan",INDEX(SprintPlanning[Sprint],MATCH($A93,SprintPlanning[Requirement ID],0))),"To Plan"))</f>
        <v>To Plan</v>
      </c>
      <c r="J93" s="36"/>
      <c r="K93" s="1" t="str">
        <f aca="false">IFERROR(IF(ISBLANK(INDEX(Release[Release],MATCH($A93,Release[Requirement ID],0))),"",INDEX(Release[Release],MATCH($A93,Release[Requirement ID],0))),"")</f>
        <v/>
      </c>
      <c r="L93" s="38" t="n">
        <v>46279</v>
      </c>
      <c r="M93" s="36"/>
      <c r="P93" s="1" t="n">
        <f aca="false">IFERROR(VALUE(MID($A93,5,4)),0)</f>
        <v>473</v>
      </c>
      <c r="Q93" s="1" t="s">
        <v>332</v>
      </c>
    </row>
    <row r="94" customFormat="false" ht="15" hidden="true" customHeight="true" outlineLevel="0" collapsed="false">
      <c r="A94" s="35" t="str">
        <f aca="false">IF(AND(B94="",C94="",D94="",E94="",F94="",G94="",H94="",J94="",L94="",M94="",N94=""),"",Q94)</f>
        <v>NEW-0474</v>
      </c>
      <c r="B94" s="36" t="s">
        <v>333</v>
      </c>
      <c r="C94" s="36" t="s">
        <v>83</v>
      </c>
      <c r="D94" s="36" t="s">
        <v>104</v>
      </c>
      <c r="E94" s="36" t="s">
        <v>92</v>
      </c>
      <c r="F94" s="36" t="s">
        <v>93</v>
      </c>
      <c r="G94" s="36" t="s">
        <v>87</v>
      </c>
      <c r="H94" s="36"/>
      <c r="I94" s="1" t="str">
        <f aca="false">IF($A94="","",IFERROR(IF(ISBLANK(INDEX(SprintPlanning[Sprint],MATCH($A94,SprintPlanning[Requirement ID],0))),"To Plan",INDEX(SprintPlanning[Sprint],MATCH($A94,SprintPlanning[Requirement ID],0))),"To Plan"))</f>
        <v>Sprint 15</v>
      </c>
      <c r="J94" s="36" t="n">
        <v>8</v>
      </c>
      <c r="K94" s="1" t="str">
        <f aca="false">IFERROR(IF(ISBLANK(INDEX(Release[Release],MATCH($A94,Release[Requirement ID],0))),"",INDEX(Release[Release],MATCH($A94,Release[Requirement ID],0))),"")</f>
        <v/>
      </c>
      <c r="L94" s="38" t="n">
        <v>46280</v>
      </c>
      <c r="M94" s="36"/>
      <c r="N94" s="39" t="s">
        <v>334</v>
      </c>
      <c r="P94" s="1" t="n">
        <f aca="false">IFERROR(VALUE(MID($A94,5,4)),0)</f>
        <v>474</v>
      </c>
      <c r="Q94" s="1" t="s">
        <v>335</v>
      </c>
    </row>
    <row r="95" customFormat="false" ht="15" hidden="false" customHeight="true" outlineLevel="0" collapsed="false">
      <c r="A95" s="35" t="str">
        <f aca="false">IF(AND(B95="",C95="",D95="",E95="",F95="",G95="",H95="",J95="",L95="",M95="",N95=""),"",Q95)</f>
        <v>NEW-0475</v>
      </c>
      <c r="B95" s="40" t="s">
        <v>336</v>
      </c>
      <c r="C95" s="36" t="s">
        <v>103</v>
      </c>
      <c r="D95" s="36" t="s">
        <v>258</v>
      </c>
      <c r="E95" s="36" t="s">
        <v>258</v>
      </c>
      <c r="F95" s="36" t="s">
        <v>93</v>
      </c>
      <c r="G95" s="36" t="s">
        <v>87</v>
      </c>
      <c r="H95" s="36"/>
      <c r="I95" s="1" t="str">
        <f aca="false">IF($A95="","",IFERROR(IF(ISBLANK(INDEX(SprintPlanning[Sprint],MATCH($A95,SprintPlanning[Requirement ID],0))),"To Plan",INDEX(SprintPlanning[Sprint],MATCH($A95,SprintPlanning[Requirement ID],0))),"To Plan"))</f>
        <v>Sprint 14</v>
      </c>
      <c r="J95" s="36" t="n">
        <v>3</v>
      </c>
      <c r="K95" s="1" t="str">
        <f aca="false">IFERROR(IF(ISBLANK(INDEX(Release[Release],MATCH($A95,Release[Requirement ID],0))),"",INDEX(Release[Release],MATCH($A95,Release[Requirement ID],0))),"")</f>
        <v/>
      </c>
      <c r="L95" s="38" t="n">
        <v>46281</v>
      </c>
      <c r="M95" s="36"/>
      <c r="O95" s="1" t="s">
        <v>337</v>
      </c>
      <c r="P95" s="1" t="n">
        <f aca="false">IFERROR(VALUE(MID($A95,5,4)),0)</f>
        <v>475</v>
      </c>
      <c r="Q95" s="1" t="s">
        <v>338</v>
      </c>
    </row>
    <row r="96" customFormat="false" ht="15" hidden="false" customHeight="true" outlineLevel="0" collapsed="false">
      <c r="A96" s="35" t="str">
        <f aca="false">IF(AND(B96="",C96="",D96="",E96="",F96="",G96="",H96="",J96="",L96="",M96="",N96=""),"",Q96)</f>
        <v>NEW-0476</v>
      </c>
      <c r="B96" s="35" t="s">
        <v>339</v>
      </c>
      <c r="C96" s="36" t="s">
        <v>103</v>
      </c>
      <c r="D96" s="36" t="s">
        <v>304</v>
      </c>
      <c r="E96" s="36" t="s">
        <v>92</v>
      </c>
      <c r="F96" s="36" t="s">
        <v>93</v>
      </c>
      <c r="G96" s="36" t="s">
        <v>87</v>
      </c>
      <c r="H96" s="36"/>
      <c r="I96" s="1" t="str">
        <f aca="false">IF($A96="","",IFERROR(IF(ISBLANK(INDEX(SprintPlanning[Sprint],MATCH($A96,SprintPlanning[Requirement ID],0))),"To Plan",INDEX(SprintPlanning[Sprint],MATCH($A96,SprintPlanning[Requirement ID],0))),"To Plan"))</f>
        <v>Sprint 14</v>
      </c>
      <c r="J96" s="36" t="n">
        <v>3</v>
      </c>
      <c r="K96" s="1" t="str">
        <f aca="false">IFERROR(IF(ISBLANK(INDEX(Release[Release],MATCH($A96,Release[Requirement ID],0))),"",INDEX(Release[Release],MATCH($A96,Release[Requirement ID],0))),"")</f>
        <v/>
      </c>
      <c r="L96" s="38" t="n">
        <v>46283</v>
      </c>
      <c r="M96" s="36"/>
      <c r="P96" s="1" t="n">
        <f aca="false">IFERROR(VALUE(MID($A96,5,4)),0)</f>
        <v>476</v>
      </c>
      <c r="Q96" s="1" t="s">
        <v>340</v>
      </c>
    </row>
    <row r="97" customFormat="false" ht="15" hidden="false" customHeight="true" outlineLevel="0" collapsed="false">
      <c r="A97" s="35" t="str">
        <f aca="false">IF(AND(B97="",C97="",D97="",E97="",F97="",G97="",H97="",J97="",L97="",M97="",N97=""),"",Q97)</f>
        <v>NEW-0477</v>
      </c>
      <c r="B97" s="40" t="s">
        <v>341</v>
      </c>
      <c r="C97" s="36" t="s">
        <v>103</v>
      </c>
      <c r="D97" s="36" t="s">
        <v>304</v>
      </c>
      <c r="E97" s="36" t="s">
        <v>92</v>
      </c>
      <c r="F97" s="36" t="s">
        <v>93</v>
      </c>
      <c r="G97" s="36" t="s">
        <v>87</v>
      </c>
      <c r="H97" s="36"/>
      <c r="I97" s="1" t="str">
        <f aca="false">IF($A97="","",IFERROR(IF(ISBLANK(INDEX(SprintPlanning[Sprint],MATCH($A97,SprintPlanning[Requirement ID],0))),"To Plan",INDEX(SprintPlanning[Sprint],MATCH($A97,SprintPlanning[Requirement ID],0))),"To Plan"))</f>
        <v>Sprint 12</v>
      </c>
      <c r="J97" s="36" t="n">
        <v>3</v>
      </c>
      <c r="K97" s="1" t="str">
        <f aca="false">IFERROR(IF(ISBLANK(INDEX(Release[Release],MATCH($A97,Release[Requirement ID],0))),"",INDEX(Release[Release],MATCH($A97,Release[Requirement ID],0))),"")</f>
        <v/>
      </c>
      <c r="L97" s="38" t="n">
        <v>46283</v>
      </c>
      <c r="M97" s="25" t="s">
        <v>94</v>
      </c>
      <c r="N97" s="39" t="s">
        <v>342</v>
      </c>
      <c r="P97" s="1" t="n">
        <f aca="false">IFERROR(VALUE(MID($A97,5,4)),0)</f>
        <v>477</v>
      </c>
      <c r="Q97" s="1" t="s">
        <v>343</v>
      </c>
    </row>
    <row r="98" customFormat="false" ht="15" hidden="false" customHeight="true" outlineLevel="0" collapsed="false">
      <c r="A98" s="35" t="str">
        <f aca="false">IF(AND(B98="",C98="",D98="",E98="",F98="",G98="",H98="",J98="",L98="",M98="",N98=""),"",Q98)</f>
        <v>NEW-0478</v>
      </c>
      <c r="B98" s="35" t="s">
        <v>344</v>
      </c>
      <c r="C98" s="36" t="s">
        <v>83</v>
      </c>
      <c r="D98" s="36" t="s">
        <v>91</v>
      </c>
      <c r="E98" s="36" t="s">
        <v>92</v>
      </c>
      <c r="F98" s="36" t="s">
        <v>132</v>
      </c>
      <c r="G98" s="36" t="s">
        <v>87</v>
      </c>
      <c r="H98" s="36"/>
      <c r="I98" s="1" t="str">
        <f aca="false">IF($A98="","",IFERROR(IF(ISBLANK(INDEX(SprintPlanning[Sprint],MATCH($A98,SprintPlanning[Requirement ID],0))),"To Plan",INDEX(SprintPlanning[Sprint],MATCH($A98,SprintPlanning[Requirement ID],0))),"To Plan"))</f>
        <v>To Plan</v>
      </c>
      <c r="J98" s="36"/>
      <c r="K98" s="1" t="str">
        <f aca="false">IFERROR(IF(ISBLANK(INDEX(Release[Release],MATCH($A98,Release[Requirement ID],0))),"",INDEX(Release[Release],MATCH($A98,Release[Requirement ID],0))),"")</f>
        <v/>
      </c>
      <c r="L98" s="38" t="n">
        <v>46287</v>
      </c>
      <c r="M98" s="36"/>
      <c r="O98" s="1" t="s">
        <v>345</v>
      </c>
      <c r="P98" s="1" t="n">
        <f aca="false">IFERROR(VALUE(MID($A98,5,4)),0)</f>
        <v>478</v>
      </c>
      <c r="Q98" s="1" t="s">
        <v>346</v>
      </c>
    </row>
    <row r="99" customFormat="false" ht="15" hidden="false" customHeight="true" outlineLevel="0" collapsed="false">
      <c r="A99" s="35" t="str">
        <f aca="false">IF(AND(B99="",C99="",D99="",E99="",F99="",G99="",H99="",J99="",L99="",M99="",N99=""),"",Q99)</f>
        <v>NEW-0479</v>
      </c>
      <c r="B99" s="35" t="s">
        <v>347</v>
      </c>
      <c r="C99" s="36" t="s">
        <v>83</v>
      </c>
      <c r="D99" s="36" t="s">
        <v>91</v>
      </c>
      <c r="E99" s="36" t="s">
        <v>92</v>
      </c>
      <c r="F99" s="36" t="s">
        <v>93</v>
      </c>
      <c r="G99" s="36" t="s">
        <v>87</v>
      </c>
      <c r="H99" s="36"/>
      <c r="I99" s="1" t="str">
        <f aca="false">IF($A99="","",IFERROR(IF(ISBLANK(INDEX(SprintPlanning[Sprint],MATCH($A99,SprintPlanning[Requirement ID],0))),"To Plan",INDEX(SprintPlanning[Sprint],MATCH($A99,SprintPlanning[Requirement ID],0))),"To Plan"))</f>
        <v>To Plan</v>
      </c>
      <c r="J99" s="36"/>
      <c r="K99" s="1" t="str">
        <f aca="false">IFERROR(IF(ISBLANK(INDEX(Release[Release],MATCH($A99,Release[Requirement ID],0))),"",INDEX(Release[Release],MATCH($A99,Release[Requirement ID],0))),"")</f>
        <v/>
      </c>
      <c r="L99" s="38" t="n">
        <v>46287</v>
      </c>
      <c r="M99" s="36"/>
      <c r="P99" s="1" t="n">
        <f aca="false">IFERROR(VALUE(MID($A99,5,4)),0)</f>
        <v>479</v>
      </c>
      <c r="Q99" s="1" t="s">
        <v>348</v>
      </c>
    </row>
    <row r="100" customFormat="false" ht="15" hidden="false" customHeight="true" outlineLevel="0" collapsed="false">
      <c r="A100" s="35" t="str">
        <f aca="false">IF(AND(B100="",C100="",D100="",E100="",F100="",G100="",H100="",J100="",L100="",M100="",N100=""),"",Q100)</f>
        <v>NEW-0480</v>
      </c>
      <c r="B100" s="35" t="s">
        <v>349</v>
      </c>
      <c r="C100" s="36" t="s">
        <v>83</v>
      </c>
      <c r="D100" s="36" t="s">
        <v>91</v>
      </c>
      <c r="E100" s="36" t="s">
        <v>92</v>
      </c>
      <c r="F100" s="36" t="s">
        <v>93</v>
      </c>
      <c r="G100" s="36" t="s">
        <v>87</v>
      </c>
      <c r="H100" s="36"/>
      <c r="I100" s="1" t="str">
        <f aca="false">IF($A100="","",IFERROR(IF(ISBLANK(INDEX(SprintPlanning[Sprint],MATCH($A100,SprintPlanning[Requirement ID],0))),"To Plan",INDEX(SprintPlanning[Sprint],MATCH($A100,SprintPlanning[Requirement ID],0))),"To Plan"))</f>
        <v>To Plan</v>
      </c>
      <c r="J100" s="36"/>
      <c r="K100" s="1" t="str">
        <f aca="false">IFERROR(IF(ISBLANK(INDEX(Release[Release],MATCH($A100,Release[Requirement ID],0))),"",INDEX(Release[Release],MATCH($A100,Release[Requirement ID],0))),"")</f>
        <v/>
      </c>
      <c r="L100" s="38" t="n">
        <v>46287</v>
      </c>
      <c r="M100" s="36"/>
      <c r="P100" s="1" t="n">
        <f aca="false">IFERROR(VALUE(MID($A100,5,4)),0)</f>
        <v>480</v>
      </c>
      <c r="Q100" s="1" t="s">
        <v>350</v>
      </c>
    </row>
    <row r="101" customFormat="false" ht="15" hidden="false" customHeight="true" outlineLevel="0" collapsed="false">
      <c r="A101" s="35" t="str">
        <f aca="false">IF(AND(B101="",C101="",D101="",E101="",F101="",G101="",H101="",J101="",L101="",M101="",N101=""),"",Q101)</f>
        <v>NEW-0481</v>
      </c>
      <c r="B101" s="35" t="s">
        <v>351</v>
      </c>
      <c r="C101" s="36" t="s">
        <v>83</v>
      </c>
      <c r="D101" s="36" t="s">
        <v>91</v>
      </c>
      <c r="E101" s="36" t="s">
        <v>92</v>
      </c>
      <c r="F101" s="36" t="s">
        <v>93</v>
      </c>
      <c r="G101" s="36" t="s">
        <v>87</v>
      </c>
      <c r="H101" s="36"/>
      <c r="I101" s="1" t="str">
        <f aca="false">IF($A101="","",IFERROR(IF(ISBLANK(INDEX(SprintPlanning[Sprint],MATCH($A101,SprintPlanning[Requirement ID],0))),"To Plan",INDEX(SprintPlanning[Sprint],MATCH($A101,SprintPlanning[Requirement ID],0))),"To Plan"))</f>
        <v>To Plan</v>
      </c>
      <c r="J101" s="36"/>
      <c r="K101" s="1" t="str">
        <f aca="false">IFERROR(IF(ISBLANK(INDEX(Release[Release],MATCH($A101,Release[Requirement ID],0))),"",INDEX(Release[Release],MATCH($A101,Release[Requirement ID],0))),"")</f>
        <v/>
      </c>
      <c r="L101" s="38" t="n">
        <v>46287</v>
      </c>
      <c r="M101" s="36"/>
      <c r="P101" s="1" t="n">
        <f aca="false">IFERROR(VALUE(MID($A101,5,4)),0)</f>
        <v>481</v>
      </c>
      <c r="Q101" s="1" t="s">
        <v>352</v>
      </c>
    </row>
    <row r="102" customFormat="false" ht="15" hidden="false" customHeight="true" outlineLevel="0" collapsed="false">
      <c r="A102" s="35" t="str">
        <f aca="false">IF(AND(B102="",C102="",D102="",E102="",F102="",G102="",H102="",J102="",L102="",M102="",N102=""),"",Q102)</f>
        <v>NEW-0482</v>
      </c>
      <c r="B102" s="36" t="s">
        <v>353</v>
      </c>
      <c r="C102" s="36" t="s">
        <v>103</v>
      </c>
      <c r="D102" s="36" t="s">
        <v>119</v>
      </c>
      <c r="E102" s="36" t="s">
        <v>114</v>
      </c>
      <c r="F102" s="36" t="s">
        <v>93</v>
      </c>
      <c r="G102" s="36" t="s">
        <v>87</v>
      </c>
      <c r="H102" s="36"/>
      <c r="I102" s="1" t="str">
        <f aca="false">IF($A102="","",IFERROR(IF(ISBLANK(INDEX(SprintPlanning[Sprint],MATCH($A102,SprintPlanning[Requirement ID],0))),"To Plan",INDEX(SprintPlanning[Sprint],MATCH($A102,SprintPlanning[Requirement ID],0))),"To Plan"))</f>
        <v>To Plan</v>
      </c>
      <c r="J102" s="36" t="n">
        <v>3</v>
      </c>
      <c r="K102" s="1" t="str">
        <f aca="false">IFERROR(IF(ISBLANK(INDEX(Release[Release],MATCH($A102,Release[Requirement ID],0))),"",INDEX(Release[Release],MATCH($A102,Release[Requirement ID],0))),"")</f>
        <v/>
      </c>
      <c r="L102" s="38" t="n">
        <v>46288</v>
      </c>
      <c r="M102" s="36"/>
      <c r="P102" s="1" t="n">
        <f aca="false">IFERROR(VALUE(MID($A102,5,4)),0)</f>
        <v>482</v>
      </c>
      <c r="Q102" s="1" t="s">
        <v>354</v>
      </c>
    </row>
    <row r="103" customFormat="false" ht="15" hidden="false" customHeight="true" outlineLevel="0" collapsed="false">
      <c r="A103" s="35" t="str">
        <f aca="false">IF(AND(B103="",C103="",D103="",E103="",F103="",G103="",H103="",J103="",L103="",M103="",N103=""),"",Q103)</f>
        <v>NEW-0483</v>
      </c>
      <c r="B103" s="36" t="s">
        <v>355</v>
      </c>
      <c r="C103" s="36" t="s">
        <v>103</v>
      </c>
      <c r="D103" s="36" t="s">
        <v>104</v>
      </c>
      <c r="E103" s="36" t="s">
        <v>92</v>
      </c>
      <c r="F103" s="36" t="s">
        <v>93</v>
      </c>
      <c r="G103" s="36" t="s">
        <v>87</v>
      </c>
      <c r="H103" s="36"/>
      <c r="I103" s="1" t="str">
        <f aca="false">IF($A103="","",IFERROR(IF(ISBLANK(INDEX(SprintPlanning[Sprint],MATCH($A103,SprintPlanning[Requirement ID],0))),"To Plan",INDEX(SprintPlanning[Sprint],MATCH($A103,SprintPlanning[Requirement ID],0))),"To Plan"))</f>
        <v>Sprint 14</v>
      </c>
      <c r="J103" s="36" t="n">
        <v>8</v>
      </c>
      <c r="K103" s="1" t="str">
        <f aca="false">IFERROR(IF(ISBLANK(INDEX(Release[Release],MATCH($A103,Release[Requirement ID],0))),"",INDEX(Release[Release],MATCH($A103,Release[Requirement ID],0))),"")</f>
        <v/>
      </c>
      <c r="L103" s="38" t="n">
        <v>46296</v>
      </c>
      <c r="M103" s="25" t="s">
        <v>94</v>
      </c>
      <c r="N103" s="39" t="s">
        <v>356</v>
      </c>
      <c r="P103" s="1" t="n">
        <f aca="false">IFERROR(VALUE(MID($A103,5,4)),0)</f>
        <v>483</v>
      </c>
      <c r="Q103" s="1" t="s">
        <v>357</v>
      </c>
    </row>
    <row r="104" customFormat="false" ht="15" hidden="false" customHeight="true" outlineLevel="0" collapsed="false">
      <c r="A104" s="35" t="str">
        <f aca="false">IF(AND(B104="",C104="",D104="",E104="",F104="",G104="",H104="",J104="",L104="",M104="",N104=""),"",Q104)</f>
        <v>NEW-0484</v>
      </c>
      <c r="B104" s="36" t="s">
        <v>358</v>
      </c>
      <c r="C104" s="36" t="s">
        <v>90</v>
      </c>
      <c r="D104" s="36" t="s">
        <v>91</v>
      </c>
      <c r="E104" s="36" t="s">
        <v>92</v>
      </c>
      <c r="F104" s="36" t="s">
        <v>93</v>
      </c>
      <c r="G104" s="36" t="s">
        <v>87</v>
      </c>
      <c r="H104" s="36" t="s">
        <v>93</v>
      </c>
      <c r="I104" s="1" t="str">
        <f aca="false">IF($A104="","",IFERROR(IF(ISBLANK(INDEX(SprintPlanning[Sprint],MATCH($A104,SprintPlanning[Requirement ID],0))),"To Plan",INDEX(SprintPlanning[Sprint],MATCH($A104,SprintPlanning[Requirement ID],0))),"To Plan"))</f>
        <v>Sprint 13</v>
      </c>
      <c r="J104" s="36" t="n">
        <v>8</v>
      </c>
      <c r="K104" s="1" t="str">
        <f aca="false">IFERROR(IF(ISBLANK(INDEX(Release[Release],MATCH($A104,Release[Requirement ID],0))),"",INDEX(Release[Release],MATCH($A104,Release[Requirement ID],0))),"")</f>
        <v/>
      </c>
      <c r="L104" s="38" t="n">
        <v>46296</v>
      </c>
      <c r="M104" s="25" t="s">
        <v>94</v>
      </c>
      <c r="N104" s="39" t="s">
        <v>359</v>
      </c>
      <c r="P104" s="1" t="n">
        <f aca="false">IFERROR(VALUE(MID($A104,5,4)),0)</f>
        <v>484</v>
      </c>
      <c r="Q104" s="1" t="s">
        <v>360</v>
      </c>
    </row>
    <row r="105" customFormat="false" ht="15" hidden="false" customHeight="true" outlineLevel="0" collapsed="false">
      <c r="A105" s="35" t="str">
        <f aca="false">IF(AND(B105="",C105="",D105="",E105="",F105="",G105="",H105="",J105="",L105="",M105="",N105=""),"",Q105)</f>
        <v>NEW-0485</v>
      </c>
      <c r="B105" s="40" t="s">
        <v>361</v>
      </c>
      <c r="C105" s="36" t="s">
        <v>90</v>
      </c>
      <c r="D105" s="36" t="s">
        <v>91</v>
      </c>
      <c r="E105" s="36" t="s">
        <v>92</v>
      </c>
      <c r="F105" s="36" t="s">
        <v>93</v>
      </c>
      <c r="G105" s="36" t="s">
        <v>87</v>
      </c>
      <c r="H105" s="36"/>
      <c r="I105" s="1" t="str">
        <f aca="false">IF($A105="","",IFERROR(IF(ISBLANK(INDEX(SprintPlanning[Sprint],MATCH($A105,SprintPlanning[Requirement ID],0))),"To Plan",INDEX(SprintPlanning[Sprint],MATCH($A105,SprintPlanning[Requirement ID],0))),"To Plan"))</f>
        <v>Sprint 13</v>
      </c>
      <c r="J105" s="36" t="n">
        <v>1</v>
      </c>
      <c r="K105" s="1" t="str">
        <f aca="false">IFERROR(IF(ISBLANK(INDEX(Release[Release],MATCH($A105,Release[Requirement ID],0))),"",INDEX(Release[Release],MATCH($A105,Release[Requirement ID],0))),"")</f>
        <v/>
      </c>
      <c r="L105" s="38" t="n">
        <v>46283</v>
      </c>
      <c r="M105" s="25" t="s">
        <v>94</v>
      </c>
      <c r="N105" s="39" t="s">
        <v>342</v>
      </c>
      <c r="P105" s="1" t="n">
        <f aca="false">IFERROR(VALUE(MID($A105,5,4)),0)</f>
        <v>485</v>
      </c>
      <c r="Q105" s="1" t="s">
        <v>362</v>
      </c>
    </row>
    <row r="106" customFormat="false" ht="15" hidden="false" customHeight="true" outlineLevel="0" collapsed="false">
      <c r="A106" s="35" t="str">
        <f aca="false">IF(AND(B106="",C106="",D106="",E106="",F106="",G106="",H106="",J106="",L106="",M106="",N106=""),"",Q106)</f>
        <v>NEW-0486</v>
      </c>
      <c r="B106" s="40" t="s">
        <v>363</v>
      </c>
      <c r="C106" s="36" t="s">
        <v>123</v>
      </c>
      <c r="D106" s="36" t="s">
        <v>297</v>
      </c>
      <c r="E106" s="36" t="s">
        <v>124</v>
      </c>
      <c r="F106" s="36" t="s">
        <v>93</v>
      </c>
      <c r="G106" s="36" t="s">
        <v>87</v>
      </c>
      <c r="H106" s="36"/>
      <c r="I106" s="1" t="str">
        <f aca="false">IF($A106="","",IFERROR(IF(ISBLANK(INDEX(SprintPlanning[Sprint],MATCH($A106,SprintPlanning[Requirement ID],0))),"To Plan",INDEX(SprintPlanning[Sprint],MATCH($A106,SprintPlanning[Requirement ID],0))),"To Plan"))</f>
        <v>Sprint 13</v>
      </c>
      <c r="J106" s="36" t="n">
        <v>8</v>
      </c>
      <c r="K106" s="1" t="str">
        <f aca="false">IFERROR(IF(ISBLANK(INDEX(Release[Release],MATCH($A106,Release[Requirement ID],0))),"",INDEX(Release[Release],MATCH($A106,Release[Requirement ID],0))),"")</f>
        <v/>
      </c>
      <c r="L106" s="38" t="n">
        <v>46283</v>
      </c>
      <c r="M106" s="25" t="s">
        <v>94</v>
      </c>
      <c r="N106" s="39" t="s">
        <v>342</v>
      </c>
      <c r="P106" s="1" t="n">
        <f aca="false">IFERROR(VALUE(MID($A106,5,4)),0)</f>
        <v>486</v>
      </c>
      <c r="Q106" s="1" t="s">
        <v>364</v>
      </c>
    </row>
    <row r="107" customFormat="false" ht="15" hidden="false" customHeight="true" outlineLevel="0" collapsed="false">
      <c r="A107" s="35" t="str">
        <f aca="false">IF(AND(B107="",C107="",D107="",E107="",F107="",G107="",H107="",J107="",L107="",M107="",N107=""),"",Q107)</f>
        <v>NEW-0487</v>
      </c>
      <c r="B107" s="36" t="s">
        <v>365</v>
      </c>
      <c r="C107" s="36" t="s">
        <v>83</v>
      </c>
      <c r="D107" s="36" t="s">
        <v>104</v>
      </c>
      <c r="E107" s="36" t="s">
        <v>92</v>
      </c>
      <c r="F107" s="36" t="s">
        <v>93</v>
      </c>
      <c r="G107" s="36" t="s">
        <v>87</v>
      </c>
      <c r="H107" s="36"/>
      <c r="I107" s="1" t="str">
        <f aca="false">IF($A107="","",IFERROR(IF(ISBLANK(INDEX(SprintPlanning[Sprint],MATCH($A107,SprintPlanning[Requirement ID],0))),"To Plan",INDEX(SprintPlanning[Sprint],MATCH($A107,SprintPlanning[Requirement ID],0))),"To Plan"))</f>
        <v>To Plan</v>
      </c>
      <c r="J107" s="36"/>
      <c r="K107" s="1" t="str">
        <f aca="false">IFERROR(IF(ISBLANK(INDEX(Release[Release],MATCH($A107,Release[Requirement ID],0))),"",INDEX(Release[Release],MATCH($A107,Release[Requirement ID],0))),"")</f>
        <v/>
      </c>
      <c r="L107" s="38" t="n">
        <v>46297</v>
      </c>
      <c r="M107" s="36"/>
      <c r="P107" s="1" t="n">
        <f aca="false">IFERROR(VALUE(MID($A107,5,4)),0)</f>
        <v>487</v>
      </c>
      <c r="Q107" s="1" t="s">
        <v>366</v>
      </c>
    </row>
    <row r="108" customFormat="false" ht="15" hidden="false" customHeight="true" outlineLevel="0" collapsed="false">
      <c r="A108" s="35" t="str">
        <f aca="false">IF(AND(B108="",C108="",D108="",E108="",F108="",G108="",H108="",J108="",L108="",M108="",N108=""),"",Q108)</f>
        <v>NEW-0488</v>
      </c>
      <c r="B108" s="36" t="s">
        <v>367</v>
      </c>
      <c r="C108" s="36" t="s">
        <v>103</v>
      </c>
      <c r="D108" s="36" t="s">
        <v>119</v>
      </c>
      <c r="E108" s="36" t="s">
        <v>92</v>
      </c>
      <c r="F108" s="36" t="s">
        <v>93</v>
      </c>
      <c r="G108" s="36" t="s">
        <v>105</v>
      </c>
      <c r="H108" s="36"/>
      <c r="I108" s="1" t="str">
        <f aca="false">IF($A108="","",IFERROR(IF(ISBLANK(INDEX(SprintPlanning[Sprint],MATCH($A108,SprintPlanning[Requirement ID],0))),"To Plan",INDEX(SprintPlanning[Sprint],MATCH($A108,SprintPlanning[Requirement ID],0))),"To Plan"))</f>
        <v>To Plan</v>
      </c>
      <c r="J108" s="36"/>
      <c r="K108" s="1" t="str">
        <f aca="false">IFERROR(IF(ISBLANK(INDEX(Release[Release],MATCH($A108,Release[Requirement ID],0))),"",INDEX(Release[Release],MATCH($A108,Release[Requirement ID],0))),"")</f>
        <v/>
      </c>
      <c r="L108" s="38" t="n">
        <v>46297</v>
      </c>
      <c r="M108" s="36"/>
      <c r="P108" s="1" t="n">
        <f aca="false">IFERROR(VALUE(MID($A108,5,4)),0)</f>
        <v>488</v>
      </c>
      <c r="Q108" s="1" t="s">
        <v>368</v>
      </c>
    </row>
    <row r="109" customFormat="false" ht="15" hidden="false" customHeight="true" outlineLevel="0" collapsed="false">
      <c r="A109" s="35" t="str">
        <f aca="false">IF(AND(B109="",C109="",D109="",E109="",F109="",G109="",H109="",J109="",L109="",M109="",N109=""),"",Q109)</f>
        <v>NEW-0489</v>
      </c>
      <c r="B109" s="36" t="s">
        <v>369</v>
      </c>
      <c r="C109" s="36" t="s">
        <v>103</v>
      </c>
      <c r="D109" s="36" t="s">
        <v>128</v>
      </c>
      <c r="E109" s="36" t="s">
        <v>92</v>
      </c>
      <c r="F109" s="36" t="s">
        <v>93</v>
      </c>
      <c r="G109" s="36" t="s">
        <v>105</v>
      </c>
      <c r="H109" s="36"/>
      <c r="I109" s="1" t="str">
        <f aca="false">IF($A109="","",IFERROR(IF(ISBLANK(INDEX(SprintPlanning[Sprint],MATCH($A109,SprintPlanning[Requirement ID],0))),"To Plan",INDEX(SprintPlanning[Sprint],MATCH($A109,SprintPlanning[Requirement ID],0))),"To Plan"))</f>
        <v>Sprint 13</v>
      </c>
      <c r="J109" s="36" t="n">
        <v>3</v>
      </c>
      <c r="K109" s="1" t="str">
        <f aca="false">IFERROR(IF(ISBLANK(INDEX(Release[Release],MATCH($A109,Release[Requirement ID],0))),"",INDEX(Release[Release],MATCH($A109,Release[Requirement ID],0))),"")</f>
        <v/>
      </c>
      <c r="L109" s="38" t="n">
        <v>46300</v>
      </c>
      <c r="M109" s="36" t="s">
        <v>94</v>
      </c>
      <c r="N109" s="39" t="s">
        <v>370</v>
      </c>
      <c r="P109" s="1" t="n">
        <f aca="false">IFERROR(VALUE(MID($A109,5,4)),0)</f>
        <v>489</v>
      </c>
      <c r="Q109" s="1" t="s">
        <v>371</v>
      </c>
    </row>
    <row r="110" customFormat="false" ht="15" hidden="false" customHeight="true" outlineLevel="0" collapsed="false">
      <c r="A110" s="35" t="str">
        <f aca="false">IF(AND(B110="",C110="",D110="",E110="",F110="",G110="",H110="",J110="",L110="",M110="",N110=""),"",Q110)</f>
        <v>NEW-0490</v>
      </c>
      <c r="B110" s="41" t="s">
        <v>372</v>
      </c>
      <c r="C110" s="36" t="s">
        <v>123</v>
      </c>
      <c r="D110" s="36" t="s">
        <v>297</v>
      </c>
      <c r="E110" s="36" t="s">
        <v>124</v>
      </c>
      <c r="F110" s="36" t="s">
        <v>93</v>
      </c>
      <c r="G110" s="36" t="s">
        <v>87</v>
      </c>
      <c r="H110" s="36"/>
      <c r="I110" s="1" t="str">
        <f aca="false">IF($A110="","",IFERROR(IF(ISBLANK(INDEX(SprintPlanning[Sprint],MATCH($A110,SprintPlanning[Requirement ID],0))),"To Plan",INDEX(SprintPlanning[Sprint],MATCH($A110,SprintPlanning[Requirement ID],0))),"To Plan"))</f>
        <v>Sprint 14</v>
      </c>
      <c r="J110" s="36" t="n">
        <v>5</v>
      </c>
      <c r="K110" s="1" t="str">
        <f aca="false">IFERROR(IF(ISBLANK(INDEX(Release[Release],MATCH($A110,Release[Requirement ID],0))),"",INDEX(Release[Release],MATCH($A110,Release[Requirement ID],0))),"")</f>
        <v/>
      </c>
      <c r="L110" s="38" t="n">
        <v>46300</v>
      </c>
      <c r="M110" s="36" t="s">
        <v>94</v>
      </c>
      <c r="N110" s="42" t="s">
        <v>373</v>
      </c>
      <c r="P110" s="1" t="n">
        <f aca="false">IFERROR(VALUE(MID($A110,5,4)),0)</f>
        <v>490</v>
      </c>
      <c r="Q110" s="1" t="s">
        <v>374</v>
      </c>
    </row>
    <row r="111" customFormat="false" ht="15" hidden="false" customHeight="true" outlineLevel="0" collapsed="false">
      <c r="A111" s="35" t="str">
        <f aca="false">IF(AND(B111="",C111="",D111="",E111="",F111="",G111="",H111="",J111="",L111="",M111="",N111=""),"",Q111)</f>
        <v>NEW-0491</v>
      </c>
      <c r="B111" s="36" t="s">
        <v>375</v>
      </c>
      <c r="C111" s="36" t="s">
        <v>123</v>
      </c>
      <c r="D111" s="36" t="s">
        <v>297</v>
      </c>
      <c r="E111" s="36" t="s">
        <v>124</v>
      </c>
      <c r="F111" s="36" t="s">
        <v>93</v>
      </c>
      <c r="G111" s="36" t="s">
        <v>105</v>
      </c>
      <c r="H111" s="36"/>
      <c r="I111" s="1" t="str">
        <f aca="false">IF($A111="","",IFERROR(IF(ISBLANK(INDEX(SprintPlanning[Sprint],MATCH($A111,SprintPlanning[Requirement ID],0))),"To Plan",INDEX(SprintPlanning[Sprint],MATCH($A111,SprintPlanning[Requirement ID],0))),"To Plan"))</f>
        <v>Sprint 13</v>
      </c>
      <c r="J111" s="36" t="n">
        <v>21</v>
      </c>
      <c r="K111" s="1" t="str">
        <f aca="false">IFERROR(IF(ISBLANK(INDEX(Release[Release],MATCH($A111,Release[Requirement ID],0))),"",INDEX(Release[Release],MATCH($A111,Release[Requirement ID],0))),"")</f>
        <v/>
      </c>
      <c r="L111" s="38" t="n">
        <v>46300</v>
      </c>
      <c r="M111" s="36" t="s">
        <v>94</v>
      </c>
      <c r="N111" s="39" t="s">
        <v>376</v>
      </c>
      <c r="P111" s="1" t="n">
        <f aca="false">IFERROR(VALUE(MID($A111,5,4)),0)</f>
        <v>491</v>
      </c>
      <c r="Q111" s="1" t="s">
        <v>377</v>
      </c>
    </row>
    <row r="112" customFormat="false" ht="15" hidden="false" customHeight="true" outlineLevel="0" collapsed="false">
      <c r="A112" s="35" t="str">
        <f aca="false">IF(AND(B112="",C112="",D112="",E112="",F112="",G112="",H112="",J112="",L112="",M112="",N112=""),"",Q112)</f>
        <v>NEW-0492</v>
      </c>
      <c r="B112" s="36" t="s">
        <v>378</v>
      </c>
      <c r="C112" s="36" t="s">
        <v>103</v>
      </c>
      <c r="D112" s="36" t="s">
        <v>84</v>
      </c>
      <c r="E112" s="36" t="s">
        <v>114</v>
      </c>
      <c r="F112" s="36" t="s">
        <v>93</v>
      </c>
      <c r="G112" s="36" t="s">
        <v>105</v>
      </c>
      <c r="H112" s="36"/>
      <c r="I112" s="1" t="str">
        <f aca="false">IF($A112="","",IFERROR(IF(ISBLANK(INDEX(SprintPlanning[Sprint],MATCH($A112,SprintPlanning[Requirement ID],0))),"To Plan",INDEX(SprintPlanning[Sprint],MATCH($A112,SprintPlanning[Requirement ID],0))),"To Plan"))</f>
        <v>Sprint 13</v>
      </c>
      <c r="J112" s="36" t="n">
        <v>3</v>
      </c>
      <c r="K112" s="1" t="str">
        <f aca="false">IFERROR(IF(ISBLANK(INDEX(Release[Release],MATCH($A112,Release[Requirement ID],0))),"",INDEX(Release[Release],MATCH($A112,Release[Requirement ID],0))),"")</f>
        <v/>
      </c>
      <c r="L112" s="38" t="n">
        <v>46300</v>
      </c>
      <c r="M112" s="36"/>
      <c r="N112" s="39" t="s">
        <v>379</v>
      </c>
      <c r="P112" s="1" t="n">
        <f aca="false">IFERROR(VALUE(MID($A112,5,4)),0)</f>
        <v>492</v>
      </c>
      <c r="Q112" s="1" t="s">
        <v>380</v>
      </c>
    </row>
    <row r="113" customFormat="false" ht="15" hidden="false" customHeight="true" outlineLevel="0" collapsed="false">
      <c r="A113" s="35" t="str">
        <f aca="false">IF(AND(B113="",C113="",D113="",E113="",F113="",G113="",H113="",J113="",L113="",M113="",N113=""),"",Q113)</f>
        <v/>
      </c>
      <c r="B113" s="36"/>
      <c r="C113" s="36"/>
      <c r="D113" s="36"/>
      <c r="E113" s="36"/>
      <c r="F113" s="36"/>
      <c r="G113" s="36"/>
      <c r="H113" s="36"/>
      <c r="I113" s="1" t="str">
        <f aca="false">IF($A113="","",IFERROR(IF(ISBLANK(INDEX(SprintPlanning[Sprint],MATCH($A113,SprintPlanning[Requirement ID],0))),"To Plan",INDEX(SprintPlanning[Sprint],MATCH($A113,SprintPlanning[Requirement ID],0))),"To Plan"))</f>
        <v/>
      </c>
      <c r="J113" s="36"/>
      <c r="K113" s="1" t="str">
        <f aca="false">IFERROR(IF(ISBLANK(INDEX(Release[Release],MATCH($A113,Release[Requirement ID],0))),"",INDEX(Release[Release],MATCH($A113,Release[Requirement ID],0))),"")</f>
        <v/>
      </c>
      <c r="L113" s="36"/>
      <c r="M113" s="36"/>
      <c r="P113" s="1" t="n">
        <f aca="false">IFERROR(VALUE(MID($A113,5,4)),0)</f>
        <v>0</v>
      </c>
      <c r="Q113" s="1" t="str">
        <f aca="false">IF(B113="","","NEW-"&amp;TEXT(MAX($P$2:$P112,Lists!$N$2)+1,"0000"))</f>
        <v/>
      </c>
    </row>
    <row r="114" customFormat="false" ht="15" hidden="false" customHeight="true" outlineLevel="0" collapsed="false">
      <c r="A114" s="35" t="str">
        <f aca="false">IF(AND(B114="",C114="",D114="",E114="",F114="",G114="",H114="",J114="",L114="",M114="",N114=""),"",Q114)</f>
        <v/>
      </c>
      <c r="B114" s="36"/>
      <c r="C114" s="36"/>
      <c r="D114" s="36"/>
      <c r="E114" s="36"/>
      <c r="F114" s="36"/>
      <c r="G114" s="36"/>
      <c r="H114" s="36"/>
      <c r="I114" s="1" t="str">
        <f aca="false">IF($A114="","",IFERROR(IF(ISBLANK(INDEX(SprintPlanning[Sprint],MATCH($A114,SprintPlanning[Requirement ID],0))),"To Plan",INDEX(SprintPlanning[Sprint],MATCH($A114,SprintPlanning[Requirement ID],0))),"To Plan"))</f>
        <v/>
      </c>
      <c r="J114" s="36"/>
      <c r="K114" s="1" t="str">
        <f aca="false">IFERROR(IF(ISBLANK(INDEX(Release[Release],MATCH($A114,Release[Requirement ID],0))),"",INDEX(Release[Release],MATCH($A114,Release[Requirement ID],0))),"")</f>
        <v/>
      </c>
      <c r="L114" s="36"/>
      <c r="M114" s="36"/>
      <c r="P114" s="1" t="n">
        <f aca="false">IFERROR(VALUE(MID($A114,5,4)),0)</f>
        <v>0</v>
      </c>
      <c r="Q114" s="1" t="str">
        <f aca="false">IF(B114="","","NEW-"&amp;TEXT(MAX($P$2:$P113,Lists!$N$2)+1,"0000"))</f>
        <v/>
      </c>
    </row>
    <row r="115" customFormat="false" ht="15" hidden="false" customHeight="true" outlineLevel="0" collapsed="false">
      <c r="A115" s="35" t="str">
        <f aca="false">IF(AND(B115="",C115="",D115="",E115="",F115="",G115="",H115="",J115="",L115="",M115="",N115=""),"",Q115)</f>
        <v/>
      </c>
      <c r="B115" s="36"/>
      <c r="C115" s="36"/>
      <c r="D115" s="36"/>
      <c r="E115" s="36"/>
      <c r="F115" s="36"/>
      <c r="G115" s="36"/>
      <c r="H115" s="36"/>
      <c r="I115" s="1" t="str">
        <f aca="false">IF($A115="","",IFERROR(IF(ISBLANK(INDEX(SprintPlanning[Sprint],MATCH($A115,SprintPlanning[Requirement ID],0))),"To Plan",INDEX(SprintPlanning[Sprint],MATCH($A115,SprintPlanning[Requirement ID],0))),"To Plan"))</f>
        <v/>
      </c>
      <c r="J115" s="36"/>
      <c r="K115" s="1" t="str">
        <f aca="false">IFERROR(IF(ISBLANK(INDEX(Release[Release],MATCH($A115,Release[Requirement ID],0))),"",INDEX(Release[Release],MATCH($A115,Release[Requirement ID],0))),"")</f>
        <v/>
      </c>
      <c r="L115" s="36"/>
      <c r="M115" s="36"/>
      <c r="P115" s="1" t="n">
        <f aca="false">IFERROR(VALUE(MID($A115,5,4)),0)</f>
        <v>0</v>
      </c>
      <c r="Q115" s="1" t="str">
        <f aca="false">IF(B115="","","NEW-"&amp;TEXT(MAX($P$2:$P114,Lists!$N$2)+1,"0000"))</f>
        <v/>
      </c>
    </row>
    <row r="116" customFormat="false" ht="15" hidden="false" customHeight="true" outlineLevel="0" collapsed="false">
      <c r="A116" s="35" t="str">
        <f aca="false">IF(AND(B116="",C116="",D116="",E116="",F116="",G116="",H116="",J116="",L116="",M116="",N116=""),"",Q116)</f>
        <v/>
      </c>
      <c r="B116" s="36"/>
      <c r="C116" s="36"/>
      <c r="D116" s="36"/>
      <c r="E116" s="36"/>
      <c r="F116" s="36"/>
      <c r="G116" s="36"/>
      <c r="H116" s="36"/>
      <c r="I116" s="1" t="str">
        <f aca="false">IF($A116="","",IFERROR(IF(ISBLANK(INDEX(SprintPlanning[Sprint],MATCH($A116,SprintPlanning[Requirement ID],0))),"To Plan",INDEX(SprintPlanning[Sprint],MATCH($A116,SprintPlanning[Requirement ID],0))),"To Plan"))</f>
        <v/>
      </c>
      <c r="J116" s="36"/>
      <c r="K116" s="1" t="str">
        <f aca="false">IFERROR(IF(ISBLANK(INDEX(Release[Release],MATCH($A116,Release[Requirement ID],0))),"",INDEX(Release[Release],MATCH($A116,Release[Requirement ID],0))),"")</f>
        <v/>
      </c>
      <c r="L116" s="36"/>
      <c r="M116" s="36"/>
      <c r="P116" s="1" t="n">
        <f aca="false">IFERROR(VALUE(MID($A116,5,4)),0)</f>
        <v>0</v>
      </c>
      <c r="Q116" s="1" t="str">
        <f aca="false">IF(B116="","","NEW-"&amp;TEXT(MAX($P$2:$P115,Lists!$N$2)+1,"0000"))</f>
        <v/>
      </c>
    </row>
    <row r="117" customFormat="false" ht="15" hidden="false" customHeight="true" outlineLevel="0" collapsed="false">
      <c r="A117" s="35" t="str">
        <f aca="false">IF(AND(B117="",C117="",D117="",E117="",F117="",G117="",H117="",J117="",L117="",M117="",N117=""),"",Q117)</f>
        <v/>
      </c>
      <c r="B117" s="36"/>
      <c r="C117" s="36"/>
      <c r="D117" s="36"/>
      <c r="E117" s="36"/>
      <c r="F117" s="36"/>
      <c r="G117" s="36"/>
      <c r="H117" s="36"/>
      <c r="I117" s="1" t="str">
        <f aca="false">IF($A117="","",IFERROR(IF(ISBLANK(INDEX(SprintPlanning[Sprint],MATCH($A117,SprintPlanning[Requirement ID],0))),"To Plan",INDEX(SprintPlanning[Sprint],MATCH($A117,SprintPlanning[Requirement ID],0))),"To Plan"))</f>
        <v/>
      </c>
      <c r="J117" s="36"/>
      <c r="K117" s="1" t="str">
        <f aca="false">IFERROR(IF(ISBLANK(INDEX(Release[Release],MATCH($A117,Release[Requirement ID],0))),"",INDEX(Release[Release],MATCH($A117,Release[Requirement ID],0))),"")</f>
        <v/>
      </c>
      <c r="L117" s="36"/>
      <c r="M117" s="36"/>
      <c r="P117" s="1" t="n">
        <f aca="false">IFERROR(VALUE(MID($A117,5,4)),0)</f>
        <v>0</v>
      </c>
      <c r="Q117" s="1" t="str">
        <f aca="false">IF(B117="","","NEW-"&amp;TEXT(MAX($P$2:$P116,Lists!$N$2)+1,"0000"))</f>
        <v/>
      </c>
    </row>
    <row r="118" customFormat="false" ht="15" hidden="false" customHeight="true" outlineLevel="0" collapsed="false">
      <c r="A118" s="35" t="str">
        <f aca="false">IF(AND(B118="",C118="",D118="",E118="",F118="",G118="",H118="",J118="",L118="",M118="",N118=""),"",Q118)</f>
        <v/>
      </c>
      <c r="B118" s="36"/>
      <c r="C118" s="36"/>
      <c r="D118" s="36"/>
      <c r="E118" s="36"/>
      <c r="F118" s="36"/>
      <c r="G118" s="36"/>
      <c r="H118" s="36"/>
      <c r="I118" s="1" t="str">
        <f aca="false">IF($A118="","",IFERROR(IF(ISBLANK(INDEX(SprintPlanning[Sprint],MATCH($A118,SprintPlanning[Requirement ID],0))),"To Plan",INDEX(SprintPlanning[Sprint],MATCH($A118,SprintPlanning[Requirement ID],0))),"To Plan"))</f>
        <v/>
      </c>
      <c r="J118" s="36"/>
      <c r="K118" s="1" t="str">
        <f aca="false">IFERROR(IF(ISBLANK(INDEX(Release[Release],MATCH($A118,Release[Requirement ID],0))),"",INDEX(Release[Release],MATCH($A118,Release[Requirement ID],0))),"")</f>
        <v/>
      </c>
      <c r="L118" s="36"/>
      <c r="M118" s="36"/>
      <c r="P118" s="1" t="n">
        <f aca="false">IFERROR(VALUE(MID($A118,5,4)),0)</f>
        <v>0</v>
      </c>
      <c r="Q118" s="1" t="str">
        <f aca="false">IF(B118="","","NEW-"&amp;TEXT(MAX($P$2:$P117,Lists!$N$2)+1,"0000"))</f>
        <v/>
      </c>
    </row>
    <row r="119" customFormat="false" ht="15" hidden="false" customHeight="true" outlineLevel="0" collapsed="false">
      <c r="A119" s="35" t="str">
        <f aca="false">IF(AND(B119="",C119="",D119="",E119="",F119="",G119="",H119="",J119="",L119="",M119="",N119=""),"",Q119)</f>
        <v/>
      </c>
      <c r="B119" s="36"/>
      <c r="C119" s="36"/>
      <c r="D119" s="36"/>
      <c r="E119" s="36"/>
      <c r="F119" s="36"/>
      <c r="G119" s="36"/>
      <c r="H119" s="36"/>
      <c r="I119" s="1" t="str">
        <f aca="false">IF($A119="","",IFERROR(IF(ISBLANK(INDEX(SprintPlanning[Sprint],MATCH($A119,SprintPlanning[Requirement ID],0))),"To Plan",INDEX(SprintPlanning[Sprint],MATCH($A119,SprintPlanning[Requirement ID],0))),"To Plan"))</f>
        <v/>
      </c>
      <c r="J119" s="36"/>
      <c r="K119" s="1" t="str">
        <f aca="false">IFERROR(IF(ISBLANK(INDEX(Release[Release],MATCH($A119,Release[Requirement ID],0))),"",INDEX(Release[Release],MATCH($A119,Release[Requirement ID],0))),"")</f>
        <v/>
      </c>
      <c r="L119" s="36"/>
      <c r="M119" s="36"/>
      <c r="P119" s="1" t="n">
        <f aca="false">IFERROR(VALUE(MID($A119,5,4)),0)</f>
        <v>0</v>
      </c>
      <c r="Q119" s="1" t="str">
        <f aca="false">IF(B119="","","NEW-"&amp;TEXT(MAX($P$2:$P118,Lists!$N$2)+1,"0000"))</f>
        <v/>
      </c>
    </row>
    <row r="120" customFormat="false" ht="15" hidden="false" customHeight="true" outlineLevel="0" collapsed="false">
      <c r="A120" s="35" t="str">
        <f aca="false">IF(AND(B120="",C120="",D120="",E120="",F120="",G120="",H120="",J120="",L120="",M120="",N120=""),"",Q120)</f>
        <v/>
      </c>
      <c r="B120" s="36"/>
      <c r="C120" s="36"/>
      <c r="D120" s="36"/>
      <c r="E120" s="36"/>
      <c r="F120" s="36"/>
      <c r="G120" s="36"/>
      <c r="H120" s="36"/>
      <c r="I120" s="1" t="str">
        <f aca="false">IF($A120="","",IFERROR(IF(ISBLANK(INDEX(SprintPlanning[Sprint],MATCH($A120,SprintPlanning[Requirement ID],0))),"To Plan",INDEX(SprintPlanning[Sprint],MATCH($A120,SprintPlanning[Requirement ID],0))),"To Plan"))</f>
        <v/>
      </c>
      <c r="J120" s="36"/>
      <c r="K120" s="1" t="str">
        <f aca="false">IFERROR(IF(ISBLANK(INDEX(Release[Release],MATCH($A120,Release[Requirement ID],0))),"",INDEX(Release[Release],MATCH($A120,Release[Requirement ID],0))),"")</f>
        <v/>
      </c>
      <c r="L120" s="36"/>
      <c r="M120" s="36"/>
      <c r="P120" s="1" t="n">
        <f aca="false">IFERROR(VALUE(MID($A120,5,4)),0)</f>
        <v>0</v>
      </c>
      <c r="Q120" s="1" t="str">
        <f aca="false">IF(B120="","","NEW-"&amp;TEXT(MAX($P$2:$P119,Lists!$N$2)+1,"0000"))</f>
        <v/>
      </c>
    </row>
    <row r="121" customFormat="false" ht="15" hidden="false" customHeight="true" outlineLevel="0" collapsed="false">
      <c r="A121" s="35" t="str">
        <f aca="false">IF(AND(B121="",C121="",D121="",E121="",F121="",G121="",H121="",J121="",L121="",M121="",N121=""),"",Q121)</f>
        <v/>
      </c>
      <c r="B121" s="36"/>
      <c r="C121" s="36"/>
      <c r="D121" s="36"/>
      <c r="E121" s="36"/>
      <c r="F121" s="36"/>
      <c r="G121" s="36"/>
      <c r="H121" s="36"/>
      <c r="I121" s="1" t="str">
        <f aca="false">IF($A121="","",IFERROR(IF(ISBLANK(INDEX(SprintPlanning[Sprint],MATCH($A121,SprintPlanning[Requirement ID],0))),"To Plan",INDEX(SprintPlanning[Sprint],MATCH($A121,SprintPlanning[Requirement ID],0))),"To Plan"))</f>
        <v/>
      </c>
      <c r="J121" s="36"/>
      <c r="K121" s="1" t="str">
        <f aca="false">IFERROR(IF(ISBLANK(INDEX(Release[Release],MATCH($A121,Release[Requirement ID],0))),"",INDEX(Release[Release],MATCH($A121,Release[Requirement ID],0))),"")</f>
        <v/>
      </c>
      <c r="L121" s="36"/>
      <c r="M121" s="36"/>
      <c r="P121" s="1" t="n">
        <f aca="false">IFERROR(VALUE(MID($A121,5,4)),0)</f>
        <v>0</v>
      </c>
      <c r="Q121" s="1" t="str">
        <f aca="false">IF(B121="","","NEW-"&amp;TEXT(MAX($P$2:$P120,Lists!$N$2)+1,"0000"))</f>
        <v/>
      </c>
    </row>
    <row r="122" customFormat="false" ht="15" hidden="false" customHeight="true" outlineLevel="0" collapsed="false">
      <c r="A122" s="35" t="str">
        <f aca="false">IF(AND(B122="",C122="",D122="",E122="",F122="",G122="",H122="",J122="",L122="",M122="",N122=""),"",Q122)</f>
        <v/>
      </c>
      <c r="B122" s="36"/>
      <c r="C122" s="36"/>
      <c r="D122" s="36"/>
      <c r="E122" s="36"/>
      <c r="F122" s="36"/>
      <c r="G122" s="36"/>
      <c r="H122" s="36"/>
      <c r="I122" s="1" t="str">
        <f aca="false">IF($A122="","",IFERROR(IF(ISBLANK(INDEX(SprintPlanning[Sprint],MATCH($A122,SprintPlanning[Requirement ID],0))),"To Plan",INDEX(SprintPlanning[Sprint],MATCH($A122,SprintPlanning[Requirement ID],0))),"To Plan"))</f>
        <v/>
      </c>
      <c r="J122" s="36"/>
      <c r="K122" s="1" t="str">
        <f aca="false">IFERROR(IF(ISBLANK(INDEX(Release[Release],MATCH($A122,Release[Requirement ID],0))),"",INDEX(Release[Release],MATCH($A122,Release[Requirement ID],0))),"")</f>
        <v/>
      </c>
      <c r="L122" s="36"/>
      <c r="M122" s="36"/>
      <c r="P122" s="1" t="n">
        <f aca="false">IFERROR(VALUE(MID($A122,5,4)),0)</f>
        <v>0</v>
      </c>
      <c r="Q122" s="1" t="str">
        <f aca="false">IF(B122="","","NEW-"&amp;TEXT(MAX($P$2:$P121,Lists!$N$2)+1,"0000"))</f>
        <v/>
      </c>
    </row>
    <row r="123" customFormat="false" ht="15" hidden="false" customHeight="true" outlineLevel="0" collapsed="false">
      <c r="A123" s="35" t="str">
        <f aca="false">IF(AND(B123="",C123="",D123="",E123="",F123="",G123="",H123="",J123="",L123="",M123="",N123=""),"",Q123)</f>
        <v/>
      </c>
      <c r="B123" s="36"/>
      <c r="C123" s="36"/>
      <c r="D123" s="36"/>
      <c r="E123" s="36"/>
      <c r="F123" s="36"/>
      <c r="G123" s="36"/>
      <c r="H123" s="36"/>
      <c r="I123" s="1" t="str">
        <f aca="false">IF($A123="","",IFERROR(IF(ISBLANK(INDEX(SprintPlanning[Sprint],MATCH($A123,SprintPlanning[Requirement ID],0))),"To Plan",INDEX(SprintPlanning[Sprint],MATCH($A123,SprintPlanning[Requirement ID],0))),"To Plan"))</f>
        <v/>
      </c>
      <c r="J123" s="36"/>
      <c r="K123" s="1" t="str">
        <f aca="false">IFERROR(IF(ISBLANK(INDEX(Release[Release],MATCH($A123,Release[Requirement ID],0))),"",INDEX(Release[Release],MATCH($A123,Release[Requirement ID],0))),"")</f>
        <v/>
      </c>
      <c r="L123" s="36"/>
      <c r="M123" s="36"/>
      <c r="P123" s="1" t="n">
        <f aca="false">IFERROR(VALUE(MID($A123,5,4)),0)</f>
        <v>0</v>
      </c>
      <c r="Q123" s="1" t="str">
        <f aca="false">IF(B123="","","NEW-"&amp;TEXT(MAX($P$2:$P122,Lists!$N$2)+1,"0000"))</f>
        <v/>
      </c>
    </row>
    <row r="124" customFormat="false" ht="15" hidden="false" customHeight="true" outlineLevel="0" collapsed="false">
      <c r="A124" s="35" t="str">
        <f aca="false">IF(AND(B124="",C124="",D124="",E124="",F124="",G124="",H124="",J124="",L124="",M124="",N124=""),"",Q124)</f>
        <v/>
      </c>
      <c r="B124" s="36"/>
      <c r="C124" s="36"/>
      <c r="D124" s="36"/>
      <c r="E124" s="36"/>
      <c r="F124" s="36"/>
      <c r="G124" s="36"/>
      <c r="H124" s="36"/>
      <c r="I124" s="1" t="str">
        <f aca="false">IF($A124="","",IFERROR(IF(ISBLANK(INDEX(SprintPlanning[Sprint],MATCH($A124,SprintPlanning[Requirement ID],0))),"To Plan",INDEX(SprintPlanning[Sprint],MATCH($A124,SprintPlanning[Requirement ID],0))),"To Plan"))</f>
        <v/>
      </c>
      <c r="J124" s="36"/>
      <c r="K124" s="1" t="str">
        <f aca="false">IFERROR(IF(ISBLANK(INDEX(Release[Release],MATCH($A124,Release[Requirement ID],0))),"",INDEX(Release[Release],MATCH($A124,Release[Requirement ID],0))),"")</f>
        <v/>
      </c>
      <c r="L124" s="36"/>
      <c r="M124" s="36"/>
      <c r="P124" s="1" t="n">
        <f aca="false">IFERROR(VALUE(MID($A124,5,4)),0)</f>
        <v>0</v>
      </c>
      <c r="Q124" s="1" t="str">
        <f aca="false">IF(B124="","","NEW-"&amp;TEXT(MAX($P$2:$P123,Lists!$N$2)+1,"0000"))</f>
        <v/>
      </c>
    </row>
    <row r="125" customFormat="false" ht="15" hidden="false" customHeight="true" outlineLevel="0" collapsed="false">
      <c r="A125" s="35" t="str">
        <f aca="false">IF(AND(B125="",C125="",D125="",E125="",F125="",G125="",H125="",J125="",L125="",M125="",N125=""),"",Q125)</f>
        <v/>
      </c>
      <c r="B125" s="36"/>
      <c r="C125" s="36"/>
      <c r="D125" s="36"/>
      <c r="E125" s="36"/>
      <c r="F125" s="36"/>
      <c r="G125" s="36"/>
      <c r="H125" s="36"/>
      <c r="I125" s="1" t="str">
        <f aca="false">IF($A125="","",IFERROR(IF(ISBLANK(INDEX(SprintPlanning[Sprint],MATCH($A125,SprintPlanning[Requirement ID],0))),"To Plan",INDEX(SprintPlanning[Sprint],MATCH($A125,SprintPlanning[Requirement ID],0))),"To Plan"))</f>
        <v/>
      </c>
      <c r="J125" s="36"/>
      <c r="K125" s="1" t="str">
        <f aca="false">IFERROR(IF(ISBLANK(INDEX(Release[Release],MATCH($A125,Release[Requirement ID],0))),"",INDEX(Release[Release],MATCH($A125,Release[Requirement ID],0))),"")</f>
        <v/>
      </c>
      <c r="L125" s="36"/>
      <c r="M125" s="36"/>
      <c r="P125" s="1" t="n">
        <f aca="false">IFERROR(VALUE(MID($A125,5,4)),0)</f>
        <v>0</v>
      </c>
      <c r="Q125" s="1" t="str">
        <f aca="false">IF(B125="","","NEW-"&amp;TEXT(MAX($P$2:$P124,Lists!$N$2)+1,"0000"))</f>
        <v/>
      </c>
    </row>
    <row r="126" customFormat="false" ht="15" hidden="false" customHeight="true" outlineLevel="0" collapsed="false">
      <c r="A126" s="35" t="str">
        <f aca="false">IF(AND(B126="",C126="",D126="",E126="",F126="",G126="",H126="",J126="",L126="",M126="",N126=""),"",Q126)</f>
        <v/>
      </c>
      <c r="B126" s="36"/>
      <c r="C126" s="36"/>
      <c r="D126" s="36"/>
      <c r="E126" s="36"/>
      <c r="F126" s="36"/>
      <c r="G126" s="36"/>
      <c r="H126" s="36"/>
      <c r="I126" s="1" t="str">
        <f aca="false">IF($A126="","",IFERROR(IF(ISBLANK(INDEX(SprintPlanning[Sprint],MATCH($A126,SprintPlanning[Requirement ID],0))),"To Plan",INDEX(SprintPlanning[Sprint],MATCH($A126,SprintPlanning[Requirement ID],0))),"To Plan"))</f>
        <v/>
      </c>
      <c r="J126" s="36"/>
      <c r="K126" s="1" t="str">
        <f aca="false">IFERROR(IF(ISBLANK(INDEX(Release[Release],MATCH($A126,Release[Requirement ID],0))),"",INDEX(Release[Release],MATCH($A126,Release[Requirement ID],0))),"")</f>
        <v/>
      </c>
      <c r="L126" s="36"/>
      <c r="M126" s="36"/>
      <c r="P126" s="1" t="n">
        <f aca="false">IFERROR(VALUE(MID($A126,5,4)),0)</f>
        <v>0</v>
      </c>
      <c r="Q126" s="1" t="str">
        <f aca="false">IF(B126="","","NEW-"&amp;TEXT(MAX($P$2:$P125,Lists!$N$2)+1,"0000"))</f>
        <v/>
      </c>
    </row>
    <row r="127" customFormat="false" ht="15" hidden="false" customHeight="true" outlineLevel="0" collapsed="false">
      <c r="A127" s="35" t="str">
        <f aca="false">IF(AND(B127="",C127="",D127="",E127="",F127="",G127="",H127="",J127="",L127="",M127="",N127=""),"",Q127)</f>
        <v/>
      </c>
      <c r="B127" s="36"/>
      <c r="C127" s="36"/>
      <c r="D127" s="36"/>
      <c r="E127" s="36"/>
      <c r="F127" s="36"/>
      <c r="G127" s="36"/>
      <c r="H127" s="36"/>
      <c r="I127" s="1" t="str">
        <f aca="false">IF($A127="","",IFERROR(IF(ISBLANK(INDEX(SprintPlanning[Sprint],MATCH($A127,SprintPlanning[Requirement ID],0))),"To Plan",INDEX(SprintPlanning[Sprint],MATCH($A127,SprintPlanning[Requirement ID],0))),"To Plan"))</f>
        <v/>
      </c>
      <c r="J127" s="36"/>
      <c r="K127" s="1" t="str">
        <f aca="false">IFERROR(IF(ISBLANK(INDEX(Release[Release],MATCH($A127,Release[Requirement ID],0))),"",INDEX(Release[Release],MATCH($A127,Release[Requirement ID],0))),"")</f>
        <v/>
      </c>
      <c r="L127" s="36"/>
      <c r="M127" s="36"/>
      <c r="P127" s="1" t="n">
        <f aca="false">IFERROR(VALUE(MID($A127,5,4)),0)</f>
        <v>0</v>
      </c>
      <c r="Q127" s="1" t="str">
        <f aca="false">IF(B127="","","NEW-"&amp;TEXT(MAX($P$2:$P126,Lists!$N$2)+1,"0000"))</f>
        <v/>
      </c>
    </row>
    <row r="128" customFormat="false" ht="15" hidden="false" customHeight="true" outlineLevel="0" collapsed="false">
      <c r="A128" s="35" t="str">
        <f aca="false">IF(AND(B128="",C128="",D128="",E128="",F128="",G128="",H128="",J128="",L128="",M128="",N128=""),"",Q128)</f>
        <v/>
      </c>
      <c r="B128" s="36"/>
      <c r="C128" s="36"/>
      <c r="D128" s="36"/>
      <c r="E128" s="36"/>
      <c r="F128" s="36"/>
      <c r="G128" s="36"/>
      <c r="H128" s="36"/>
      <c r="I128" s="1" t="str">
        <f aca="false">IF($A128="","",IFERROR(IF(ISBLANK(INDEX(SprintPlanning[Sprint],MATCH($A128,SprintPlanning[Requirement ID],0))),"To Plan",INDEX(SprintPlanning[Sprint],MATCH($A128,SprintPlanning[Requirement ID],0))),"To Plan"))</f>
        <v/>
      </c>
      <c r="J128" s="36"/>
      <c r="K128" s="1" t="str">
        <f aca="false">IFERROR(IF(ISBLANK(INDEX(Release[Release],MATCH($A128,Release[Requirement ID],0))),"",INDEX(Release[Release],MATCH($A128,Release[Requirement ID],0))),"")</f>
        <v/>
      </c>
      <c r="L128" s="36"/>
      <c r="M128" s="36"/>
      <c r="P128" s="1" t="n">
        <f aca="false">IFERROR(VALUE(MID($A128,5,4)),0)</f>
        <v>0</v>
      </c>
      <c r="Q128" s="1" t="str">
        <f aca="false">IF(B128="","","NEW-"&amp;TEXT(MAX($P$2:$P127,Lists!$N$2)+1,"0000"))</f>
        <v/>
      </c>
    </row>
    <row r="129" customFormat="false" ht="15" hidden="false" customHeight="true" outlineLevel="0" collapsed="false">
      <c r="A129" s="35" t="str">
        <f aca="false">IF(AND(B129="",C129="",D129="",E129="",F129="",G129="",H129="",J129="",L129="",M129="",N129=""),"",Q129)</f>
        <v/>
      </c>
      <c r="B129" s="36"/>
      <c r="C129" s="36"/>
      <c r="D129" s="36"/>
      <c r="E129" s="36"/>
      <c r="F129" s="36"/>
      <c r="G129" s="36"/>
      <c r="H129" s="36"/>
      <c r="I129" s="1" t="str">
        <f aca="false">IF($A129="","",IFERROR(IF(ISBLANK(INDEX(SprintPlanning[Sprint],MATCH($A129,SprintPlanning[Requirement ID],0))),"To Plan",INDEX(SprintPlanning[Sprint],MATCH($A129,SprintPlanning[Requirement ID],0))),"To Plan"))</f>
        <v/>
      </c>
      <c r="J129" s="36"/>
      <c r="K129" s="1" t="str">
        <f aca="false">IFERROR(IF(ISBLANK(INDEX(Release[Release],MATCH($A129,Release[Requirement ID],0))),"",INDEX(Release[Release],MATCH($A129,Release[Requirement ID],0))),"")</f>
        <v/>
      </c>
      <c r="L129" s="36"/>
      <c r="M129" s="36"/>
      <c r="P129" s="1" t="n">
        <f aca="false">IFERROR(VALUE(MID($A129,5,4)),0)</f>
        <v>0</v>
      </c>
      <c r="Q129" s="1" t="str">
        <f aca="false">IF(B129="","","NEW-"&amp;TEXT(MAX($P$2:$P128,Lists!$N$2)+1,"0000"))</f>
        <v/>
      </c>
    </row>
    <row r="130" customFormat="false" ht="15" hidden="false" customHeight="true" outlineLevel="0" collapsed="false">
      <c r="A130" s="35" t="str">
        <f aca="false">IF(AND(B130="",C130="",D130="",E130="",F130="",G130="",H130="",J130="",L130="",M130="",N130=""),"",Q130)</f>
        <v/>
      </c>
      <c r="B130" s="36"/>
      <c r="C130" s="36"/>
      <c r="D130" s="36"/>
      <c r="E130" s="36"/>
      <c r="F130" s="36"/>
      <c r="G130" s="36"/>
      <c r="H130" s="36"/>
      <c r="I130" s="1" t="str">
        <f aca="false">IF($A130="","",IFERROR(IF(ISBLANK(INDEX(SprintPlanning[Sprint],MATCH($A130,SprintPlanning[Requirement ID],0))),"To Plan",INDEX(SprintPlanning[Sprint],MATCH($A130,SprintPlanning[Requirement ID],0))),"To Plan"))</f>
        <v/>
      </c>
      <c r="J130" s="36"/>
      <c r="K130" s="1" t="str">
        <f aca="false">IFERROR(IF(ISBLANK(INDEX(Release[Release],MATCH($A130,Release[Requirement ID],0))),"",INDEX(Release[Release],MATCH($A130,Release[Requirement ID],0))),"")</f>
        <v/>
      </c>
      <c r="L130" s="36"/>
      <c r="M130" s="36"/>
      <c r="P130" s="1" t="n">
        <f aca="false">IFERROR(VALUE(MID($A130,5,4)),0)</f>
        <v>0</v>
      </c>
      <c r="Q130" s="1" t="str">
        <f aca="false">IF(B130="","","NEW-"&amp;TEXT(MAX($P$2:$P129,Lists!$N$2)+1,"0000"))</f>
        <v/>
      </c>
    </row>
    <row r="131" customFormat="false" ht="15" hidden="false" customHeight="true" outlineLevel="0" collapsed="false">
      <c r="A131" s="35" t="str">
        <f aca="false">IF(AND(B131="",C131="",D131="",E131="",F131="",G131="",H131="",J131="",L131="",M131="",N131=""),"",Q131)</f>
        <v/>
      </c>
      <c r="B131" s="36"/>
      <c r="C131" s="36"/>
      <c r="D131" s="36"/>
      <c r="E131" s="36"/>
      <c r="F131" s="36"/>
      <c r="G131" s="36"/>
      <c r="H131" s="36"/>
      <c r="I131" s="1" t="str">
        <f aca="false">IF($A131="","",IFERROR(IF(ISBLANK(INDEX(SprintPlanning[Sprint],MATCH($A131,SprintPlanning[Requirement ID],0))),"To Plan",INDEX(SprintPlanning[Sprint],MATCH($A131,SprintPlanning[Requirement ID],0))),"To Plan"))</f>
        <v/>
      </c>
      <c r="J131" s="36"/>
      <c r="K131" s="1" t="str">
        <f aca="false">IFERROR(IF(ISBLANK(INDEX(Release[Release],MATCH($A131,Release[Requirement ID],0))),"",INDEX(Release[Release],MATCH($A131,Release[Requirement ID],0))),"")</f>
        <v/>
      </c>
      <c r="L131" s="36"/>
      <c r="M131" s="36"/>
      <c r="P131" s="1" t="n">
        <f aca="false">IFERROR(VALUE(MID($A131,5,4)),0)</f>
        <v>0</v>
      </c>
      <c r="Q131" s="1" t="str">
        <f aca="false">IF(B131="","","NEW-"&amp;TEXT(MAX($P$2:$P130,Lists!$N$2)+1,"0000"))</f>
        <v/>
      </c>
    </row>
    <row r="132" customFormat="false" ht="15" hidden="false" customHeight="true" outlineLevel="0" collapsed="false">
      <c r="A132" s="35" t="str">
        <f aca="false">IF(AND(B132="",C132="",D132="",E132="",F132="",G132="",H132="",J132="",L132="",M132="",N132=""),"",Q132)</f>
        <v/>
      </c>
      <c r="B132" s="36"/>
      <c r="C132" s="36"/>
      <c r="D132" s="36"/>
      <c r="E132" s="36"/>
      <c r="F132" s="36"/>
      <c r="G132" s="36"/>
      <c r="H132" s="36"/>
      <c r="I132" s="1" t="str">
        <f aca="false">IF($A132="","",IFERROR(IF(ISBLANK(INDEX(SprintPlanning[Sprint],MATCH($A132,SprintPlanning[Requirement ID],0))),"To Plan",INDEX(SprintPlanning[Sprint],MATCH($A132,SprintPlanning[Requirement ID],0))),"To Plan"))</f>
        <v/>
      </c>
      <c r="J132" s="36"/>
      <c r="K132" s="1" t="str">
        <f aca="false">IFERROR(IF(ISBLANK(INDEX(Release[Release],MATCH($A132,Release[Requirement ID],0))),"",INDEX(Release[Release],MATCH($A132,Release[Requirement ID],0))),"")</f>
        <v/>
      </c>
      <c r="L132" s="36"/>
      <c r="M132" s="36"/>
      <c r="P132" s="1" t="n">
        <f aca="false">IFERROR(VALUE(MID($A132,5,4)),0)</f>
        <v>0</v>
      </c>
      <c r="Q132" s="1" t="str">
        <f aca="false">IF(B132="","","NEW-"&amp;TEXT(MAX($P$2:$P131,Lists!$N$2)+1,"0000"))</f>
        <v/>
      </c>
    </row>
    <row r="133" customFormat="false" ht="15" hidden="false" customHeight="true" outlineLevel="0" collapsed="false">
      <c r="A133" s="35" t="str">
        <f aca="false">IF(AND(B133="",C133="",D133="",E133="",F133="",G133="",H133="",J133="",L133="",M133="",N133=""),"",Q133)</f>
        <v/>
      </c>
      <c r="B133" s="36"/>
      <c r="C133" s="36"/>
      <c r="D133" s="36"/>
      <c r="E133" s="36"/>
      <c r="F133" s="36"/>
      <c r="G133" s="36"/>
      <c r="H133" s="36"/>
      <c r="I133" s="1" t="str">
        <f aca="false">IF($A133="","",IFERROR(IF(ISBLANK(INDEX(SprintPlanning[Sprint],MATCH($A133,SprintPlanning[Requirement ID],0))),"To Plan",INDEX(SprintPlanning[Sprint],MATCH($A133,SprintPlanning[Requirement ID],0))),"To Plan"))</f>
        <v/>
      </c>
      <c r="J133" s="36"/>
      <c r="K133" s="1" t="str">
        <f aca="false">IFERROR(IF(ISBLANK(INDEX(Release[Release],MATCH($A133,Release[Requirement ID],0))),"",INDEX(Release[Release],MATCH($A133,Release[Requirement ID],0))),"")</f>
        <v/>
      </c>
      <c r="L133" s="36"/>
      <c r="M133" s="36"/>
      <c r="P133" s="1" t="n">
        <f aca="false">IFERROR(VALUE(MID($A133,5,4)),0)</f>
        <v>0</v>
      </c>
      <c r="Q133" s="1" t="str">
        <f aca="false">IF(B133="","","NEW-"&amp;TEXT(MAX($P$2:$P132,Lists!$N$2)+1,"0000"))</f>
        <v/>
      </c>
    </row>
    <row r="134" customFormat="false" ht="15" hidden="false" customHeight="true" outlineLevel="0" collapsed="false">
      <c r="A134" s="35" t="str">
        <f aca="false">IF(AND(B134="",C134="",D134="",E134="",F134="",G134="",H134="",J134="",L134="",M134="",N134=""),"",Q134)</f>
        <v/>
      </c>
      <c r="B134" s="36"/>
      <c r="C134" s="36"/>
      <c r="D134" s="36"/>
      <c r="E134" s="36"/>
      <c r="F134" s="36"/>
      <c r="G134" s="36"/>
      <c r="H134" s="36"/>
      <c r="I134" s="1" t="str">
        <f aca="false">IF($A134="","",IFERROR(IF(ISBLANK(INDEX(SprintPlanning[Sprint],MATCH($A134,SprintPlanning[Requirement ID],0))),"To Plan",INDEX(SprintPlanning[Sprint],MATCH($A134,SprintPlanning[Requirement ID],0))),"To Plan"))</f>
        <v/>
      </c>
      <c r="J134" s="36"/>
      <c r="K134" s="1" t="str">
        <f aca="false">IFERROR(IF(ISBLANK(INDEX(Release[Release],MATCH($A134,Release[Requirement ID],0))),"",INDEX(Release[Release],MATCH($A134,Release[Requirement ID],0))),"")</f>
        <v/>
      </c>
      <c r="L134" s="36"/>
      <c r="M134" s="36"/>
      <c r="P134" s="1" t="n">
        <f aca="false">IFERROR(VALUE(MID($A134,5,4)),0)</f>
        <v>0</v>
      </c>
      <c r="Q134" s="1" t="str">
        <f aca="false">IF(B134="","","NEW-"&amp;TEXT(MAX($P$2:$P133,Lists!$N$2)+1,"0000"))</f>
        <v/>
      </c>
    </row>
    <row r="135" customFormat="false" ht="15" hidden="false" customHeight="true" outlineLevel="0" collapsed="false">
      <c r="A135" s="35" t="str">
        <f aca="false">IF(AND(B135="",C135="",D135="",E135="",F135="",G135="",H135="",J135="",L135="",M135="",N135=""),"",Q135)</f>
        <v/>
      </c>
      <c r="B135" s="36"/>
      <c r="C135" s="36"/>
      <c r="D135" s="36"/>
      <c r="E135" s="36"/>
      <c r="F135" s="36"/>
      <c r="G135" s="36"/>
      <c r="H135" s="36"/>
      <c r="I135" s="1" t="str">
        <f aca="false">IF($A135="","",IFERROR(IF(ISBLANK(INDEX(SprintPlanning[Sprint],MATCH($A135,SprintPlanning[Requirement ID],0))),"To Plan",INDEX(SprintPlanning[Sprint],MATCH($A135,SprintPlanning[Requirement ID],0))),"To Plan"))</f>
        <v/>
      </c>
      <c r="J135" s="36"/>
      <c r="K135" s="1" t="str">
        <f aca="false">IFERROR(IF(ISBLANK(INDEX(Release[Release],MATCH($A135,Release[Requirement ID],0))),"",INDEX(Release[Release],MATCH($A135,Release[Requirement ID],0))),"")</f>
        <v/>
      </c>
      <c r="L135" s="36"/>
      <c r="M135" s="36"/>
      <c r="P135" s="1" t="n">
        <f aca="false">IFERROR(VALUE(MID($A135,5,4)),0)</f>
        <v>0</v>
      </c>
      <c r="Q135" s="1" t="str">
        <f aca="false">IF(B135="","","NEW-"&amp;TEXT(MAX($P$2:$P134,Lists!$N$2)+1,"0000"))</f>
        <v/>
      </c>
    </row>
    <row r="136" customFormat="false" ht="15" hidden="false" customHeight="true" outlineLevel="0" collapsed="false">
      <c r="A136" s="35" t="str">
        <f aca="false">IF(AND(B136="",C136="",D136="",E136="",F136="",G136="",H136="",J136="",L136="",M136="",N136=""),"",Q136)</f>
        <v/>
      </c>
      <c r="B136" s="36"/>
      <c r="C136" s="36"/>
      <c r="D136" s="36"/>
      <c r="E136" s="36"/>
      <c r="F136" s="36"/>
      <c r="G136" s="36"/>
      <c r="H136" s="36"/>
      <c r="I136" s="1" t="str">
        <f aca="false">IF($A136="","",IFERROR(IF(ISBLANK(INDEX(SprintPlanning[Sprint],MATCH($A136,SprintPlanning[Requirement ID],0))),"To Plan",INDEX(SprintPlanning[Sprint],MATCH($A136,SprintPlanning[Requirement ID],0))),"To Plan"))</f>
        <v/>
      </c>
      <c r="J136" s="36"/>
      <c r="K136" s="1" t="str">
        <f aca="false">IFERROR(IF(ISBLANK(INDEX(Release[Release],MATCH($A136,Release[Requirement ID],0))),"",INDEX(Release[Release],MATCH($A136,Release[Requirement ID],0))),"")</f>
        <v/>
      </c>
      <c r="L136" s="36"/>
      <c r="M136" s="36"/>
      <c r="P136" s="1" t="n">
        <f aca="false">IFERROR(VALUE(MID($A136,5,4)),0)</f>
        <v>0</v>
      </c>
      <c r="Q136" s="1" t="str">
        <f aca="false">IF(B136="","","NEW-"&amp;TEXT(MAX($P$2:$P135,Lists!$N$2)+1,"0000"))</f>
        <v/>
      </c>
    </row>
    <row r="137" customFormat="false" ht="15" hidden="false" customHeight="true" outlineLevel="0" collapsed="false">
      <c r="A137" s="35" t="str">
        <f aca="false">IF(AND(B137="",C137="",D137="",E137="",F137="",G137="",H137="",J137="",L137="",M137="",N137=""),"",Q137)</f>
        <v/>
      </c>
      <c r="B137" s="36"/>
      <c r="C137" s="36"/>
      <c r="D137" s="36"/>
      <c r="E137" s="36"/>
      <c r="F137" s="36"/>
      <c r="G137" s="36"/>
      <c r="H137" s="36"/>
      <c r="I137" s="1" t="str">
        <f aca="false">IF($A137="","",IFERROR(IF(ISBLANK(INDEX(SprintPlanning[Sprint],MATCH($A137,SprintPlanning[Requirement ID],0))),"To Plan",INDEX(SprintPlanning[Sprint],MATCH($A137,SprintPlanning[Requirement ID],0))),"To Plan"))</f>
        <v/>
      </c>
      <c r="J137" s="36"/>
      <c r="K137" s="1" t="str">
        <f aca="false">IFERROR(IF(ISBLANK(INDEX(Release[Release],MATCH($A137,Release[Requirement ID],0))),"",INDEX(Release[Release],MATCH($A137,Release[Requirement ID],0))),"")</f>
        <v/>
      </c>
      <c r="L137" s="36"/>
      <c r="M137" s="36"/>
      <c r="P137" s="1" t="n">
        <f aca="false">IFERROR(VALUE(MID($A137,5,4)),0)</f>
        <v>0</v>
      </c>
      <c r="Q137" s="1" t="str">
        <f aca="false">IF(B137="","","NEW-"&amp;TEXT(MAX($P$2:$P136,Lists!$N$2)+1,"0000"))</f>
        <v/>
      </c>
    </row>
    <row r="138" customFormat="false" ht="15" hidden="false" customHeight="true" outlineLevel="0" collapsed="false">
      <c r="A138" s="35" t="str">
        <f aca="false">IF(AND(B138="",C138="",D138="",E138="",F138="",G138="",H138="",J138="",L138="",M138="",N138=""),"",Q138)</f>
        <v/>
      </c>
      <c r="B138" s="36"/>
      <c r="C138" s="36"/>
      <c r="D138" s="36"/>
      <c r="E138" s="36"/>
      <c r="F138" s="36"/>
      <c r="G138" s="36"/>
      <c r="H138" s="36"/>
      <c r="I138" s="1" t="str">
        <f aca="false">IF($A138="","",IFERROR(IF(ISBLANK(INDEX(SprintPlanning[Sprint],MATCH($A138,SprintPlanning[Requirement ID],0))),"To Plan",INDEX(SprintPlanning[Sprint],MATCH($A138,SprintPlanning[Requirement ID],0))),"To Plan"))</f>
        <v/>
      </c>
      <c r="J138" s="36"/>
      <c r="K138" s="1" t="str">
        <f aca="false">IFERROR(IF(ISBLANK(INDEX(Release[Release],MATCH($A138,Release[Requirement ID],0))),"",INDEX(Release[Release],MATCH($A138,Release[Requirement ID],0))),"")</f>
        <v/>
      </c>
      <c r="L138" s="36"/>
      <c r="M138" s="36"/>
      <c r="P138" s="1" t="n">
        <f aca="false">IFERROR(VALUE(MID($A138,5,4)),0)</f>
        <v>0</v>
      </c>
      <c r="Q138" s="1" t="str">
        <f aca="false">IF(B138="","","NEW-"&amp;TEXT(MAX($P$2:$P137,Lists!$N$2)+1,"0000"))</f>
        <v/>
      </c>
    </row>
    <row r="139" customFormat="false" ht="15" hidden="false" customHeight="true" outlineLevel="0" collapsed="false">
      <c r="A139" s="35" t="str">
        <f aca="false">IF(AND(B139="",C139="",D139="",E139="",F139="",G139="",H139="",J139="",L139="",M139="",N139=""),"",Q139)</f>
        <v/>
      </c>
      <c r="B139" s="36"/>
      <c r="C139" s="36"/>
      <c r="D139" s="36"/>
      <c r="E139" s="36"/>
      <c r="F139" s="36"/>
      <c r="G139" s="36"/>
      <c r="H139" s="36"/>
      <c r="I139" s="1" t="str">
        <f aca="false">IF($A139="","",IFERROR(IF(ISBLANK(INDEX(SprintPlanning[Sprint],MATCH($A139,SprintPlanning[Requirement ID],0))),"To Plan",INDEX(SprintPlanning[Sprint],MATCH($A139,SprintPlanning[Requirement ID],0))),"To Plan"))</f>
        <v/>
      </c>
      <c r="J139" s="36"/>
      <c r="K139" s="1" t="str">
        <f aca="false">IFERROR(IF(ISBLANK(INDEX(Release[Release],MATCH($A139,Release[Requirement ID],0))),"",INDEX(Release[Release],MATCH($A139,Release[Requirement ID],0))),"")</f>
        <v/>
      </c>
      <c r="L139" s="36"/>
      <c r="M139" s="36"/>
      <c r="P139" s="1" t="n">
        <f aca="false">IFERROR(VALUE(MID($A139,5,4)),0)</f>
        <v>0</v>
      </c>
      <c r="Q139" s="1" t="str">
        <f aca="false">IF(B139="","","NEW-"&amp;TEXT(MAX($P$2:$P138,Lists!$N$2)+1,"0000"))</f>
        <v/>
      </c>
    </row>
    <row r="140" customFormat="false" ht="15" hidden="false" customHeight="true" outlineLevel="0" collapsed="false">
      <c r="A140" s="35" t="str">
        <f aca="false">IF(AND(B140="",C140="",D140="",E140="",F140="",G140="",H140="",J140="",L140="",M140="",N140=""),"",Q140)</f>
        <v/>
      </c>
      <c r="B140" s="36"/>
      <c r="C140" s="36"/>
      <c r="D140" s="36"/>
      <c r="E140" s="36"/>
      <c r="F140" s="36"/>
      <c r="G140" s="36"/>
      <c r="H140" s="36"/>
      <c r="I140" s="1" t="str">
        <f aca="false">IF($A140="","",IFERROR(IF(ISBLANK(INDEX(SprintPlanning[Sprint],MATCH($A140,SprintPlanning[Requirement ID],0))),"To Plan",INDEX(SprintPlanning[Sprint],MATCH($A140,SprintPlanning[Requirement ID],0))),"To Plan"))</f>
        <v/>
      </c>
      <c r="J140" s="36"/>
      <c r="K140" s="1" t="str">
        <f aca="false">IFERROR(IF(ISBLANK(INDEX(Release[Release],MATCH($A140,Release[Requirement ID],0))),"",INDEX(Release[Release],MATCH($A140,Release[Requirement ID],0))),"")</f>
        <v/>
      </c>
      <c r="L140" s="36"/>
      <c r="M140" s="36"/>
      <c r="P140" s="1" t="n">
        <f aca="false">IFERROR(VALUE(MID($A140,5,4)),0)</f>
        <v>0</v>
      </c>
      <c r="Q140" s="1" t="str">
        <f aca="false">IF(B140="","","NEW-"&amp;TEXT(MAX($P$2:$P139,Lists!$N$2)+1,"0000"))</f>
        <v/>
      </c>
    </row>
    <row r="141" customFormat="false" ht="15" hidden="false" customHeight="true" outlineLevel="0" collapsed="false">
      <c r="A141" s="35" t="str">
        <f aca="false">IF(AND(B141="",C141="",D141="",E141="",F141="",G141="",H141="",J141="",L141="",M141="",N141=""),"",Q141)</f>
        <v/>
      </c>
      <c r="B141" s="36"/>
      <c r="C141" s="36"/>
      <c r="D141" s="36"/>
      <c r="E141" s="36"/>
      <c r="F141" s="36"/>
      <c r="G141" s="36"/>
      <c r="H141" s="36"/>
      <c r="I141" s="1" t="str">
        <f aca="false">IF($A141="","",IFERROR(IF(ISBLANK(INDEX(SprintPlanning[Sprint],MATCH($A141,SprintPlanning[Requirement ID],0))),"To Plan",INDEX(SprintPlanning[Sprint],MATCH($A141,SprintPlanning[Requirement ID],0))),"To Plan"))</f>
        <v/>
      </c>
      <c r="J141" s="36"/>
      <c r="K141" s="1" t="str">
        <f aca="false">IFERROR(IF(ISBLANK(INDEX(Release[Release],MATCH($A141,Release[Requirement ID],0))),"",INDEX(Release[Release],MATCH($A141,Release[Requirement ID],0))),"")</f>
        <v/>
      </c>
      <c r="L141" s="36"/>
      <c r="M141" s="36"/>
      <c r="P141" s="1" t="n">
        <f aca="false">IFERROR(VALUE(MID($A141,5,4)),0)</f>
        <v>0</v>
      </c>
      <c r="Q141" s="1" t="str">
        <f aca="false">IF(B141="","","NEW-"&amp;TEXT(MAX($P$2:$P140,Lists!$N$2)+1,"0000"))</f>
        <v/>
      </c>
    </row>
    <row r="142" customFormat="false" ht="15" hidden="false" customHeight="true" outlineLevel="0" collapsed="false">
      <c r="A142" s="35" t="str">
        <f aca="false">IF(AND(B142="",C142="",D142="",E142="",F142="",G142="",H142="",J142="",L142="",M142="",N142=""),"",Q142)</f>
        <v/>
      </c>
      <c r="B142" s="36"/>
      <c r="C142" s="36"/>
      <c r="D142" s="36"/>
      <c r="E142" s="36"/>
      <c r="F142" s="36"/>
      <c r="G142" s="36"/>
      <c r="H142" s="36"/>
      <c r="I142" s="1" t="str">
        <f aca="false">IF($A142="","",IFERROR(IF(ISBLANK(INDEX(SprintPlanning[Sprint],MATCH($A142,SprintPlanning[Requirement ID],0))),"To Plan",INDEX(SprintPlanning[Sprint],MATCH($A142,SprintPlanning[Requirement ID],0))),"To Plan"))</f>
        <v/>
      </c>
      <c r="J142" s="36"/>
      <c r="K142" s="1" t="str">
        <f aca="false">IFERROR(IF(ISBLANK(INDEX(Release[Release],MATCH($A142,Release[Requirement ID],0))),"",INDEX(Release[Release],MATCH($A142,Release[Requirement ID],0))),"")</f>
        <v/>
      </c>
      <c r="L142" s="36"/>
      <c r="M142" s="36"/>
      <c r="P142" s="1" t="n">
        <f aca="false">IFERROR(VALUE(MID($A142,5,4)),0)</f>
        <v>0</v>
      </c>
      <c r="Q142" s="1" t="str">
        <f aca="false">IF(B142="","","NEW-"&amp;TEXT(MAX($P$2:$P141,Lists!$N$2)+1,"0000"))</f>
        <v/>
      </c>
    </row>
    <row r="143" customFormat="false" ht="15" hidden="false" customHeight="true" outlineLevel="0" collapsed="false">
      <c r="A143" s="35" t="str">
        <f aca="false">IF(AND(B143="",C143="",D143="",E143="",F143="",G143="",H143="",J143="",L143="",M143="",N143=""),"",Q143)</f>
        <v/>
      </c>
      <c r="B143" s="36"/>
      <c r="C143" s="36"/>
      <c r="D143" s="36"/>
      <c r="E143" s="36"/>
      <c r="F143" s="36"/>
      <c r="G143" s="36"/>
      <c r="H143" s="36"/>
      <c r="I143" s="1" t="str">
        <f aca="false">IF($A143="","",IFERROR(IF(ISBLANK(INDEX(SprintPlanning[Sprint],MATCH($A143,SprintPlanning[Requirement ID],0))),"To Plan",INDEX(SprintPlanning[Sprint],MATCH($A143,SprintPlanning[Requirement ID],0))),"To Plan"))</f>
        <v/>
      </c>
      <c r="J143" s="36"/>
      <c r="K143" s="1" t="str">
        <f aca="false">IFERROR(IF(ISBLANK(INDEX(Release[Release],MATCH($A143,Release[Requirement ID],0))),"",INDEX(Release[Release],MATCH($A143,Release[Requirement ID],0))),"")</f>
        <v/>
      </c>
      <c r="L143" s="36"/>
      <c r="M143" s="36"/>
      <c r="P143" s="1" t="n">
        <f aca="false">IFERROR(VALUE(MID($A143,5,4)),0)</f>
        <v>0</v>
      </c>
      <c r="Q143" s="1" t="str">
        <f aca="false">IF(B143="","","NEW-"&amp;TEXT(MAX($P$2:$P142,Lists!$N$2)+1,"0000"))</f>
        <v/>
      </c>
    </row>
    <row r="144" customFormat="false" ht="15" hidden="false" customHeight="true" outlineLevel="0" collapsed="false">
      <c r="A144" s="35" t="str">
        <f aca="false">IF(AND(B144="",C144="",D144="",E144="",F144="",G144="",H144="",J144="",L144="",M144="",N144=""),"",Q144)</f>
        <v/>
      </c>
      <c r="B144" s="36"/>
      <c r="C144" s="36"/>
      <c r="D144" s="36"/>
      <c r="E144" s="36"/>
      <c r="F144" s="36"/>
      <c r="G144" s="36"/>
      <c r="H144" s="36"/>
      <c r="I144" s="1" t="str">
        <f aca="false">IF($A144="","",IFERROR(IF(ISBLANK(INDEX(SprintPlanning[Sprint],MATCH($A144,SprintPlanning[Requirement ID],0))),"To Plan",INDEX(SprintPlanning[Sprint],MATCH($A144,SprintPlanning[Requirement ID],0))),"To Plan"))</f>
        <v/>
      </c>
      <c r="J144" s="36"/>
      <c r="K144" s="1" t="str">
        <f aca="false">IFERROR(IF(ISBLANK(INDEX(Release[Release],MATCH($A144,Release[Requirement ID],0))),"",INDEX(Release[Release],MATCH($A144,Release[Requirement ID],0))),"")</f>
        <v/>
      </c>
      <c r="L144" s="36"/>
      <c r="M144" s="36"/>
      <c r="P144" s="1" t="n">
        <f aca="false">IFERROR(VALUE(MID($A144,5,4)),0)</f>
        <v>0</v>
      </c>
      <c r="Q144" s="1" t="str">
        <f aca="false">IF(B144="","","NEW-"&amp;TEXT(MAX($P$2:$P143,Lists!$N$2)+1,"0000"))</f>
        <v/>
      </c>
    </row>
    <row r="145" customFormat="false" ht="15" hidden="false" customHeight="true" outlineLevel="0" collapsed="false">
      <c r="A145" s="35" t="str">
        <f aca="false">IF(AND(B145="",C145="",D145="",E145="",F145="",G145="",H145="",J145="",L145="",M145="",N145=""),"",Q145)</f>
        <v/>
      </c>
      <c r="B145" s="36"/>
      <c r="C145" s="36"/>
      <c r="D145" s="36"/>
      <c r="E145" s="36"/>
      <c r="F145" s="36"/>
      <c r="G145" s="36"/>
      <c r="H145" s="36"/>
      <c r="I145" s="1" t="str">
        <f aca="false">IF($A145="","",IFERROR(IF(ISBLANK(INDEX(SprintPlanning[Sprint],MATCH($A145,SprintPlanning[Requirement ID],0))),"To Plan",INDEX(SprintPlanning[Sprint],MATCH($A145,SprintPlanning[Requirement ID],0))),"To Plan"))</f>
        <v/>
      </c>
      <c r="J145" s="36"/>
      <c r="K145" s="1" t="str">
        <f aca="false">IFERROR(IF(ISBLANK(INDEX(Release[Release],MATCH($A145,Release[Requirement ID],0))),"",INDEX(Release[Release],MATCH($A145,Release[Requirement ID],0))),"")</f>
        <v/>
      </c>
      <c r="L145" s="36"/>
      <c r="M145" s="36"/>
      <c r="P145" s="1" t="n">
        <f aca="false">IFERROR(VALUE(MID($A145,5,4)),0)</f>
        <v>0</v>
      </c>
      <c r="Q145" s="1" t="str">
        <f aca="false">IF(B145="","","NEW-"&amp;TEXT(MAX($P$2:$P144,Lists!$N$2)+1,"0000"))</f>
        <v/>
      </c>
    </row>
    <row r="146" customFormat="false" ht="15" hidden="false" customHeight="true" outlineLevel="0" collapsed="false">
      <c r="A146" s="35" t="str">
        <f aca="false">IF(AND(B146="",C146="",D146="",E146="",F146="",G146="",H146="",J146="",L146="",M146="",N146=""),"",Q146)</f>
        <v/>
      </c>
      <c r="B146" s="36"/>
      <c r="C146" s="36"/>
      <c r="D146" s="36"/>
      <c r="E146" s="36"/>
      <c r="F146" s="36"/>
      <c r="G146" s="36"/>
      <c r="H146" s="36"/>
      <c r="I146" s="1" t="str">
        <f aca="false">IF($A146="","",IFERROR(IF(ISBLANK(INDEX(SprintPlanning[Sprint],MATCH($A146,SprintPlanning[Requirement ID],0))),"To Plan",INDEX(SprintPlanning[Sprint],MATCH($A146,SprintPlanning[Requirement ID],0))),"To Plan"))</f>
        <v/>
      </c>
      <c r="J146" s="36"/>
      <c r="K146" s="1" t="str">
        <f aca="false">IFERROR(IF(ISBLANK(INDEX(Release[Release],MATCH($A146,Release[Requirement ID],0))),"",INDEX(Release[Release],MATCH($A146,Release[Requirement ID],0))),"")</f>
        <v/>
      </c>
      <c r="L146" s="36"/>
      <c r="M146" s="36"/>
      <c r="P146" s="1" t="n">
        <f aca="false">IFERROR(VALUE(MID($A146,5,4)),0)</f>
        <v>0</v>
      </c>
      <c r="Q146" s="1" t="str">
        <f aca="false">IF(B146="","","NEW-"&amp;TEXT(MAX($P$2:$P145,Lists!$N$2)+1,"0000"))</f>
        <v/>
      </c>
    </row>
    <row r="147" customFormat="false" ht="15" hidden="false" customHeight="true" outlineLevel="0" collapsed="false">
      <c r="A147" s="35" t="str">
        <f aca="false">IF(AND(B147="",C147="",D147="",E147="",F147="",G147="",H147="",J147="",L147="",M147="",N147=""),"",Q147)</f>
        <v/>
      </c>
      <c r="B147" s="36"/>
      <c r="C147" s="36"/>
      <c r="D147" s="36"/>
      <c r="E147" s="36"/>
      <c r="F147" s="36"/>
      <c r="G147" s="36"/>
      <c r="H147" s="36"/>
      <c r="I147" s="1" t="str">
        <f aca="false">IF($A147="","",IFERROR(IF(ISBLANK(INDEX(SprintPlanning[Sprint],MATCH($A147,SprintPlanning[Requirement ID],0))),"To Plan",INDEX(SprintPlanning[Sprint],MATCH($A147,SprintPlanning[Requirement ID],0))),"To Plan"))</f>
        <v/>
      </c>
      <c r="J147" s="36"/>
      <c r="K147" s="1" t="str">
        <f aca="false">IFERROR(IF(ISBLANK(INDEX(Release[Release],MATCH($A147,Release[Requirement ID],0))),"",INDEX(Release[Release],MATCH($A147,Release[Requirement ID],0))),"")</f>
        <v/>
      </c>
      <c r="L147" s="36"/>
      <c r="M147" s="36"/>
      <c r="P147" s="1" t="n">
        <f aca="false">IFERROR(VALUE(MID($A147,5,4)),0)</f>
        <v>0</v>
      </c>
      <c r="Q147" s="1" t="str">
        <f aca="false">IF(B147="","","NEW-"&amp;TEXT(MAX($P$2:$P146,Lists!$N$2)+1,"0000"))</f>
        <v/>
      </c>
    </row>
    <row r="148" customFormat="false" ht="15" hidden="false" customHeight="true" outlineLevel="0" collapsed="false">
      <c r="A148" s="35" t="str">
        <f aca="false">IF(AND(B148="",C148="",D148="",E148="",F148="",G148="",H148="",J148="",L148="",M148="",N148=""),"",Q148)</f>
        <v/>
      </c>
      <c r="B148" s="36"/>
      <c r="C148" s="36"/>
      <c r="D148" s="36"/>
      <c r="E148" s="36"/>
      <c r="F148" s="36"/>
      <c r="G148" s="36"/>
      <c r="H148" s="36"/>
      <c r="I148" s="1" t="str">
        <f aca="false">IF($A148="","",IFERROR(IF(ISBLANK(INDEX(SprintPlanning[Sprint],MATCH($A148,SprintPlanning[Requirement ID],0))),"To Plan",INDEX(SprintPlanning[Sprint],MATCH($A148,SprintPlanning[Requirement ID],0))),"To Plan"))</f>
        <v/>
      </c>
      <c r="J148" s="36"/>
      <c r="K148" s="1" t="str">
        <f aca="false">IFERROR(IF(ISBLANK(INDEX(Release[Release],MATCH($A148,Release[Requirement ID],0))),"",INDEX(Release[Release],MATCH($A148,Release[Requirement ID],0))),"")</f>
        <v/>
      </c>
      <c r="L148" s="36"/>
      <c r="M148" s="36"/>
      <c r="P148" s="1" t="n">
        <f aca="false">IFERROR(VALUE(MID($A148,5,4)),0)</f>
        <v>0</v>
      </c>
      <c r="Q148" s="1" t="str">
        <f aca="false">IF(B148="","","NEW-"&amp;TEXT(MAX($P$2:$P147,Lists!$N$2)+1,"0000"))</f>
        <v/>
      </c>
    </row>
    <row r="149" customFormat="false" ht="15" hidden="false" customHeight="true" outlineLevel="0" collapsed="false">
      <c r="A149" s="35" t="str">
        <f aca="false">IF(AND(B149="",C149="",D149="",E149="",F149="",G149="",H149="",J149="",L149="",M149="",N149=""),"",Q149)</f>
        <v/>
      </c>
      <c r="B149" s="36"/>
      <c r="C149" s="36"/>
      <c r="D149" s="36"/>
      <c r="E149" s="36"/>
      <c r="F149" s="36"/>
      <c r="G149" s="36"/>
      <c r="H149" s="36"/>
      <c r="I149" s="1" t="str">
        <f aca="false">IF($A149="","",IFERROR(IF(ISBLANK(INDEX(SprintPlanning[Sprint],MATCH($A149,SprintPlanning[Requirement ID],0))),"To Plan",INDEX(SprintPlanning[Sprint],MATCH($A149,SprintPlanning[Requirement ID],0))),"To Plan"))</f>
        <v/>
      </c>
      <c r="J149" s="36"/>
      <c r="K149" s="1" t="str">
        <f aca="false">IFERROR(IF(ISBLANK(INDEX(Release[Release],MATCH($A149,Release[Requirement ID],0))),"",INDEX(Release[Release],MATCH($A149,Release[Requirement ID],0))),"")</f>
        <v/>
      </c>
      <c r="L149" s="36"/>
      <c r="M149" s="36"/>
      <c r="P149" s="1" t="n">
        <f aca="false">IFERROR(VALUE(MID($A149,5,4)),0)</f>
        <v>0</v>
      </c>
      <c r="Q149" s="1" t="str">
        <f aca="false">IF(B149="","","NEW-"&amp;TEXT(MAX($P$2:$P148,Lists!$N$2)+1,"0000"))</f>
        <v/>
      </c>
    </row>
    <row r="150" customFormat="false" ht="15" hidden="false" customHeight="true" outlineLevel="0" collapsed="false">
      <c r="A150" s="35" t="str">
        <f aca="false">IF(AND(B150="",C150="",D150="",E150="",F150="",G150="",H150="",J150="",L150="",M150="",N150=""),"",Q150)</f>
        <v/>
      </c>
      <c r="B150" s="36"/>
      <c r="C150" s="36"/>
      <c r="D150" s="36"/>
      <c r="E150" s="36"/>
      <c r="F150" s="36"/>
      <c r="G150" s="36"/>
      <c r="H150" s="36"/>
      <c r="I150" s="1" t="str">
        <f aca="false">IF($A150="","",IFERROR(IF(ISBLANK(INDEX(SprintPlanning[Sprint],MATCH($A150,SprintPlanning[Requirement ID],0))),"To Plan",INDEX(SprintPlanning[Sprint],MATCH($A150,SprintPlanning[Requirement ID],0))),"To Plan"))</f>
        <v/>
      </c>
      <c r="J150" s="36"/>
      <c r="K150" s="1" t="str">
        <f aca="false">IFERROR(IF(ISBLANK(INDEX(Release[Release],MATCH($A150,Release[Requirement ID],0))),"",INDEX(Release[Release],MATCH($A150,Release[Requirement ID],0))),"")</f>
        <v/>
      </c>
      <c r="L150" s="36"/>
      <c r="M150" s="36"/>
      <c r="P150" s="1" t="n">
        <f aca="false">IFERROR(VALUE(MID($A150,5,4)),0)</f>
        <v>0</v>
      </c>
      <c r="Q150" s="1" t="str">
        <f aca="false">IF(B150="","","NEW-"&amp;TEXT(MAX($P$2:$P149,Lists!$N$2)+1,"0000"))</f>
        <v/>
      </c>
    </row>
    <row r="151" customFormat="false" ht="15" hidden="false" customHeight="true" outlineLevel="0" collapsed="false">
      <c r="A151" s="35" t="str">
        <f aca="false">IF(AND(B151="",C151="",D151="",E151="",F151="",G151="",H151="",J151="",L151="",M151="",N151=""),"",Q151)</f>
        <v/>
      </c>
      <c r="B151" s="36"/>
      <c r="C151" s="36"/>
      <c r="D151" s="36"/>
      <c r="E151" s="36"/>
      <c r="F151" s="36"/>
      <c r="G151" s="36"/>
      <c r="H151" s="36"/>
      <c r="I151" s="1" t="str">
        <f aca="false">IF($A151="","",IFERROR(IF(ISBLANK(INDEX(SprintPlanning[Sprint],MATCH($A151,SprintPlanning[Requirement ID],0))),"To Plan",INDEX(SprintPlanning[Sprint],MATCH($A151,SprintPlanning[Requirement ID],0))),"To Plan"))</f>
        <v/>
      </c>
      <c r="J151" s="36"/>
      <c r="K151" s="1" t="str">
        <f aca="false">IFERROR(IF(ISBLANK(INDEX(Release[Release],MATCH($A151,Release[Requirement ID],0))),"",INDEX(Release[Release],MATCH($A151,Release[Requirement ID],0))),"")</f>
        <v/>
      </c>
      <c r="L151" s="36"/>
      <c r="M151" s="36"/>
      <c r="P151" s="1" t="n">
        <f aca="false">IFERROR(VALUE(MID($A151,5,4)),0)</f>
        <v>0</v>
      </c>
      <c r="Q151" s="1" t="str">
        <f aca="false">IF(B151="","","NEW-"&amp;TEXT(MAX($P$2:$P150,Lists!$N$2)+1,"0000"))</f>
        <v/>
      </c>
    </row>
    <row r="152" customFormat="false" ht="15" hidden="false" customHeight="true" outlineLevel="0" collapsed="false">
      <c r="A152" s="35" t="str">
        <f aca="false">IF(AND(B152="",C152="",D152="",E152="",F152="",G152="",H152="",J152="",L152="",M152="",N152=""),"",Q152)</f>
        <v/>
      </c>
      <c r="B152" s="36"/>
      <c r="C152" s="36"/>
      <c r="D152" s="36"/>
      <c r="E152" s="36"/>
      <c r="F152" s="36"/>
      <c r="G152" s="36"/>
      <c r="H152" s="36"/>
      <c r="I152" s="1" t="str">
        <f aca="false">IF($A152="","",IFERROR(IF(ISBLANK(INDEX(SprintPlanning[Sprint],MATCH($A152,SprintPlanning[Requirement ID],0))),"To Plan",INDEX(SprintPlanning[Sprint],MATCH($A152,SprintPlanning[Requirement ID],0))),"To Plan"))</f>
        <v/>
      </c>
      <c r="J152" s="36"/>
      <c r="K152" s="1" t="str">
        <f aca="false">IFERROR(IF(ISBLANK(INDEX(Release[Release],MATCH($A152,Release[Requirement ID],0))),"",INDEX(Release[Release],MATCH($A152,Release[Requirement ID],0))),"")</f>
        <v/>
      </c>
      <c r="L152" s="36"/>
      <c r="M152" s="36"/>
      <c r="P152" s="1" t="n">
        <f aca="false">IFERROR(VALUE(MID($A152,5,4)),0)</f>
        <v>0</v>
      </c>
      <c r="Q152" s="1" t="str">
        <f aca="false">IF(B152="","","NEW-"&amp;TEXT(MAX($P$2:$P151,Lists!$N$2)+1,"0000"))</f>
        <v/>
      </c>
    </row>
    <row r="153" customFormat="false" ht="15" hidden="false" customHeight="true" outlineLevel="0" collapsed="false">
      <c r="A153" s="35" t="str">
        <f aca="false">IF(AND(B153="",C153="",D153="",E153="",F153="",G153="",H153="",J153="",L153="",M153="",N153=""),"",Q153)</f>
        <v/>
      </c>
      <c r="B153" s="36"/>
      <c r="C153" s="36"/>
      <c r="D153" s="36"/>
      <c r="E153" s="36"/>
      <c r="F153" s="36"/>
      <c r="G153" s="36"/>
      <c r="H153" s="36"/>
      <c r="I153" s="1" t="str">
        <f aca="false">IF($A153="","",IFERROR(IF(ISBLANK(INDEX(SprintPlanning[Sprint],MATCH($A153,SprintPlanning[Requirement ID],0))),"To Plan",INDEX(SprintPlanning[Sprint],MATCH($A153,SprintPlanning[Requirement ID],0))),"To Plan"))</f>
        <v/>
      </c>
      <c r="J153" s="36"/>
      <c r="K153" s="1" t="str">
        <f aca="false">IFERROR(IF(ISBLANK(INDEX(Release[Release],MATCH($A153,Release[Requirement ID],0))),"",INDEX(Release[Release],MATCH($A153,Release[Requirement ID],0))),"")</f>
        <v/>
      </c>
      <c r="L153" s="36"/>
      <c r="M153" s="36"/>
      <c r="P153" s="1" t="n">
        <f aca="false">IFERROR(VALUE(MID($A153,5,4)),0)</f>
        <v>0</v>
      </c>
      <c r="Q153" s="1" t="str">
        <f aca="false">IF(B153="","","NEW-"&amp;TEXT(MAX($P$2:$P152,Lists!$N$2)+1,"0000"))</f>
        <v/>
      </c>
    </row>
    <row r="154" customFormat="false" ht="15" hidden="false" customHeight="true" outlineLevel="0" collapsed="false">
      <c r="A154" s="35" t="str">
        <f aca="false">IF(AND(B154="",C154="",D154="",E154="",F154="",G154="",H154="",J154="",L154="",M154="",N154=""),"",Q154)</f>
        <v/>
      </c>
      <c r="B154" s="36"/>
      <c r="C154" s="36"/>
      <c r="D154" s="36"/>
      <c r="E154" s="36"/>
      <c r="F154" s="36"/>
      <c r="G154" s="36"/>
      <c r="H154" s="36"/>
      <c r="I154" s="1" t="str">
        <f aca="false">IF($A154="","",IFERROR(IF(ISBLANK(INDEX(SprintPlanning[Sprint],MATCH($A154,SprintPlanning[Requirement ID],0))),"To Plan",INDEX(SprintPlanning[Sprint],MATCH($A154,SprintPlanning[Requirement ID],0))),"To Plan"))</f>
        <v/>
      </c>
      <c r="J154" s="36"/>
      <c r="K154" s="1" t="str">
        <f aca="false">IFERROR(IF(ISBLANK(INDEX(Release[Release],MATCH($A154,Release[Requirement ID],0))),"",INDEX(Release[Release],MATCH($A154,Release[Requirement ID],0))),"")</f>
        <v/>
      </c>
      <c r="L154" s="36"/>
      <c r="M154" s="36"/>
      <c r="P154" s="1" t="n">
        <f aca="false">IFERROR(VALUE(MID($A154,5,4)),0)</f>
        <v>0</v>
      </c>
      <c r="Q154" s="1" t="str">
        <f aca="false">IF(B154="","","NEW-"&amp;TEXT(MAX($P$2:$P153,Lists!$N$2)+1,"0000"))</f>
        <v/>
      </c>
    </row>
    <row r="155" customFormat="false" ht="15" hidden="false" customHeight="true" outlineLevel="0" collapsed="false">
      <c r="A155" s="35" t="str">
        <f aca="false">IF(AND(B155="",C155="",D155="",E155="",F155="",G155="",H155="",J155="",L155="",M155="",N155=""),"",Q155)</f>
        <v/>
      </c>
      <c r="B155" s="36"/>
      <c r="C155" s="36"/>
      <c r="D155" s="36"/>
      <c r="E155" s="36"/>
      <c r="F155" s="36"/>
      <c r="G155" s="36"/>
      <c r="H155" s="36"/>
      <c r="I155" s="1" t="str">
        <f aca="false">IF($A155="","",IFERROR(IF(ISBLANK(INDEX(SprintPlanning[Sprint],MATCH($A155,SprintPlanning[Requirement ID],0))),"To Plan",INDEX(SprintPlanning[Sprint],MATCH($A155,SprintPlanning[Requirement ID],0))),"To Plan"))</f>
        <v/>
      </c>
      <c r="J155" s="36"/>
      <c r="K155" s="1" t="str">
        <f aca="false">IFERROR(IF(ISBLANK(INDEX(Release[Release],MATCH($A155,Release[Requirement ID],0))),"",INDEX(Release[Release],MATCH($A155,Release[Requirement ID],0))),"")</f>
        <v/>
      </c>
      <c r="L155" s="36"/>
      <c r="M155" s="36"/>
      <c r="P155" s="1" t="n">
        <f aca="false">IFERROR(VALUE(MID($A155,5,4)),0)</f>
        <v>0</v>
      </c>
      <c r="Q155" s="1" t="str">
        <f aca="false">IF(B155="","","NEW-"&amp;TEXT(MAX($P$2:$P154,Lists!$N$2)+1,"0000"))</f>
        <v/>
      </c>
    </row>
    <row r="156" customFormat="false" ht="15" hidden="false" customHeight="true" outlineLevel="0" collapsed="false">
      <c r="A156" s="35" t="str">
        <f aca="false">IF(AND(B156="",C156="",D156="",E156="",F156="",G156="",H156="",J156="",L156="",M156="",N156=""),"",Q156)</f>
        <v/>
      </c>
      <c r="B156" s="36"/>
      <c r="C156" s="36"/>
      <c r="D156" s="36"/>
      <c r="E156" s="36"/>
      <c r="F156" s="36"/>
      <c r="G156" s="36"/>
      <c r="H156" s="36"/>
      <c r="I156" s="1" t="str">
        <f aca="false">IF($A156="","",IFERROR(IF(ISBLANK(INDEX(SprintPlanning[Sprint],MATCH($A156,SprintPlanning[Requirement ID],0))),"To Plan",INDEX(SprintPlanning[Sprint],MATCH($A156,SprintPlanning[Requirement ID],0))),"To Plan"))</f>
        <v/>
      </c>
      <c r="J156" s="36"/>
      <c r="K156" s="1" t="str">
        <f aca="false">IFERROR(IF(ISBLANK(INDEX(Release[Release],MATCH($A156,Release[Requirement ID],0))),"",INDEX(Release[Release],MATCH($A156,Release[Requirement ID],0))),"")</f>
        <v/>
      </c>
      <c r="L156" s="36"/>
      <c r="M156" s="36"/>
      <c r="P156" s="1" t="n">
        <f aca="false">IFERROR(VALUE(MID($A156,5,4)),0)</f>
        <v>0</v>
      </c>
      <c r="Q156" s="1" t="str">
        <f aca="false">IF(B156="","","NEW-"&amp;TEXT(MAX($P$2:$P155,Lists!$N$2)+1,"0000"))</f>
        <v/>
      </c>
    </row>
    <row r="157" customFormat="false" ht="15" hidden="false" customHeight="true" outlineLevel="0" collapsed="false">
      <c r="A157" s="35" t="str">
        <f aca="false">IF(AND(B157="",C157="",D157="",E157="",F157="",G157="",H157="",J157="",L157="",M157="",N157=""),"",Q157)</f>
        <v/>
      </c>
      <c r="B157" s="36"/>
      <c r="C157" s="36"/>
      <c r="D157" s="36"/>
      <c r="E157" s="36"/>
      <c r="F157" s="36"/>
      <c r="G157" s="36"/>
      <c r="H157" s="36"/>
      <c r="I157" s="1" t="str">
        <f aca="false">IF($A157="","",IFERROR(IF(ISBLANK(INDEX(SprintPlanning[Sprint],MATCH($A157,SprintPlanning[Requirement ID],0))),"To Plan",INDEX(SprintPlanning[Sprint],MATCH($A157,SprintPlanning[Requirement ID],0))),"To Plan"))</f>
        <v/>
      </c>
      <c r="J157" s="36"/>
      <c r="K157" s="1" t="str">
        <f aca="false">IFERROR(IF(ISBLANK(INDEX(Release[Release],MATCH($A157,Release[Requirement ID],0))),"",INDEX(Release[Release],MATCH($A157,Release[Requirement ID],0))),"")</f>
        <v/>
      </c>
      <c r="L157" s="36"/>
      <c r="M157" s="36"/>
      <c r="P157" s="1" t="n">
        <f aca="false">IFERROR(VALUE(MID($A157,5,4)),0)</f>
        <v>0</v>
      </c>
      <c r="Q157" s="1" t="str">
        <f aca="false">IF(B157="","","NEW-"&amp;TEXT(MAX($P$2:$P156,Lists!$N$2)+1,"0000"))</f>
        <v/>
      </c>
    </row>
    <row r="158" customFormat="false" ht="15" hidden="false" customHeight="true" outlineLevel="0" collapsed="false">
      <c r="A158" s="35" t="str">
        <f aca="false">IF(AND(B158="",C158="",D158="",E158="",F158="",G158="",H158="",J158="",L158="",M158="",N158=""),"",Q158)</f>
        <v/>
      </c>
      <c r="B158" s="36"/>
      <c r="C158" s="36"/>
      <c r="D158" s="36"/>
      <c r="E158" s="36"/>
      <c r="F158" s="36"/>
      <c r="G158" s="36"/>
      <c r="H158" s="36"/>
      <c r="I158" s="1" t="str">
        <f aca="false">IF($A158="","",IFERROR(IF(ISBLANK(INDEX(SprintPlanning[Sprint],MATCH($A158,SprintPlanning[Requirement ID],0))),"To Plan",INDEX(SprintPlanning[Sprint],MATCH($A158,SprintPlanning[Requirement ID],0))),"To Plan"))</f>
        <v/>
      </c>
      <c r="J158" s="36"/>
      <c r="K158" s="1" t="str">
        <f aca="false">IFERROR(IF(ISBLANK(INDEX(Release[Release],MATCH($A158,Release[Requirement ID],0))),"",INDEX(Release[Release],MATCH($A158,Release[Requirement ID],0))),"")</f>
        <v/>
      </c>
      <c r="L158" s="36"/>
      <c r="M158" s="36"/>
      <c r="P158" s="1" t="n">
        <f aca="false">IFERROR(VALUE(MID($A158,5,4)),0)</f>
        <v>0</v>
      </c>
      <c r="Q158" s="1" t="str">
        <f aca="false">IF(B158="","","NEW-"&amp;TEXT(MAX($P$2:$P157,Lists!$N$2)+1,"0000"))</f>
        <v/>
      </c>
    </row>
    <row r="159" customFormat="false" ht="15" hidden="false" customHeight="true" outlineLevel="0" collapsed="false">
      <c r="A159" s="35" t="str">
        <f aca="false">IF(AND(B159="",C159="",D159="",E159="",F159="",G159="",H159="",J159="",L159="",M159="",N159=""),"",Q159)</f>
        <v/>
      </c>
      <c r="B159" s="36"/>
      <c r="C159" s="36"/>
      <c r="D159" s="36"/>
      <c r="E159" s="36"/>
      <c r="F159" s="36"/>
      <c r="G159" s="36"/>
      <c r="H159" s="36"/>
      <c r="I159" s="1" t="str">
        <f aca="false">IF($A159="","",IFERROR(IF(ISBLANK(INDEX(SprintPlanning[Sprint],MATCH($A159,SprintPlanning[Requirement ID],0))),"To Plan",INDEX(SprintPlanning[Sprint],MATCH($A159,SprintPlanning[Requirement ID],0))),"To Plan"))</f>
        <v/>
      </c>
      <c r="J159" s="36"/>
      <c r="K159" s="1" t="str">
        <f aca="false">IFERROR(IF(ISBLANK(INDEX(Release[Release],MATCH($A159,Release[Requirement ID],0))),"",INDEX(Release[Release],MATCH($A159,Release[Requirement ID],0))),"")</f>
        <v/>
      </c>
      <c r="L159" s="36"/>
      <c r="M159" s="36"/>
      <c r="P159" s="1" t="n">
        <f aca="false">IFERROR(VALUE(MID($A159,5,4)),0)</f>
        <v>0</v>
      </c>
      <c r="Q159" s="1" t="str">
        <f aca="false">IF(B159="","","NEW-"&amp;TEXT(MAX($P$2:$P158,Lists!$N$2)+1,"0000"))</f>
        <v/>
      </c>
    </row>
    <row r="160" customFormat="false" ht="15" hidden="false" customHeight="true" outlineLevel="0" collapsed="false">
      <c r="A160" s="35" t="str">
        <f aca="false">IF(AND(B160="",C160="",D160="",E160="",F160="",G160="",H160="",J160="",L160="",M160="",N160=""),"",Q160)</f>
        <v/>
      </c>
      <c r="B160" s="36"/>
      <c r="C160" s="36"/>
      <c r="D160" s="36"/>
      <c r="E160" s="36"/>
      <c r="F160" s="36"/>
      <c r="G160" s="36"/>
      <c r="H160" s="36"/>
      <c r="I160" s="1" t="str">
        <f aca="false">IF($A160="","",IFERROR(IF(ISBLANK(INDEX(SprintPlanning[Sprint],MATCH($A160,SprintPlanning[Requirement ID],0))),"To Plan",INDEX(SprintPlanning[Sprint],MATCH($A160,SprintPlanning[Requirement ID],0))),"To Plan"))</f>
        <v/>
      </c>
      <c r="J160" s="36"/>
      <c r="K160" s="1" t="str">
        <f aca="false">IFERROR(IF(ISBLANK(INDEX(Release[Release],MATCH($A160,Release[Requirement ID],0))),"",INDEX(Release[Release],MATCH($A160,Release[Requirement ID],0))),"")</f>
        <v/>
      </c>
      <c r="L160" s="36"/>
      <c r="M160" s="36"/>
      <c r="P160" s="1" t="n">
        <f aca="false">IFERROR(VALUE(MID($A160,5,4)),0)</f>
        <v>0</v>
      </c>
      <c r="Q160" s="1" t="str">
        <f aca="false">IF(B160="","","NEW-"&amp;TEXT(MAX($P$2:$P159,Lists!$N$2)+1,"0000"))</f>
        <v/>
      </c>
    </row>
    <row r="161" customFormat="false" ht="15" hidden="false" customHeight="true" outlineLevel="0" collapsed="false">
      <c r="A161" s="35" t="str">
        <f aca="false">IF(AND(B161="",C161="",D161="",E161="",F161="",G161="",H161="",J161="",L161="",M161="",N161=""),"",Q161)</f>
        <v/>
      </c>
      <c r="B161" s="36"/>
      <c r="C161" s="36"/>
      <c r="D161" s="36"/>
      <c r="E161" s="36"/>
      <c r="F161" s="36"/>
      <c r="G161" s="36"/>
      <c r="H161" s="36"/>
      <c r="I161" s="1" t="str">
        <f aca="false">IF($A161="","",IFERROR(IF(ISBLANK(INDEX(SprintPlanning[Sprint],MATCH($A161,SprintPlanning[Requirement ID],0))),"To Plan",INDEX(SprintPlanning[Sprint],MATCH($A161,SprintPlanning[Requirement ID],0))),"To Plan"))</f>
        <v/>
      </c>
      <c r="J161" s="36"/>
      <c r="K161" s="1" t="str">
        <f aca="false">IFERROR(IF(ISBLANK(INDEX(Release[Release],MATCH($A161,Release[Requirement ID],0))),"",INDEX(Release[Release],MATCH($A161,Release[Requirement ID],0))),"")</f>
        <v/>
      </c>
      <c r="L161" s="36"/>
      <c r="M161" s="36"/>
      <c r="P161" s="1" t="n">
        <f aca="false">IFERROR(VALUE(MID($A161,5,4)),0)</f>
        <v>0</v>
      </c>
      <c r="Q161" s="1" t="str">
        <f aca="false">IF(B161="","","NEW-"&amp;TEXT(MAX($P$2:$P160,Lists!$N$2)+1,"0000"))</f>
        <v/>
      </c>
    </row>
    <row r="162" customFormat="false" ht="15" hidden="false" customHeight="true" outlineLevel="0" collapsed="false">
      <c r="A162" s="35" t="str">
        <f aca="false">IF(AND(B162="",C162="",D162="",E162="",F162="",G162="",H162="",J162="",L162="",M162="",N162=""),"",Q162)</f>
        <v/>
      </c>
      <c r="B162" s="36"/>
      <c r="C162" s="36"/>
      <c r="D162" s="36"/>
      <c r="E162" s="36"/>
      <c r="F162" s="36"/>
      <c r="G162" s="36"/>
      <c r="H162" s="36"/>
      <c r="I162" s="1" t="str">
        <f aca="false">IF($A162="","",IFERROR(IF(ISBLANK(INDEX(SprintPlanning[Sprint],MATCH($A162,SprintPlanning[Requirement ID],0))),"To Plan",INDEX(SprintPlanning[Sprint],MATCH($A162,SprintPlanning[Requirement ID],0))),"To Plan"))</f>
        <v/>
      </c>
      <c r="J162" s="36"/>
      <c r="K162" s="1" t="str">
        <f aca="false">IFERROR(IF(ISBLANK(INDEX(Release[Release],MATCH($A162,Release[Requirement ID],0))),"",INDEX(Release[Release],MATCH($A162,Release[Requirement ID],0))),"")</f>
        <v/>
      </c>
      <c r="L162" s="36"/>
      <c r="M162" s="36"/>
      <c r="P162" s="1" t="n">
        <f aca="false">IFERROR(VALUE(MID($A162,5,4)),0)</f>
        <v>0</v>
      </c>
      <c r="Q162" s="1" t="str">
        <f aca="false">IF(B162="","","NEW-"&amp;TEXT(MAX($P$2:$P161,Lists!$N$2)+1,"0000"))</f>
        <v/>
      </c>
    </row>
    <row r="163" customFormat="false" ht="15" hidden="false" customHeight="true" outlineLevel="0" collapsed="false">
      <c r="A163" s="35" t="str">
        <f aca="false">IF(AND(B163="",C163="",D163="",E163="",F163="",G163="",H163="",J163="",L163="",M163="",N163=""),"",Q163)</f>
        <v/>
      </c>
      <c r="B163" s="36"/>
      <c r="C163" s="36"/>
      <c r="D163" s="36"/>
      <c r="E163" s="36"/>
      <c r="F163" s="36"/>
      <c r="G163" s="36"/>
      <c r="H163" s="36"/>
      <c r="I163" s="1" t="str">
        <f aca="false">IF($A163="","",IFERROR(IF(ISBLANK(INDEX(SprintPlanning[Sprint],MATCH($A163,SprintPlanning[Requirement ID],0))),"To Plan",INDEX(SprintPlanning[Sprint],MATCH($A163,SprintPlanning[Requirement ID],0))),"To Plan"))</f>
        <v/>
      </c>
      <c r="J163" s="36"/>
      <c r="K163" s="1" t="str">
        <f aca="false">IFERROR(IF(ISBLANK(INDEX(Release[Release],MATCH($A163,Release[Requirement ID],0))),"",INDEX(Release[Release],MATCH($A163,Release[Requirement ID],0))),"")</f>
        <v/>
      </c>
      <c r="L163" s="36"/>
      <c r="M163" s="36"/>
      <c r="P163" s="1" t="n">
        <f aca="false">IFERROR(VALUE(MID($A163,5,4)),0)</f>
        <v>0</v>
      </c>
      <c r="Q163" s="1" t="str">
        <f aca="false">IF(B163="","","NEW-"&amp;TEXT(MAX($P$2:$P162,Lists!$N$2)+1,"0000"))</f>
        <v/>
      </c>
    </row>
    <row r="164" customFormat="false" ht="15" hidden="false" customHeight="true" outlineLevel="0" collapsed="false">
      <c r="A164" s="35" t="str">
        <f aca="false">IF(AND(B164="",C164="",D164="",E164="",F164="",G164="",H164="",J164="",L164="",M164="",N164=""),"",Q164)</f>
        <v/>
      </c>
      <c r="B164" s="36"/>
      <c r="C164" s="36"/>
      <c r="D164" s="36"/>
      <c r="E164" s="36"/>
      <c r="F164" s="36"/>
      <c r="G164" s="36"/>
      <c r="H164" s="36"/>
      <c r="I164" s="1" t="str">
        <f aca="false">IF($A164="","",IFERROR(IF(ISBLANK(INDEX(SprintPlanning[Sprint],MATCH($A164,SprintPlanning[Requirement ID],0))),"To Plan",INDEX(SprintPlanning[Sprint],MATCH($A164,SprintPlanning[Requirement ID],0))),"To Plan"))</f>
        <v/>
      </c>
      <c r="J164" s="36"/>
      <c r="K164" s="1" t="str">
        <f aca="false">IFERROR(IF(ISBLANK(INDEX(Release[Release],MATCH($A164,Release[Requirement ID],0))),"",INDEX(Release[Release],MATCH($A164,Release[Requirement ID],0))),"")</f>
        <v/>
      </c>
      <c r="L164" s="36"/>
      <c r="M164" s="36"/>
      <c r="P164" s="1" t="n">
        <f aca="false">IFERROR(VALUE(MID($A164,5,4)),0)</f>
        <v>0</v>
      </c>
      <c r="Q164" s="1" t="str">
        <f aca="false">IF(B164="","","NEW-"&amp;TEXT(MAX($P$2:$P163,Lists!$N$2)+1,"0000"))</f>
        <v/>
      </c>
    </row>
    <row r="165" customFormat="false" ht="15" hidden="false" customHeight="true" outlineLevel="0" collapsed="false">
      <c r="A165" s="35" t="str">
        <f aca="false">IF(AND(B165="",C165="",D165="",E165="",F165="",G165="",H165="",J165="",L165="",M165="",N165=""),"",Q165)</f>
        <v/>
      </c>
      <c r="B165" s="36"/>
      <c r="C165" s="36"/>
      <c r="D165" s="36"/>
      <c r="E165" s="36"/>
      <c r="F165" s="36"/>
      <c r="G165" s="36"/>
      <c r="H165" s="36"/>
      <c r="I165" s="1" t="str">
        <f aca="false">IF($A165="","",IFERROR(IF(ISBLANK(INDEX(SprintPlanning[Sprint],MATCH($A165,SprintPlanning[Requirement ID],0))),"To Plan",INDEX(SprintPlanning[Sprint],MATCH($A165,SprintPlanning[Requirement ID],0))),"To Plan"))</f>
        <v/>
      </c>
      <c r="J165" s="36"/>
      <c r="K165" s="1" t="str">
        <f aca="false">IFERROR(IF(ISBLANK(INDEX(Release[Release],MATCH($A165,Release[Requirement ID],0))),"",INDEX(Release[Release],MATCH($A165,Release[Requirement ID],0))),"")</f>
        <v/>
      </c>
      <c r="L165" s="36"/>
      <c r="M165" s="36"/>
      <c r="P165" s="1" t="n">
        <f aca="false">IFERROR(VALUE(MID($A165,5,4)),0)</f>
        <v>0</v>
      </c>
      <c r="Q165" s="1" t="str">
        <f aca="false">IF(B165="","","NEW-"&amp;TEXT(MAX($P$2:$P164,Lists!$N$2)+1,"0000"))</f>
        <v/>
      </c>
    </row>
    <row r="166" customFormat="false" ht="15" hidden="false" customHeight="true" outlineLevel="0" collapsed="false">
      <c r="A166" s="35" t="str">
        <f aca="false">IF(AND(B166="",C166="",D166="",E166="",F166="",G166="",H166="",J166="",L166="",M166="",N166=""),"",Q166)</f>
        <v/>
      </c>
      <c r="B166" s="36"/>
      <c r="C166" s="36"/>
      <c r="D166" s="36"/>
      <c r="E166" s="36"/>
      <c r="F166" s="36"/>
      <c r="G166" s="36"/>
      <c r="H166" s="36"/>
      <c r="I166" s="1" t="str">
        <f aca="false">IF($A166="","",IFERROR(IF(ISBLANK(INDEX(SprintPlanning[Sprint],MATCH($A166,SprintPlanning[Requirement ID],0))),"To Plan",INDEX(SprintPlanning[Sprint],MATCH($A166,SprintPlanning[Requirement ID],0))),"To Plan"))</f>
        <v/>
      </c>
      <c r="J166" s="36"/>
      <c r="K166" s="1" t="str">
        <f aca="false">IFERROR(IF(ISBLANK(INDEX(Release[Release],MATCH($A166,Release[Requirement ID],0))),"",INDEX(Release[Release],MATCH($A166,Release[Requirement ID],0))),"")</f>
        <v/>
      </c>
      <c r="L166" s="36"/>
      <c r="M166" s="36"/>
      <c r="P166" s="1" t="n">
        <f aca="false">IFERROR(VALUE(MID($A166,5,4)),0)</f>
        <v>0</v>
      </c>
      <c r="Q166" s="1" t="str">
        <f aca="false">IF(B166="","","NEW-"&amp;TEXT(MAX($P$2:$P165,Lists!$N$2)+1,"0000"))</f>
        <v/>
      </c>
    </row>
    <row r="167" customFormat="false" ht="15" hidden="false" customHeight="true" outlineLevel="0" collapsed="false">
      <c r="A167" s="35" t="str">
        <f aca="false">IF(AND(B167="",C167="",D167="",E167="",F167="",G167="",H167="",J167="",L167="",M167="",N167=""),"",Q167)</f>
        <v/>
      </c>
      <c r="B167" s="36"/>
      <c r="C167" s="36"/>
      <c r="D167" s="36"/>
      <c r="E167" s="36"/>
      <c r="F167" s="36"/>
      <c r="G167" s="36"/>
      <c r="H167" s="36"/>
      <c r="I167" s="1" t="str">
        <f aca="false">IF($A167="","",IFERROR(IF(ISBLANK(INDEX(SprintPlanning[Sprint],MATCH($A167,SprintPlanning[Requirement ID],0))),"To Plan",INDEX(SprintPlanning[Sprint],MATCH($A167,SprintPlanning[Requirement ID],0))),"To Plan"))</f>
        <v/>
      </c>
      <c r="J167" s="36"/>
      <c r="K167" s="1" t="str">
        <f aca="false">IFERROR(IF(ISBLANK(INDEX(Release[Release],MATCH($A167,Release[Requirement ID],0))),"",INDEX(Release[Release],MATCH($A167,Release[Requirement ID],0))),"")</f>
        <v/>
      </c>
      <c r="L167" s="36"/>
      <c r="M167" s="36"/>
      <c r="P167" s="1" t="n">
        <f aca="false">IFERROR(VALUE(MID($A167,5,4)),0)</f>
        <v>0</v>
      </c>
      <c r="Q167" s="1" t="str">
        <f aca="false">IF(B167="","","NEW-"&amp;TEXT(MAX($P$2:$P166,Lists!$N$2)+1,"0000"))</f>
        <v/>
      </c>
    </row>
    <row r="168" customFormat="false" ht="15" hidden="false" customHeight="true" outlineLevel="0" collapsed="false">
      <c r="A168" s="35" t="str">
        <f aca="false">IF(AND(B168="",C168="",D168="",E168="",F168="",G168="",H168="",J168="",L168="",M168="",N168=""),"",Q168)</f>
        <v/>
      </c>
      <c r="B168" s="36"/>
      <c r="C168" s="36"/>
      <c r="D168" s="36"/>
      <c r="E168" s="36"/>
      <c r="F168" s="36"/>
      <c r="G168" s="36"/>
      <c r="H168" s="36"/>
      <c r="I168" s="1" t="str">
        <f aca="false">IF($A168="","",IFERROR(IF(ISBLANK(INDEX(SprintPlanning[Sprint],MATCH($A168,SprintPlanning[Requirement ID],0))),"To Plan",INDEX(SprintPlanning[Sprint],MATCH($A168,SprintPlanning[Requirement ID],0))),"To Plan"))</f>
        <v/>
      </c>
      <c r="J168" s="36"/>
      <c r="K168" s="1" t="str">
        <f aca="false">IFERROR(IF(ISBLANK(INDEX(Release[Release],MATCH($A168,Release[Requirement ID],0))),"",INDEX(Release[Release],MATCH($A168,Release[Requirement ID],0))),"")</f>
        <v/>
      </c>
      <c r="L168" s="36"/>
      <c r="M168" s="36"/>
      <c r="P168" s="1" t="n">
        <f aca="false">IFERROR(VALUE(MID($A168,5,4)),0)</f>
        <v>0</v>
      </c>
      <c r="Q168" s="1" t="str">
        <f aca="false">IF(B168="","","NEW-"&amp;TEXT(MAX($P$2:$P167,Lists!$N$2)+1,"0000"))</f>
        <v/>
      </c>
    </row>
    <row r="169" customFormat="false" ht="15" hidden="false" customHeight="true" outlineLevel="0" collapsed="false">
      <c r="A169" s="35" t="str">
        <f aca="false">IF(AND(B169="",C169="",D169="",E169="",F169="",G169="",H169="",J169="",L169="",M169="",N169=""),"",Q169)</f>
        <v/>
      </c>
      <c r="B169" s="36"/>
      <c r="C169" s="36"/>
      <c r="D169" s="36"/>
      <c r="E169" s="36"/>
      <c r="F169" s="36"/>
      <c r="G169" s="36"/>
      <c r="H169" s="36"/>
      <c r="I169" s="1" t="str">
        <f aca="false">IF($A169="","",IFERROR(IF(ISBLANK(INDEX(SprintPlanning[Sprint],MATCH($A169,SprintPlanning[Requirement ID],0))),"To Plan",INDEX(SprintPlanning[Sprint],MATCH($A169,SprintPlanning[Requirement ID],0))),"To Plan"))</f>
        <v/>
      </c>
      <c r="J169" s="36"/>
      <c r="K169" s="1" t="str">
        <f aca="false">IFERROR(IF(ISBLANK(INDEX(Release[Release],MATCH($A169,Release[Requirement ID],0))),"",INDEX(Release[Release],MATCH($A169,Release[Requirement ID],0))),"")</f>
        <v/>
      </c>
      <c r="L169" s="36"/>
      <c r="M169" s="36"/>
      <c r="P169" s="1" t="n">
        <f aca="false">IFERROR(VALUE(MID($A169,5,4)),0)</f>
        <v>0</v>
      </c>
      <c r="Q169" s="1" t="str">
        <f aca="false">IF(B169="","","NEW-"&amp;TEXT(MAX($P$2:$P168,Lists!$N$2)+1,"0000"))</f>
        <v/>
      </c>
    </row>
    <row r="170" customFormat="false" ht="15" hidden="false" customHeight="true" outlineLevel="0" collapsed="false">
      <c r="A170" s="35" t="str">
        <f aca="false">IF(AND(B170="",C170="",D170="",E170="",F170="",G170="",H170="",J170="",L170="",M170="",N170=""),"",Q170)</f>
        <v/>
      </c>
      <c r="B170" s="36"/>
      <c r="C170" s="36"/>
      <c r="D170" s="36"/>
      <c r="E170" s="36"/>
      <c r="F170" s="36"/>
      <c r="G170" s="36"/>
      <c r="H170" s="36"/>
      <c r="I170" s="1" t="str">
        <f aca="false">IF($A170="","",IFERROR(IF(ISBLANK(INDEX(SprintPlanning[Sprint],MATCH($A170,SprintPlanning[Requirement ID],0))),"To Plan",INDEX(SprintPlanning[Sprint],MATCH($A170,SprintPlanning[Requirement ID],0))),"To Plan"))</f>
        <v/>
      </c>
      <c r="J170" s="36"/>
      <c r="K170" s="1" t="str">
        <f aca="false">IFERROR(IF(ISBLANK(INDEX(Release[Release],MATCH($A170,Release[Requirement ID],0))),"",INDEX(Release[Release],MATCH($A170,Release[Requirement ID],0))),"")</f>
        <v/>
      </c>
      <c r="L170" s="36"/>
      <c r="M170" s="36"/>
      <c r="P170" s="1" t="n">
        <f aca="false">IFERROR(VALUE(MID($A170,5,4)),0)</f>
        <v>0</v>
      </c>
      <c r="Q170" s="1" t="str">
        <f aca="false">IF(B170="","","NEW-"&amp;TEXT(MAX($P$2:$P169,Lists!$N$2)+1,"0000"))</f>
        <v/>
      </c>
    </row>
    <row r="171" customFormat="false" ht="15" hidden="false" customHeight="true" outlineLevel="0" collapsed="false">
      <c r="A171" s="35" t="str">
        <f aca="false">IF(AND(B171="",C171="",D171="",E171="",F171="",G171="",H171="",J171="",L171="",M171="",N171=""),"",Q171)</f>
        <v/>
      </c>
      <c r="B171" s="36"/>
      <c r="C171" s="36"/>
      <c r="D171" s="36"/>
      <c r="E171" s="36"/>
      <c r="F171" s="36"/>
      <c r="G171" s="36"/>
      <c r="H171" s="36"/>
      <c r="I171" s="1" t="str">
        <f aca="false">IF($A171="","",IFERROR(IF(ISBLANK(INDEX(SprintPlanning[Sprint],MATCH($A171,SprintPlanning[Requirement ID],0))),"To Plan",INDEX(SprintPlanning[Sprint],MATCH($A171,SprintPlanning[Requirement ID],0))),"To Plan"))</f>
        <v/>
      </c>
      <c r="J171" s="36"/>
      <c r="K171" s="1" t="str">
        <f aca="false">IFERROR(IF(ISBLANK(INDEX(Release[Release],MATCH($A171,Release[Requirement ID],0))),"",INDEX(Release[Release],MATCH($A171,Release[Requirement ID],0))),"")</f>
        <v/>
      </c>
      <c r="L171" s="36"/>
      <c r="M171" s="36"/>
      <c r="P171" s="1" t="n">
        <f aca="false">IFERROR(VALUE(MID($A171,5,4)),0)</f>
        <v>0</v>
      </c>
      <c r="Q171" s="1" t="str">
        <f aca="false">IF(B171="","","NEW-"&amp;TEXT(MAX($P$2:$P170,Lists!$N$2)+1,"0000"))</f>
        <v/>
      </c>
    </row>
    <row r="172" customFormat="false" ht="15" hidden="false" customHeight="true" outlineLevel="0" collapsed="false">
      <c r="A172" s="35" t="str">
        <f aca="false">IF(AND(B172="",C172="",D172="",E172="",F172="",G172="",H172="",J172="",L172="",M172="",N172=""),"",Q172)</f>
        <v/>
      </c>
      <c r="B172" s="36"/>
      <c r="C172" s="36"/>
      <c r="D172" s="36"/>
      <c r="E172" s="36"/>
      <c r="F172" s="36"/>
      <c r="G172" s="36"/>
      <c r="H172" s="36"/>
      <c r="I172" s="1" t="str">
        <f aca="false">IF($A172="","",IFERROR(IF(ISBLANK(INDEX(SprintPlanning[Sprint],MATCH($A172,SprintPlanning[Requirement ID],0))),"To Plan",INDEX(SprintPlanning[Sprint],MATCH($A172,SprintPlanning[Requirement ID],0))),"To Plan"))</f>
        <v/>
      </c>
      <c r="J172" s="36"/>
      <c r="K172" s="1" t="str">
        <f aca="false">IFERROR(IF(ISBLANK(INDEX(Release[Release],MATCH($A172,Release[Requirement ID],0))),"",INDEX(Release[Release],MATCH($A172,Release[Requirement ID],0))),"")</f>
        <v/>
      </c>
      <c r="L172" s="36"/>
      <c r="M172" s="36"/>
      <c r="P172" s="1" t="n">
        <f aca="false">IFERROR(VALUE(MID($A172,5,4)),0)</f>
        <v>0</v>
      </c>
      <c r="Q172" s="1" t="str">
        <f aca="false">IF(B172="","","NEW-"&amp;TEXT(MAX($P$2:$P171,Lists!$N$2)+1,"0000"))</f>
        <v/>
      </c>
    </row>
    <row r="173" customFormat="false" ht="15" hidden="false" customHeight="true" outlineLevel="0" collapsed="false">
      <c r="A173" s="35" t="str">
        <f aca="false">IF(AND(B173="",C173="",D173="",E173="",F173="",G173="",H173="",J173="",L173="",M173="",N173=""),"",Q173)</f>
        <v/>
      </c>
      <c r="B173" s="36"/>
      <c r="C173" s="36"/>
      <c r="D173" s="36"/>
      <c r="E173" s="36"/>
      <c r="F173" s="36"/>
      <c r="G173" s="36"/>
      <c r="H173" s="36"/>
      <c r="I173" s="1" t="str">
        <f aca="false">IF($A173="","",IFERROR(IF(ISBLANK(INDEX(SprintPlanning[Sprint],MATCH($A173,SprintPlanning[Requirement ID],0))),"To Plan",INDEX(SprintPlanning[Sprint],MATCH($A173,SprintPlanning[Requirement ID],0))),"To Plan"))</f>
        <v/>
      </c>
      <c r="J173" s="36"/>
      <c r="K173" s="1" t="str">
        <f aca="false">IFERROR(IF(ISBLANK(INDEX(Release[Release],MATCH($A173,Release[Requirement ID],0))),"",INDEX(Release[Release],MATCH($A173,Release[Requirement ID],0))),"")</f>
        <v/>
      </c>
      <c r="L173" s="36"/>
      <c r="M173" s="36"/>
      <c r="P173" s="1" t="n">
        <f aca="false">IFERROR(VALUE(MID($A173,5,4)),0)</f>
        <v>0</v>
      </c>
      <c r="Q173" s="1" t="str">
        <f aca="false">IF(B173="","","NEW-"&amp;TEXT(MAX($P$2:$P172,Lists!$N$2)+1,"0000"))</f>
        <v/>
      </c>
    </row>
    <row r="174" customFormat="false" ht="15" hidden="false" customHeight="true" outlineLevel="0" collapsed="false">
      <c r="A174" s="35" t="str">
        <f aca="false">IF(AND(B174="",C174="",D174="",E174="",F174="",G174="",H174="",J174="",L174="",M174="",N174=""),"",Q174)</f>
        <v/>
      </c>
      <c r="B174" s="36"/>
      <c r="C174" s="36"/>
      <c r="D174" s="36"/>
      <c r="E174" s="36"/>
      <c r="F174" s="36"/>
      <c r="G174" s="36"/>
      <c r="H174" s="36"/>
      <c r="I174" s="1" t="str">
        <f aca="false">IF($A174="","",IFERROR(IF(ISBLANK(INDEX(SprintPlanning[Sprint],MATCH($A174,SprintPlanning[Requirement ID],0))),"To Plan",INDEX(SprintPlanning[Sprint],MATCH($A174,SprintPlanning[Requirement ID],0))),"To Plan"))</f>
        <v/>
      </c>
      <c r="J174" s="36"/>
      <c r="K174" s="1" t="str">
        <f aca="false">IFERROR(IF(ISBLANK(INDEX(Release[Release],MATCH($A174,Release[Requirement ID],0))),"",INDEX(Release[Release],MATCH($A174,Release[Requirement ID],0))),"")</f>
        <v/>
      </c>
      <c r="L174" s="36"/>
      <c r="M174" s="36"/>
      <c r="P174" s="1" t="n">
        <f aca="false">IFERROR(VALUE(MID($A174,5,4)),0)</f>
        <v>0</v>
      </c>
      <c r="Q174" s="1" t="str">
        <f aca="false">IF(B174="","","NEW-"&amp;TEXT(MAX($P$2:$P173,Lists!$N$2)+1,"0000"))</f>
        <v/>
      </c>
    </row>
    <row r="175" customFormat="false" ht="15" hidden="false" customHeight="true" outlineLevel="0" collapsed="false">
      <c r="A175" s="35" t="str">
        <f aca="false">IF(AND(B175="",C175="",D175="",E175="",F175="",G175="",H175="",J175="",L175="",M175="",N175=""),"",Q175)</f>
        <v/>
      </c>
      <c r="B175" s="36"/>
      <c r="C175" s="36"/>
      <c r="D175" s="36"/>
      <c r="E175" s="36"/>
      <c r="F175" s="36"/>
      <c r="G175" s="36"/>
      <c r="H175" s="36"/>
      <c r="I175" s="1" t="str">
        <f aca="false">IF($A175="","",IFERROR(IF(ISBLANK(INDEX(SprintPlanning[Sprint],MATCH($A175,SprintPlanning[Requirement ID],0))),"To Plan",INDEX(SprintPlanning[Sprint],MATCH($A175,SprintPlanning[Requirement ID],0))),"To Plan"))</f>
        <v/>
      </c>
      <c r="J175" s="36"/>
      <c r="K175" s="1" t="str">
        <f aca="false">IFERROR(IF(ISBLANK(INDEX(Release[Release],MATCH($A175,Release[Requirement ID],0))),"",INDEX(Release[Release],MATCH($A175,Release[Requirement ID],0))),"")</f>
        <v/>
      </c>
      <c r="L175" s="36"/>
      <c r="M175" s="36"/>
      <c r="P175" s="1" t="n">
        <f aca="false">IFERROR(VALUE(MID($A175,5,4)),0)</f>
        <v>0</v>
      </c>
      <c r="Q175" s="1" t="str">
        <f aca="false">IF(B175="","","NEW-"&amp;TEXT(MAX($P$2:$P174,Lists!$N$2)+1,"0000"))</f>
        <v/>
      </c>
    </row>
    <row r="176" customFormat="false" ht="15" hidden="false" customHeight="true" outlineLevel="0" collapsed="false">
      <c r="A176" s="35" t="str">
        <f aca="false">IF(AND(B176="",C176="",D176="",E176="",F176="",G176="",H176="",J176="",L176="",M176="",N176=""),"",Q176)</f>
        <v/>
      </c>
      <c r="B176" s="36"/>
      <c r="C176" s="36"/>
      <c r="D176" s="36"/>
      <c r="E176" s="36"/>
      <c r="F176" s="36"/>
      <c r="G176" s="36"/>
      <c r="H176" s="36"/>
      <c r="I176" s="1" t="str">
        <f aca="false">IF($A176="","",IFERROR(IF(ISBLANK(INDEX(SprintPlanning[Sprint],MATCH($A176,SprintPlanning[Requirement ID],0))),"To Plan",INDEX(SprintPlanning[Sprint],MATCH($A176,SprintPlanning[Requirement ID],0))),"To Plan"))</f>
        <v/>
      </c>
      <c r="J176" s="36"/>
      <c r="K176" s="1" t="str">
        <f aca="false">IFERROR(IF(ISBLANK(INDEX(Release[Release],MATCH($A176,Release[Requirement ID],0))),"",INDEX(Release[Release],MATCH($A176,Release[Requirement ID],0))),"")</f>
        <v/>
      </c>
      <c r="L176" s="36"/>
      <c r="M176" s="36"/>
      <c r="P176" s="1" t="n">
        <f aca="false">IFERROR(VALUE(MID($A176,5,4)),0)</f>
        <v>0</v>
      </c>
      <c r="Q176" s="1" t="str">
        <f aca="false">IF(B176="","","NEW-"&amp;TEXT(MAX($P$2:$P175,Lists!$N$2)+1,"0000"))</f>
        <v/>
      </c>
    </row>
    <row r="177" customFormat="false" ht="15" hidden="false" customHeight="true" outlineLevel="0" collapsed="false">
      <c r="A177" s="35" t="str">
        <f aca="false">IF(AND(B177="",C177="",D177="",E177="",F177="",G177="",H177="",J177="",L177="",M177="",N177=""),"",Q177)</f>
        <v/>
      </c>
      <c r="B177" s="36"/>
      <c r="C177" s="36"/>
      <c r="D177" s="36"/>
      <c r="E177" s="36"/>
      <c r="F177" s="36"/>
      <c r="G177" s="36"/>
      <c r="H177" s="36"/>
      <c r="I177" s="1" t="str">
        <f aca="false">IF($A177="","",IFERROR(IF(ISBLANK(INDEX(SprintPlanning[Sprint],MATCH($A177,SprintPlanning[Requirement ID],0))),"To Plan",INDEX(SprintPlanning[Sprint],MATCH($A177,SprintPlanning[Requirement ID],0))),"To Plan"))</f>
        <v/>
      </c>
      <c r="J177" s="36"/>
      <c r="K177" s="1" t="str">
        <f aca="false">IFERROR(IF(ISBLANK(INDEX(Release[Release],MATCH($A177,Release[Requirement ID],0))),"",INDEX(Release[Release],MATCH($A177,Release[Requirement ID],0))),"")</f>
        <v/>
      </c>
      <c r="L177" s="36"/>
      <c r="M177" s="36"/>
      <c r="P177" s="1" t="n">
        <f aca="false">IFERROR(VALUE(MID($A177,5,4)),0)</f>
        <v>0</v>
      </c>
      <c r="Q177" s="1" t="str">
        <f aca="false">IF(B177="","","NEW-"&amp;TEXT(MAX($P$2:$P176,Lists!$N$2)+1,"0000"))</f>
        <v/>
      </c>
    </row>
    <row r="178" customFormat="false" ht="15" hidden="false" customHeight="true" outlineLevel="0" collapsed="false">
      <c r="A178" s="35" t="str">
        <f aca="false">IF(AND(B178="",C178="",D178="",E178="",F178="",G178="",H178="",J178="",L178="",M178="",N178=""),"",Q178)</f>
        <v/>
      </c>
      <c r="B178" s="36"/>
      <c r="C178" s="36"/>
      <c r="D178" s="36"/>
      <c r="E178" s="36"/>
      <c r="F178" s="36"/>
      <c r="G178" s="36"/>
      <c r="H178" s="36"/>
      <c r="I178" s="1" t="str">
        <f aca="false">IF($A178="","",IFERROR(IF(ISBLANK(INDEX(SprintPlanning[Sprint],MATCH($A178,SprintPlanning[Requirement ID],0))),"To Plan",INDEX(SprintPlanning[Sprint],MATCH($A178,SprintPlanning[Requirement ID],0))),"To Plan"))</f>
        <v/>
      </c>
      <c r="J178" s="36"/>
      <c r="K178" s="1" t="str">
        <f aca="false">IFERROR(IF(ISBLANK(INDEX(Release[Release],MATCH($A178,Release[Requirement ID],0))),"",INDEX(Release[Release],MATCH($A178,Release[Requirement ID],0))),"")</f>
        <v/>
      </c>
      <c r="L178" s="36"/>
      <c r="M178" s="36"/>
      <c r="P178" s="1" t="n">
        <f aca="false">IFERROR(VALUE(MID($A178,5,4)),0)</f>
        <v>0</v>
      </c>
      <c r="Q178" s="1" t="str">
        <f aca="false">IF(B178="","","NEW-"&amp;TEXT(MAX($P$2:$P177,Lists!$N$2)+1,"0000"))</f>
        <v/>
      </c>
    </row>
    <row r="179" customFormat="false" ht="15" hidden="false" customHeight="true" outlineLevel="0" collapsed="false">
      <c r="A179" s="35" t="str">
        <f aca="false">IF(AND(B179="",C179="",D179="",E179="",F179="",G179="",H179="",J179="",L179="",M179="",N179=""),"",Q179)</f>
        <v/>
      </c>
      <c r="B179" s="36"/>
      <c r="C179" s="36"/>
      <c r="D179" s="36"/>
      <c r="E179" s="36"/>
      <c r="F179" s="36"/>
      <c r="G179" s="36"/>
      <c r="H179" s="36"/>
      <c r="I179" s="1" t="str">
        <f aca="false">IF($A179="","",IFERROR(IF(ISBLANK(INDEX(SprintPlanning[Sprint],MATCH($A179,SprintPlanning[Requirement ID],0))),"To Plan",INDEX(SprintPlanning[Sprint],MATCH($A179,SprintPlanning[Requirement ID],0))),"To Plan"))</f>
        <v/>
      </c>
      <c r="J179" s="36"/>
      <c r="K179" s="1" t="str">
        <f aca="false">IFERROR(IF(ISBLANK(INDEX(Release[Release],MATCH($A179,Release[Requirement ID],0))),"",INDEX(Release[Release],MATCH($A179,Release[Requirement ID],0))),"")</f>
        <v/>
      </c>
      <c r="L179" s="36"/>
      <c r="M179" s="36"/>
      <c r="P179" s="1" t="n">
        <f aca="false">IFERROR(VALUE(MID($A179,5,4)),0)</f>
        <v>0</v>
      </c>
      <c r="Q179" s="1" t="str">
        <f aca="false">IF(B179="","","NEW-"&amp;TEXT(MAX($P$2:$P178,Lists!$N$2)+1,"0000"))</f>
        <v/>
      </c>
    </row>
    <row r="180" customFormat="false" ht="15" hidden="false" customHeight="true" outlineLevel="0" collapsed="false">
      <c r="A180" s="35" t="str">
        <f aca="false">IF(AND(B180="",C180="",D180="",E180="",F180="",G180="",H180="",J180="",L180="",M180="",N180=""),"",Q180)</f>
        <v/>
      </c>
      <c r="B180" s="36"/>
      <c r="C180" s="36"/>
      <c r="D180" s="36"/>
      <c r="E180" s="36"/>
      <c r="F180" s="36"/>
      <c r="G180" s="36"/>
      <c r="H180" s="36"/>
      <c r="I180" s="1" t="str">
        <f aca="false">IF($A180="","",IFERROR(IF(ISBLANK(INDEX(SprintPlanning[Sprint],MATCH($A180,SprintPlanning[Requirement ID],0))),"To Plan",INDEX(SprintPlanning[Sprint],MATCH($A180,SprintPlanning[Requirement ID],0))),"To Plan"))</f>
        <v/>
      </c>
      <c r="J180" s="36"/>
      <c r="K180" s="1" t="str">
        <f aca="false">IFERROR(IF(ISBLANK(INDEX(Release[Release],MATCH($A180,Release[Requirement ID],0))),"",INDEX(Release[Release],MATCH($A180,Release[Requirement ID],0))),"")</f>
        <v/>
      </c>
      <c r="L180" s="36"/>
      <c r="M180" s="36"/>
      <c r="P180" s="1" t="n">
        <f aca="false">IFERROR(VALUE(MID($A180,5,4)),0)</f>
        <v>0</v>
      </c>
      <c r="Q180" s="1" t="str">
        <f aca="false">IF(B180="","","NEW-"&amp;TEXT(MAX($P$2:$P179,Lists!$N$2)+1,"0000"))</f>
        <v/>
      </c>
    </row>
    <row r="181" customFormat="false" ht="15" hidden="false" customHeight="true" outlineLevel="0" collapsed="false">
      <c r="A181" s="35" t="str">
        <f aca="false">IF(AND(B181="",C181="",D181="",E181="",F181="",G181="",H181="",J181="",L181="",M181="",N181=""),"",Q181)</f>
        <v/>
      </c>
      <c r="B181" s="36"/>
      <c r="C181" s="36"/>
      <c r="D181" s="36"/>
      <c r="E181" s="36"/>
      <c r="F181" s="36"/>
      <c r="G181" s="36"/>
      <c r="H181" s="36"/>
      <c r="I181" s="1" t="str">
        <f aca="false">IF($A181="","",IFERROR(IF(ISBLANK(INDEX(SprintPlanning[Sprint],MATCH($A181,SprintPlanning[Requirement ID],0))),"To Plan",INDEX(SprintPlanning[Sprint],MATCH($A181,SprintPlanning[Requirement ID],0))),"To Plan"))</f>
        <v/>
      </c>
      <c r="J181" s="36"/>
      <c r="K181" s="1" t="str">
        <f aca="false">IFERROR(IF(ISBLANK(INDEX(Release[Release],MATCH($A181,Release[Requirement ID],0))),"",INDEX(Release[Release],MATCH($A181,Release[Requirement ID],0))),"")</f>
        <v/>
      </c>
      <c r="L181" s="36"/>
      <c r="M181" s="36"/>
      <c r="P181" s="1" t="n">
        <f aca="false">IFERROR(VALUE(MID($A181,5,4)),0)</f>
        <v>0</v>
      </c>
      <c r="Q181" s="1" t="str">
        <f aca="false">IF(B181="","","NEW-"&amp;TEXT(MAX($P$2:$P180,Lists!$N$2)+1,"0000"))</f>
        <v/>
      </c>
    </row>
    <row r="182" customFormat="false" ht="15" hidden="false" customHeight="true" outlineLevel="0" collapsed="false">
      <c r="A182" s="35" t="str">
        <f aca="false">IF(AND(B182="",C182="",D182="",E182="",F182="",G182="",H182="",J182="",L182="",M182="",N182=""),"",Q182)</f>
        <v/>
      </c>
      <c r="B182" s="36"/>
      <c r="C182" s="36"/>
      <c r="D182" s="36"/>
      <c r="E182" s="36"/>
      <c r="F182" s="36"/>
      <c r="G182" s="36"/>
      <c r="H182" s="36"/>
      <c r="I182" s="1" t="str">
        <f aca="false">IF($A182="","",IFERROR(IF(ISBLANK(INDEX(SprintPlanning[Sprint],MATCH($A182,SprintPlanning[Requirement ID],0))),"To Plan",INDEX(SprintPlanning[Sprint],MATCH($A182,SprintPlanning[Requirement ID],0))),"To Plan"))</f>
        <v/>
      </c>
      <c r="J182" s="36"/>
      <c r="K182" s="1" t="str">
        <f aca="false">IFERROR(IF(ISBLANK(INDEX(Release[Release],MATCH($A182,Release[Requirement ID],0))),"",INDEX(Release[Release],MATCH($A182,Release[Requirement ID],0))),"")</f>
        <v/>
      </c>
      <c r="L182" s="36"/>
      <c r="M182" s="36"/>
      <c r="P182" s="1" t="n">
        <f aca="false">IFERROR(VALUE(MID($A182,5,4)),0)</f>
        <v>0</v>
      </c>
      <c r="Q182" s="1" t="str">
        <f aca="false">IF(B182="","","NEW-"&amp;TEXT(MAX($P$2:$P181,Lists!$N$2)+1,"0000"))</f>
        <v/>
      </c>
    </row>
    <row r="183" customFormat="false" ht="15" hidden="false" customHeight="true" outlineLevel="0" collapsed="false">
      <c r="A183" s="35" t="str">
        <f aca="false">IF(AND(B183="",C183="",D183="",E183="",F183="",G183="",H183="",J183="",L183="",M183="",N183=""),"",Q183)</f>
        <v/>
      </c>
      <c r="B183" s="36"/>
      <c r="C183" s="36"/>
      <c r="D183" s="36"/>
      <c r="E183" s="36"/>
      <c r="F183" s="36"/>
      <c r="G183" s="36"/>
      <c r="H183" s="36"/>
      <c r="I183" s="1" t="str">
        <f aca="false">IF($A183="","",IFERROR(IF(ISBLANK(INDEX(SprintPlanning[Sprint],MATCH($A183,SprintPlanning[Requirement ID],0))),"To Plan",INDEX(SprintPlanning[Sprint],MATCH($A183,SprintPlanning[Requirement ID],0))),"To Plan"))</f>
        <v/>
      </c>
      <c r="J183" s="36"/>
      <c r="K183" s="1" t="str">
        <f aca="false">IFERROR(IF(ISBLANK(INDEX(Release[Release],MATCH($A183,Release[Requirement ID],0))),"",INDEX(Release[Release],MATCH($A183,Release[Requirement ID],0))),"")</f>
        <v/>
      </c>
      <c r="L183" s="36"/>
      <c r="M183" s="36"/>
      <c r="P183" s="1" t="n">
        <f aca="false">IFERROR(VALUE(MID($A183,5,4)),0)</f>
        <v>0</v>
      </c>
      <c r="Q183" s="1" t="str">
        <f aca="false">IF(B183="","","NEW-"&amp;TEXT(MAX($P$2:$P182,Lists!$N$2)+1,"0000"))</f>
        <v/>
      </c>
    </row>
    <row r="184" customFormat="false" ht="15" hidden="false" customHeight="true" outlineLevel="0" collapsed="false">
      <c r="A184" s="35" t="str">
        <f aca="false">IF(AND(B184="",C184="",D184="",E184="",F184="",G184="",H184="",J184="",L184="",M184="",N184=""),"",Q184)</f>
        <v/>
      </c>
      <c r="B184" s="36"/>
      <c r="C184" s="36"/>
      <c r="D184" s="36"/>
      <c r="E184" s="36"/>
      <c r="F184" s="36"/>
      <c r="G184" s="36"/>
      <c r="H184" s="36"/>
      <c r="I184" s="1" t="str">
        <f aca="false">IF($A184="","",IFERROR(IF(ISBLANK(INDEX(SprintPlanning[Sprint],MATCH($A184,SprintPlanning[Requirement ID],0))),"To Plan",INDEX(SprintPlanning[Sprint],MATCH($A184,SprintPlanning[Requirement ID],0))),"To Plan"))</f>
        <v/>
      </c>
      <c r="J184" s="36"/>
      <c r="K184" s="1" t="str">
        <f aca="false">IFERROR(IF(ISBLANK(INDEX(Release[Release],MATCH($A184,Release[Requirement ID],0))),"",INDEX(Release[Release],MATCH($A184,Release[Requirement ID],0))),"")</f>
        <v/>
      </c>
      <c r="L184" s="36"/>
      <c r="M184" s="36"/>
      <c r="P184" s="1" t="n">
        <f aca="false">IFERROR(VALUE(MID($A184,5,4)),0)</f>
        <v>0</v>
      </c>
      <c r="Q184" s="1" t="str">
        <f aca="false">IF(B184="","","NEW-"&amp;TEXT(MAX($P$2:$P183,Lists!$N$2)+1,"0000"))</f>
        <v/>
      </c>
    </row>
    <row r="185" customFormat="false" ht="15" hidden="false" customHeight="true" outlineLevel="0" collapsed="false">
      <c r="A185" s="35" t="str">
        <f aca="false">IF(AND(B185="",C185="",D185="",E185="",F185="",G185="",H185="",J185="",L185="",M185="",N185=""),"",Q185)</f>
        <v/>
      </c>
      <c r="B185" s="36"/>
      <c r="C185" s="36"/>
      <c r="D185" s="36"/>
      <c r="E185" s="36"/>
      <c r="F185" s="36"/>
      <c r="G185" s="36"/>
      <c r="H185" s="36"/>
      <c r="I185" s="1" t="str">
        <f aca="false">IF($A185="","",IFERROR(IF(ISBLANK(INDEX(SprintPlanning[Sprint],MATCH($A185,SprintPlanning[Requirement ID],0))),"To Plan",INDEX(SprintPlanning[Sprint],MATCH($A185,SprintPlanning[Requirement ID],0))),"To Plan"))</f>
        <v/>
      </c>
      <c r="J185" s="36"/>
      <c r="K185" s="1" t="str">
        <f aca="false">IFERROR(IF(ISBLANK(INDEX(Release[Release],MATCH($A185,Release[Requirement ID],0))),"",INDEX(Release[Release],MATCH($A185,Release[Requirement ID],0))),"")</f>
        <v/>
      </c>
      <c r="L185" s="36"/>
      <c r="M185" s="36"/>
      <c r="P185" s="1" t="n">
        <f aca="false">IFERROR(VALUE(MID($A185,5,4)),0)</f>
        <v>0</v>
      </c>
      <c r="Q185" s="1" t="str">
        <f aca="false">IF(B185="","","NEW-"&amp;TEXT(MAX($P$2:$P184,Lists!$N$2)+1,"0000"))</f>
        <v/>
      </c>
    </row>
    <row r="186" customFormat="false" ht="15" hidden="false" customHeight="true" outlineLevel="0" collapsed="false">
      <c r="A186" s="35" t="str">
        <f aca="false">IF(AND(B186="",C186="",D186="",E186="",F186="",G186="",H186="",J186="",L186="",M186="",N186=""),"",Q186)</f>
        <v/>
      </c>
      <c r="B186" s="36"/>
      <c r="C186" s="36"/>
      <c r="D186" s="36"/>
      <c r="E186" s="36"/>
      <c r="F186" s="36"/>
      <c r="G186" s="36"/>
      <c r="H186" s="36"/>
      <c r="I186" s="1" t="str">
        <f aca="false">IF($A186="","",IFERROR(IF(ISBLANK(INDEX(SprintPlanning[Sprint],MATCH($A186,SprintPlanning[Requirement ID],0))),"To Plan",INDEX(SprintPlanning[Sprint],MATCH($A186,SprintPlanning[Requirement ID],0))),"To Plan"))</f>
        <v/>
      </c>
      <c r="J186" s="36"/>
      <c r="K186" s="1" t="str">
        <f aca="false">IFERROR(IF(ISBLANK(INDEX(Release[Release],MATCH($A186,Release[Requirement ID],0))),"",INDEX(Release[Release],MATCH($A186,Release[Requirement ID],0))),"")</f>
        <v/>
      </c>
      <c r="L186" s="36"/>
      <c r="M186" s="36"/>
      <c r="P186" s="1" t="n">
        <f aca="false">IFERROR(VALUE(MID($A186,5,4)),0)</f>
        <v>0</v>
      </c>
      <c r="Q186" s="1" t="str">
        <f aca="false">IF(B186="","","NEW-"&amp;TEXT(MAX($P$2:$P185,Lists!$N$2)+1,"0000"))</f>
        <v/>
      </c>
    </row>
    <row r="187" customFormat="false" ht="15" hidden="false" customHeight="true" outlineLevel="0" collapsed="false">
      <c r="A187" s="35" t="str">
        <f aca="false">IF(AND(B187="",C187="",D187="",E187="",F187="",G187="",H187="",J187="",L187="",M187="",N187=""),"",Q187)</f>
        <v/>
      </c>
      <c r="B187" s="36"/>
      <c r="C187" s="36"/>
      <c r="D187" s="36"/>
      <c r="E187" s="36"/>
      <c r="F187" s="36"/>
      <c r="G187" s="36"/>
      <c r="H187" s="36"/>
      <c r="I187" s="1" t="str">
        <f aca="false">IF($A187="","",IFERROR(IF(ISBLANK(INDEX(SprintPlanning[Sprint],MATCH($A187,SprintPlanning[Requirement ID],0))),"To Plan",INDEX(SprintPlanning[Sprint],MATCH($A187,SprintPlanning[Requirement ID],0))),"To Plan"))</f>
        <v/>
      </c>
      <c r="J187" s="36"/>
      <c r="K187" s="1" t="str">
        <f aca="false">IFERROR(IF(ISBLANK(INDEX(Release[Release],MATCH($A187,Release[Requirement ID],0))),"",INDEX(Release[Release],MATCH($A187,Release[Requirement ID],0))),"")</f>
        <v/>
      </c>
      <c r="L187" s="36"/>
      <c r="M187" s="36"/>
      <c r="P187" s="1" t="n">
        <f aca="false">IFERROR(VALUE(MID($A187,5,4)),0)</f>
        <v>0</v>
      </c>
      <c r="Q187" s="1" t="str">
        <f aca="false">IF(B187="","","NEW-"&amp;TEXT(MAX($P$2:$P186,Lists!$N$2)+1,"0000"))</f>
        <v/>
      </c>
    </row>
    <row r="188" customFormat="false" ht="15" hidden="false" customHeight="true" outlineLevel="0" collapsed="false">
      <c r="A188" s="35" t="str">
        <f aca="false">IF(AND(B188="",C188="",D188="",E188="",F188="",G188="",H188="",J188="",L188="",M188="",N188=""),"",Q188)</f>
        <v/>
      </c>
      <c r="B188" s="36"/>
      <c r="C188" s="36"/>
      <c r="D188" s="36"/>
      <c r="E188" s="36"/>
      <c r="F188" s="36"/>
      <c r="G188" s="36"/>
      <c r="H188" s="36"/>
      <c r="I188" s="1" t="str">
        <f aca="false">IF($A188="","",IFERROR(IF(ISBLANK(INDEX(SprintPlanning[Sprint],MATCH($A188,SprintPlanning[Requirement ID],0))),"To Plan",INDEX(SprintPlanning[Sprint],MATCH($A188,SprintPlanning[Requirement ID],0))),"To Plan"))</f>
        <v/>
      </c>
      <c r="J188" s="36"/>
      <c r="K188" s="1" t="str">
        <f aca="false">IFERROR(IF(ISBLANK(INDEX(Release[Release],MATCH($A188,Release[Requirement ID],0))),"",INDEX(Release[Release],MATCH($A188,Release[Requirement ID],0))),"")</f>
        <v/>
      </c>
      <c r="L188" s="36"/>
      <c r="M188" s="36"/>
      <c r="P188" s="1" t="n">
        <f aca="false">IFERROR(VALUE(MID($A188,5,4)),0)</f>
        <v>0</v>
      </c>
      <c r="Q188" s="1" t="str">
        <f aca="false">IF(B188="","","NEW-"&amp;TEXT(MAX($P$2:$P187,Lists!$N$2)+1,"0000"))</f>
        <v/>
      </c>
    </row>
    <row r="189" customFormat="false" ht="15" hidden="false" customHeight="true" outlineLevel="0" collapsed="false">
      <c r="A189" s="35" t="str">
        <f aca="false">IF(AND(B189="",C189="",D189="",E189="",F189="",G189="",H189="",J189="",L189="",M189="",N189=""),"",Q189)</f>
        <v/>
      </c>
      <c r="B189" s="36"/>
      <c r="C189" s="36"/>
      <c r="D189" s="36"/>
      <c r="E189" s="36"/>
      <c r="F189" s="36"/>
      <c r="G189" s="36"/>
      <c r="H189" s="36"/>
      <c r="I189" s="1" t="str">
        <f aca="false">IF($A189="","",IFERROR(IF(ISBLANK(INDEX(SprintPlanning[Sprint],MATCH($A189,SprintPlanning[Requirement ID],0))),"To Plan",INDEX(SprintPlanning[Sprint],MATCH($A189,SprintPlanning[Requirement ID],0))),"To Plan"))</f>
        <v/>
      </c>
      <c r="J189" s="36"/>
      <c r="K189" s="1" t="str">
        <f aca="false">IFERROR(IF(ISBLANK(INDEX(Release[Release],MATCH($A189,Release[Requirement ID],0))),"",INDEX(Release[Release],MATCH($A189,Release[Requirement ID],0))),"")</f>
        <v/>
      </c>
      <c r="L189" s="36"/>
      <c r="M189" s="36"/>
      <c r="P189" s="1" t="n">
        <f aca="false">IFERROR(VALUE(MID($A189,5,4)),0)</f>
        <v>0</v>
      </c>
      <c r="Q189" s="1" t="str">
        <f aca="false">IF(B189="","","NEW-"&amp;TEXT(MAX($P$2:$P188,Lists!$N$2)+1,"0000"))</f>
        <v/>
      </c>
    </row>
    <row r="190" customFormat="false" ht="15" hidden="false" customHeight="true" outlineLevel="0" collapsed="false">
      <c r="A190" s="35" t="str">
        <f aca="false">IF(AND(B190="",C190="",D190="",E190="",F190="",G190="",H190="",J190="",L190="",M190="",N190=""),"",Q190)</f>
        <v/>
      </c>
      <c r="B190" s="36"/>
      <c r="C190" s="36"/>
      <c r="D190" s="36"/>
      <c r="E190" s="36"/>
      <c r="F190" s="36"/>
      <c r="G190" s="36"/>
      <c r="H190" s="36"/>
      <c r="I190" s="1" t="str">
        <f aca="false">IF($A190="","",IFERROR(IF(ISBLANK(INDEX(SprintPlanning[Sprint],MATCH($A190,SprintPlanning[Requirement ID],0))),"To Plan",INDEX(SprintPlanning[Sprint],MATCH($A190,SprintPlanning[Requirement ID],0))),"To Plan"))</f>
        <v/>
      </c>
      <c r="J190" s="36"/>
      <c r="K190" s="1" t="str">
        <f aca="false">IFERROR(IF(ISBLANK(INDEX(Release[Release],MATCH($A190,Release[Requirement ID],0))),"",INDEX(Release[Release],MATCH($A190,Release[Requirement ID],0))),"")</f>
        <v/>
      </c>
      <c r="L190" s="36"/>
      <c r="M190" s="36"/>
      <c r="P190" s="1" t="n">
        <f aca="false">IFERROR(VALUE(MID($A190,5,4)),0)</f>
        <v>0</v>
      </c>
      <c r="Q190" s="1" t="str">
        <f aca="false">IF(B190="","","NEW-"&amp;TEXT(MAX($P$2:$P189,Lists!$N$2)+1,"0000"))</f>
        <v/>
      </c>
    </row>
    <row r="191" customFormat="false" ht="15" hidden="false" customHeight="true" outlineLevel="0" collapsed="false">
      <c r="A191" s="35" t="str">
        <f aca="false">IF(AND(B191="",C191="",D191="",E191="",F191="",G191="",H191="",J191="",L191="",M191="",N191=""),"",Q191)</f>
        <v/>
      </c>
      <c r="B191" s="36"/>
      <c r="C191" s="36"/>
      <c r="D191" s="36"/>
      <c r="E191" s="36"/>
      <c r="F191" s="36"/>
      <c r="G191" s="36"/>
      <c r="H191" s="36"/>
      <c r="I191" s="1" t="str">
        <f aca="false">IF($A191="","",IFERROR(IF(ISBLANK(INDEX(SprintPlanning[Sprint],MATCH($A191,SprintPlanning[Requirement ID],0))),"To Plan",INDEX(SprintPlanning[Sprint],MATCH($A191,SprintPlanning[Requirement ID],0))),"To Plan"))</f>
        <v/>
      </c>
      <c r="J191" s="36"/>
      <c r="K191" s="1" t="str">
        <f aca="false">IFERROR(IF(ISBLANK(INDEX(Release[Release],MATCH($A191,Release[Requirement ID],0))),"",INDEX(Release[Release],MATCH($A191,Release[Requirement ID],0))),"")</f>
        <v/>
      </c>
      <c r="L191" s="36"/>
      <c r="M191" s="36"/>
      <c r="P191" s="1" t="n">
        <f aca="false">IFERROR(VALUE(MID($A191,5,4)),0)</f>
        <v>0</v>
      </c>
      <c r="Q191" s="1" t="str">
        <f aca="false">IF(B191="","","NEW-"&amp;TEXT(MAX($P$2:$P190,Lists!$N$2)+1,"0000"))</f>
        <v/>
      </c>
    </row>
    <row r="192" customFormat="false" ht="15" hidden="false" customHeight="true" outlineLevel="0" collapsed="false">
      <c r="A192" s="35" t="str">
        <f aca="false">IF(AND(B192="",C192="",D192="",E192="",F192="",G192="",H192="",J192="",L192="",M192="",N192=""),"",Q192)</f>
        <v/>
      </c>
      <c r="B192" s="36"/>
      <c r="C192" s="36"/>
      <c r="D192" s="36"/>
      <c r="E192" s="36"/>
      <c r="F192" s="36"/>
      <c r="G192" s="36"/>
      <c r="H192" s="36"/>
      <c r="I192" s="1" t="str">
        <f aca="false">IF($A192="","",IFERROR(IF(ISBLANK(INDEX(SprintPlanning[Sprint],MATCH($A192,SprintPlanning[Requirement ID],0))),"To Plan",INDEX(SprintPlanning[Sprint],MATCH($A192,SprintPlanning[Requirement ID],0))),"To Plan"))</f>
        <v/>
      </c>
      <c r="J192" s="36"/>
      <c r="K192" s="1" t="str">
        <f aca="false">IFERROR(IF(ISBLANK(INDEX(Release[Release],MATCH($A192,Release[Requirement ID],0))),"",INDEX(Release[Release],MATCH($A192,Release[Requirement ID],0))),"")</f>
        <v/>
      </c>
      <c r="L192" s="36"/>
      <c r="M192" s="36"/>
      <c r="P192" s="1" t="n">
        <f aca="false">IFERROR(VALUE(MID($A192,5,4)),0)</f>
        <v>0</v>
      </c>
      <c r="Q192" s="1" t="str">
        <f aca="false">IF(B192="","","NEW-"&amp;TEXT(MAX($P$2:$P191,Lists!$N$2)+1,"0000"))</f>
        <v/>
      </c>
    </row>
    <row r="193" customFormat="false" ht="15" hidden="false" customHeight="true" outlineLevel="0" collapsed="false">
      <c r="A193" s="35" t="str">
        <f aca="false">IF(AND(B193="",C193="",D193="",E193="",F193="",G193="",H193="",J193="",L193="",M193="",N193=""),"",Q193)</f>
        <v/>
      </c>
      <c r="B193" s="36"/>
      <c r="C193" s="36"/>
      <c r="D193" s="36"/>
      <c r="E193" s="36"/>
      <c r="F193" s="36"/>
      <c r="G193" s="36"/>
      <c r="H193" s="36"/>
      <c r="I193" s="1" t="str">
        <f aca="false">IF($A193="","",IFERROR(IF(ISBLANK(INDEX(SprintPlanning[Sprint],MATCH($A193,SprintPlanning[Requirement ID],0))),"To Plan",INDEX(SprintPlanning[Sprint],MATCH($A193,SprintPlanning[Requirement ID],0))),"To Plan"))</f>
        <v/>
      </c>
      <c r="J193" s="36"/>
      <c r="K193" s="1" t="str">
        <f aca="false">IFERROR(IF(ISBLANK(INDEX(Release[Release],MATCH($A193,Release[Requirement ID],0))),"",INDEX(Release[Release],MATCH($A193,Release[Requirement ID],0))),"")</f>
        <v/>
      </c>
      <c r="L193" s="36"/>
      <c r="M193" s="36"/>
      <c r="P193" s="1" t="n">
        <f aca="false">IFERROR(VALUE(MID($A193,5,4)),0)</f>
        <v>0</v>
      </c>
      <c r="Q193" s="1" t="str">
        <f aca="false">IF(B193="","","NEW-"&amp;TEXT(MAX($P$2:$P192,Lists!$N$2)+1,"0000"))</f>
        <v/>
      </c>
    </row>
    <row r="194" customFormat="false" ht="15" hidden="false" customHeight="true" outlineLevel="0" collapsed="false">
      <c r="A194" s="35" t="str">
        <f aca="false">IF(AND(B194="",C194="",D194="",E194="",F194="",G194="",H194="",J194="",L194="",M194="",N194=""),"",Q194)</f>
        <v/>
      </c>
      <c r="B194" s="36"/>
      <c r="C194" s="36"/>
      <c r="D194" s="36"/>
      <c r="E194" s="36"/>
      <c r="F194" s="36"/>
      <c r="G194" s="36"/>
      <c r="H194" s="36"/>
      <c r="I194" s="1" t="str">
        <f aca="false">IF($A194="","",IFERROR(IF(ISBLANK(INDEX(SprintPlanning[Sprint],MATCH($A194,SprintPlanning[Requirement ID],0))),"To Plan",INDEX(SprintPlanning[Sprint],MATCH($A194,SprintPlanning[Requirement ID],0))),"To Plan"))</f>
        <v/>
      </c>
      <c r="J194" s="36"/>
      <c r="K194" s="1" t="str">
        <f aca="false">IFERROR(IF(ISBLANK(INDEX(Release[Release],MATCH($A194,Release[Requirement ID],0))),"",INDEX(Release[Release],MATCH($A194,Release[Requirement ID],0))),"")</f>
        <v/>
      </c>
      <c r="L194" s="36"/>
      <c r="M194" s="36"/>
      <c r="P194" s="1" t="n">
        <f aca="false">IFERROR(VALUE(MID($A194,5,4)),0)</f>
        <v>0</v>
      </c>
      <c r="Q194" s="1" t="str">
        <f aca="false">IF(B194="","","NEW-"&amp;TEXT(MAX($P$2:$P193,Lists!$N$2)+1,"0000"))</f>
        <v/>
      </c>
    </row>
    <row r="195" customFormat="false" ht="15" hidden="false" customHeight="true" outlineLevel="0" collapsed="false">
      <c r="A195" s="35" t="str">
        <f aca="false">IF(AND(B195="",C195="",D195="",E195="",F195="",G195="",H195="",J195="",L195="",M195="",N195=""),"",Q195)</f>
        <v/>
      </c>
      <c r="B195" s="36"/>
      <c r="C195" s="36"/>
      <c r="D195" s="36"/>
      <c r="E195" s="36"/>
      <c r="F195" s="36"/>
      <c r="G195" s="36"/>
      <c r="H195" s="36"/>
      <c r="I195" s="1" t="str">
        <f aca="false">IF($A195="","",IFERROR(IF(ISBLANK(INDEX(SprintPlanning[Sprint],MATCH($A195,SprintPlanning[Requirement ID],0))),"To Plan",INDEX(SprintPlanning[Sprint],MATCH($A195,SprintPlanning[Requirement ID],0))),"To Plan"))</f>
        <v/>
      </c>
      <c r="J195" s="36"/>
      <c r="K195" s="1" t="str">
        <f aca="false">IFERROR(IF(ISBLANK(INDEX(Release[Release],MATCH($A195,Release[Requirement ID],0))),"",INDEX(Release[Release],MATCH($A195,Release[Requirement ID],0))),"")</f>
        <v/>
      </c>
      <c r="L195" s="36"/>
      <c r="M195" s="36"/>
      <c r="P195" s="1" t="n">
        <f aca="false">IFERROR(VALUE(MID($A195,5,4)),0)</f>
        <v>0</v>
      </c>
      <c r="Q195" s="1" t="str">
        <f aca="false">IF(B195="","","NEW-"&amp;TEXT(MAX($P$2:$P194,Lists!$N$2)+1,"0000"))</f>
        <v/>
      </c>
    </row>
    <row r="196" customFormat="false" ht="15" hidden="false" customHeight="true" outlineLevel="0" collapsed="false">
      <c r="A196" s="35" t="str">
        <f aca="false">IF(AND(B196="",C196="",D196="",E196="",F196="",G196="",H196="",J196="",L196="",M196="",N196=""),"",Q196)</f>
        <v/>
      </c>
      <c r="B196" s="36"/>
      <c r="C196" s="36"/>
      <c r="D196" s="36"/>
      <c r="E196" s="36"/>
      <c r="F196" s="36"/>
      <c r="G196" s="36"/>
      <c r="H196" s="36"/>
      <c r="I196" s="1" t="str">
        <f aca="false">IF($A196="","",IFERROR(IF(ISBLANK(INDEX(SprintPlanning[Sprint],MATCH($A196,SprintPlanning[Requirement ID],0))),"To Plan",INDEX(SprintPlanning[Sprint],MATCH($A196,SprintPlanning[Requirement ID],0))),"To Plan"))</f>
        <v/>
      </c>
      <c r="J196" s="36"/>
      <c r="K196" s="1" t="str">
        <f aca="false">IFERROR(IF(ISBLANK(INDEX(Release[Release],MATCH($A196,Release[Requirement ID],0))),"",INDEX(Release[Release],MATCH($A196,Release[Requirement ID],0))),"")</f>
        <v/>
      </c>
      <c r="L196" s="36"/>
      <c r="M196" s="36"/>
      <c r="P196" s="1" t="n">
        <f aca="false">IFERROR(VALUE(MID($A196,5,4)),0)</f>
        <v>0</v>
      </c>
      <c r="Q196" s="1" t="str">
        <f aca="false">IF(B196="","","NEW-"&amp;TEXT(MAX($P$2:$P195,Lists!$N$2)+1,"0000"))</f>
        <v/>
      </c>
    </row>
    <row r="197" customFormat="false" ht="15" hidden="false" customHeight="true" outlineLevel="0" collapsed="false">
      <c r="A197" s="35" t="str">
        <f aca="false">IF(AND(B197="",C197="",D197="",E197="",F197="",G197="",H197="",J197="",L197="",M197="",N197=""),"",Q197)</f>
        <v/>
      </c>
      <c r="B197" s="36"/>
      <c r="C197" s="36"/>
      <c r="D197" s="36"/>
      <c r="E197" s="36"/>
      <c r="F197" s="36"/>
      <c r="G197" s="36"/>
      <c r="H197" s="36"/>
      <c r="I197" s="1" t="str">
        <f aca="false">IF($A197="","",IFERROR(IF(ISBLANK(INDEX(SprintPlanning[Sprint],MATCH($A197,SprintPlanning[Requirement ID],0))),"To Plan",INDEX(SprintPlanning[Sprint],MATCH($A197,SprintPlanning[Requirement ID],0))),"To Plan"))</f>
        <v/>
      </c>
      <c r="J197" s="36"/>
      <c r="K197" s="1" t="str">
        <f aca="false">IFERROR(IF(ISBLANK(INDEX(Release[Release],MATCH($A197,Release[Requirement ID],0))),"",INDEX(Release[Release],MATCH($A197,Release[Requirement ID],0))),"")</f>
        <v/>
      </c>
      <c r="L197" s="36"/>
      <c r="M197" s="36"/>
      <c r="P197" s="1" t="n">
        <f aca="false">IFERROR(VALUE(MID($A197,5,4)),0)</f>
        <v>0</v>
      </c>
      <c r="Q197" s="1" t="str">
        <f aca="false">IF(B197="","","NEW-"&amp;TEXT(MAX($P$2:$P196,Lists!$N$2)+1,"0000"))</f>
        <v/>
      </c>
    </row>
    <row r="198" customFormat="false" ht="15" hidden="false" customHeight="true" outlineLevel="0" collapsed="false">
      <c r="A198" s="35" t="str">
        <f aca="false">IF(AND(B198="",C198="",D198="",E198="",F198="",G198="",H198="",J198="",L198="",M198="",N198=""),"",Q198)</f>
        <v/>
      </c>
      <c r="B198" s="36"/>
      <c r="C198" s="36"/>
      <c r="D198" s="36"/>
      <c r="E198" s="36"/>
      <c r="F198" s="36"/>
      <c r="G198" s="36"/>
      <c r="H198" s="36"/>
      <c r="I198" s="1" t="str">
        <f aca="false">IF($A198="","",IFERROR(IF(ISBLANK(INDEX(SprintPlanning[Sprint],MATCH($A198,SprintPlanning[Requirement ID],0))),"To Plan",INDEX(SprintPlanning[Sprint],MATCH($A198,SprintPlanning[Requirement ID],0))),"To Plan"))</f>
        <v/>
      </c>
      <c r="J198" s="36"/>
      <c r="K198" s="1" t="str">
        <f aca="false">IFERROR(IF(ISBLANK(INDEX(Release[Release],MATCH($A198,Release[Requirement ID],0))),"",INDEX(Release[Release],MATCH($A198,Release[Requirement ID],0))),"")</f>
        <v/>
      </c>
      <c r="L198" s="36"/>
      <c r="M198" s="36"/>
      <c r="P198" s="1" t="n">
        <f aca="false">IFERROR(VALUE(MID($A198,5,4)),0)</f>
        <v>0</v>
      </c>
      <c r="Q198" s="1" t="str">
        <f aca="false">IF(B198="","","NEW-"&amp;TEXT(MAX($P$2:$P197,Lists!$N$2)+1,"0000"))</f>
        <v/>
      </c>
    </row>
    <row r="199" customFormat="false" ht="15" hidden="false" customHeight="true" outlineLevel="0" collapsed="false">
      <c r="A199" s="35" t="str">
        <f aca="false">IF(AND(B199="",C199="",D199="",E199="",F199="",G199="",H199="",J199="",L199="",M199="",N199=""),"",Q199)</f>
        <v/>
      </c>
      <c r="B199" s="36"/>
      <c r="C199" s="36"/>
      <c r="D199" s="36"/>
      <c r="E199" s="36"/>
      <c r="F199" s="36"/>
      <c r="G199" s="36"/>
      <c r="H199" s="36"/>
      <c r="I199" s="1" t="str">
        <f aca="false">IF($A199="","",IFERROR(IF(ISBLANK(INDEX(SprintPlanning[Sprint],MATCH($A199,SprintPlanning[Requirement ID],0))),"To Plan",INDEX(SprintPlanning[Sprint],MATCH($A199,SprintPlanning[Requirement ID],0))),"To Plan"))</f>
        <v/>
      </c>
      <c r="J199" s="36"/>
      <c r="K199" s="1" t="str">
        <f aca="false">IFERROR(IF(ISBLANK(INDEX(Release[Release],MATCH($A199,Release[Requirement ID],0))),"",INDEX(Release[Release],MATCH($A199,Release[Requirement ID],0))),"")</f>
        <v/>
      </c>
      <c r="L199" s="36"/>
      <c r="M199" s="36"/>
      <c r="P199" s="1" t="n">
        <f aca="false">IFERROR(VALUE(MID($A199,5,4)),0)</f>
        <v>0</v>
      </c>
      <c r="Q199" s="1" t="str">
        <f aca="false">IF(B199="","","NEW-"&amp;TEXT(MAX($P$2:$P198,Lists!$N$2)+1,"0000"))</f>
        <v/>
      </c>
    </row>
    <row r="200" customFormat="false" ht="15" hidden="false" customHeight="true" outlineLevel="0" collapsed="false">
      <c r="A200" s="35" t="str">
        <f aca="false">IF(AND(B200="",C200="",D200="",E200="",F200="",G200="",H200="",J200="",L200="",M200="",N200=""),"",Q200)</f>
        <v/>
      </c>
      <c r="B200" s="36"/>
      <c r="C200" s="36"/>
      <c r="D200" s="36"/>
      <c r="E200" s="36"/>
      <c r="F200" s="36"/>
      <c r="G200" s="36"/>
      <c r="H200" s="36"/>
      <c r="I200" s="1" t="str">
        <f aca="false">IF($A200="","",IFERROR(IF(ISBLANK(INDEX(SprintPlanning[Sprint],MATCH($A200,SprintPlanning[Requirement ID],0))),"To Plan",INDEX(SprintPlanning[Sprint],MATCH($A200,SprintPlanning[Requirement ID],0))),"To Plan"))</f>
        <v/>
      </c>
      <c r="J200" s="36"/>
      <c r="K200" s="1" t="str">
        <f aca="false">IFERROR(IF(ISBLANK(INDEX(Release[Release],MATCH($A200,Release[Requirement ID],0))),"",INDEX(Release[Release],MATCH($A200,Release[Requirement ID],0))),"")</f>
        <v/>
      </c>
      <c r="L200" s="36"/>
      <c r="M200" s="36"/>
      <c r="P200" s="1" t="n">
        <f aca="false">IFERROR(VALUE(MID($A200,5,4)),0)</f>
        <v>0</v>
      </c>
      <c r="Q200" s="1" t="str">
        <f aca="false">IF(B200="","","NEW-"&amp;TEXT(MAX($P$2:$P199,Lists!$N$2)+1,"0000"))</f>
        <v/>
      </c>
    </row>
    <row r="201" customFormat="false" ht="15" hidden="false" customHeight="true" outlineLevel="0" collapsed="false">
      <c r="A201" s="35" t="str">
        <f aca="false">IF(AND(B201="",C201="",D201="",E201="",F201="",G201="",H201="",J201="",L201="",M201="",N201=""),"",Q201)</f>
        <v/>
      </c>
      <c r="B201" s="36"/>
      <c r="C201" s="36"/>
      <c r="D201" s="36"/>
      <c r="E201" s="36"/>
      <c r="F201" s="36"/>
      <c r="G201" s="36"/>
      <c r="H201" s="36"/>
      <c r="I201" s="1" t="str">
        <f aca="false">IF($A201="","",IFERROR(IF(ISBLANK(INDEX(SprintPlanning[Sprint],MATCH($A201,SprintPlanning[Requirement ID],0))),"To Plan",INDEX(SprintPlanning[Sprint],MATCH($A201,SprintPlanning[Requirement ID],0))),"To Plan"))</f>
        <v/>
      </c>
      <c r="J201" s="36"/>
      <c r="K201" s="1" t="str">
        <f aca="false">IFERROR(IF(ISBLANK(INDEX(Release[Release],MATCH($A201,Release[Requirement ID],0))),"",INDEX(Release[Release],MATCH($A201,Release[Requirement ID],0))),"")</f>
        <v/>
      </c>
      <c r="L201" s="36"/>
      <c r="M201" s="36"/>
      <c r="P201" s="1" t="n">
        <f aca="false">IFERROR(VALUE(MID($A201,5,4)),0)</f>
        <v>0</v>
      </c>
      <c r="Q201" s="1" t="str">
        <f aca="false">IF(B201="","","NEW-"&amp;TEXT(MAX($P$2:$P200,Lists!$N$2)+1,"0000"))</f>
        <v/>
      </c>
    </row>
    <row r="202" customFormat="false" ht="15" hidden="false" customHeight="true" outlineLevel="0" collapsed="false">
      <c r="A202" s="35" t="str">
        <f aca="false">IF(AND(B202="",C202="",D202="",E202="",F202="",G202="",H202="",J202="",L202="",M202="",N202=""),"",Q202)</f>
        <v/>
      </c>
      <c r="B202" s="36"/>
      <c r="C202" s="36"/>
      <c r="D202" s="36"/>
      <c r="E202" s="36"/>
      <c r="F202" s="36"/>
      <c r="G202" s="36"/>
      <c r="H202" s="36"/>
      <c r="I202" s="1" t="str">
        <f aca="false">IF($A202="","",IFERROR(IF(ISBLANK(INDEX(SprintPlanning[Sprint],MATCH($A202,SprintPlanning[Requirement ID],0))),"To Plan",INDEX(SprintPlanning[Sprint],MATCH($A202,SprintPlanning[Requirement ID],0))),"To Plan"))</f>
        <v/>
      </c>
      <c r="J202" s="36"/>
      <c r="K202" s="1" t="str">
        <f aca="false">IFERROR(IF(ISBLANK(INDEX(Release[Release],MATCH($A202,Release[Requirement ID],0))),"",INDEX(Release[Release],MATCH($A202,Release[Requirement ID],0))),"")</f>
        <v/>
      </c>
      <c r="L202" s="36"/>
      <c r="M202" s="36"/>
      <c r="P202" s="1" t="n">
        <f aca="false">IFERROR(VALUE(MID($A202,5,4)),0)</f>
        <v>0</v>
      </c>
      <c r="Q202" s="1" t="str">
        <f aca="false">IF(B202="","","NEW-"&amp;TEXT(MAX($P$2:$P201,Lists!$N$2)+1,"0000"))</f>
        <v/>
      </c>
    </row>
    <row r="203" customFormat="false" ht="15" hidden="false" customHeight="true" outlineLevel="0" collapsed="false">
      <c r="A203" s="35" t="str">
        <f aca="false">IF(AND(B203="",C203="",D203="",E203="",F203="",G203="",H203="",J203="",L203="",M203="",N203=""),"",Q203)</f>
        <v/>
      </c>
      <c r="B203" s="36"/>
      <c r="C203" s="36"/>
      <c r="D203" s="36"/>
      <c r="E203" s="36"/>
      <c r="F203" s="36"/>
      <c r="G203" s="36"/>
      <c r="H203" s="36"/>
      <c r="I203" s="1" t="str">
        <f aca="false">IF($A203="","",IFERROR(IF(ISBLANK(INDEX(SprintPlanning[Sprint],MATCH($A203,SprintPlanning[Requirement ID],0))),"To Plan",INDEX(SprintPlanning[Sprint],MATCH($A203,SprintPlanning[Requirement ID],0))),"To Plan"))</f>
        <v/>
      </c>
      <c r="J203" s="36"/>
      <c r="K203" s="1" t="str">
        <f aca="false">IFERROR(IF(ISBLANK(INDEX(Release[Release],MATCH($A203,Release[Requirement ID],0))),"",INDEX(Release[Release],MATCH($A203,Release[Requirement ID],0))),"")</f>
        <v/>
      </c>
      <c r="L203" s="36"/>
      <c r="M203" s="36"/>
      <c r="P203" s="1" t="n">
        <f aca="false">IFERROR(VALUE(MID($A203,5,4)),0)</f>
        <v>0</v>
      </c>
      <c r="Q203" s="1" t="str">
        <f aca="false">IF(B203="","","NEW-"&amp;TEXT(MAX($P$2:$P202,Lists!$N$2)+1,"0000"))</f>
        <v/>
      </c>
    </row>
    <row r="204" customFormat="false" ht="15" hidden="false" customHeight="true" outlineLevel="0" collapsed="false">
      <c r="A204" s="35" t="str">
        <f aca="false">IF(AND(B204="",C204="",D204="",E204="",F204="",G204="",H204="",J204="",L204="",M204="",N204=""),"",Q204)</f>
        <v/>
      </c>
      <c r="B204" s="36"/>
      <c r="C204" s="36"/>
      <c r="D204" s="36"/>
      <c r="E204" s="36"/>
      <c r="F204" s="36"/>
      <c r="G204" s="36"/>
      <c r="H204" s="36"/>
      <c r="I204" s="1" t="str">
        <f aca="false">IF($A204="","",IFERROR(IF(ISBLANK(INDEX(SprintPlanning[Sprint],MATCH($A204,SprintPlanning[Requirement ID],0))),"To Plan",INDEX(SprintPlanning[Sprint],MATCH($A204,SprintPlanning[Requirement ID],0))),"To Plan"))</f>
        <v/>
      </c>
      <c r="J204" s="36"/>
      <c r="K204" s="1" t="str">
        <f aca="false">IFERROR(IF(ISBLANK(INDEX(Release[Release],MATCH($A204,Release[Requirement ID],0))),"",INDEX(Release[Release],MATCH($A204,Release[Requirement ID],0))),"")</f>
        <v/>
      </c>
      <c r="L204" s="36"/>
      <c r="M204" s="36"/>
      <c r="P204" s="1" t="n">
        <f aca="false">IFERROR(VALUE(MID($A204,5,4)),0)</f>
        <v>0</v>
      </c>
      <c r="Q204" s="1" t="str">
        <f aca="false">IF(B204="","","NEW-"&amp;TEXT(MAX($P$2:$P203,Lists!$N$2)+1,"0000"))</f>
        <v/>
      </c>
    </row>
    <row r="205" customFormat="false" ht="23.25" hidden="false" customHeight="true" outlineLevel="0" collapsed="false">
      <c r="A205" s="35" t="str">
        <f aca="false">IF(AND(B205="",C205="",D205="",E205="",F205="",G205="",H205="",J205="",L205="",M205="",N205=""),"",Q205)</f>
        <v/>
      </c>
      <c r="B205" s="36"/>
      <c r="C205" s="36"/>
      <c r="D205" s="36"/>
      <c r="E205" s="36"/>
      <c r="F205" s="36"/>
      <c r="G205" s="36"/>
      <c r="H205" s="36"/>
      <c r="I205" s="1" t="str">
        <f aca="false">IF($A205="","",IFERROR(IF(ISBLANK(INDEX(SprintPlanning[Sprint],MATCH($A205,SprintPlanning[Requirement ID],0))),"To Plan",INDEX(SprintPlanning[Sprint],MATCH($A205,SprintPlanning[Requirement ID],0))),"To Plan"))</f>
        <v/>
      </c>
      <c r="J205" s="36"/>
      <c r="K205" s="1" t="str">
        <f aca="false">IFERROR(IF(ISBLANK(INDEX(Release[Release],MATCH($A205,Release[Requirement ID],0))),"",INDEX(Release[Release],MATCH($A205,Release[Requirement ID],0))),"")</f>
        <v/>
      </c>
      <c r="L205" s="36"/>
      <c r="M205" s="36"/>
      <c r="P205" s="1" t="n">
        <f aca="false">IFERROR(VALUE(MID($A205,5,4)),0)</f>
        <v>0</v>
      </c>
      <c r="Q205" s="1" t="str">
        <f aca="false">IF(B205="","","NEW-"&amp;TEXT(MAX($P$2:$P204,Lists!$N$2)+1,"0000"))</f>
        <v/>
      </c>
    </row>
    <row r="206" customFormat="false" ht="15" hidden="false" customHeight="true" outlineLevel="0" collapsed="false">
      <c r="A206" s="35" t="str">
        <f aca="false">IF(AND(B206="",C206="",D206="",E206="",F206="",G206="",H206="",J206="",L206="",M206="",N206=""),"",Q206)</f>
        <v/>
      </c>
      <c r="B206" s="36"/>
      <c r="C206" s="36"/>
      <c r="D206" s="36"/>
      <c r="E206" s="36"/>
      <c r="F206" s="36"/>
      <c r="G206" s="36"/>
      <c r="H206" s="36"/>
      <c r="I206" s="1" t="str">
        <f aca="false">IF($A206="","",IFERROR(IF(ISBLANK(INDEX(SprintPlanning[Sprint],MATCH($A206,SprintPlanning[Requirement ID],0))),"To Plan",INDEX(SprintPlanning[Sprint],MATCH($A206,SprintPlanning[Requirement ID],0))),"To Plan"))</f>
        <v/>
      </c>
      <c r="J206" s="36"/>
      <c r="K206" s="1" t="str">
        <f aca="false">IFERROR(IF(ISBLANK(INDEX(Release[Release],MATCH($A206,Release[Requirement ID],0))),"",INDEX(Release[Release],MATCH($A206,Release[Requirement ID],0))),"")</f>
        <v/>
      </c>
      <c r="L206" s="36"/>
      <c r="M206" s="36"/>
      <c r="P206" s="1" t="n">
        <f aca="false">IFERROR(VALUE(MID($A206,5,4)),0)</f>
        <v>0</v>
      </c>
      <c r="Q206" s="1" t="str">
        <f aca="false">IF(B206="","","NEW-"&amp;TEXT(MAX($P$2:$P205,Lists!$N$2)+1,"0000"))</f>
        <v/>
      </c>
    </row>
    <row r="207" customFormat="false" ht="15" hidden="false" customHeight="true" outlineLevel="0" collapsed="false">
      <c r="A207" s="35" t="str">
        <f aca="false">IF(AND(B207="",C207="",D207="",E207="",F207="",G207="",H207="",J207="",L207="",M207="",N207=""),"",Q207)</f>
        <v/>
      </c>
      <c r="B207" s="36"/>
      <c r="C207" s="36"/>
      <c r="D207" s="36"/>
      <c r="E207" s="36"/>
      <c r="F207" s="36"/>
      <c r="G207" s="36"/>
      <c r="H207" s="36"/>
      <c r="I207" s="1" t="str">
        <f aca="false">IF($A207="","",IFERROR(IF(ISBLANK(INDEX(SprintPlanning[Sprint],MATCH($A207,SprintPlanning[Requirement ID],0))),"To Plan",INDEX(SprintPlanning[Sprint],MATCH($A207,SprintPlanning[Requirement ID],0))),"To Plan"))</f>
        <v/>
      </c>
      <c r="J207" s="36"/>
      <c r="K207" s="1" t="str">
        <f aca="false">IFERROR(IF(ISBLANK(INDEX(Release[Release],MATCH($A207,Release[Requirement ID],0))),"",INDEX(Release[Release],MATCH($A207,Release[Requirement ID],0))),"")</f>
        <v/>
      </c>
      <c r="L207" s="36"/>
      <c r="M207" s="36"/>
      <c r="P207" s="1" t="n">
        <f aca="false">IFERROR(VALUE(MID($A207,5,4)),0)</f>
        <v>0</v>
      </c>
      <c r="Q207" s="1" t="str">
        <f aca="false">IF(B207="","","NEW-"&amp;TEXT(MAX($P$2:$P206,Lists!$N$2)+1,"0000"))</f>
        <v/>
      </c>
    </row>
    <row r="208" customFormat="false" ht="15" hidden="false" customHeight="true" outlineLevel="0" collapsed="false">
      <c r="A208" s="35" t="str">
        <f aca="false">IF(AND(B208="",C208="",D208="",E208="",F208="",G208="",H208="",J208="",L208="",M208="",N208=""),"",Q208)</f>
        <v/>
      </c>
      <c r="B208" s="36"/>
      <c r="C208" s="36"/>
      <c r="D208" s="36"/>
      <c r="E208" s="36"/>
      <c r="F208" s="36"/>
      <c r="G208" s="36"/>
      <c r="H208" s="36"/>
      <c r="I208" s="1" t="str">
        <f aca="false">IF($A208="","",IFERROR(IF(ISBLANK(INDEX(SprintPlanning[Sprint],MATCH($A208,SprintPlanning[Requirement ID],0))),"To Plan",INDEX(SprintPlanning[Sprint],MATCH($A208,SprintPlanning[Requirement ID],0))),"To Plan"))</f>
        <v/>
      </c>
      <c r="J208" s="36"/>
      <c r="K208" s="1" t="str">
        <f aca="false">IFERROR(IF(ISBLANK(INDEX(Release[Release],MATCH($A208,Release[Requirement ID],0))),"",INDEX(Release[Release],MATCH($A208,Release[Requirement ID],0))),"")</f>
        <v/>
      </c>
      <c r="L208" s="36"/>
      <c r="M208" s="36"/>
      <c r="P208" s="1" t="n">
        <f aca="false">IFERROR(VALUE(MID($A208,5,4)),0)</f>
        <v>0</v>
      </c>
      <c r="Q208" s="1" t="str">
        <f aca="false">IF(B208="","","NEW-"&amp;TEXT(MAX($P$2:$P207,Lists!$N$2)+1,"0000"))</f>
        <v/>
      </c>
    </row>
    <row r="209" customFormat="false" ht="15" hidden="false" customHeight="true" outlineLevel="0" collapsed="false">
      <c r="A209" s="35" t="str">
        <f aca="false">IF(AND(B209="",C209="",D209="",E209="",F209="",G209="",H209="",J209="",L209="",M209="",N209=""),"",Q209)</f>
        <v/>
      </c>
      <c r="B209" s="36"/>
      <c r="C209" s="36"/>
      <c r="D209" s="36"/>
      <c r="E209" s="36"/>
      <c r="F209" s="36"/>
      <c r="G209" s="36"/>
      <c r="H209" s="36"/>
      <c r="I209" s="1" t="str">
        <f aca="false">IF($A209="","",IFERROR(IF(ISBLANK(INDEX(SprintPlanning[Sprint],MATCH($A209,SprintPlanning[Requirement ID],0))),"To Plan",INDEX(SprintPlanning[Sprint],MATCH($A209,SprintPlanning[Requirement ID],0))),"To Plan"))</f>
        <v/>
      </c>
      <c r="J209" s="36"/>
      <c r="K209" s="1" t="str">
        <f aca="false">IFERROR(IF(ISBLANK(INDEX(Release[Release],MATCH($A209,Release[Requirement ID],0))),"",INDEX(Release[Release],MATCH($A209,Release[Requirement ID],0))),"")</f>
        <v/>
      </c>
      <c r="L209" s="36"/>
      <c r="M209" s="36"/>
      <c r="P209" s="1" t="n">
        <f aca="false">IFERROR(VALUE(MID($A209,5,4)),0)</f>
        <v>0</v>
      </c>
      <c r="Q209" s="1" t="str">
        <f aca="false">IF(B209="","","NEW-"&amp;TEXT(MAX($P$2:$P208,Lists!$N$2)+1,"0000"))</f>
        <v/>
      </c>
    </row>
    <row r="210" customFormat="false" ht="15" hidden="false" customHeight="true" outlineLevel="0" collapsed="false">
      <c r="A210" s="35" t="str">
        <f aca="false">IF(AND(B210="",C210="",D210="",E210="",F210="",G210="",H210="",J210="",L210="",M210="",N210=""),"",Q210)</f>
        <v/>
      </c>
      <c r="B210" s="36"/>
      <c r="C210" s="36"/>
      <c r="D210" s="36"/>
      <c r="E210" s="36"/>
      <c r="F210" s="36"/>
      <c r="G210" s="36"/>
      <c r="H210" s="36"/>
      <c r="I210" s="1" t="str">
        <f aca="false">IF($A210="","",IFERROR(IF(ISBLANK(INDEX(SprintPlanning[Sprint],MATCH($A210,SprintPlanning[Requirement ID],0))),"To Plan",INDEX(SprintPlanning[Sprint],MATCH($A210,SprintPlanning[Requirement ID],0))),"To Plan"))</f>
        <v/>
      </c>
      <c r="J210" s="36"/>
      <c r="K210" s="1" t="str">
        <f aca="false">IFERROR(IF(ISBLANK(INDEX(Release[Release],MATCH($A210,Release[Requirement ID],0))),"",INDEX(Release[Release],MATCH($A210,Release[Requirement ID],0))),"")</f>
        <v/>
      </c>
      <c r="L210" s="36"/>
      <c r="M210" s="36"/>
      <c r="P210" s="1" t="n">
        <f aca="false">IFERROR(VALUE(MID($A210,5,4)),0)</f>
        <v>0</v>
      </c>
      <c r="Q210" s="1" t="str">
        <f aca="false">IF(B210="","","NEW-"&amp;TEXT(MAX($P$2:$P209,Lists!$N$2)+1,"0000"))</f>
        <v/>
      </c>
    </row>
    <row r="211" customFormat="false" ht="15" hidden="false" customHeight="true" outlineLevel="0" collapsed="false">
      <c r="A211" s="35" t="str">
        <f aca="false">IF(AND(B211="",C211="",D211="",E211="",F211="",G211="",H211="",J211="",L211="",M211="",N211=""),"",Q211)</f>
        <v/>
      </c>
      <c r="B211" s="36"/>
      <c r="C211" s="36"/>
      <c r="D211" s="36"/>
      <c r="E211" s="36"/>
      <c r="F211" s="36"/>
      <c r="G211" s="36"/>
      <c r="H211" s="36"/>
      <c r="I211" s="1" t="str">
        <f aca="false">IF($A211="","",IFERROR(IF(ISBLANK(INDEX(SprintPlanning[Sprint],MATCH($A211,SprintPlanning[Requirement ID],0))),"To Plan",INDEX(SprintPlanning[Sprint],MATCH($A211,SprintPlanning[Requirement ID],0))),"To Plan"))</f>
        <v/>
      </c>
      <c r="J211" s="36"/>
      <c r="K211" s="1" t="str">
        <f aca="false">IFERROR(IF(ISBLANK(INDEX(Release[Release],MATCH($A211,Release[Requirement ID],0))),"",INDEX(Release[Release],MATCH($A211,Release[Requirement ID],0))),"")</f>
        <v/>
      </c>
      <c r="L211" s="36"/>
      <c r="M211" s="36"/>
      <c r="P211" s="1" t="n">
        <f aca="false">IFERROR(VALUE(MID($A211,5,4)),0)</f>
        <v>0</v>
      </c>
      <c r="Q211" s="1" t="str">
        <f aca="false">IF(B211="","","NEW-"&amp;TEXT(MAX($P$2:$P210,Lists!$N$2)+1,"0000"))</f>
        <v/>
      </c>
    </row>
    <row r="212" customFormat="false" ht="15" hidden="false" customHeight="true" outlineLevel="0" collapsed="false">
      <c r="A212" s="35" t="str">
        <f aca="false">IF(AND(B212="",C212="",D212="",E212="",F212="",G212="",H212="",J212="",L212="",M212="",N212=""),"",Q212)</f>
        <v/>
      </c>
      <c r="B212" s="36"/>
      <c r="C212" s="36"/>
      <c r="D212" s="36"/>
      <c r="E212" s="36"/>
      <c r="F212" s="36"/>
      <c r="G212" s="36"/>
      <c r="H212" s="36"/>
      <c r="I212" s="1" t="str">
        <f aca="false">IF($A212="","",IFERROR(IF(ISBLANK(INDEX(SprintPlanning[Sprint],MATCH($A212,SprintPlanning[Requirement ID],0))),"To Plan",INDEX(SprintPlanning[Sprint],MATCH($A212,SprintPlanning[Requirement ID],0))),"To Plan"))</f>
        <v/>
      </c>
      <c r="J212" s="36"/>
      <c r="K212" s="1" t="str">
        <f aca="false">IFERROR(IF(ISBLANK(INDEX(Release[Release],MATCH($A212,Release[Requirement ID],0))),"",INDEX(Release[Release],MATCH($A212,Release[Requirement ID],0))),"")</f>
        <v/>
      </c>
      <c r="L212" s="36"/>
      <c r="M212" s="36"/>
      <c r="P212" s="1" t="n">
        <f aca="false">IFERROR(VALUE(MID($A212,5,4)),0)</f>
        <v>0</v>
      </c>
      <c r="Q212" s="1" t="str">
        <f aca="false">IF(B212="","","NEW-"&amp;TEXT(MAX($P$2:$P211,Lists!$N$2)+1,"0000"))</f>
        <v/>
      </c>
    </row>
    <row r="213" customFormat="false" ht="15" hidden="false" customHeight="true" outlineLevel="0" collapsed="false">
      <c r="A213" s="35" t="str">
        <f aca="false">IF(AND(B213="",C213="",D213="",E213="",F213="",G213="",H213="",J213="",L213="",M213="",N213=""),"",Q213)</f>
        <v/>
      </c>
      <c r="B213" s="36"/>
      <c r="C213" s="36"/>
      <c r="D213" s="36"/>
      <c r="E213" s="36"/>
      <c r="F213" s="36"/>
      <c r="G213" s="36"/>
      <c r="H213" s="36"/>
      <c r="I213" s="1" t="str">
        <f aca="false">IF($A213="","",IFERROR(IF(ISBLANK(INDEX(SprintPlanning[Sprint],MATCH($A213,SprintPlanning[Requirement ID],0))),"To Plan",INDEX(SprintPlanning[Sprint],MATCH($A213,SprintPlanning[Requirement ID],0))),"To Plan"))</f>
        <v/>
      </c>
      <c r="J213" s="36"/>
      <c r="K213" s="1" t="str">
        <f aca="false">IFERROR(IF(ISBLANK(INDEX(Release[Release],MATCH($A213,Release[Requirement ID],0))),"",INDEX(Release[Release],MATCH($A213,Release[Requirement ID],0))),"")</f>
        <v/>
      </c>
      <c r="L213" s="36"/>
      <c r="M213" s="36"/>
      <c r="P213" s="1" t="n">
        <f aca="false">IFERROR(VALUE(MID($A213,5,4)),0)</f>
        <v>0</v>
      </c>
      <c r="Q213" s="1" t="str">
        <f aca="false">IF(B213="","","NEW-"&amp;TEXT(MAX($P$2:$P212,Lists!$N$2)+1,"0000"))</f>
        <v/>
      </c>
    </row>
    <row r="214" customFormat="false" ht="15" hidden="false" customHeight="true" outlineLevel="0" collapsed="false">
      <c r="A214" s="35" t="str">
        <f aca="false">IF(AND(B214="",C214="",D214="",E214="",F214="",G214="",H214="",J214="",L214="",M214="",N214=""),"",Q214)</f>
        <v/>
      </c>
      <c r="B214" s="36"/>
      <c r="C214" s="36"/>
      <c r="D214" s="36"/>
      <c r="E214" s="36"/>
      <c r="F214" s="36"/>
      <c r="G214" s="36"/>
      <c r="H214" s="36"/>
      <c r="I214" s="1" t="str">
        <f aca="false">IF($A214="","",IFERROR(IF(ISBLANK(INDEX(SprintPlanning[Sprint],MATCH($A214,SprintPlanning[Requirement ID],0))),"To Plan",INDEX(SprintPlanning[Sprint],MATCH($A214,SprintPlanning[Requirement ID],0))),"To Plan"))</f>
        <v/>
      </c>
      <c r="J214" s="36"/>
      <c r="K214" s="1" t="str">
        <f aca="false">IFERROR(IF(ISBLANK(INDEX(Release[Release],MATCH($A214,Release[Requirement ID],0))),"",INDEX(Release[Release],MATCH($A214,Release[Requirement ID],0))),"")</f>
        <v/>
      </c>
      <c r="L214" s="36"/>
      <c r="M214" s="36"/>
      <c r="P214" s="1" t="n">
        <f aca="false">IFERROR(VALUE(MID($A214,5,4)),0)</f>
        <v>0</v>
      </c>
      <c r="Q214" s="1" t="str">
        <f aca="false">IF(B214="","","NEW-"&amp;TEXT(MAX($P$2:$P213,Lists!$N$2)+1,"0000"))</f>
        <v/>
      </c>
    </row>
    <row r="215" customFormat="false" ht="15" hidden="false" customHeight="true" outlineLevel="0" collapsed="false">
      <c r="A215" s="35" t="str">
        <f aca="false">IF(AND(B215="",C215="",D215="",E215="",F215="",G215="",H215="",J215="",L215="",M215="",N215=""),"",Q215)</f>
        <v/>
      </c>
      <c r="B215" s="36"/>
      <c r="C215" s="36"/>
      <c r="D215" s="36"/>
      <c r="E215" s="36"/>
      <c r="F215" s="36"/>
      <c r="G215" s="36"/>
      <c r="H215" s="36"/>
      <c r="I215" s="1" t="str">
        <f aca="false">IF($A215="","",IFERROR(IF(ISBLANK(INDEX(SprintPlanning[Sprint],MATCH($A215,SprintPlanning[Requirement ID],0))),"To Plan",INDEX(SprintPlanning[Sprint],MATCH($A215,SprintPlanning[Requirement ID],0))),"To Plan"))</f>
        <v/>
      </c>
      <c r="J215" s="36"/>
      <c r="K215" s="1" t="str">
        <f aca="false">IFERROR(IF(ISBLANK(INDEX(Release[Release],MATCH($A215,Release[Requirement ID],0))),"",INDEX(Release[Release],MATCH($A215,Release[Requirement ID],0))),"")</f>
        <v/>
      </c>
      <c r="L215" s="36"/>
      <c r="M215" s="36"/>
      <c r="P215" s="1" t="n">
        <f aca="false">IFERROR(VALUE(MID($A215,5,4)),0)</f>
        <v>0</v>
      </c>
      <c r="Q215" s="1" t="str">
        <f aca="false">IF(B215="","","NEW-"&amp;TEXT(MAX($P$2:$P214,Lists!$N$2)+1,"0000"))</f>
        <v/>
      </c>
    </row>
    <row r="216" customFormat="false" ht="15" hidden="false" customHeight="true" outlineLevel="0" collapsed="false">
      <c r="A216" s="35" t="str">
        <f aca="false">IF(AND(B216="",C216="",D216="",E216="",F216="",G216="",H216="",J216="",L216="",M216="",N216=""),"",Q216)</f>
        <v/>
      </c>
      <c r="B216" s="36"/>
      <c r="C216" s="36"/>
      <c r="D216" s="36"/>
      <c r="E216" s="36"/>
      <c r="F216" s="36"/>
      <c r="G216" s="36"/>
      <c r="H216" s="36"/>
      <c r="I216" s="1" t="str">
        <f aca="false">IF($A216="","",IFERROR(IF(ISBLANK(INDEX(SprintPlanning[Sprint],MATCH($A216,SprintPlanning[Requirement ID],0))),"To Plan",INDEX(SprintPlanning[Sprint],MATCH($A216,SprintPlanning[Requirement ID],0))),"To Plan"))</f>
        <v/>
      </c>
      <c r="J216" s="36"/>
      <c r="K216" s="1" t="str">
        <f aca="false">IFERROR(IF(ISBLANK(INDEX(Release[Release],MATCH($A216,Release[Requirement ID],0))),"",INDEX(Release[Release],MATCH($A216,Release[Requirement ID],0))),"")</f>
        <v/>
      </c>
      <c r="L216" s="36"/>
      <c r="M216" s="36"/>
      <c r="P216" s="1" t="n">
        <f aca="false">IFERROR(VALUE(MID($A216,5,4)),0)</f>
        <v>0</v>
      </c>
      <c r="Q216" s="1" t="str">
        <f aca="false">IF(B216="","","NEW-"&amp;TEXT(MAX($P$2:$P215,Lists!$N$2)+1,"0000"))</f>
        <v/>
      </c>
    </row>
    <row r="217" customFormat="false" ht="15" hidden="false" customHeight="true" outlineLevel="0" collapsed="false">
      <c r="A217" s="35" t="str">
        <f aca="false">IF(AND(B217="",C217="",D217="",E217="",F217="",G217="",H217="",J217="",L217="",M217="",N217=""),"",Q217)</f>
        <v/>
      </c>
      <c r="B217" s="36"/>
      <c r="C217" s="36"/>
      <c r="D217" s="36"/>
      <c r="E217" s="36"/>
      <c r="F217" s="36"/>
      <c r="G217" s="36"/>
      <c r="H217" s="36"/>
      <c r="I217" s="1" t="str">
        <f aca="false">IF($A217="","",IFERROR(IF(ISBLANK(INDEX(SprintPlanning[Sprint],MATCH($A217,SprintPlanning[Requirement ID],0))),"To Plan",INDEX(SprintPlanning[Sprint],MATCH($A217,SprintPlanning[Requirement ID],0))),"To Plan"))</f>
        <v/>
      </c>
      <c r="J217" s="36"/>
      <c r="K217" s="1" t="str">
        <f aca="false">IFERROR(IF(ISBLANK(INDEX(Release[Release],MATCH($A217,Release[Requirement ID],0))),"",INDEX(Release[Release],MATCH($A217,Release[Requirement ID],0))),"")</f>
        <v/>
      </c>
      <c r="L217" s="36"/>
      <c r="M217" s="36"/>
      <c r="P217" s="1" t="n">
        <f aca="false">IFERROR(VALUE(MID($A217,5,4)),0)</f>
        <v>0</v>
      </c>
      <c r="Q217" s="1" t="str">
        <f aca="false">IF(B217="","","NEW-"&amp;TEXT(MAX($P$2:$P216,Lists!$N$2)+1,"0000"))</f>
        <v/>
      </c>
    </row>
    <row r="218" customFormat="false" ht="15" hidden="false" customHeight="true" outlineLevel="0" collapsed="false">
      <c r="A218" s="35" t="str">
        <f aca="false">IF(AND(B218="",C218="",D218="",E218="",F218="",G218="",H218="",J218="",L218="",M218="",N218=""),"",Q218)</f>
        <v/>
      </c>
      <c r="B218" s="36"/>
      <c r="C218" s="36"/>
      <c r="D218" s="36"/>
      <c r="E218" s="36"/>
      <c r="F218" s="36"/>
      <c r="G218" s="36"/>
      <c r="H218" s="36"/>
      <c r="I218" s="1" t="str">
        <f aca="false">IF($A218="","",IFERROR(IF(ISBLANK(INDEX(SprintPlanning[Sprint],MATCH($A218,SprintPlanning[Requirement ID],0))),"To Plan",INDEX(SprintPlanning[Sprint],MATCH($A218,SprintPlanning[Requirement ID],0))),"To Plan"))</f>
        <v/>
      </c>
      <c r="J218" s="36"/>
      <c r="K218" s="1" t="str">
        <f aca="false">IFERROR(IF(ISBLANK(INDEX(Release[Release],MATCH($A218,Release[Requirement ID],0))),"",INDEX(Release[Release],MATCH($A218,Release[Requirement ID],0))),"")</f>
        <v/>
      </c>
      <c r="L218" s="36"/>
      <c r="M218" s="36"/>
      <c r="P218" s="1" t="n">
        <f aca="false">IFERROR(VALUE(MID($A218,5,4)),0)</f>
        <v>0</v>
      </c>
      <c r="Q218" s="1" t="str">
        <f aca="false">IF(B218="","","NEW-"&amp;TEXT(MAX($P$2:$P217,Lists!$N$2)+1,"0000"))</f>
        <v/>
      </c>
    </row>
    <row r="219" customFormat="false" ht="15" hidden="false" customHeight="true" outlineLevel="0" collapsed="false">
      <c r="A219" s="35" t="str">
        <f aca="false">IF(AND(B219="",C219="",D219="",E219="",F219="",G219="",H219="",J219="",L219="",M219="",N219=""),"",Q219)</f>
        <v/>
      </c>
      <c r="B219" s="36"/>
      <c r="C219" s="36"/>
      <c r="D219" s="36"/>
      <c r="E219" s="36"/>
      <c r="F219" s="36"/>
      <c r="G219" s="36"/>
      <c r="H219" s="36"/>
      <c r="I219" s="1" t="str">
        <f aca="false">IF($A219="","",IFERROR(IF(ISBLANK(INDEX(SprintPlanning[Sprint],MATCH($A219,SprintPlanning[Requirement ID],0))),"To Plan",INDEX(SprintPlanning[Sprint],MATCH($A219,SprintPlanning[Requirement ID],0))),"To Plan"))</f>
        <v/>
      </c>
      <c r="J219" s="36"/>
      <c r="K219" s="1" t="str">
        <f aca="false">IFERROR(IF(ISBLANK(INDEX(Release[Release],MATCH($A219,Release[Requirement ID],0))),"",INDEX(Release[Release],MATCH($A219,Release[Requirement ID],0))),"")</f>
        <v/>
      </c>
      <c r="L219" s="36"/>
      <c r="M219" s="36"/>
      <c r="P219" s="1" t="n">
        <f aca="false">IFERROR(VALUE(MID($A219,5,4)),0)</f>
        <v>0</v>
      </c>
      <c r="Q219" s="1" t="str">
        <f aca="false">IF(B219="","","NEW-"&amp;TEXT(MAX($P$2:$P218,Lists!$N$2)+1,"0000"))</f>
        <v/>
      </c>
    </row>
    <row r="220" customFormat="false" ht="15" hidden="false" customHeight="true" outlineLevel="0" collapsed="false">
      <c r="A220" s="35" t="str">
        <f aca="false">IF(AND(B220="",C220="",D220="",E220="",F220="",G220="",H220="",J220="",L220="",M220="",N220=""),"",Q220)</f>
        <v/>
      </c>
      <c r="B220" s="36"/>
      <c r="C220" s="36"/>
      <c r="D220" s="36"/>
      <c r="E220" s="36"/>
      <c r="F220" s="36"/>
      <c r="G220" s="36"/>
      <c r="H220" s="36"/>
      <c r="I220" s="1" t="str">
        <f aca="false">IF($A220="","",IFERROR(IF(ISBLANK(INDEX(SprintPlanning[Sprint],MATCH($A220,SprintPlanning[Requirement ID],0))),"To Plan",INDEX(SprintPlanning[Sprint],MATCH($A220,SprintPlanning[Requirement ID],0))),"To Plan"))</f>
        <v/>
      </c>
      <c r="J220" s="36"/>
      <c r="K220" s="1" t="str">
        <f aca="false">IFERROR(IF(ISBLANK(INDEX(Release[Release],MATCH($A220,Release[Requirement ID],0))),"",INDEX(Release[Release],MATCH($A220,Release[Requirement ID],0))),"")</f>
        <v/>
      </c>
      <c r="L220" s="36"/>
      <c r="M220" s="36"/>
      <c r="P220" s="1" t="n">
        <f aca="false">IFERROR(VALUE(MID($A220,5,4)),0)</f>
        <v>0</v>
      </c>
      <c r="Q220" s="1" t="str">
        <f aca="false">IF(B220="","","NEW-"&amp;TEXT(MAX($P$2:$P219,Lists!$N$2)+1,"0000"))</f>
        <v/>
      </c>
    </row>
    <row r="221" customFormat="false" ht="15" hidden="false" customHeight="true" outlineLevel="0" collapsed="false">
      <c r="A221" s="35" t="str">
        <f aca="false">IF(AND(B221="",C221="",D221="",E221="",F221="",G221="",H221="",J221="",L221="",M221="",N221=""),"",Q221)</f>
        <v/>
      </c>
      <c r="B221" s="36"/>
      <c r="C221" s="36"/>
      <c r="D221" s="36"/>
      <c r="E221" s="36"/>
      <c r="F221" s="36"/>
      <c r="G221" s="36"/>
      <c r="H221" s="36"/>
      <c r="I221" s="1" t="str">
        <f aca="false">IF($A221="","",IFERROR(IF(ISBLANK(INDEX(SprintPlanning[Sprint],MATCH($A221,SprintPlanning[Requirement ID],0))),"To Plan",INDEX(SprintPlanning[Sprint],MATCH($A221,SprintPlanning[Requirement ID],0))),"To Plan"))</f>
        <v/>
      </c>
      <c r="J221" s="36"/>
      <c r="K221" s="1" t="str">
        <f aca="false">IFERROR(IF(ISBLANK(INDEX(Release[Release],MATCH($A221,Release[Requirement ID],0))),"",INDEX(Release[Release],MATCH($A221,Release[Requirement ID],0))),"")</f>
        <v/>
      </c>
      <c r="L221" s="36"/>
      <c r="M221" s="36"/>
      <c r="P221" s="1" t="n">
        <f aca="false">IFERROR(VALUE(MID($A221,5,4)),0)</f>
        <v>0</v>
      </c>
      <c r="Q221" s="1" t="str">
        <f aca="false">IF(B221="","","NEW-"&amp;TEXT(MAX($P$2:$P220,Lists!$N$2)+1,"0000"))</f>
        <v/>
      </c>
    </row>
    <row r="222" customFormat="false" ht="15" hidden="false" customHeight="true" outlineLevel="0" collapsed="false">
      <c r="A222" s="35" t="str">
        <f aca="false">IF(AND(B222="",C222="",D222="",E222="",F222="",G222="",H222="",J222="",L222="",M222="",N222=""),"",Q222)</f>
        <v/>
      </c>
      <c r="B222" s="36"/>
      <c r="C222" s="36"/>
      <c r="D222" s="36"/>
      <c r="E222" s="36"/>
      <c r="F222" s="36"/>
      <c r="G222" s="36"/>
      <c r="H222" s="36"/>
      <c r="I222" s="1" t="str">
        <f aca="false">IF($A222="","",IFERROR(IF(ISBLANK(INDEX(SprintPlanning[Sprint],MATCH($A222,SprintPlanning[Requirement ID],0))),"To Plan",INDEX(SprintPlanning[Sprint],MATCH($A222,SprintPlanning[Requirement ID],0))),"To Plan"))</f>
        <v/>
      </c>
      <c r="J222" s="36"/>
      <c r="K222" s="1" t="str">
        <f aca="false">IFERROR(IF(ISBLANK(INDEX(Release[Release],MATCH($A222,Release[Requirement ID],0))),"",INDEX(Release[Release],MATCH($A222,Release[Requirement ID],0))),"")</f>
        <v/>
      </c>
      <c r="L222" s="36"/>
      <c r="M222" s="36"/>
      <c r="P222" s="1" t="n">
        <f aca="false">IFERROR(VALUE(MID($A222,5,4)),0)</f>
        <v>0</v>
      </c>
      <c r="Q222" s="1" t="str">
        <f aca="false">IF(B222="","","NEW-"&amp;TEXT(MAX($P$2:$P221,Lists!$N$2)+1,"0000"))</f>
        <v/>
      </c>
    </row>
    <row r="223" customFormat="false" ht="15" hidden="false" customHeight="true" outlineLevel="0" collapsed="false">
      <c r="A223" s="35" t="str">
        <f aca="false">IF(AND(B223="",C223="",D223="",E223="",F223="",G223="",H223="",J223="",L223="",M223="",N223=""),"",Q223)</f>
        <v/>
      </c>
      <c r="B223" s="36"/>
      <c r="C223" s="36"/>
      <c r="D223" s="36"/>
      <c r="E223" s="36"/>
      <c r="F223" s="36"/>
      <c r="G223" s="36"/>
      <c r="H223" s="36"/>
      <c r="I223" s="1" t="str">
        <f aca="false">IF($A223="","",IFERROR(IF(ISBLANK(INDEX(SprintPlanning[Sprint],MATCH($A223,SprintPlanning[Requirement ID],0))),"To Plan",INDEX(SprintPlanning[Sprint],MATCH($A223,SprintPlanning[Requirement ID],0))),"To Plan"))</f>
        <v/>
      </c>
      <c r="J223" s="36"/>
      <c r="K223" s="1" t="str">
        <f aca="false">IFERROR(IF(ISBLANK(INDEX(Release[Release],MATCH($A223,Release[Requirement ID],0))),"",INDEX(Release[Release],MATCH($A223,Release[Requirement ID],0))),"")</f>
        <v/>
      </c>
      <c r="L223" s="36"/>
      <c r="M223" s="36"/>
      <c r="P223" s="1" t="n">
        <f aca="false">IFERROR(VALUE(MID($A223,5,4)),0)</f>
        <v>0</v>
      </c>
      <c r="Q223" s="1" t="str">
        <f aca="false">IF(B223="","","NEW-"&amp;TEXT(MAX($P$2:$P222,Lists!$N$2)+1,"0000"))</f>
        <v/>
      </c>
    </row>
    <row r="224" customFormat="false" ht="15" hidden="false" customHeight="true" outlineLevel="0" collapsed="false">
      <c r="A224" s="35" t="str">
        <f aca="false">IF(AND(B224="",C224="",D224="",E224="",F224="",G224="",H224="",J224="",L224="",M224="",N224=""),"",Q224)</f>
        <v/>
      </c>
      <c r="B224" s="36"/>
      <c r="C224" s="36"/>
      <c r="D224" s="36"/>
      <c r="E224" s="36"/>
      <c r="F224" s="36"/>
      <c r="G224" s="36"/>
      <c r="H224" s="36"/>
      <c r="I224" s="1" t="str">
        <f aca="false">IF($A224="","",IFERROR(IF(ISBLANK(INDEX(SprintPlanning[Sprint],MATCH($A224,SprintPlanning[Requirement ID],0))),"To Plan",INDEX(SprintPlanning[Sprint],MATCH($A224,SprintPlanning[Requirement ID],0))),"To Plan"))</f>
        <v/>
      </c>
      <c r="J224" s="36"/>
      <c r="K224" s="1" t="str">
        <f aca="false">IFERROR(IF(ISBLANK(INDEX(Release[Release],MATCH($A224,Release[Requirement ID],0))),"",INDEX(Release[Release],MATCH($A224,Release[Requirement ID],0))),"")</f>
        <v/>
      </c>
      <c r="L224" s="36"/>
      <c r="M224" s="36"/>
      <c r="P224" s="1" t="n">
        <f aca="false">IFERROR(VALUE(MID($A224,5,4)),0)</f>
        <v>0</v>
      </c>
      <c r="Q224" s="1" t="str">
        <f aca="false">IF(B224="","","NEW-"&amp;TEXT(MAX($P$2:$P223,Lists!$N$2)+1,"0000"))</f>
        <v/>
      </c>
    </row>
    <row r="225" customFormat="false" ht="23.25" hidden="false" customHeight="true" outlineLevel="0" collapsed="false">
      <c r="A225" s="35" t="str">
        <f aca="false">IF(AND(B225="",C225="",D225="",E225="",F225="",G225="",H225="",J225="",L225="",M225="",N225=""),"",Q225)</f>
        <v/>
      </c>
      <c r="B225" s="36"/>
      <c r="C225" s="36"/>
      <c r="D225" s="36"/>
      <c r="E225" s="36"/>
      <c r="F225" s="36"/>
      <c r="G225" s="36"/>
      <c r="H225" s="36"/>
      <c r="I225" s="1" t="str">
        <f aca="false">IF($A225="","",IFERROR(IF(ISBLANK(INDEX(SprintPlanning[Sprint],MATCH($A225,SprintPlanning[Requirement ID],0))),"To Plan",INDEX(SprintPlanning[Sprint],MATCH($A225,SprintPlanning[Requirement ID],0))),"To Plan"))</f>
        <v/>
      </c>
      <c r="J225" s="36"/>
      <c r="K225" s="1" t="str">
        <f aca="false">IFERROR(IF(ISBLANK(INDEX(Release[Release],MATCH($A225,Release[Requirement ID],0))),"",INDEX(Release[Release],MATCH($A225,Release[Requirement ID],0))),"")</f>
        <v/>
      </c>
      <c r="L225" s="36"/>
      <c r="M225" s="36"/>
      <c r="P225" s="1" t="n">
        <f aca="false">IFERROR(VALUE(MID($A225,5,4)),0)</f>
        <v>0</v>
      </c>
      <c r="Q225" s="1" t="str">
        <f aca="false">IF(B225="","","NEW-"&amp;TEXT(MAX($P$2:$P224,Lists!$N$2)+1,"0000"))</f>
        <v/>
      </c>
    </row>
    <row r="226" customFormat="false" ht="15" hidden="false" customHeight="true" outlineLevel="0" collapsed="false">
      <c r="A226" s="35" t="str">
        <f aca="false">IF(AND(B226="",C226="",D226="",E226="",F226="",G226="",H226="",J226="",L226="",M226="",N226=""),"",Q226)</f>
        <v/>
      </c>
      <c r="B226" s="36"/>
      <c r="C226" s="36"/>
      <c r="D226" s="36"/>
      <c r="E226" s="36"/>
      <c r="F226" s="36"/>
      <c r="G226" s="36"/>
      <c r="H226" s="36"/>
      <c r="I226" s="1" t="str">
        <f aca="false">IF($A226="","",IFERROR(IF(ISBLANK(INDEX(SprintPlanning[Sprint],MATCH($A226,SprintPlanning[Requirement ID],0))),"To Plan",INDEX(SprintPlanning[Sprint],MATCH($A226,SprintPlanning[Requirement ID],0))),"To Plan"))</f>
        <v/>
      </c>
      <c r="J226" s="36"/>
      <c r="K226" s="1" t="str">
        <f aca="false">IFERROR(IF(ISBLANK(INDEX(Release[Release],MATCH($A226,Release[Requirement ID],0))),"",INDEX(Release[Release],MATCH($A226,Release[Requirement ID],0))),"")</f>
        <v/>
      </c>
      <c r="L226" s="36"/>
      <c r="M226" s="36"/>
      <c r="P226" s="1" t="n">
        <f aca="false">IFERROR(VALUE(MID($A226,5,4)),0)</f>
        <v>0</v>
      </c>
      <c r="Q226" s="1" t="str">
        <f aca="false">IF(B226="","","NEW-"&amp;TEXT(MAX($P$2:$P225,Lists!$N$2)+1,"0000"))</f>
        <v/>
      </c>
    </row>
    <row r="227" customFormat="false" ht="15" hidden="false" customHeight="true" outlineLevel="0" collapsed="false">
      <c r="A227" s="35" t="str">
        <f aca="false">IF(AND(B227="",C227="",D227="",E227="",F227="",G227="",H227="",J227="",L227="",M227="",N227=""),"",Q227)</f>
        <v/>
      </c>
      <c r="B227" s="36"/>
      <c r="C227" s="36"/>
      <c r="D227" s="36"/>
      <c r="E227" s="36"/>
      <c r="F227" s="36"/>
      <c r="G227" s="36"/>
      <c r="H227" s="36"/>
      <c r="I227" s="1" t="str">
        <f aca="false">IF($A227="","",IFERROR(IF(ISBLANK(INDEX(SprintPlanning[Sprint],MATCH($A227,SprintPlanning[Requirement ID],0))),"To Plan",INDEX(SprintPlanning[Sprint],MATCH($A227,SprintPlanning[Requirement ID],0))),"To Plan"))</f>
        <v/>
      </c>
      <c r="J227" s="36"/>
      <c r="K227" s="1" t="str">
        <f aca="false">IFERROR(IF(ISBLANK(INDEX(Release[Release],MATCH($A227,Release[Requirement ID],0))),"",INDEX(Release[Release],MATCH($A227,Release[Requirement ID],0))),"")</f>
        <v/>
      </c>
      <c r="L227" s="36"/>
      <c r="M227" s="36"/>
      <c r="P227" s="1" t="n">
        <f aca="false">IFERROR(VALUE(MID($A227,5,4)),0)</f>
        <v>0</v>
      </c>
      <c r="Q227" s="1" t="str">
        <f aca="false">IF(B227="","","NEW-"&amp;TEXT(MAX($P$2:$P226,Lists!$N$2)+1,"0000"))</f>
        <v/>
      </c>
    </row>
    <row r="228" customFormat="false" ht="15" hidden="false" customHeight="true" outlineLevel="0" collapsed="false">
      <c r="A228" s="35" t="str">
        <f aca="false">IF(AND(B228="",C228="",D228="",E228="",F228="",G228="",H228="",J228="",L228="",M228="",N228=""),"",Q228)</f>
        <v/>
      </c>
      <c r="B228" s="36"/>
      <c r="C228" s="36"/>
      <c r="D228" s="36"/>
      <c r="E228" s="36"/>
      <c r="F228" s="36"/>
      <c r="G228" s="36"/>
      <c r="H228" s="36"/>
      <c r="I228" s="1" t="str">
        <f aca="false">IF($A228="","",IFERROR(IF(ISBLANK(INDEX(SprintPlanning[Sprint],MATCH($A228,SprintPlanning[Requirement ID],0))),"To Plan",INDEX(SprintPlanning[Sprint],MATCH($A228,SprintPlanning[Requirement ID],0))),"To Plan"))</f>
        <v/>
      </c>
      <c r="J228" s="36"/>
      <c r="K228" s="1" t="str">
        <f aca="false">IFERROR(IF(ISBLANK(INDEX(Release[Release],MATCH($A228,Release[Requirement ID],0))),"",INDEX(Release[Release],MATCH($A228,Release[Requirement ID],0))),"")</f>
        <v/>
      </c>
      <c r="L228" s="36"/>
      <c r="M228" s="36"/>
      <c r="P228" s="1" t="n">
        <f aca="false">IFERROR(VALUE(MID($A228,5,4)),0)</f>
        <v>0</v>
      </c>
      <c r="Q228" s="1" t="str">
        <f aca="false">IF(B228="","","NEW-"&amp;TEXT(MAX($P$2:$P227,Lists!$N$2)+1,"0000"))</f>
        <v/>
      </c>
    </row>
    <row r="229" customFormat="false" ht="15" hidden="false" customHeight="true" outlineLevel="0" collapsed="false">
      <c r="A229" s="35" t="str">
        <f aca="false">IF(AND(B229="",C229="",D229="",E229="",F229="",G229="",H229="",J229="",L229="",M229="",N229=""),"",Q229)</f>
        <v/>
      </c>
      <c r="B229" s="36"/>
      <c r="C229" s="36"/>
      <c r="D229" s="36"/>
      <c r="E229" s="36"/>
      <c r="F229" s="36"/>
      <c r="G229" s="36"/>
      <c r="H229" s="36"/>
      <c r="I229" s="1" t="str">
        <f aca="false">IF($A229="","",IFERROR(IF(ISBLANK(INDEX(SprintPlanning[Sprint],MATCH($A229,SprintPlanning[Requirement ID],0))),"To Plan",INDEX(SprintPlanning[Sprint],MATCH($A229,SprintPlanning[Requirement ID],0))),"To Plan"))</f>
        <v/>
      </c>
      <c r="J229" s="36"/>
      <c r="K229" s="1" t="str">
        <f aca="false">IFERROR(IF(ISBLANK(INDEX(Release[Release],MATCH($A229,Release[Requirement ID],0))),"",INDEX(Release[Release],MATCH($A229,Release[Requirement ID],0))),"")</f>
        <v/>
      </c>
      <c r="L229" s="36"/>
      <c r="M229" s="36"/>
      <c r="P229" s="1" t="n">
        <f aca="false">IFERROR(VALUE(MID($A229,5,4)),0)</f>
        <v>0</v>
      </c>
      <c r="Q229" s="1" t="str">
        <f aca="false">IF(B229="","","NEW-"&amp;TEXT(MAX($P$2:$P228,Lists!$N$2)+1,"0000"))</f>
        <v/>
      </c>
    </row>
    <row r="230" customFormat="false" ht="15" hidden="false" customHeight="true" outlineLevel="0" collapsed="false">
      <c r="A230" s="35" t="str">
        <f aca="false">IF(AND(B230="",C230="",D230="",E230="",F230="",G230="",H230="",J230="",L230="",M230="",N230=""),"",Q230)</f>
        <v/>
      </c>
      <c r="B230" s="36"/>
      <c r="C230" s="36"/>
      <c r="D230" s="36"/>
      <c r="E230" s="36"/>
      <c r="F230" s="36"/>
      <c r="G230" s="36"/>
      <c r="H230" s="36"/>
      <c r="I230" s="1" t="str">
        <f aca="false">IF($A230="","",IFERROR(IF(ISBLANK(INDEX(SprintPlanning[Sprint],MATCH($A230,SprintPlanning[Requirement ID],0))),"To Plan",INDEX(SprintPlanning[Sprint],MATCH($A230,SprintPlanning[Requirement ID],0))),"To Plan"))</f>
        <v/>
      </c>
      <c r="J230" s="36"/>
      <c r="K230" s="1" t="str">
        <f aca="false">IFERROR(IF(ISBLANK(INDEX(Release[Release],MATCH($A230,Release[Requirement ID],0))),"",INDEX(Release[Release],MATCH($A230,Release[Requirement ID],0))),"")</f>
        <v/>
      </c>
      <c r="L230" s="36"/>
      <c r="M230" s="36"/>
      <c r="P230" s="1" t="n">
        <f aca="false">IFERROR(VALUE(MID($A230,5,4)),0)</f>
        <v>0</v>
      </c>
      <c r="Q230" s="1" t="str">
        <f aca="false">IF(B230="","","NEW-"&amp;TEXT(MAX($P$2:$P229,Lists!$N$2)+1,"0000"))</f>
        <v/>
      </c>
    </row>
    <row r="231" customFormat="false" ht="15" hidden="false" customHeight="true" outlineLevel="0" collapsed="false">
      <c r="A231" s="35" t="str">
        <f aca="false">IF(AND(B231="",C231="",D231="",E231="",F231="",G231="",H231="",J231="",L231="",M231="",N231=""),"",Q231)</f>
        <v/>
      </c>
      <c r="B231" s="36"/>
      <c r="C231" s="36"/>
      <c r="D231" s="36"/>
      <c r="E231" s="36"/>
      <c r="F231" s="36"/>
      <c r="G231" s="36"/>
      <c r="H231" s="36"/>
      <c r="I231" s="1" t="str">
        <f aca="false">IF($A231="","",IFERROR(IF(ISBLANK(INDEX(SprintPlanning[Sprint],MATCH($A231,SprintPlanning[Requirement ID],0))),"To Plan",INDEX(SprintPlanning[Sprint],MATCH($A231,SprintPlanning[Requirement ID],0))),"To Plan"))</f>
        <v/>
      </c>
      <c r="J231" s="36"/>
      <c r="K231" s="1" t="str">
        <f aca="false">IFERROR(IF(ISBLANK(INDEX(Release[Release],MATCH($A231,Release[Requirement ID],0))),"",INDEX(Release[Release],MATCH($A231,Release[Requirement ID],0))),"")</f>
        <v/>
      </c>
      <c r="L231" s="36"/>
      <c r="M231" s="36"/>
      <c r="P231" s="1" t="n">
        <f aca="false">IFERROR(VALUE(MID($A231,5,4)),0)</f>
        <v>0</v>
      </c>
      <c r="Q231" s="1" t="str">
        <f aca="false">IF(B231="","","NEW-"&amp;TEXT(MAX($P$2:$P230,Lists!$N$2)+1,"0000"))</f>
        <v/>
      </c>
    </row>
    <row r="232" customFormat="false" ht="15" hidden="false" customHeight="true" outlineLevel="0" collapsed="false">
      <c r="A232" s="35" t="str">
        <f aca="false">IF(AND(B232="",C232="",D232="",E232="",F232="",G232="",H232="",J232="",L232="",M232="",N232=""),"",Q232)</f>
        <v/>
      </c>
      <c r="B232" s="36"/>
      <c r="C232" s="36"/>
      <c r="D232" s="36"/>
      <c r="E232" s="36"/>
      <c r="F232" s="36"/>
      <c r="G232" s="36"/>
      <c r="H232" s="36"/>
      <c r="I232" s="1" t="str">
        <f aca="false">IF($A232="","",IFERROR(IF(ISBLANK(INDEX(SprintPlanning[Sprint],MATCH($A232,SprintPlanning[Requirement ID],0))),"To Plan",INDEX(SprintPlanning[Sprint],MATCH($A232,SprintPlanning[Requirement ID],0))),"To Plan"))</f>
        <v/>
      </c>
      <c r="J232" s="36"/>
      <c r="K232" s="1" t="str">
        <f aca="false">IFERROR(IF(ISBLANK(INDEX(Release[Release],MATCH($A232,Release[Requirement ID],0))),"",INDEX(Release[Release],MATCH($A232,Release[Requirement ID],0))),"")</f>
        <v/>
      </c>
      <c r="L232" s="36"/>
      <c r="M232" s="36"/>
      <c r="P232" s="1" t="n">
        <f aca="false">IFERROR(VALUE(MID($A232,5,4)),0)</f>
        <v>0</v>
      </c>
      <c r="Q232" s="1" t="str">
        <f aca="false">IF(B232="","","NEW-"&amp;TEXT(MAX($P$2:$P231,Lists!$N$2)+1,"0000"))</f>
        <v/>
      </c>
    </row>
    <row r="233" customFormat="false" ht="15" hidden="false" customHeight="true" outlineLevel="0" collapsed="false">
      <c r="A233" s="35" t="str">
        <f aca="false">IF(AND(B233="",C233="",D233="",E233="",F233="",G233="",H233="",J233="",L233="",M233="",N233=""),"",Q233)</f>
        <v/>
      </c>
      <c r="B233" s="36"/>
      <c r="C233" s="36"/>
      <c r="D233" s="36"/>
      <c r="E233" s="36"/>
      <c r="F233" s="36"/>
      <c r="G233" s="36"/>
      <c r="H233" s="36"/>
      <c r="I233" s="1" t="str">
        <f aca="false">IF($A233="","",IFERROR(IF(ISBLANK(INDEX(SprintPlanning[Sprint],MATCH($A233,SprintPlanning[Requirement ID],0))),"To Plan",INDEX(SprintPlanning[Sprint],MATCH($A233,SprintPlanning[Requirement ID],0))),"To Plan"))</f>
        <v/>
      </c>
      <c r="J233" s="36"/>
      <c r="K233" s="1" t="str">
        <f aca="false">IFERROR(IF(ISBLANK(INDEX(Release[Release],MATCH($A233,Release[Requirement ID],0))),"",INDEX(Release[Release],MATCH($A233,Release[Requirement ID],0))),"")</f>
        <v/>
      </c>
      <c r="L233" s="36"/>
      <c r="M233" s="36"/>
      <c r="P233" s="1" t="n">
        <f aca="false">IFERROR(VALUE(MID($A233,5,4)),0)</f>
        <v>0</v>
      </c>
      <c r="Q233" s="1" t="str">
        <f aca="false">IF(B233="","","NEW-"&amp;TEXT(MAX($P$2:$P232,Lists!$N$2)+1,"0000"))</f>
        <v/>
      </c>
    </row>
    <row r="234" customFormat="false" ht="15" hidden="false" customHeight="true" outlineLevel="0" collapsed="false">
      <c r="A234" s="35" t="str">
        <f aca="false">IF(AND(B234="",C234="",D234="",E234="",F234="",G234="",H234="",J234="",L234="",M234="",N234=""),"",Q234)</f>
        <v/>
      </c>
      <c r="B234" s="36"/>
      <c r="C234" s="36"/>
      <c r="D234" s="36"/>
      <c r="E234" s="36"/>
      <c r="F234" s="36"/>
      <c r="G234" s="36"/>
      <c r="H234" s="36"/>
      <c r="I234" s="1" t="str">
        <f aca="false">IF($A234="","",IFERROR(IF(ISBLANK(INDEX(SprintPlanning[Sprint],MATCH($A234,SprintPlanning[Requirement ID],0))),"To Plan",INDEX(SprintPlanning[Sprint],MATCH($A234,SprintPlanning[Requirement ID],0))),"To Plan"))</f>
        <v/>
      </c>
      <c r="J234" s="36"/>
      <c r="K234" s="1" t="str">
        <f aca="false">IFERROR(IF(ISBLANK(INDEX(Release[Release],MATCH($A234,Release[Requirement ID],0))),"",INDEX(Release[Release],MATCH($A234,Release[Requirement ID],0))),"")</f>
        <v/>
      </c>
      <c r="L234" s="36"/>
      <c r="M234" s="36"/>
      <c r="P234" s="1" t="n">
        <f aca="false">IFERROR(VALUE(MID($A234,5,4)),0)</f>
        <v>0</v>
      </c>
      <c r="Q234" s="1" t="str">
        <f aca="false">IF(B234="","","NEW-"&amp;TEXT(MAX($P$2:$P233,Lists!$N$2)+1,"0000"))</f>
        <v/>
      </c>
    </row>
    <row r="235" customFormat="false" ht="15" hidden="false" customHeight="true" outlineLevel="0" collapsed="false">
      <c r="A235" s="35" t="str">
        <f aca="false">IF(AND(B235="",C235="",D235="",E235="",F235="",G235="",H235="",J235="",L235="",M235="",N235=""),"",Q235)</f>
        <v/>
      </c>
      <c r="B235" s="36"/>
      <c r="C235" s="36"/>
      <c r="D235" s="36"/>
      <c r="E235" s="36"/>
      <c r="F235" s="36"/>
      <c r="G235" s="36"/>
      <c r="H235" s="36"/>
      <c r="I235" s="1" t="str">
        <f aca="false">IF($A235="","",IFERROR(IF(ISBLANK(INDEX(SprintPlanning[Sprint],MATCH($A235,SprintPlanning[Requirement ID],0))),"To Plan",INDEX(SprintPlanning[Sprint],MATCH($A235,SprintPlanning[Requirement ID],0))),"To Plan"))</f>
        <v/>
      </c>
      <c r="J235" s="36"/>
      <c r="K235" s="1" t="str">
        <f aca="false">IFERROR(IF(ISBLANK(INDEX(Release[Release],MATCH($A235,Release[Requirement ID],0))),"",INDEX(Release[Release],MATCH($A235,Release[Requirement ID],0))),"")</f>
        <v/>
      </c>
      <c r="L235" s="36"/>
      <c r="M235" s="36"/>
      <c r="P235" s="1" t="n">
        <f aca="false">IFERROR(VALUE(MID($A235,5,4)),0)</f>
        <v>0</v>
      </c>
      <c r="Q235" s="1" t="str">
        <f aca="false">IF(B235="","","NEW-"&amp;TEXT(MAX($P$2:$P234,Lists!$N$2)+1,"0000"))</f>
        <v/>
      </c>
    </row>
    <row r="236" customFormat="false" ht="15" hidden="false" customHeight="true" outlineLevel="0" collapsed="false">
      <c r="A236" s="35" t="str">
        <f aca="false">IF(AND(B236="",C236="",D236="",E236="",F236="",G236="",H236="",J236="",L236="",M236="",N236=""),"",Q236)</f>
        <v/>
      </c>
      <c r="B236" s="36"/>
      <c r="C236" s="36"/>
      <c r="D236" s="36"/>
      <c r="E236" s="36"/>
      <c r="F236" s="36"/>
      <c r="G236" s="36"/>
      <c r="H236" s="36"/>
      <c r="I236" s="1" t="str">
        <f aca="false">IF($A236="","",IFERROR(IF(ISBLANK(INDEX(SprintPlanning[Sprint],MATCH($A236,SprintPlanning[Requirement ID],0))),"To Plan",INDEX(SprintPlanning[Sprint],MATCH($A236,SprintPlanning[Requirement ID],0))),"To Plan"))</f>
        <v/>
      </c>
      <c r="J236" s="36"/>
      <c r="K236" s="1" t="str">
        <f aca="false">IFERROR(IF(ISBLANK(INDEX(Release[Release],MATCH($A236,Release[Requirement ID],0))),"",INDEX(Release[Release],MATCH($A236,Release[Requirement ID],0))),"")</f>
        <v/>
      </c>
      <c r="L236" s="36"/>
      <c r="M236" s="36"/>
      <c r="P236" s="1" t="n">
        <f aca="false">IFERROR(VALUE(MID($A236,5,4)),0)</f>
        <v>0</v>
      </c>
      <c r="Q236" s="1" t="str">
        <f aca="false">IF(B236="","","NEW-"&amp;TEXT(MAX($P$2:$P235,Lists!$N$2)+1,"0000"))</f>
        <v/>
      </c>
    </row>
    <row r="237" customFormat="false" ht="15" hidden="false" customHeight="true" outlineLevel="0" collapsed="false">
      <c r="A237" s="35" t="str">
        <f aca="false">IF(AND(B237="",C237="",D237="",E237="",F237="",G237="",H237="",J237="",L237="",M237="",N237=""),"",Q237)</f>
        <v/>
      </c>
      <c r="B237" s="36"/>
      <c r="C237" s="36"/>
      <c r="D237" s="36"/>
      <c r="E237" s="36"/>
      <c r="F237" s="36"/>
      <c r="G237" s="36"/>
      <c r="H237" s="36"/>
      <c r="I237" s="1" t="str">
        <f aca="false">IF($A237="","",IFERROR(IF(ISBLANK(INDEX(SprintPlanning[Sprint],MATCH($A237,SprintPlanning[Requirement ID],0))),"To Plan",INDEX(SprintPlanning[Sprint],MATCH($A237,SprintPlanning[Requirement ID],0))),"To Plan"))</f>
        <v/>
      </c>
      <c r="J237" s="36"/>
      <c r="K237" s="1" t="str">
        <f aca="false">IFERROR(IF(ISBLANK(INDEX(Release[Release],MATCH($A237,Release[Requirement ID],0))),"",INDEX(Release[Release],MATCH($A237,Release[Requirement ID],0))),"")</f>
        <v/>
      </c>
      <c r="L237" s="36"/>
      <c r="M237" s="36"/>
      <c r="P237" s="1" t="n">
        <f aca="false">IFERROR(VALUE(MID($A237,5,4)),0)</f>
        <v>0</v>
      </c>
      <c r="Q237" s="1" t="str">
        <f aca="false">IF(B237="","","NEW-"&amp;TEXT(MAX($P$2:$P236,Lists!$N$2)+1,"0000"))</f>
        <v/>
      </c>
    </row>
    <row r="238" customFormat="false" ht="15" hidden="false" customHeight="true" outlineLevel="0" collapsed="false">
      <c r="A238" s="35" t="str">
        <f aca="false">IF(AND(B238="",C238="",D238="",E238="",F238="",G238="",H238="",J238="",L238="",M238="",N238=""),"",Q238)</f>
        <v/>
      </c>
      <c r="B238" s="36"/>
      <c r="C238" s="36"/>
      <c r="D238" s="36"/>
      <c r="E238" s="36"/>
      <c r="F238" s="36"/>
      <c r="G238" s="36"/>
      <c r="H238" s="36"/>
      <c r="I238" s="1" t="str">
        <f aca="false">IF($A238="","",IFERROR(IF(ISBLANK(INDEX(SprintPlanning[Sprint],MATCH($A238,SprintPlanning[Requirement ID],0))),"To Plan",INDEX(SprintPlanning[Sprint],MATCH($A238,SprintPlanning[Requirement ID],0))),"To Plan"))</f>
        <v/>
      </c>
      <c r="J238" s="36"/>
      <c r="K238" s="1" t="str">
        <f aca="false">IFERROR(IF(ISBLANK(INDEX(Release[Release],MATCH($A238,Release[Requirement ID],0))),"",INDEX(Release[Release],MATCH($A238,Release[Requirement ID],0))),"")</f>
        <v/>
      </c>
      <c r="L238" s="36"/>
      <c r="M238" s="36"/>
      <c r="P238" s="1" t="n">
        <f aca="false">IFERROR(VALUE(MID($A238,5,4)),0)</f>
        <v>0</v>
      </c>
      <c r="Q238" s="1" t="str">
        <f aca="false">IF(B238="","","NEW-"&amp;TEXT(MAX($P$2:$P237,Lists!$N$2)+1,"0000"))</f>
        <v/>
      </c>
    </row>
    <row r="239" customFormat="false" ht="15" hidden="false" customHeight="true" outlineLevel="0" collapsed="false">
      <c r="A239" s="35" t="str">
        <f aca="false">IF(AND(B239="",C239="",D239="",E239="",F239="",G239="",H239="",J239="",L239="",M239="",N239=""),"",Q239)</f>
        <v/>
      </c>
      <c r="B239" s="36"/>
      <c r="C239" s="36"/>
      <c r="D239" s="36"/>
      <c r="E239" s="36"/>
      <c r="F239" s="36"/>
      <c r="G239" s="36"/>
      <c r="H239" s="36"/>
      <c r="I239" s="1" t="str">
        <f aca="false">IF($A239="","",IFERROR(IF(ISBLANK(INDEX(SprintPlanning[Sprint],MATCH($A239,SprintPlanning[Requirement ID],0))),"To Plan",INDEX(SprintPlanning[Sprint],MATCH($A239,SprintPlanning[Requirement ID],0))),"To Plan"))</f>
        <v/>
      </c>
      <c r="J239" s="36"/>
      <c r="K239" s="1" t="str">
        <f aca="false">IFERROR(IF(ISBLANK(INDEX(Release[Release],MATCH($A239,Release[Requirement ID],0))),"",INDEX(Release[Release],MATCH($A239,Release[Requirement ID],0))),"")</f>
        <v/>
      </c>
      <c r="L239" s="36"/>
      <c r="M239" s="36"/>
      <c r="P239" s="1" t="n">
        <f aca="false">IFERROR(VALUE(MID($A239,5,4)),0)</f>
        <v>0</v>
      </c>
      <c r="Q239" s="1" t="str">
        <f aca="false">IF(B239="","","NEW-"&amp;TEXT(MAX($P$2:$P238,Lists!$N$2)+1,"0000"))</f>
        <v/>
      </c>
    </row>
    <row r="240" customFormat="false" ht="15" hidden="false" customHeight="true" outlineLevel="0" collapsed="false">
      <c r="A240" s="35" t="str">
        <f aca="false">IF(AND(B240="",C240="",D240="",E240="",F240="",G240="",H240="",J240="",L240="",M240="",N240=""),"",Q240)</f>
        <v/>
      </c>
      <c r="B240" s="36"/>
      <c r="C240" s="36"/>
      <c r="D240" s="36"/>
      <c r="E240" s="36"/>
      <c r="F240" s="36"/>
      <c r="G240" s="36"/>
      <c r="H240" s="36"/>
      <c r="I240" s="1" t="str">
        <f aca="false">IF($A240="","",IFERROR(IF(ISBLANK(INDEX(SprintPlanning[Sprint],MATCH($A240,SprintPlanning[Requirement ID],0))),"To Plan",INDEX(SprintPlanning[Sprint],MATCH($A240,SprintPlanning[Requirement ID],0))),"To Plan"))</f>
        <v/>
      </c>
      <c r="J240" s="36"/>
      <c r="K240" s="1" t="str">
        <f aca="false">IFERROR(IF(ISBLANK(INDEX(Release[Release],MATCH($A240,Release[Requirement ID],0))),"",INDEX(Release[Release],MATCH($A240,Release[Requirement ID],0))),"")</f>
        <v/>
      </c>
      <c r="L240" s="36"/>
      <c r="M240" s="36"/>
      <c r="P240" s="1" t="n">
        <f aca="false">IFERROR(VALUE(MID($A240,5,4)),0)</f>
        <v>0</v>
      </c>
      <c r="Q240" s="1" t="str">
        <f aca="false">IF(B240="","","NEW-"&amp;TEXT(MAX($P$2:$P239,Lists!$N$2)+1,"0000"))</f>
        <v/>
      </c>
    </row>
    <row r="241" customFormat="false" ht="15" hidden="false" customHeight="true" outlineLevel="0" collapsed="false">
      <c r="A241" s="35" t="str">
        <f aca="false">IF(AND(B241="",C241="",D241="",E241="",F241="",G241="",H241="",J241="",L241="",M241="",N241=""),"",Q241)</f>
        <v/>
      </c>
      <c r="B241" s="36"/>
      <c r="C241" s="36"/>
      <c r="D241" s="36"/>
      <c r="E241" s="36"/>
      <c r="F241" s="36"/>
      <c r="G241" s="36"/>
      <c r="H241" s="36"/>
      <c r="I241" s="1" t="str">
        <f aca="false">IF($A241="","",IFERROR(IF(ISBLANK(INDEX(SprintPlanning[Sprint],MATCH($A241,SprintPlanning[Requirement ID],0))),"To Plan",INDEX(SprintPlanning[Sprint],MATCH($A241,SprintPlanning[Requirement ID],0))),"To Plan"))</f>
        <v/>
      </c>
      <c r="J241" s="36"/>
      <c r="K241" s="1" t="str">
        <f aca="false">IFERROR(IF(ISBLANK(INDEX(Release[Release],MATCH($A241,Release[Requirement ID],0))),"",INDEX(Release[Release],MATCH($A241,Release[Requirement ID],0))),"")</f>
        <v/>
      </c>
      <c r="L241" s="36"/>
      <c r="M241" s="36"/>
      <c r="P241" s="1" t="n">
        <f aca="false">IFERROR(VALUE(MID($A241,5,4)),0)</f>
        <v>0</v>
      </c>
      <c r="Q241" s="1" t="str">
        <f aca="false">IF(B241="","","NEW-"&amp;TEXT(MAX($P$2:$P240,Lists!$N$2)+1,"0000"))</f>
        <v/>
      </c>
    </row>
    <row r="242" customFormat="false" ht="15" hidden="false" customHeight="true" outlineLevel="0" collapsed="false">
      <c r="A242" s="35" t="str">
        <f aca="false">IF(AND(B242="",C242="",D242="",E242="",F242="",G242="",H242="",J242="",L242="",M242="",N242=""),"",Q242)</f>
        <v/>
      </c>
      <c r="B242" s="36"/>
      <c r="C242" s="36"/>
      <c r="D242" s="36"/>
      <c r="E242" s="36"/>
      <c r="F242" s="36"/>
      <c r="G242" s="36"/>
      <c r="H242" s="36"/>
      <c r="I242" s="1" t="str">
        <f aca="false">IF($A242="","",IFERROR(IF(ISBLANK(INDEX(SprintPlanning[Sprint],MATCH($A242,SprintPlanning[Requirement ID],0))),"To Plan",INDEX(SprintPlanning[Sprint],MATCH($A242,SprintPlanning[Requirement ID],0))),"To Plan"))</f>
        <v/>
      </c>
      <c r="J242" s="36"/>
      <c r="K242" s="1" t="str">
        <f aca="false">IFERROR(IF(ISBLANK(INDEX(Release[Release],MATCH($A242,Release[Requirement ID],0))),"",INDEX(Release[Release],MATCH($A242,Release[Requirement ID],0))),"")</f>
        <v/>
      </c>
      <c r="L242" s="36"/>
      <c r="M242" s="36"/>
      <c r="P242" s="1" t="n">
        <f aca="false">IFERROR(VALUE(MID($A242,5,4)),0)</f>
        <v>0</v>
      </c>
      <c r="Q242" s="1" t="str">
        <f aca="false">IF(B242="","","NEW-"&amp;TEXT(MAX($P$2:$P241,Lists!$N$2)+1,"0000"))</f>
        <v/>
      </c>
    </row>
    <row r="243" customFormat="false" ht="15" hidden="false" customHeight="true" outlineLevel="0" collapsed="false">
      <c r="A243" s="35" t="str">
        <f aca="false">IF(AND(B243="",C243="",D243="",E243="",F243="",G243="",H243="",J243="",L243="",M243="",N243=""),"",Q243)</f>
        <v/>
      </c>
      <c r="B243" s="36"/>
      <c r="C243" s="36"/>
      <c r="D243" s="36"/>
      <c r="E243" s="36"/>
      <c r="F243" s="36"/>
      <c r="G243" s="36"/>
      <c r="H243" s="36"/>
      <c r="I243" s="1" t="str">
        <f aca="false">IF($A243="","",IFERROR(IF(ISBLANK(INDEX(SprintPlanning[Sprint],MATCH($A243,SprintPlanning[Requirement ID],0))),"To Plan",INDEX(SprintPlanning[Sprint],MATCH($A243,SprintPlanning[Requirement ID],0))),"To Plan"))</f>
        <v/>
      </c>
      <c r="J243" s="36"/>
      <c r="K243" s="1" t="str">
        <f aca="false">IFERROR(IF(ISBLANK(INDEX(Release[Release],MATCH($A243,Release[Requirement ID],0))),"",INDEX(Release[Release],MATCH($A243,Release[Requirement ID],0))),"")</f>
        <v/>
      </c>
      <c r="L243" s="36"/>
      <c r="M243" s="36"/>
      <c r="P243" s="1" t="n">
        <f aca="false">IFERROR(VALUE(MID($A243,5,4)),0)</f>
        <v>0</v>
      </c>
      <c r="Q243" s="1" t="str">
        <f aca="false">IF(B243="","","NEW-"&amp;TEXT(MAX($P$2:$P242,Lists!$N$2)+1,"0000"))</f>
        <v/>
      </c>
    </row>
    <row r="244" customFormat="false" ht="15" hidden="false" customHeight="true" outlineLevel="0" collapsed="false">
      <c r="A244" s="35" t="str">
        <f aca="false">IF(AND(B244="",C244="",D244="",E244="",F244="",G244="",H244="",J244="",L244="",M244="",N244=""),"",Q244)</f>
        <v/>
      </c>
      <c r="B244" s="36"/>
      <c r="C244" s="36"/>
      <c r="D244" s="36"/>
      <c r="E244" s="36"/>
      <c r="F244" s="36"/>
      <c r="G244" s="36"/>
      <c r="H244" s="36"/>
      <c r="I244" s="1" t="str">
        <f aca="false">IF($A244="","",IFERROR(IF(ISBLANK(INDEX(SprintPlanning[Sprint],MATCH($A244,SprintPlanning[Requirement ID],0))),"To Plan",INDEX(SprintPlanning[Sprint],MATCH($A244,SprintPlanning[Requirement ID],0))),"To Plan"))</f>
        <v/>
      </c>
      <c r="J244" s="36"/>
      <c r="K244" s="1" t="str">
        <f aca="false">IFERROR(IF(ISBLANK(INDEX(Release[Release],MATCH($A244,Release[Requirement ID],0))),"",INDEX(Release[Release],MATCH($A244,Release[Requirement ID],0))),"")</f>
        <v/>
      </c>
      <c r="L244" s="36"/>
      <c r="M244" s="36"/>
      <c r="P244" s="1" t="n">
        <f aca="false">IFERROR(VALUE(MID($A244,5,4)),0)</f>
        <v>0</v>
      </c>
      <c r="Q244" s="1" t="str">
        <f aca="false">IF(B244="","","NEW-"&amp;TEXT(MAX($P$2:$P243,Lists!$N$2)+1,"0000"))</f>
        <v/>
      </c>
    </row>
    <row r="245" customFormat="false" ht="15" hidden="false" customHeight="true" outlineLevel="0" collapsed="false">
      <c r="A245" s="35" t="str">
        <f aca="false">IF(AND(B245="",C245="",D245="",E245="",F245="",G245="",H245="",J245="",L245="",M245="",N245=""),"",Q245)</f>
        <v/>
      </c>
      <c r="B245" s="36"/>
      <c r="C245" s="36"/>
      <c r="D245" s="36"/>
      <c r="E245" s="36"/>
      <c r="F245" s="36"/>
      <c r="G245" s="36"/>
      <c r="H245" s="36"/>
      <c r="I245" s="1" t="str">
        <f aca="false">IF($A245="","",IFERROR(IF(ISBLANK(INDEX(SprintPlanning[Sprint],MATCH($A245,SprintPlanning[Requirement ID],0))),"To Plan",INDEX(SprintPlanning[Sprint],MATCH($A245,SprintPlanning[Requirement ID],0))),"To Plan"))</f>
        <v/>
      </c>
      <c r="J245" s="36"/>
      <c r="K245" s="1" t="str">
        <f aca="false">IFERROR(IF(ISBLANK(INDEX(Release[Release],MATCH($A245,Release[Requirement ID],0))),"",INDEX(Release[Release],MATCH($A245,Release[Requirement ID],0))),"")</f>
        <v/>
      </c>
      <c r="L245" s="36"/>
      <c r="M245" s="36"/>
      <c r="P245" s="1" t="n">
        <f aca="false">IFERROR(VALUE(MID($A245,5,4)),0)</f>
        <v>0</v>
      </c>
      <c r="Q245" s="1" t="str">
        <f aca="false">IF(B245="","","NEW-"&amp;TEXT(MAX($P$2:$P244,Lists!$N$2)+1,"0000"))</f>
        <v/>
      </c>
    </row>
    <row r="246" customFormat="false" ht="15" hidden="false" customHeight="true" outlineLevel="0" collapsed="false">
      <c r="A246" s="35" t="str">
        <f aca="false">IF(AND(B246="",C246="",D246="",E246="",F246="",G246="",H246="",J246="",L246="",M246="",N246=""),"",Q246)</f>
        <v/>
      </c>
      <c r="B246" s="36"/>
      <c r="C246" s="36"/>
      <c r="D246" s="36"/>
      <c r="E246" s="36"/>
      <c r="F246" s="36"/>
      <c r="G246" s="36"/>
      <c r="H246" s="36"/>
      <c r="I246" s="1" t="str">
        <f aca="false">IF($A246="","",IFERROR(IF(ISBLANK(INDEX(SprintPlanning[Sprint],MATCH($A246,SprintPlanning[Requirement ID],0))),"To Plan",INDEX(SprintPlanning[Sprint],MATCH($A246,SprintPlanning[Requirement ID],0))),"To Plan"))</f>
        <v/>
      </c>
      <c r="J246" s="36"/>
      <c r="K246" s="1" t="str">
        <f aca="false">IFERROR(IF(ISBLANK(INDEX(Release[Release],MATCH($A246,Release[Requirement ID],0))),"",INDEX(Release[Release],MATCH($A246,Release[Requirement ID],0))),"")</f>
        <v/>
      </c>
      <c r="L246" s="36"/>
      <c r="M246" s="36"/>
      <c r="P246" s="1" t="n">
        <f aca="false">IFERROR(VALUE(MID($A246,5,4)),0)</f>
        <v>0</v>
      </c>
      <c r="Q246" s="1" t="str">
        <f aca="false">IF(B246="","","NEW-"&amp;TEXT(MAX($P$2:$P245,Lists!$N$2)+1,"0000"))</f>
        <v/>
      </c>
    </row>
    <row r="247" customFormat="false" ht="15" hidden="false" customHeight="true" outlineLevel="0" collapsed="false">
      <c r="A247" s="35" t="str">
        <f aca="false">IF(AND(B247="",C247="",D247="",E247="",F247="",G247="",H247="",J247="",L247="",M247="",N247=""),"",Q247)</f>
        <v/>
      </c>
      <c r="B247" s="36"/>
      <c r="C247" s="36"/>
      <c r="D247" s="36"/>
      <c r="E247" s="36"/>
      <c r="F247" s="36"/>
      <c r="G247" s="36"/>
      <c r="H247" s="36"/>
      <c r="I247" s="1" t="str">
        <f aca="false">IF($A247="","",IFERROR(IF(ISBLANK(INDEX(SprintPlanning[Sprint],MATCH($A247,SprintPlanning[Requirement ID],0))),"To Plan",INDEX(SprintPlanning[Sprint],MATCH($A247,SprintPlanning[Requirement ID],0))),"To Plan"))</f>
        <v/>
      </c>
      <c r="J247" s="36"/>
      <c r="K247" s="1" t="str">
        <f aca="false">IFERROR(IF(ISBLANK(INDEX(Release[Release],MATCH($A247,Release[Requirement ID],0))),"",INDEX(Release[Release],MATCH($A247,Release[Requirement ID],0))),"")</f>
        <v/>
      </c>
      <c r="L247" s="36"/>
      <c r="M247" s="36"/>
      <c r="P247" s="1" t="n">
        <f aca="false">IFERROR(VALUE(MID($A247,5,4)),0)</f>
        <v>0</v>
      </c>
      <c r="Q247" s="1" t="str">
        <f aca="false">IF(B247="","","NEW-"&amp;TEXT(MAX($P$2:$P246,Lists!$N$2)+1,"0000"))</f>
        <v/>
      </c>
    </row>
    <row r="248" customFormat="false" ht="15" hidden="false" customHeight="true" outlineLevel="0" collapsed="false">
      <c r="A248" s="35" t="str">
        <f aca="false">IF(AND(B248="",C248="",D248="",E248="",F248="",G248="",H248="",J248="",L248="",M248="",N248=""),"",Q248)</f>
        <v/>
      </c>
      <c r="B248" s="36"/>
      <c r="C248" s="36"/>
      <c r="D248" s="36"/>
      <c r="E248" s="36"/>
      <c r="F248" s="36"/>
      <c r="G248" s="36"/>
      <c r="H248" s="36"/>
      <c r="I248" s="1" t="str">
        <f aca="false">IF($A248="","",IFERROR(IF(ISBLANK(INDEX(SprintPlanning[Sprint],MATCH($A248,SprintPlanning[Requirement ID],0))),"To Plan",INDEX(SprintPlanning[Sprint],MATCH($A248,SprintPlanning[Requirement ID],0))),"To Plan"))</f>
        <v/>
      </c>
      <c r="J248" s="36"/>
      <c r="K248" s="1" t="str">
        <f aca="false">IFERROR(IF(ISBLANK(INDEX(Release[Release],MATCH($A248,Release[Requirement ID],0))),"",INDEX(Release[Release],MATCH($A248,Release[Requirement ID],0))),"")</f>
        <v/>
      </c>
      <c r="L248" s="36"/>
      <c r="M248" s="36"/>
      <c r="P248" s="1" t="n">
        <f aca="false">IFERROR(VALUE(MID($A248,5,4)),0)</f>
        <v>0</v>
      </c>
      <c r="Q248" s="1" t="str">
        <f aca="false">IF(B248="","","NEW-"&amp;TEXT(MAX($P$2:$P247,Lists!$N$2)+1,"0000"))</f>
        <v/>
      </c>
    </row>
    <row r="249" customFormat="false" ht="15" hidden="false" customHeight="true" outlineLevel="0" collapsed="false">
      <c r="A249" s="35" t="str">
        <f aca="false">IF(AND(B249="",C249="",D249="",E249="",F249="",G249="",H249="",J249="",L249="",M249="",N249=""),"",Q249)</f>
        <v/>
      </c>
      <c r="B249" s="36"/>
      <c r="C249" s="36"/>
      <c r="D249" s="36"/>
      <c r="E249" s="36"/>
      <c r="F249" s="36"/>
      <c r="G249" s="36"/>
      <c r="H249" s="36"/>
      <c r="I249" s="1" t="str">
        <f aca="false">IF($A249="","",IFERROR(IF(ISBLANK(INDEX(SprintPlanning[Sprint],MATCH($A249,SprintPlanning[Requirement ID],0))),"To Plan",INDEX(SprintPlanning[Sprint],MATCH($A249,SprintPlanning[Requirement ID],0))),"To Plan"))</f>
        <v/>
      </c>
      <c r="J249" s="36"/>
      <c r="K249" s="1" t="str">
        <f aca="false">IFERROR(IF(ISBLANK(INDEX(Release[Release],MATCH($A249,Release[Requirement ID],0))),"",INDEX(Release[Release],MATCH($A249,Release[Requirement ID],0))),"")</f>
        <v/>
      </c>
      <c r="L249" s="36"/>
      <c r="M249" s="36"/>
      <c r="P249" s="1" t="n">
        <f aca="false">IFERROR(VALUE(MID($A249,5,4)),0)</f>
        <v>0</v>
      </c>
      <c r="Q249" s="1" t="str">
        <f aca="false">IF(B249="","","NEW-"&amp;TEXT(MAX($P$2:$P248,Lists!$N$2)+1,"0000"))</f>
        <v/>
      </c>
    </row>
    <row r="250" customFormat="false" ht="15" hidden="false" customHeight="true" outlineLevel="0" collapsed="false">
      <c r="A250" s="35" t="str">
        <f aca="false">IF(AND(B250="",C250="",D250="",E250="",F250="",G250="",H250="",J250="",L250="",M250="",N250=""),"",Q250)</f>
        <v/>
      </c>
      <c r="B250" s="36"/>
      <c r="C250" s="36"/>
      <c r="D250" s="36"/>
      <c r="E250" s="36"/>
      <c r="F250" s="36"/>
      <c r="G250" s="36"/>
      <c r="H250" s="36"/>
      <c r="I250" s="1" t="str">
        <f aca="false">IF($A250="","",IFERROR(IF(ISBLANK(INDEX(SprintPlanning[Sprint],MATCH($A250,SprintPlanning[Requirement ID],0))),"To Plan",INDEX(SprintPlanning[Sprint],MATCH($A250,SprintPlanning[Requirement ID],0))),"To Plan"))</f>
        <v/>
      </c>
      <c r="J250" s="36"/>
      <c r="K250" s="1" t="str">
        <f aca="false">IFERROR(IF(ISBLANK(INDEX(Release[Release],MATCH($A250,Release[Requirement ID],0))),"",INDEX(Release[Release],MATCH($A250,Release[Requirement ID],0))),"")</f>
        <v/>
      </c>
      <c r="L250" s="36"/>
      <c r="M250" s="36"/>
      <c r="P250" s="1" t="n">
        <f aca="false">IFERROR(VALUE(MID($A250,5,4)),0)</f>
        <v>0</v>
      </c>
      <c r="Q250" s="1" t="str">
        <f aca="false">IF(B250="","","NEW-"&amp;TEXT(MAX($P$2:$P249,Lists!$N$2)+1,"0000"))</f>
        <v/>
      </c>
    </row>
    <row r="251" customFormat="false" ht="15" hidden="false" customHeight="true" outlineLevel="0" collapsed="false">
      <c r="A251" s="35" t="str">
        <f aca="false">IF(AND(B251="",C251="",D251="",E251="",F251="",G251="",H251="",J251="",L251="",M251="",N251=""),"",Q251)</f>
        <v/>
      </c>
      <c r="B251" s="36"/>
      <c r="C251" s="36"/>
      <c r="D251" s="36"/>
      <c r="E251" s="36"/>
      <c r="F251" s="36"/>
      <c r="G251" s="36"/>
      <c r="H251" s="36"/>
      <c r="I251" s="1" t="str">
        <f aca="false">IF($A251="","",IFERROR(IF(ISBLANK(INDEX(SprintPlanning[Sprint],MATCH($A251,SprintPlanning[Requirement ID],0))),"To Plan",INDEX(SprintPlanning[Sprint],MATCH($A251,SprintPlanning[Requirement ID],0))),"To Plan"))</f>
        <v/>
      </c>
      <c r="J251" s="36"/>
      <c r="K251" s="1" t="str">
        <f aca="false">IFERROR(IF(ISBLANK(INDEX(Release[Release],MATCH($A251,Release[Requirement ID],0))),"",INDEX(Release[Release],MATCH($A251,Release[Requirement ID],0))),"")</f>
        <v/>
      </c>
      <c r="L251" s="36"/>
      <c r="M251" s="36"/>
      <c r="P251" s="1" t="n">
        <f aca="false">IFERROR(VALUE(MID($A251,5,4)),0)</f>
        <v>0</v>
      </c>
      <c r="Q251" s="1" t="str">
        <f aca="false">IF(B251="","","NEW-"&amp;TEXT(MAX($P$2:$P250,Lists!$N$2)+1,"0000"))</f>
        <v/>
      </c>
    </row>
    <row r="252" customFormat="false" ht="15" hidden="false" customHeight="true" outlineLevel="0" collapsed="false">
      <c r="A252" s="35" t="str">
        <f aca="false">IF(AND(B252="",C252="",D252="",E252="",F252="",G252="",H252="",J252="",L252="",M252="",N252=""),"",Q252)</f>
        <v/>
      </c>
      <c r="B252" s="36"/>
      <c r="C252" s="36"/>
      <c r="D252" s="36"/>
      <c r="E252" s="36"/>
      <c r="F252" s="36"/>
      <c r="G252" s="36"/>
      <c r="H252" s="36"/>
      <c r="I252" s="1" t="str">
        <f aca="false">IF($A252="","",IFERROR(IF(ISBLANK(INDEX(SprintPlanning[Sprint],MATCH($A252,SprintPlanning[Requirement ID],0))),"To Plan",INDEX(SprintPlanning[Sprint],MATCH($A252,SprintPlanning[Requirement ID],0))),"To Plan"))</f>
        <v/>
      </c>
      <c r="J252" s="36"/>
      <c r="K252" s="1" t="str">
        <f aca="false">IFERROR(IF(ISBLANK(INDEX(Release[Release],MATCH($A252,Release[Requirement ID],0))),"",INDEX(Release[Release],MATCH($A252,Release[Requirement ID],0))),"")</f>
        <v/>
      </c>
      <c r="L252" s="36"/>
      <c r="M252" s="36"/>
      <c r="P252" s="1" t="n">
        <f aca="false">IFERROR(VALUE(MID($A252,5,4)),0)</f>
        <v>0</v>
      </c>
      <c r="Q252" s="1" t="str">
        <f aca="false">IF(B252="","","NEW-"&amp;TEXT(MAX($P$2:$P251,Lists!$N$2)+1,"0000"))</f>
        <v/>
      </c>
    </row>
    <row r="253" customFormat="false" ht="15" hidden="false" customHeight="true" outlineLevel="0" collapsed="false">
      <c r="A253" s="35" t="str">
        <f aca="false">IF(AND(B253="",C253="",D253="",E253="",F253="",G253="",H253="",J253="",L253="",M253="",N253=""),"",Q253)</f>
        <v/>
      </c>
      <c r="B253" s="36"/>
      <c r="C253" s="36"/>
      <c r="D253" s="36"/>
      <c r="E253" s="36"/>
      <c r="F253" s="36"/>
      <c r="G253" s="36"/>
      <c r="H253" s="36"/>
      <c r="I253" s="1" t="str">
        <f aca="false">IF($A253="","",IFERROR(IF(ISBLANK(INDEX(SprintPlanning[Sprint],MATCH($A253,SprintPlanning[Requirement ID],0))),"To Plan",INDEX(SprintPlanning[Sprint],MATCH($A253,SprintPlanning[Requirement ID],0))),"To Plan"))</f>
        <v/>
      </c>
      <c r="J253" s="36"/>
      <c r="K253" s="1" t="str">
        <f aca="false">IFERROR(IF(ISBLANK(INDEX(Release[Release],MATCH($A253,Release[Requirement ID],0))),"",INDEX(Release[Release],MATCH($A253,Release[Requirement ID],0))),"")</f>
        <v/>
      </c>
      <c r="L253" s="36"/>
      <c r="M253" s="36"/>
      <c r="P253" s="1" t="n">
        <f aca="false">IFERROR(VALUE(MID($A253,5,4)),0)</f>
        <v>0</v>
      </c>
      <c r="Q253" s="1" t="str">
        <f aca="false">IF(B253="","","NEW-"&amp;TEXT(MAX($P$2:$P252,Lists!$N$2)+1,"0000"))</f>
        <v/>
      </c>
    </row>
    <row r="254" customFormat="false" ht="15" hidden="false" customHeight="true" outlineLevel="0" collapsed="false">
      <c r="A254" s="35" t="str">
        <f aca="false">IF(AND(B254="",C254="",D254="",E254="",F254="",G254="",H254="",J254="",L254="",M254="",N254=""),"",Q254)</f>
        <v/>
      </c>
      <c r="B254" s="36"/>
      <c r="C254" s="36"/>
      <c r="D254" s="36"/>
      <c r="E254" s="36"/>
      <c r="F254" s="36"/>
      <c r="G254" s="36"/>
      <c r="H254" s="36"/>
      <c r="I254" s="1" t="str">
        <f aca="false">IF($A254="","",IFERROR(IF(ISBLANK(INDEX(SprintPlanning[Sprint],MATCH($A254,SprintPlanning[Requirement ID],0))),"To Plan",INDEX(SprintPlanning[Sprint],MATCH($A254,SprintPlanning[Requirement ID],0))),"To Plan"))</f>
        <v/>
      </c>
      <c r="J254" s="36"/>
      <c r="K254" s="1" t="str">
        <f aca="false">IFERROR(IF(ISBLANK(INDEX(Release[Release],MATCH($A254,Release[Requirement ID],0))),"",INDEX(Release[Release],MATCH($A254,Release[Requirement ID],0))),"")</f>
        <v/>
      </c>
      <c r="L254" s="36"/>
      <c r="M254" s="36"/>
      <c r="P254" s="1" t="n">
        <f aca="false">IFERROR(VALUE(MID($A254,5,4)),0)</f>
        <v>0</v>
      </c>
      <c r="Q254" s="1" t="str">
        <f aca="false">IF(B254="","","NEW-"&amp;TEXT(MAX($P$2:$P253,Lists!$N$2)+1,"0000"))</f>
        <v/>
      </c>
    </row>
    <row r="255" customFormat="false" ht="15" hidden="false" customHeight="true" outlineLevel="0" collapsed="false">
      <c r="A255" s="35" t="str">
        <f aca="false">IF(AND(B255="",C255="",D255="",E255="",F255="",G255="",H255="",J255="",L255="",M255="",N255=""),"",Q255)</f>
        <v/>
      </c>
      <c r="B255" s="36"/>
      <c r="C255" s="36"/>
      <c r="D255" s="36"/>
      <c r="E255" s="36"/>
      <c r="F255" s="36"/>
      <c r="G255" s="36"/>
      <c r="H255" s="36"/>
      <c r="I255" s="1" t="str">
        <f aca="false">IF($A255="","",IFERROR(IF(ISBLANK(INDEX(SprintPlanning[Sprint],MATCH($A255,SprintPlanning[Requirement ID],0))),"To Plan",INDEX(SprintPlanning[Sprint],MATCH($A255,SprintPlanning[Requirement ID],0))),"To Plan"))</f>
        <v/>
      </c>
      <c r="J255" s="36"/>
      <c r="K255" s="1" t="str">
        <f aca="false">IFERROR(IF(ISBLANK(INDEX(Release[Release],MATCH($A255,Release[Requirement ID],0))),"",INDEX(Release[Release],MATCH($A255,Release[Requirement ID],0))),"")</f>
        <v/>
      </c>
      <c r="L255" s="36"/>
      <c r="M255" s="36"/>
      <c r="P255" s="1" t="n">
        <f aca="false">IFERROR(VALUE(MID($A255,5,4)),0)</f>
        <v>0</v>
      </c>
      <c r="Q255" s="1" t="str">
        <f aca="false">IF(B255="","","NEW-"&amp;TEXT(MAX($P$2:$P254,Lists!$N$2)+1,"0000"))</f>
        <v/>
      </c>
    </row>
    <row r="256" customFormat="false" ht="15" hidden="false" customHeight="true" outlineLevel="0" collapsed="false">
      <c r="A256" s="35" t="str">
        <f aca="false">IF(AND(B256="",C256="",D256="",E256="",F256="",G256="",H256="",J256="",L256="",M256="",N256=""),"",Q256)</f>
        <v/>
      </c>
      <c r="B256" s="36"/>
      <c r="C256" s="36"/>
      <c r="D256" s="36"/>
      <c r="E256" s="36"/>
      <c r="F256" s="36"/>
      <c r="G256" s="36"/>
      <c r="H256" s="36"/>
      <c r="I256" s="1" t="str">
        <f aca="false">IF($A256="","",IFERROR(IF(ISBLANK(INDEX(SprintPlanning[Sprint],MATCH($A256,SprintPlanning[Requirement ID],0))),"To Plan",INDEX(SprintPlanning[Sprint],MATCH($A256,SprintPlanning[Requirement ID],0))),"To Plan"))</f>
        <v/>
      </c>
      <c r="J256" s="36"/>
      <c r="K256" s="1" t="str">
        <f aca="false">IFERROR(IF(ISBLANK(INDEX(Release[Release],MATCH($A256,Release[Requirement ID],0))),"",INDEX(Release[Release],MATCH($A256,Release[Requirement ID],0))),"")</f>
        <v/>
      </c>
      <c r="L256" s="36"/>
      <c r="M256" s="36"/>
      <c r="P256" s="1" t="n">
        <f aca="false">IFERROR(VALUE(MID($A256,5,4)),0)</f>
        <v>0</v>
      </c>
      <c r="Q256" s="1" t="str">
        <f aca="false">IF(B256="","","NEW-"&amp;TEXT(MAX($P$2:$P255,Lists!$N$2)+1,"0000"))</f>
        <v/>
      </c>
    </row>
    <row r="257" customFormat="false" ht="15" hidden="false" customHeight="true" outlineLevel="0" collapsed="false">
      <c r="A257" s="35" t="str">
        <f aca="false">IF(AND(B257="",C257="",D257="",E257="",F257="",G257="",H257="",J257="",L257="",M257="",N257=""),"",Q257)</f>
        <v/>
      </c>
      <c r="B257" s="36"/>
      <c r="C257" s="36"/>
      <c r="D257" s="36"/>
      <c r="E257" s="36"/>
      <c r="F257" s="36"/>
      <c r="G257" s="36"/>
      <c r="H257" s="36"/>
      <c r="I257" s="1" t="str">
        <f aca="false">IF($A257="","",IFERROR(IF(ISBLANK(INDEX(SprintPlanning[Sprint],MATCH($A257,SprintPlanning[Requirement ID],0))),"To Plan",INDEX(SprintPlanning[Sprint],MATCH($A257,SprintPlanning[Requirement ID],0))),"To Plan"))</f>
        <v/>
      </c>
      <c r="J257" s="36"/>
      <c r="K257" s="1" t="str">
        <f aca="false">IFERROR(IF(ISBLANK(INDEX(Release[Release],MATCH($A257,Release[Requirement ID],0))),"",INDEX(Release[Release],MATCH($A257,Release[Requirement ID],0))),"")</f>
        <v/>
      </c>
      <c r="L257" s="36"/>
      <c r="M257" s="36"/>
      <c r="P257" s="1" t="n">
        <f aca="false">IFERROR(VALUE(MID($A257,5,4)),0)</f>
        <v>0</v>
      </c>
      <c r="Q257" s="1" t="str">
        <f aca="false">IF(B257="","","NEW-"&amp;TEXT(MAX($P$2:$P256,Lists!$N$2)+1,"0000"))</f>
        <v/>
      </c>
    </row>
    <row r="258" customFormat="false" ht="15" hidden="false" customHeight="true" outlineLevel="0" collapsed="false">
      <c r="A258" s="35" t="str">
        <f aca="false">IF(AND(B258="",C258="",D258="",E258="",F258="",G258="",H258="",J258="",L258="",M258="",N258=""),"",Q258)</f>
        <v/>
      </c>
      <c r="B258" s="36"/>
      <c r="C258" s="36"/>
      <c r="D258" s="36"/>
      <c r="E258" s="36"/>
      <c r="F258" s="36"/>
      <c r="G258" s="36"/>
      <c r="H258" s="36"/>
      <c r="I258" s="1" t="str">
        <f aca="false">IF($A258="","",IFERROR(IF(ISBLANK(INDEX(SprintPlanning[Sprint],MATCH($A258,SprintPlanning[Requirement ID],0))),"To Plan",INDEX(SprintPlanning[Sprint],MATCH($A258,SprintPlanning[Requirement ID],0))),"To Plan"))</f>
        <v/>
      </c>
      <c r="J258" s="36"/>
      <c r="K258" s="1" t="str">
        <f aca="false">IFERROR(IF(ISBLANK(INDEX(Release[Release],MATCH($A258,Release[Requirement ID],0))),"",INDEX(Release[Release],MATCH($A258,Release[Requirement ID],0))),"")</f>
        <v/>
      </c>
      <c r="L258" s="36"/>
      <c r="M258" s="36"/>
      <c r="P258" s="1" t="n">
        <f aca="false">IFERROR(VALUE(MID($A258,5,4)),0)</f>
        <v>0</v>
      </c>
      <c r="Q258" s="1" t="str">
        <f aca="false">IF(B258="","","NEW-"&amp;TEXT(MAX($P$2:$P257,Lists!$N$2)+1,"0000"))</f>
        <v/>
      </c>
    </row>
    <row r="259" customFormat="false" ht="15" hidden="false" customHeight="true" outlineLevel="0" collapsed="false">
      <c r="A259" s="35" t="str">
        <f aca="false">IF(AND(B259="",C259="",D259="",E259="",F259="",G259="",H259="",J259="",L259="",M259="",N259=""),"",Q259)</f>
        <v/>
      </c>
      <c r="B259" s="36"/>
      <c r="C259" s="36"/>
      <c r="D259" s="36"/>
      <c r="E259" s="36"/>
      <c r="F259" s="36"/>
      <c r="G259" s="36"/>
      <c r="H259" s="36"/>
      <c r="I259" s="1" t="str">
        <f aca="false">IF($A259="","",IFERROR(IF(ISBLANK(INDEX(SprintPlanning[Sprint],MATCH($A259,SprintPlanning[Requirement ID],0))),"To Plan",INDEX(SprintPlanning[Sprint],MATCH($A259,SprintPlanning[Requirement ID],0))),"To Plan"))</f>
        <v/>
      </c>
      <c r="J259" s="36"/>
      <c r="K259" s="1" t="str">
        <f aca="false">IFERROR(IF(ISBLANK(INDEX(Release[Release],MATCH($A259,Release[Requirement ID],0))),"",INDEX(Release[Release],MATCH($A259,Release[Requirement ID],0))),"")</f>
        <v/>
      </c>
      <c r="L259" s="36"/>
      <c r="M259" s="36"/>
      <c r="P259" s="1" t="n">
        <f aca="false">IFERROR(VALUE(MID($A259,5,4)),0)</f>
        <v>0</v>
      </c>
      <c r="Q259" s="1" t="str">
        <f aca="false">IF(B259="","","NEW-"&amp;TEXT(MAX($P$2:$P258,Lists!$N$2)+1,"0000"))</f>
        <v/>
      </c>
    </row>
    <row r="260" customFormat="false" ht="15" hidden="false" customHeight="true" outlineLevel="0" collapsed="false">
      <c r="A260" s="35" t="str">
        <f aca="false">IF(AND(B260="",C260="",D260="",E260="",F260="",G260="",H260="",J260="",L260="",M260="",N260=""),"",Q260)</f>
        <v/>
      </c>
      <c r="B260" s="36"/>
      <c r="C260" s="36"/>
      <c r="D260" s="36"/>
      <c r="E260" s="36"/>
      <c r="F260" s="36"/>
      <c r="G260" s="36"/>
      <c r="H260" s="36"/>
      <c r="I260" s="1" t="str">
        <f aca="false">IF($A260="","",IFERROR(IF(ISBLANK(INDEX(SprintPlanning[Sprint],MATCH($A260,SprintPlanning[Requirement ID],0))),"To Plan",INDEX(SprintPlanning[Sprint],MATCH($A260,SprintPlanning[Requirement ID],0))),"To Plan"))</f>
        <v/>
      </c>
      <c r="J260" s="36"/>
      <c r="K260" s="1" t="str">
        <f aca="false">IFERROR(IF(ISBLANK(INDEX(Release[Release],MATCH($A260,Release[Requirement ID],0))),"",INDEX(Release[Release],MATCH($A260,Release[Requirement ID],0))),"")</f>
        <v/>
      </c>
      <c r="L260" s="36"/>
      <c r="M260" s="36"/>
      <c r="P260" s="1" t="n">
        <f aca="false">IFERROR(VALUE(MID($A260,5,4)),0)</f>
        <v>0</v>
      </c>
      <c r="Q260" s="1" t="str">
        <f aca="false">IF(B260="","","NEW-"&amp;TEXT(MAX($P$2:$P259,Lists!$N$2)+1,"0000"))</f>
        <v/>
      </c>
    </row>
    <row r="261" customFormat="false" ht="15" hidden="false" customHeight="true" outlineLevel="0" collapsed="false">
      <c r="A261" s="35" t="str">
        <f aca="false">IF(AND(B261="",C261="",D261="",E261="",F261="",G261="",H261="",J261="",L261="",M261="",N261=""),"",Q261)</f>
        <v/>
      </c>
      <c r="B261" s="36"/>
      <c r="C261" s="36"/>
      <c r="D261" s="36"/>
      <c r="E261" s="36"/>
      <c r="F261" s="36"/>
      <c r="G261" s="36"/>
      <c r="H261" s="36"/>
      <c r="I261" s="1" t="str">
        <f aca="false">IF($A261="","",IFERROR(IF(ISBLANK(INDEX(SprintPlanning[Sprint],MATCH($A261,SprintPlanning[Requirement ID],0))),"To Plan",INDEX(SprintPlanning[Sprint],MATCH($A261,SprintPlanning[Requirement ID],0))),"To Plan"))</f>
        <v/>
      </c>
      <c r="J261" s="36"/>
      <c r="K261" s="1" t="str">
        <f aca="false">IFERROR(IF(ISBLANK(INDEX(Release[Release],MATCH($A261,Release[Requirement ID],0))),"",INDEX(Release[Release],MATCH($A261,Release[Requirement ID],0))),"")</f>
        <v/>
      </c>
      <c r="L261" s="36"/>
      <c r="M261" s="36"/>
      <c r="P261" s="1" t="n">
        <f aca="false">IFERROR(VALUE(MID($A261,5,4)),0)</f>
        <v>0</v>
      </c>
      <c r="Q261" s="1" t="str">
        <f aca="false">IF(B261="","","NEW-"&amp;TEXT(MAX($P$2:$P260,Lists!$N$2)+1,"0000"))</f>
        <v/>
      </c>
    </row>
    <row r="262" customFormat="false" ht="15" hidden="false" customHeight="true" outlineLevel="0" collapsed="false">
      <c r="A262" s="35" t="str">
        <f aca="false">IF(AND(B262="",C262="",D262="",E262="",F262="",G262="",H262="",J262="",L262="",M262="",N262=""),"",Q262)</f>
        <v/>
      </c>
      <c r="B262" s="36"/>
      <c r="C262" s="36"/>
      <c r="D262" s="36"/>
      <c r="E262" s="36"/>
      <c r="F262" s="36"/>
      <c r="G262" s="36"/>
      <c r="H262" s="36"/>
      <c r="I262" s="1" t="str">
        <f aca="false">IF($A262="","",IFERROR(IF(ISBLANK(INDEX(SprintPlanning[Sprint],MATCH($A262,SprintPlanning[Requirement ID],0))),"To Plan",INDEX(SprintPlanning[Sprint],MATCH($A262,SprintPlanning[Requirement ID],0))),"To Plan"))</f>
        <v/>
      </c>
      <c r="J262" s="36"/>
      <c r="K262" s="1" t="str">
        <f aca="false">IFERROR(IF(ISBLANK(INDEX(Release[Release],MATCH($A262,Release[Requirement ID],0))),"",INDEX(Release[Release],MATCH($A262,Release[Requirement ID],0))),"")</f>
        <v/>
      </c>
      <c r="L262" s="36"/>
      <c r="M262" s="36"/>
      <c r="P262" s="1" t="n">
        <f aca="false">IFERROR(VALUE(MID($A262,5,4)),0)</f>
        <v>0</v>
      </c>
      <c r="Q262" s="1" t="str">
        <f aca="false">IF(B262="","","NEW-"&amp;TEXT(MAX($P$2:$P261,Lists!$N$2)+1,"0000"))</f>
        <v/>
      </c>
    </row>
    <row r="263" customFormat="false" ht="15" hidden="false" customHeight="true" outlineLevel="0" collapsed="false">
      <c r="A263" s="35" t="str">
        <f aca="false">IF(AND(B263="",C263="",D263="",E263="",F263="",G263="",H263="",J263="",L263="",M263="",N263=""),"",Q263)</f>
        <v/>
      </c>
      <c r="B263" s="36"/>
      <c r="C263" s="36"/>
      <c r="D263" s="36"/>
      <c r="E263" s="36"/>
      <c r="F263" s="36"/>
      <c r="G263" s="36"/>
      <c r="H263" s="36"/>
      <c r="I263" s="1" t="str">
        <f aca="false">IF($A263="","",IFERROR(IF(ISBLANK(INDEX(SprintPlanning[Sprint],MATCH($A263,SprintPlanning[Requirement ID],0))),"To Plan",INDEX(SprintPlanning[Sprint],MATCH($A263,SprintPlanning[Requirement ID],0))),"To Plan"))</f>
        <v/>
      </c>
      <c r="J263" s="36"/>
      <c r="K263" s="1" t="str">
        <f aca="false">IFERROR(IF(ISBLANK(INDEX(Release[Release],MATCH($A263,Release[Requirement ID],0))),"",INDEX(Release[Release],MATCH($A263,Release[Requirement ID],0))),"")</f>
        <v/>
      </c>
      <c r="L263" s="36"/>
      <c r="M263" s="36"/>
      <c r="P263" s="1" t="n">
        <f aca="false">IFERROR(VALUE(MID($A263,5,4)),0)</f>
        <v>0</v>
      </c>
      <c r="Q263" s="1" t="str">
        <f aca="false">IF(B263="","","NEW-"&amp;TEXT(MAX($P$2:$P262,Lists!$N$2)+1,"0000"))</f>
        <v/>
      </c>
    </row>
    <row r="264" customFormat="false" ht="15" hidden="false" customHeight="true" outlineLevel="0" collapsed="false">
      <c r="A264" s="35" t="str">
        <f aca="false">IF(AND(B264="",C264="",D264="",E264="",F264="",G264="",H264="",J264="",L264="",M264="",N264=""),"",Q264)</f>
        <v/>
      </c>
      <c r="B264" s="36"/>
      <c r="C264" s="36"/>
      <c r="D264" s="36"/>
      <c r="E264" s="36"/>
      <c r="F264" s="36"/>
      <c r="G264" s="36"/>
      <c r="H264" s="36"/>
      <c r="I264" s="1" t="str">
        <f aca="false">IF($A264="","",IFERROR(IF(ISBLANK(INDEX(SprintPlanning[Sprint],MATCH($A264,SprintPlanning[Requirement ID],0))),"To Plan",INDEX(SprintPlanning[Sprint],MATCH($A264,SprintPlanning[Requirement ID],0))),"To Plan"))</f>
        <v/>
      </c>
      <c r="J264" s="36"/>
      <c r="K264" s="1" t="str">
        <f aca="false">IFERROR(IF(ISBLANK(INDEX(Release[Release],MATCH($A264,Release[Requirement ID],0))),"",INDEX(Release[Release],MATCH($A264,Release[Requirement ID],0))),"")</f>
        <v/>
      </c>
      <c r="L264" s="36"/>
      <c r="M264" s="36"/>
      <c r="P264" s="1" t="n">
        <f aca="false">IFERROR(VALUE(MID($A264,5,4)),0)</f>
        <v>0</v>
      </c>
      <c r="Q264" s="1" t="str">
        <f aca="false">IF(B264="","","NEW-"&amp;TEXT(MAX($P$2:$P263,Lists!$N$2)+1,"0000"))</f>
        <v/>
      </c>
    </row>
    <row r="265" customFormat="false" ht="15" hidden="false" customHeight="true" outlineLevel="0" collapsed="false">
      <c r="A265" s="35" t="str">
        <f aca="false">IF(AND(B265="",C265="",D265="",E265="",F265="",G265="",H265="",J265="",L265="",M265="",N265=""),"",Q265)</f>
        <v/>
      </c>
      <c r="B265" s="36"/>
      <c r="C265" s="36"/>
      <c r="D265" s="36"/>
      <c r="E265" s="36"/>
      <c r="F265" s="36"/>
      <c r="G265" s="36"/>
      <c r="H265" s="36"/>
      <c r="I265" s="1" t="str">
        <f aca="false">IF($A265="","",IFERROR(IF(ISBLANK(INDEX(SprintPlanning[Sprint],MATCH($A265,SprintPlanning[Requirement ID],0))),"To Plan",INDEX(SprintPlanning[Sprint],MATCH($A265,SprintPlanning[Requirement ID],0))),"To Plan"))</f>
        <v/>
      </c>
      <c r="J265" s="36"/>
      <c r="K265" s="1" t="str">
        <f aca="false">IFERROR(IF(ISBLANK(INDEX(Release[Release],MATCH($A265,Release[Requirement ID],0))),"",INDEX(Release[Release],MATCH($A265,Release[Requirement ID],0))),"")</f>
        <v/>
      </c>
      <c r="L265" s="36"/>
      <c r="M265" s="36"/>
      <c r="P265" s="1" t="n">
        <f aca="false">IFERROR(VALUE(MID($A265,5,4)),0)</f>
        <v>0</v>
      </c>
      <c r="Q265" s="1" t="str">
        <f aca="false">IF(B265="","","NEW-"&amp;TEXT(MAX($P$2:$P264,Lists!$N$2)+1,"0000"))</f>
        <v/>
      </c>
    </row>
    <row r="266" customFormat="false" ht="15" hidden="false" customHeight="true" outlineLevel="0" collapsed="false">
      <c r="A266" s="35" t="str">
        <f aca="false">IF(AND(B266="",C266="",D266="",E266="",F266="",G266="",H266="",J266="",L266="",M266="",N266=""),"",Q266)</f>
        <v/>
      </c>
      <c r="B266" s="36"/>
      <c r="C266" s="36"/>
      <c r="D266" s="36"/>
      <c r="E266" s="36"/>
      <c r="F266" s="36"/>
      <c r="G266" s="36"/>
      <c r="H266" s="36"/>
      <c r="I266" s="1" t="str">
        <f aca="false">IF($A266="","",IFERROR(IF(ISBLANK(INDEX(SprintPlanning[Sprint],MATCH($A266,SprintPlanning[Requirement ID],0))),"To Plan",INDEX(SprintPlanning[Sprint],MATCH($A266,SprintPlanning[Requirement ID],0))),"To Plan"))</f>
        <v/>
      </c>
      <c r="J266" s="36"/>
      <c r="K266" s="1" t="str">
        <f aca="false">IFERROR(IF(ISBLANK(INDEX(Release[Release],MATCH($A266,Release[Requirement ID],0))),"",INDEX(Release[Release],MATCH($A266,Release[Requirement ID],0))),"")</f>
        <v/>
      </c>
      <c r="L266" s="36"/>
      <c r="M266" s="36"/>
      <c r="P266" s="1" t="n">
        <f aca="false">IFERROR(VALUE(MID($A266,5,4)),0)</f>
        <v>0</v>
      </c>
      <c r="Q266" s="1" t="str">
        <f aca="false">IF(B266="","","NEW-"&amp;TEXT(MAX($P$2:$P265,Lists!$N$2)+1,"0000"))</f>
        <v/>
      </c>
    </row>
    <row r="267" customFormat="false" ht="15" hidden="false" customHeight="true" outlineLevel="0" collapsed="false">
      <c r="A267" s="35" t="str">
        <f aca="false">IF(AND(B267="",C267="",D267="",E267="",F267="",G267="",H267="",J267="",L267="",M267="",N267=""),"",Q267)</f>
        <v/>
      </c>
      <c r="B267" s="36"/>
      <c r="C267" s="36"/>
      <c r="D267" s="36"/>
      <c r="E267" s="36"/>
      <c r="F267" s="36"/>
      <c r="G267" s="36"/>
      <c r="H267" s="36"/>
      <c r="I267" s="1" t="str">
        <f aca="false">IF($A267="","",IFERROR(IF(ISBLANK(INDEX(SprintPlanning[Sprint],MATCH($A267,SprintPlanning[Requirement ID],0))),"To Plan",INDEX(SprintPlanning[Sprint],MATCH($A267,SprintPlanning[Requirement ID],0))),"To Plan"))</f>
        <v/>
      </c>
      <c r="J267" s="36"/>
      <c r="K267" s="1" t="str">
        <f aca="false">IFERROR(IF(ISBLANK(INDEX(Release[Release],MATCH($A267,Release[Requirement ID],0))),"",INDEX(Release[Release],MATCH($A267,Release[Requirement ID],0))),"")</f>
        <v/>
      </c>
      <c r="L267" s="36"/>
      <c r="M267" s="36"/>
      <c r="P267" s="1" t="n">
        <f aca="false">IFERROR(VALUE(MID($A267,5,4)),0)</f>
        <v>0</v>
      </c>
      <c r="Q267" s="1" t="str">
        <f aca="false">IF(B267="","","NEW-"&amp;TEXT(MAX($P$2:$P266,Lists!$N$2)+1,"0000"))</f>
        <v/>
      </c>
    </row>
    <row r="268" customFormat="false" ht="15" hidden="false" customHeight="true" outlineLevel="0" collapsed="false">
      <c r="A268" s="35" t="str">
        <f aca="false">IF(AND(B268="",C268="",D268="",E268="",F268="",G268="",H268="",J268="",L268="",M268="",N268=""),"",Q268)</f>
        <v/>
      </c>
      <c r="B268" s="36"/>
      <c r="C268" s="36"/>
      <c r="D268" s="36"/>
      <c r="E268" s="36"/>
      <c r="F268" s="36"/>
      <c r="G268" s="36"/>
      <c r="H268" s="36"/>
      <c r="I268" s="1" t="str">
        <f aca="false">IF($A268="","",IFERROR(IF(ISBLANK(INDEX(SprintPlanning[Sprint],MATCH($A268,SprintPlanning[Requirement ID],0))),"To Plan",INDEX(SprintPlanning[Sprint],MATCH($A268,SprintPlanning[Requirement ID],0))),"To Plan"))</f>
        <v/>
      </c>
      <c r="J268" s="36"/>
      <c r="K268" s="1" t="str">
        <f aca="false">IFERROR(IF(ISBLANK(INDEX(Release[Release],MATCH($A268,Release[Requirement ID],0))),"",INDEX(Release[Release],MATCH($A268,Release[Requirement ID],0))),"")</f>
        <v/>
      </c>
      <c r="L268" s="36"/>
      <c r="M268" s="36"/>
      <c r="P268" s="1" t="n">
        <f aca="false">IFERROR(VALUE(MID($A268,5,4)),0)</f>
        <v>0</v>
      </c>
      <c r="Q268" s="1" t="str">
        <f aca="false">IF(B268="","","NEW-"&amp;TEXT(MAX($P$2:$P267,Lists!$N$2)+1,"0000"))</f>
        <v/>
      </c>
    </row>
    <row r="269" customFormat="false" ht="15" hidden="false" customHeight="true" outlineLevel="0" collapsed="false">
      <c r="A269" s="35" t="str">
        <f aca="false">IF(AND(B269="",C269="",D269="",E269="",F269="",G269="",H269="",J269="",L269="",M269="",N269=""),"",Q269)</f>
        <v/>
      </c>
      <c r="B269" s="36"/>
      <c r="C269" s="36"/>
      <c r="D269" s="36"/>
      <c r="E269" s="36"/>
      <c r="F269" s="36"/>
      <c r="G269" s="36"/>
      <c r="H269" s="36"/>
      <c r="I269" s="1" t="str">
        <f aca="false">IF($A269="","",IFERROR(IF(ISBLANK(INDEX(SprintPlanning[Sprint],MATCH($A269,SprintPlanning[Requirement ID],0))),"To Plan",INDEX(SprintPlanning[Sprint],MATCH($A269,SprintPlanning[Requirement ID],0))),"To Plan"))</f>
        <v/>
      </c>
      <c r="J269" s="36"/>
      <c r="K269" s="1" t="str">
        <f aca="false">IFERROR(IF(ISBLANK(INDEX(Release[Release],MATCH($A269,Release[Requirement ID],0))),"",INDEX(Release[Release],MATCH($A269,Release[Requirement ID],0))),"")</f>
        <v/>
      </c>
      <c r="L269" s="36"/>
      <c r="M269" s="36"/>
      <c r="P269" s="1" t="n">
        <f aca="false">IFERROR(VALUE(MID($A269,5,4)),0)</f>
        <v>0</v>
      </c>
      <c r="Q269" s="1" t="str">
        <f aca="false">IF(B269="","","NEW-"&amp;TEXT(MAX($P$2:$P268,Lists!$N$2)+1,"0000"))</f>
        <v/>
      </c>
    </row>
    <row r="270" customFormat="false" ht="15" hidden="false" customHeight="true" outlineLevel="0" collapsed="false">
      <c r="A270" s="35" t="str">
        <f aca="false">IF(AND(B270="",C270="",D270="",E270="",F270="",G270="",H270="",J270="",L270="",M270="",N270=""),"",Q270)</f>
        <v/>
      </c>
      <c r="B270" s="36"/>
      <c r="C270" s="36"/>
      <c r="D270" s="36"/>
      <c r="E270" s="36"/>
      <c r="F270" s="36"/>
      <c r="G270" s="36"/>
      <c r="H270" s="36"/>
      <c r="I270" s="1" t="str">
        <f aca="false">IF($A270="","",IFERROR(IF(ISBLANK(INDEX(SprintPlanning[Sprint],MATCH($A270,SprintPlanning[Requirement ID],0))),"To Plan",INDEX(SprintPlanning[Sprint],MATCH($A270,SprintPlanning[Requirement ID],0))),"To Plan"))</f>
        <v/>
      </c>
      <c r="J270" s="36"/>
      <c r="K270" s="1" t="str">
        <f aca="false">IFERROR(IF(ISBLANK(INDEX(Release[Release],MATCH($A270,Release[Requirement ID],0))),"",INDEX(Release[Release],MATCH($A270,Release[Requirement ID],0))),"")</f>
        <v/>
      </c>
      <c r="L270" s="36"/>
      <c r="M270" s="36"/>
      <c r="P270" s="1" t="n">
        <f aca="false">IFERROR(VALUE(MID($A270,5,4)),0)</f>
        <v>0</v>
      </c>
      <c r="Q270" s="1" t="str">
        <f aca="false">IF(B270="","","NEW-"&amp;TEXT(MAX($P$2:$P269,Lists!$N$2)+1,"0000"))</f>
        <v/>
      </c>
    </row>
    <row r="271" customFormat="false" ht="15" hidden="false" customHeight="true" outlineLevel="0" collapsed="false">
      <c r="A271" s="35" t="str">
        <f aca="false">IF(AND(B271="",C271="",D271="",E271="",F271="",G271="",H271="",J271="",L271="",M271="",N271=""),"",Q271)</f>
        <v/>
      </c>
      <c r="B271" s="36"/>
      <c r="C271" s="36"/>
      <c r="D271" s="36"/>
      <c r="E271" s="36"/>
      <c r="F271" s="36"/>
      <c r="G271" s="36"/>
      <c r="H271" s="36"/>
      <c r="I271" s="1" t="str">
        <f aca="false">IF($A271="","",IFERROR(IF(ISBLANK(INDEX(SprintPlanning[Sprint],MATCH($A271,SprintPlanning[Requirement ID],0))),"To Plan",INDEX(SprintPlanning[Sprint],MATCH($A271,SprintPlanning[Requirement ID],0))),"To Plan"))</f>
        <v/>
      </c>
      <c r="J271" s="36"/>
      <c r="K271" s="1" t="str">
        <f aca="false">IFERROR(IF(ISBLANK(INDEX(Release[Release],MATCH($A271,Release[Requirement ID],0))),"",INDEX(Release[Release],MATCH($A271,Release[Requirement ID],0))),"")</f>
        <v/>
      </c>
      <c r="L271" s="36"/>
      <c r="M271" s="36"/>
      <c r="P271" s="1" t="n">
        <f aca="false">IFERROR(VALUE(MID($A271,5,4)),0)</f>
        <v>0</v>
      </c>
      <c r="Q271" s="1" t="str">
        <f aca="false">IF(B271="","","NEW-"&amp;TEXT(MAX($P$2:$P270,Lists!$N$2)+1,"0000"))</f>
        <v/>
      </c>
    </row>
    <row r="272" customFormat="false" ht="15" hidden="false" customHeight="true" outlineLevel="0" collapsed="false">
      <c r="A272" s="35" t="str">
        <f aca="false">IF(AND(B272="",C272="",D272="",E272="",F272="",G272="",H272="",J272="",L272="",M272="",N272=""),"",Q272)</f>
        <v/>
      </c>
      <c r="B272" s="36"/>
      <c r="C272" s="36"/>
      <c r="D272" s="36"/>
      <c r="E272" s="36"/>
      <c r="F272" s="36"/>
      <c r="G272" s="36"/>
      <c r="H272" s="36"/>
      <c r="I272" s="1" t="str">
        <f aca="false">IF($A272="","",IFERROR(IF(ISBLANK(INDEX(SprintPlanning[Sprint],MATCH($A272,SprintPlanning[Requirement ID],0))),"To Plan",INDEX(SprintPlanning[Sprint],MATCH($A272,SprintPlanning[Requirement ID],0))),"To Plan"))</f>
        <v/>
      </c>
      <c r="J272" s="36"/>
      <c r="K272" s="1" t="str">
        <f aca="false">IFERROR(IF(ISBLANK(INDEX(Release[Release],MATCH($A272,Release[Requirement ID],0))),"",INDEX(Release[Release],MATCH($A272,Release[Requirement ID],0))),"")</f>
        <v/>
      </c>
      <c r="L272" s="36"/>
      <c r="M272" s="36"/>
      <c r="P272" s="1" t="n">
        <f aca="false">IFERROR(VALUE(MID($A272,5,4)),0)</f>
        <v>0</v>
      </c>
      <c r="Q272" s="1" t="str">
        <f aca="false">IF(B272="","","NEW-"&amp;TEXT(MAX($P$2:$P271,Lists!$N$2)+1,"0000"))</f>
        <v/>
      </c>
    </row>
    <row r="273" customFormat="false" ht="15" hidden="false" customHeight="true" outlineLevel="0" collapsed="false">
      <c r="A273" s="35" t="str">
        <f aca="false">IF(AND(B273="",C273="",D273="",E273="",F273="",G273="",H273="",J273="",L273="",M273="",N273=""),"",Q273)</f>
        <v/>
      </c>
      <c r="B273" s="36"/>
      <c r="C273" s="36"/>
      <c r="D273" s="36"/>
      <c r="E273" s="36"/>
      <c r="F273" s="36"/>
      <c r="G273" s="36"/>
      <c r="H273" s="36"/>
      <c r="I273" s="1" t="str">
        <f aca="false">IF($A273="","",IFERROR(IF(ISBLANK(INDEX(SprintPlanning[Sprint],MATCH($A273,SprintPlanning[Requirement ID],0))),"To Plan",INDEX(SprintPlanning[Sprint],MATCH($A273,SprintPlanning[Requirement ID],0))),"To Plan"))</f>
        <v/>
      </c>
      <c r="J273" s="36"/>
      <c r="K273" s="1" t="str">
        <f aca="false">IFERROR(IF(ISBLANK(INDEX(Release[Release],MATCH($A273,Release[Requirement ID],0))),"",INDEX(Release[Release],MATCH($A273,Release[Requirement ID],0))),"")</f>
        <v/>
      </c>
      <c r="L273" s="36"/>
      <c r="M273" s="36"/>
      <c r="P273" s="1" t="n">
        <f aca="false">IFERROR(VALUE(MID($A273,5,4)),0)</f>
        <v>0</v>
      </c>
      <c r="Q273" s="1" t="str">
        <f aca="false">IF(B273="","","NEW-"&amp;TEXT(MAX($P$2:$P272,Lists!$N$2)+1,"0000"))</f>
        <v/>
      </c>
    </row>
    <row r="274" customFormat="false" ht="15" hidden="false" customHeight="true" outlineLevel="0" collapsed="false">
      <c r="A274" s="35" t="str">
        <f aca="false">IF(AND(B274="",C274="",D274="",E274="",F274="",G274="",H274="",J274="",L274="",M274="",N274=""),"",Q274)</f>
        <v/>
      </c>
      <c r="B274" s="36"/>
      <c r="C274" s="36"/>
      <c r="D274" s="36"/>
      <c r="E274" s="36"/>
      <c r="F274" s="36"/>
      <c r="G274" s="36"/>
      <c r="H274" s="36"/>
      <c r="I274" s="1" t="str">
        <f aca="false">IF($A274="","",IFERROR(IF(ISBLANK(INDEX(SprintPlanning[Sprint],MATCH($A274,SprintPlanning[Requirement ID],0))),"To Plan",INDEX(SprintPlanning[Sprint],MATCH($A274,SprintPlanning[Requirement ID],0))),"To Plan"))</f>
        <v/>
      </c>
      <c r="J274" s="36"/>
      <c r="K274" s="1" t="str">
        <f aca="false">IFERROR(IF(ISBLANK(INDEX(Release[Release],MATCH($A274,Release[Requirement ID],0))),"",INDEX(Release[Release],MATCH($A274,Release[Requirement ID],0))),"")</f>
        <v/>
      </c>
      <c r="L274" s="36"/>
      <c r="M274" s="36"/>
      <c r="P274" s="1" t="n">
        <f aca="false">IFERROR(VALUE(MID($A274,5,4)),0)</f>
        <v>0</v>
      </c>
      <c r="Q274" s="1" t="str">
        <f aca="false">IF(B274="","","NEW-"&amp;TEXT(MAX($P$2:$P273,Lists!$N$2)+1,"0000"))</f>
        <v/>
      </c>
    </row>
    <row r="275" customFormat="false" ht="15" hidden="false" customHeight="true" outlineLevel="0" collapsed="false">
      <c r="A275" s="35" t="str">
        <f aca="false">IF(AND(B275="",C275="",D275="",E275="",F275="",G275="",H275="",J275="",L275="",M275="",N275=""),"",Q275)</f>
        <v/>
      </c>
      <c r="B275" s="36"/>
      <c r="C275" s="36"/>
      <c r="D275" s="36"/>
      <c r="E275" s="36"/>
      <c r="F275" s="36"/>
      <c r="G275" s="36"/>
      <c r="H275" s="36"/>
      <c r="I275" s="1" t="str">
        <f aca="false">IF($A275="","",IFERROR(IF(ISBLANK(INDEX(SprintPlanning[Sprint],MATCH($A275,SprintPlanning[Requirement ID],0))),"To Plan",INDEX(SprintPlanning[Sprint],MATCH($A275,SprintPlanning[Requirement ID],0))),"To Plan"))</f>
        <v/>
      </c>
      <c r="J275" s="36"/>
      <c r="K275" s="1" t="str">
        <f aca="false">IFERROR(IF(ISBLANK(INDEX(Release[Release],MATCH($A275,Release[Requirement ID],0))),"",INDEX(Release[Release],MATCH($A275,Release[Requirement ID],0))),"")</f>
        <v/>
      </c>
      <c r="L275" s="36"/>
      <c r="M275" s="36"/>
      <c r="P275" s="1" t="n">
        <f aca="false">IFERROR(VALUE(MID($A275,5,4)),0)</f>
        <v>0</v>
      </c>
      <c r="Q275" s="1" t="str">
        <f aca="false">IF(B275="","","NEW-"&amp;TEXT(MAX($P$2:$P274,Lists!$N$2)+1,"0000"))</f>
        <v/>
      </c>
    </row>
    <row r="276" customFormat="false" ht="15" hidden="false" customHeight="true" outlineLevel="0" collapsed="false">
      <c r="A276" s="35" t="str">
        <f aca="false">IF(AND(B276="",C276="",D276="",E276="",F276="",G276="",H276="",J276="",L276="",M276="",N276=""),"",Q276)</f>
        <v/>
      </c>
      <c r="B276" s="36"/>
      <c r="C276" s="36"/>
      <c r="D276" s="36"/>
      <c r="E276" s="36"/>
      <c r="F276" s="36"/>
      <c r="G276" s="36"/>
      <c r="H276" s="36"/>
      <c r="I276" s="1" t="str">
        <f aca="false">IF($A276="","",IFERROR(IF(ISBLANK(INDEX(SprintPlanning[Sprint],MATCH($A276,SprintPlanning[Requirement ID],0))),"To Plan",INDEX(SprintPlanning[Sprint],MATCH($A276,SprintPlanning[Requirement ID],0))),"To Plan"))</f>
        <v/>
      </c>
      <c r="J276" s="36"/>
      <c r="K276" s="1" t="str">
        <f aca="false">IFERROR(IF(ISBLANK(INDEX(Release[Release],MATCH($A276,Release[Requirement ID],0))),"",INDEX(Release[Release],MATCH($A276,Release[Requirement ID],0))),"")</f>
        <v/>
      </c>
      <c r="L276" s="36"/>
      <c r="M276" s="36"/>
      <c r="P276" s="1" t="n">
        <f aca="false">IFERROR(VALUE(MID($A276,5,4)),0)</f>
        <v>0</v>
      </c>
      <c r="Q276" s="1" t="str">
        <f aca="false">IF(B276="","","NEW-"&amp;TEXT(MAX($P$2:$P275,Lists!$N$2)+1,"0000"))</f>
        <v/>
      </c>
    </row>
    <row r="277" customFormat="false" ht="15" hidden="false" customHeight="true" outlineLevel="0" collapsed="false">
      <c r="A277" s="35" t="str">
        <f aca="false">IF(AND(B277="",C277="",D277="",E277="",F277="",G277="",H277="",J277="",L277="",M277="",N277=""),"",Q277)</f>
        <v/>
      </c>
      <c r="B277" s="36"/>
      <c r="C277" s="36"/>
      <c r="D277" s="36"/>
      <c r="E277" s="36"/>
      <c r="F277" s="36"/>
      <c r="G277" s="36"/>
      <c r="H277" s="36"/>
      <c r="I277" s="1" t="str">
        <f aca="false">IF($A277="","",IFERROR(IF(ISBLANK(INDEX(SprintPlanning[Sprint],MATCH($A277,SprintPlanning[Requirement ID],0))),"To Plan",INDEX(SprintPlanning[Sprint],MATCH($A277,SprintPlanning[Requirement ID],0))),"To Plan"))</f>
        <v/>
      </c>
      <c r="J277" s="36"/>
      <c r="K277" s="1" t="str">
        <f aca="false">IFERROR(IF(ISBLANK(INDEX(Release[Release],MATCH($A277,Release[Requirement ID],0))),"",INDEX(Release[Release],MATCH($A277,Release[Requirement ID],0))),"")</f>
        <v/>
      </c>
      <c r="L277" s="36"/>
      <c r="M277" s="36"/>
      <c r="P277" s="1" t="n">
        <f aca="false">IFERROR(VALUE(MID($A277,5,4)),0)</f>
        <v>0</v>
      </c>
      <c r="Q277" s="1" t="str">
        <f aca="false">IF(B277="","","NEW-"&amp;TEXT(MAX($P$2:$P276,Lists!$N$2)+1,"0000"))</f>
        <v/>
      </c>
    </row>
    <row r="278" customFormat="false" ht="15" hidden="false" customHeight="true" outlineLevel="0" collapsed="false">
      <c r="A278" s="35" t="str">
        <f aca="false">IF(AND(B278="",C278="",D278="",E278="",F278="",G278="",H278="",J278="",L278="",M278="",N278=""),"",Q278)</f>
        <v/>
      </c>
      <c r="B278" s="36"/>
      <c r="C278" s="36"/>
      <c r="D278" s="36"/>
      <c r="E278" s="36"/>
      <c r="F278" s="36"/>
      <c r="G278" s="36"/>
      <c r="H278" s="36"/>
      <c r="I278" s="1" t="str">
        <f aca="false">IF($A278="","",IFERROR(IF(ISBLANK(INDEX(SprintPlanning[Sprint],MATCH($A278,SprintPlanning[Requirement ID],0))),"To Plan",INDEX(SprintPlanning[Sprint],MATCH($A278,SprintPlanning[Requirement ID],0))),"To Plan"))</f>
        <v/>
      </c>
      <c r="J278" s="36"/>
      <c r="K278" s="1" t="str">
        <f aca="false">IFERROR(IF(ISBLANK(INDEX(Release[Release],MATCH($A278,Release[Requirement ID],0))),"",INDEX(Release[Release],MATCH($A278,Release[Requirement ID],0))),"")</f>
        <v/>
      </c>
      <c r="L278" s="36"/>
      <c r="M278" s="36"/>
      <c r="P278" s="1" t="n">
        <f aca="false">IFERROR(VALUE(MID($A278,5,4)),0)</f>
        <v>0</v>
      </c>
      <c r="Q278" s="1" t="str">
        <f aca="false">IF(B278="","","NEW-"&amp;TEXT(MAX($P$2:$P277,Lists!$N$2)+1,"0000"))</f>
        <v/>
      </c>
    </row>
    <row r="279" customFormat="false" ht="15" hidden="false" customHeight="true" outlineLevel="0" collapsed="false">
      <c r="A279" s="35" t="str">
        <f aca="false">IF(AND(B279="",C279="",D279="",E279="",F279="",G279="",H279="",J279="",L279="",M279="",N279=""),"",Q279)</f>
        <v/>
      </c>
      <c r="B279" s="36"/>
      <c r="C279" s="36"/>
      <c r="D279" s="36"/>
      <c r="E279" s="36"/>
      <c r="F279" s="36"/>
      <c r="G279" s="36"/>
      <c r="H279" s="36"/>
      <c r="I279" s="1" t="str">
        <f aca="false">IF($A279="","",IFERROR(IF(ISBLANK(INDEX(SprintPlanning[Sprint],MATCH($A279,SprintPlanning[Requirement ID],0))),"To Plan",INDEX(SprintPlanning[Sprint],MATCH($A279,SprintPlanning[Requirement ID],0))),"To Plan"))</f>
        <v/>
      </c>
      <c r="J279" s="36"/>
      <c r="K279" s="1" t="str">
        <f aca="false">IFERROR(IF(ISBLANK(INDEX(Release[Release],MATCH($A279,Release[Requirement ID],0))),"",INDEX(Release[Release],MATCH($A279,Release[Requirement ID],0))),"")</f>
        <v/>
      </c>
      <c r="L279" s="36"/>
      <c r="M279" s="36"/>
      <c r="P279" s="1" t="n">
        <f aca="false">IFERROR(VALUE(MID($A279,5,4)),0)</f>
        <v>0</v>
      </c>
      <c r="Q279" s="1" t="str">
        <f aca="false">IF(B279="","","NEW-"&amp;TEXT(MAX($P$2:$P278,Lists!$N$2)+1,"0000"))</f>
        <v/>
      </c>
    </row>
    <row r="280" customFormat="false" ht="15" hidden="false" customHeight="true" outlineLevel="0" collapsed="false">
      <c r="A280" s="35" t="str">
        <f aca="false">IF(AND(B280="",C280="",D280="",E280="",F280="",G280="",H280="",J280="",L280="",M280="",N280=""),"",Q280)</f>
        <v/>
      </c>
      <c r="B280" s="36"/>
      <c r="C280" s="36"/>
      <c r="D280" s="36"/>
      <c r="E280" s="36"/>
      <c r="F280" s="36"/>
      <c r="G280" s="36"/>
      <c r="H280" s="36"/>
      <c r="I280" s="1" t="str">
        <f aca="false">IF($A280="","",IFERROR(IF(ISBLANK(INDEX(SprintPlanning[Sprint],MATCH($A280,SprintPlanning[Requirement ID],0))),"To Plan",INDEX(SprintPlanning[Sprint],MATCH($A280,SprintPlanning[Requirement ID],0))),"To Plan"))</f>
        <v/>
      </c>
      <c r="J280" s="36"/>
      <c r="K280" s="1" t="str">
        <f aca="false">IFERROR(IF(ISBLANK(INDEX(Release[Release],MATCH($A280,Release[Requirement ID],0))),"",INDEX(Release[Release],MATCH($A280,Release[Requirement ID],0))),"")</f>
        <v/>
      </c>
      <c r="L280" s="36"/>
      <c r="M280" s="36"/>
      <c r="P280" s="1" t="n">
        <f aca="false">IFERROR(VALUE(MID($A280,5,4)),0)</f>
        <v>0</v>
      </c>
      <c r="Q280" s="1" t="str">
        <f aca="false">IF(B280="","","NEW-"&amp;TEXT(MAX($P$2:$P279,Lists!$N$2)+1,"0000"))</f>
        <v/>
      </c>
    </row>
    <row r="281" customFormat="false" ht="15" hidden="false" customHeight="true" outlineLevel="0" collapsed="false">
      <c r="A281" s="35" t="str">
        <f aca="false">IF(AND(B281="",C281="",D281="",E281="",F281="",G281="",H281="",J281="",L281="",M281="",N281=""),"",Q281)</f>
        <v/>
      </c>
      <c r="B281" s="36"/>
      <c r="C281" s="36"/>
      <c r="D281" s="36"/>
      <c r="E281" s="36"/>
      <c r="F281" s="36"/>
      <c r="G281" s="36"/>
      <c r="H281" s="36"/>
      <c r="I281" s="1" t="str">
        <f aca="false">IF($A281="","",IFERROR(IF(ISBLANK(INDEX(SprintPlanning[Sprint],MATCH($A281,SprintPlanning[Requirement ID],0))),"To Plan",INDEX(SprintPlanning[Sprint],MATCH($A281,SprintPlanning[Requirement ID],0))),"To Plan"))</f>
        <v/>
      </c>
      <c r="J281" s="36"/>
      <c r="K281" s="1" t="str">
        <f aca="false">IFERROR(IF(ISBLANK(INDEX(Release[Release],MATCH($A281,Release[Requirement ID],0))),"",INDEX(Release[Release],MATCH($A281,Release[Requirement ID],0))),"")</f>
        <v/>
      </c>
      <c r="L281" s="36"/>
      <c r="M281" s="36"/>
      <c r="P281" s="1" t="n">
        <f aca="false">IFERROR(VALUE(MID($A281,5,4)),0)</f>
        <v>0</v>
      </c>
      <c r="Q281" s="1" t="str">
        <f aca="false">IF(B281="","","NEW-"&amp;TEXT(MAX($P$2:$P280,Lists!$N$2)+1,"0000"))</f>
        <v/>
      </c>
    </row>
    <row r="282" customFormat="false" ht="15" hidden="false" customHeight="true" outlineLevel="0" collapsed="false">
      <c r="A282" s="35" t="str">
        <f aca="false">IF(AND(B282="",C282="",D282="",E282="",F282="",G282="",H282="",J282="",L282="",M282="",N282=""),"",Q282)</f>
        <v/>
      </c>
      <c r="B282" s="36"/>
      <c r="C282" s="36"/>
      <c r="D282" s="36"/>
      <c r="E282" s="36"/>
      <c r="F282" s="36"/>
      <c r="G282" s="36"/>
      <c r="H282" s="36"/>
      <c r="I282" s="1" t="str">
        <f aca="false">IF($A282="","",IFERROR(IF(ISBLANK(INDEX(SprintPlanning[Sprint],MATCH($A282,SprintPlanning[Requirement ID],0))),"To Plan",INDEX(SprintPlanning[Sprint],MATCH($A282,SprintPlanning[Requirement ID],0))),"To Plan"))</f>
        <v/>
      </c>
      <c r="J282" s="36"/>
      <c r="K282" s="1" t="str">
        <f aca="false">IFERROR(IF(ISBLANK(INDEX(Release[Release],MATCH($A282,Release[Requirement ID],0))),"",INDEX(Release[Release],MATCH($A282,Release[Requirement ID],0))),"")</f>
        <v/>
      </c>
      <c r="L282" s="36"/>
      <c r="M282" s="36"/>
      <c r="P282" s="1" t="n">
        <f aca="false">IFERROR(VALUE(MID($A282,5,4)),0)</f>
        <v>0</v>
      </c>
      <c r="Q282" s="1" t="str">
        <f aca="false">IF(B282="","","NEW-"&amp;TEXT(MAX($P$2:$P281,Lists!$N$2)+1,"0000"))</f>
        <v/>
      </c>
    </row>
    <row r="283" customFormat="false" ht="15" hidden="false" customHeight="true" outlineLevel="0" collapsed="false">
      <c r="A283" s="35" t="str">
        <f aca="false">IF(AND(B283="",C283="",D283="",E283="",F283="",G283="",H283="",J283="",L283="",M283="",N283=""),"",Q283)</f>
        <v/>
      </c>
      <c r="B283" s="36"/>
      <c r="C283" s="36"/>
      <c r="D283" s="36"/>
      <c r="E283" s="36"/>
      <c r="F283" s="36"/>
      <c r="G283" s="36"/>
      <c r="H283" s="36"/>
      <c r="I283" s="1" t="str">
        <f aca="false">IF($A283="","",IFERROR(IF(ISBLANK(INDEX(SprintPlanning[Sprint],MATCH($A283,SprintPlanning[Requirement ID],0))),"To Plan",INDEX(SprintPlanning[Sprint],MATCH($A283,SprintPlanning[Requirement ID],0))),"To Plan"))</f>
        <v/>
      </c>
      <c r="J283" s="36"/>
      <c r="K283" s="1" t="str">
        <f aca="false">IFERROR(IF(ISBLANK(INDEX(Release[Release],MATCH($A283,Release[Requirement ID],0))),"",INDEX(Release[Release],MATCH($A283,Release[Requirement ID],0))),"")</f>
        <v/>
      </c>
      <c r="L283" s="36"/>
      <c r="M283" s="36"/>
      <c r="P283" s="1" t="n">
        <f aca="false">IFERROR(VALUE(MID($A283,5,4)),0)</f>
        <v>0</v>
      </c>
      <c r="Q283" s="1" t="str">
        <f aca="false">IF(B283="","","NEW-"&amp;TEXT(MAX($P$2:$P282,Lists!$N$2)+1,"0000"))</f>
        <v/>
      </c>
    </row>
    <row r="284" customFormat="false" ht="15" hidden="false" customHeight="true" outlineLevel="0" collapsed="false">
      <c r="A284" s="35" t="str">
        <f aca="false">IF(AND(B284="",C284="",D284="",E284="",F284="",G284="",H284="",J284="",L284="",M284="",N284=""),"",Q284)</f>
        <v/>
      </c>
      <c r="B284" s="36"/>
      <c r="C284" s="36"/>
      <c r="D284" s="36"/>
      <c r="E284" s="36"/>
      <c r="F284" s="36"/>
      <c r="G284" s="36"/>
      <c r="H284" s="36"/>
      <c r="I284" s="1" t="str">
        <f aca="false">IF($A284="","",IFERROR(IF(ISBLANK(INDEX(SprintPlanning[Sprint],MATCH($A284,SprintPlanning[Requirement ID],0))),"To Plan",INDEX(SprintPlanning[Sprint],MATCH($A284,SprintPlanning[Requirement ID],0))),"To Plan"))</f>
        <v/>
      </c>
      <c r="J284" s="36"/>
      <c r="K284" s="1" t="str">
        <f aca="false">IFERROR(IF(ISBLANK(INDEX(Release[Release],MATCH($A284,Release[Requirement ID],0))),"",INDEX(Release[Release],MATCH($A284,Release[Requirement ID],0))),"")</f>
        <v/>
      </c>
      <c r="L284" s="36"/>
      <c r="M284" s="36"/>
      <c r="P284" s="1" t="n">
        <f aca="false">IFERROR(VALUE(MID($A284,5,4)),0)</f>
        <v>0</v>
      </c>
      <c r="Q284" s="1" t="str">
        <f aca="false">IF(B284="","","NEW-"&amp;TEXT(MAX($P$2:$P283,Lists!$N$2)+1,"0000"))</f>
        <v/>
      </c>
    </row>
    <row r="285" customFormat="false" ht="15" hidden="false" customHeight="true" outlineLevel="0" collapsed="false">
      <c r="A285" s="35" t="str">
        <f aca="false">IF(AND(B285="",C285="",D285="",E285="",F285="",G285="",H285="",J285="",L285="",M285="",N285=""),"",Q285)</f>
        <v/>
      </c>
      <c r="B285" s="36"/>
      <c r="C285" s="36"/>
      <c r="D285" s="36"/>
      <c r="E285" s="36"/>
      <c r="F285" s="36"/>
      <c r="G285" s="36"/>
      <c r="H285" s="36"/>
      <c r="I285" s="1" t="str">
        <f aca="false">IF($A285="","",IFERROR(IF(ISBLANK(INDEX(SprintPlanning[Sprint],MATCH($A285,SprintPlanning[Requirement ID],0))),"To Plan",INDEX(SprintPlanning[Sprint],MATCH($A285,SprintPlanning[Requirement ID],0))),"To Plan"))</f>
        <v/>
      </c>
      <c r="J285" s="36"/>
      <c r="K285" s="1" t="str">
        <f aca="false">IFERROR(IF(ISBLANK(INDEX(Release[Release],MATCH($A285,Release[Requirement ID],0))),"",INDEX(Release[Release],MATCH($A285,Release[Requirement ID],0))),"")</f>
        <v/>
      </c>
      <c r="L285" s="36"/>
      <c r="M285" s="36"/>
      <c r="P285" s="1" t="n">
        <f aca="false">IFERROR(VALUE(MID($A285,5,4)),0)</f>
        <v>0</v>
      </c>
      <c r="Q285" s="1" t="str">
        <f aca="false">IF(B285="","","NEW-"&amp;TEXT(MAX($P$2:$P284,Lists!$N$2)+1,"0000"))</f>
        <v/>
      </c>
    </row>
    <row r="286" customFormat="false" ht="15" hidden="false" customHeight="true" outlineLevel="0" collapsed="false">
      <c r="A286" s="35" t="str">
        <f aca="false">IF(AND(B286="",C286="",D286="",E286="",F286="",G286="",H286="",J286="",L286="",M286="",N286=""),"",Q286)</f>
        <v/>
      </c>
      <c r="B286" s="36"/>
      <c r="C286" s="36"/>
      <c r="D286" s="36"/>
      <c r="E286" s="36"/>
      <c r="F286" s="36"/>
      <c r="G286" s="36"/>
      <c r="H286" s="36"/>
      <c r="I286" s="1" t="str">
        <f aca="false">IF($A286="","",IFERROR(IF(ISBLANK(INDEX(SprintPlanning[Sprint],MATCH($A286,SprintPlanning[Requirement ID],0))),"To Plan",INDEX(SprintPlanning[Sprint],MATCH($A286,SprintPlanning[Requirement ID],0))),"To Plan"))</f>
        <v/>
      </c>
      <c r="J286" s="36"/>
      <c r="K286" s="1" t="str">
        <f aca="false">IFERROR(IF(ISBLANK(INDEX(Release[Release],MATCH($A286,Release[Requirement ID],0))),"",INDEX(Release[Release],MATCH($A286,Release[Requirement ID],0))),"")</f>
        <v/>
      </c>
      <c r="L286" s="36"/>
      <c r="M286" s="36"/>
      <c r="P286" s="1" t="n">
        <f aca="false">IFERROR(VALUE(MID($A286,5,4)),0)</f>
        <v>0</v>
      </c>
      <c r="Q286" s="1" t="str">
        <f aca="false">IF(B286="","","NEW-"&amp;TEXT(MAX($P$2:$P285,Lists!$N$2)+1,"0000"))</f>
        <v/>
      </c>
    </row>
    <row r="287" customFormat="false" ht="15" hidden="false" customHeight="true" outlineLevel="0" collapsed="false">
      <c r="A287" s="35" t="str">
        <f aca="false">IF(AND(B287="",C287="",D287="",E287="",F287="",G287="",H287="",J287="",L287="",M287="",N287=""),"",Q287)</f>
        <v/>
      </c>
      <c r="B287" s="36"/>
      <c r="C287" s="36"/>
      <c r="D287" s="36"/>
      <c r="E287" s="36"/>
      <c r="F287" s="36"/>
      <c r="G287" s="36"/>
      <c r="H287" s="36"/>
      <c r="I287" s="1" t="str">
        <f aca="false">IF($A287="","",IFERROR(IF(ISBLANK(INDEX(SprintPlanning[Sprint],MATCH($A287,SprintPlanning[Requirement ID],0))),"To Plan",INDEX(SprintPlanning[Sprint],MATCH($A287,SprintPlanning[Requirement ID],0))),"To Plan"))</f>
        <v/>
      </c>
      <c r="J287" s="36"/>
      <c r="K287" s="1" t="str">
        <f aca="false">IFERROR(IF(ISBLANK(INDEX(Release[Release],MATCH($A287,Release[Requirement ID],0))),"",INDEX(Release[Release],MATCH($A287,Release[Requirement ID],0))),"")</f>
        <v/>
      </c>
      <c r="L287" s="36"/>
      <c r="M287" s="36"/>
      <c r="P287" s="1" t="n">
        <f aca="false">IFERROR(VALUE(MID($A287,5,4)),0)</f>
        <v>0</v>
      </c>
      <c r="Q287" s="1" t="str">
        <f aca="false">IF(B287="","","NEW-"&amp;TEXT(MAX($P$2:$P286,Lists!$N$2)+1,"0000"))</f>
        <v/>
      </c>
    </row>
    <row r="288" customFormat="false" ht="15" hidden="false" customHeight="true" outlineLevel="0" collapsed="false">
      <c r="A288" s="35" t="str">
        <f aca="false">IF(AND(B288="",C288="",D288="",E288="",F288="",G288="",H288="",J288="",L288="",M288="",N288=""),"",Q288)</f>
        <v/>
      </c>
      <c r="B288" s="36"/>
      <c r="C288" s="36"/>
      <c r="D288" s="36"/>
      <c r="E288" s="36"/>
      <c r="F288" s="36"/>
      <c r="G288" s="36"/>
      <c r="H288" s="36"/>
      <c r="I288" s="1" t="str">
        <f aca="false">IF($A288="","",IFERROR(IF(ISBLANK(INDEX(SprintPlanning[Sprint],MATCH($A288,SprintPlanning[Requirement ID],0))),"To Plan",INDEX(SprintPlanning[Sprint],MATCH($A288,SprintPlanning[Requirement ID],0))),"To Plan"))</f>
        <v/>
      </c>
      <c r="J288" s="36"/>
      <c r="K288" s="1" t="str">
        <f aca="false">IFERROR(IF(ISBLANK(INDEX(Release[Release],MATCH($A288,Release[Requirement ID],0))),"",INDEX(Release[Release],MATCH($A288,Release[Requirement ID],0))),"")</f>
        <v/>
      </c>
      <c r="L288" s="36"/>
      <c r="M288" s="36"/>
      <c r="P288" s="1" t="n">
        <f aca="false">IFERROR(VALUE(MID($A288,5,4)),0)</f>
        <v>0</v>
      </c>
      <c r="Q288" s="1" t="str">
        <f aca="false">IF(B288="","","NEW-"&amp;TEXT(MAX($P$2:$P287,Lists!$N$2)+1,"0000"))</f>
        <v/>
      </c>
    </row>
    <row r="289" customFormat="false" ht="15" hidden="false" customHeight="true" outlineLevel="0" collapsed="false">
      <c r="A289" s="35" t="str">
        <f aca="false">IF(AND(B289="",C289="",D289="",E289="",F289="",G289="",H289="",J289="",L289="",M289="",N289=""),"",Q289)</f>
        <v/>
      </c>
      <c r="B289" s="36"/>
      <c r="C289" s="36"/>
      <c r="D289" s="36"/>
      <c r="E289" s="36"/>
      <c r="F289" s="36"/>
      <c r="G289" s="36"/>
      <c r="H289" s="36"/>
      <c r="I289" s="1" t="str">
        <f aca="false">IF($A289="","",IFERROR(IF(ISBLANK(INDEX(SprintPlanning[Sprint],MATCH($A289,SprintPlanning[Requirement ID],0))),"To Plan",INDEX(SprintPlanning[Sprint],MATCH($A289,SprintPlanning[Requirement ID],0))),"To Plan"))</f>
        <v/>
      </c>
      <c r="J289" s="36"/>
      <c r="K289" s="1" t="str">
        <f aca="false">IFERROR(IF(ISBLANK(INDEX(Release[Release],MATCH($A289,Release[Requirement ID],0))),"",INDEX(Release[Release],MATCH($A289,Release[Requirement ID],0))),"")</f>
        <v/>
      </c>
      <c r="L289" s="36"/>
      <c r="M289" s="36"/>
      <c r="P289" s="1" t="n">
        <f aca="false">IFERROR(VALUE(MID($A289,5,4)),0)</f>
        <v>0</v>
      </c>
      <c r="Q289" s="1" t="str">
        <f aca="false">IF(B289="","","NEW-"&amp;TEXT(MAX($P$2:$P288,Lists!$N$2)+1,"0000"))</f>
        <v/>
      </c>
    </row>
    <row r="290" customFormat="false" ht="15" hidden="false" customHeight="true" outlineLevel="0" collapsed="false">
      <c r="A290" s="35" t="str">
        <f aca="false">IF(AND(B290="",C290="",D290="",E290="",F290="",G290="",H290="",J290="",L290="",M290="",N290=""),"",Q290)</f>
        <v/>
      </c>
      <c r="B290" s="36"/>
      <c r="C290" s="36"/>
      <c r="D290" s="36"/>
      <c r="E290" s="36"/>
      <c r="F290" s="36"/>
      <c r="G290" s="36"/>
      <c r="H290" s="36"/>
      <c r="I290" s="1" t="str">
        <f aca="false">IF($A290="","",IFERROR(IF(ISBLANK(INDEX(SprintPlanning[Sprint],MATCH($A290,SprintPlanning[Requirement ID],0))),"To Plan",INDEX(SprintPlanning[Sprint],MATCH($A290,SprintPlanning[Requirement ID],0))),"To Plan"))</f>
        <v/>
      </c>
      <c r="J290" s="36"/>
      <c r="K290" s="1" t="str">
        <f aca="false">IFERROR(IF(ISBLANK(INDEX(Release[Release],MATCH($A290,Release[Requirement ID],0))),"",INDEX(Release[Release],MATCH($A290,Release[Requirement ID],0))),"")</f>
        <v/>
      </c>
      <c r="L290" s="36"/>
      <c r="M290" s="36"/>
      <c r="P290" s="1" t="n">
        <f aca="false">IFERROR(VALUE(MID($A290,5,4)),0)</f>
        <v>0</v>
      </c>
      <c r="Q290" s="1" t="str">
        <f aca="false">IF(B290="","","NEW-"&amp;TEXT(MAX($P$2:$P289,Lists!$N$2)+1,"0000"))</f>
        <v/>
      </c>
    </row>
    <row r="291" customFormat="false" ht="15" hidden="false" customHeight="true" outlineLevel="0" collapsed="false">
      <c r="A291" s="35" t="str">
        <f aca="false">IF(AND(B291="",C291="",D291="",E291="",F291="",G291="",H291="",J291="",L291="",M291="",N291=""),"",Q291)</f>
        <v/>
      </c>
      <c r="B291" s="36"/>
      <c r="C291" s="36"/>
      <c r="D291" s="36"/>
      <c r="E291" s="36"/>
      <c r="F291" s="36"/>
      <c r="G291" s="36"/>
      <c r="H291" s="36"/>
      <c r="I291" s="1" t="str">
        <f aca="false">IF($A291="","",IFERROR(IF(ISBLANK(INDEX(SprintPlanning[Sprint],MATCH($A291,SprintPlanning[Requirement ID],0))),"To Plan",INDEX(SprintPlanning[Sprint],MATCH($A291,SprintPlanning[Requirement ID],0))),"To Plan"))</f>
        <v/>
      </c>
      <c r="J291" s="36"/>
      <c r="K291" s="1" t="str">
        <f aca="false">IFERROR(IF(ISBLANK(INDEX(Release[Release],MATCH($A291,Release[Requirement ID],0))),"",INDEX(Release[Release],MATCH($A291,Release[Requirement ID],0))),"")</f>
        <v/>
      </c>
      <c r="L291" s="36"/>
      <c r="M291" s="36"/>
      <c r="P291" s="1" t="n">
        <f aca="false">IFERROR(VALUE(MID($A291,5,4)),0)</f>
        <v>0</v>
      </c>
      <c r="Q291" s="1" t="str">
        <f aca="false">IF(B291="","","NEW-"&amp;TEXT(MAX($P$2:$P290,Lists!$N$2)+1,"0000"))</f>
        <v/>
      </c>
    </row>
    <row r="292" customFormat="false" ht="15" hidden="false" customHeight="true" outlineLevel="0" collapsed="false">
      <c r="A292" s="35" t="str">
        <f aca="false">IF(AND(B292="",C292="",D292="",E292="",F292="",G292="",H292="",J292="",L292="",M292="",N292=""),"",Q292)</f>
        <v/>
      </c>
      <c r="B292" s="36"/>
      <c r="C292" s="36"/>
      <c r="D292" s="36"/>
      <c r="E292" s="36"/>
      <c r="F292" s="36"/>
      <c r="G292" s="36"/>
      <c r="H292" s="36"/>
      <c r="I292" s="1" t="str">
        <f aca="false">IF($A292="","",IFERROR(IF(ISBLANK(INDEX(SprintPlanning[Sprint],MATCH($A292,SprintPlanning[Requirement ID],0))),"To Plan",INDEX(SprintPlanning[Sprint],MATCH($A292,SprintPlanning[Requirement ID],0))),"To Plan"))</f>
        <v/>
      </c>
      <c r="J292" s="36"/>
      <c r="K292" s="1" t="str">
        <f aca="false">IFERROR(IF(ISBLANK(INDEX(Release[Release],MATCH($A292,Release[Requirement ID],0))),"",INDEX(Release[Release],MATCH($A292,Release[Requirement ID],0))),"")</f>
        <v/>
      </c>
      <c r="L292" s="36"/>
      <c r="M292" s="36"/>
      <c r="P292" s="1" t="n">
        <f aca="false">IFERROR(VALUE(MID($A292,5,4)),0)</f>
        <v>0</v>
      </c>
      <c r="Q292" s="1" t="str">
        <f aca="false">IF(B292="","","NEW-"&amp;TEXT(MAX($P$2:$P291,Lists!$N$2)+1,"0000"))</f>
        <v/>
      </c>
    </row>
    <row r="293" customFormat="false" ht="15" hidden="false" customHeight="true" outlineLevel="0" collapsed="false">
      <c r="A293" s="35" t="str">
        <f aca="false">IF(AND(B293="",C293="",D293="",E293="",F293="",G293="",H293="",J293="",L293="",M293="",N293=""),"",Q293)</f>
        <v/>
      </c>
      <c r="B293" s="36"/>
      <c r="C293" s="36"/>
      <c r="D293" s="36"/>
      <c r="E293" s="36"/>
      <c r="F293" s="36"/>
      <c r="G293" s="36"/>
      <c r="H293" s="36"/>
      <c r="I293" s="1" t="str">
        <f aca="false">IF($A293="","",IFERROR(IF(ISBLANK(INDEX(SprintPlanning[Sprint],MATCH($A293,SprintPlanning[Requirement ID],0))),"To Plan",INDEX(SprintPlanning[Sprint],MATCH($A293,SprintPlanning[Requirement ID],0))),"To Plan"))</f>
        <v/>
      </c>
      <c r="J293" s="36"/>
      <c r="K293" s="1" t="str">
        <f aca="false">IFERROR(IF(ISBLANK(INDEX(Release[Release],MATCH($A293,Release[Requirement ID],0))),"",INDEX(Release[Release],MATCH($A293,Release[Requirement ID],0))),"")</f>
        <v/>
      </c>
      <c r="L293" s="36"/>
      <c r="M293" s="36"/>
      <c r="P293" s="1" t="n">
        <f aca="false">IFERROR(VALUE(MID($A293,5,4)),0)</f>
        <v>0</v>
      </c>
      <c r="Q293" s="1" t="str">
        <f aca="false">IF(B293="","","NEW-"&amp;TEXT(MAX($P$2:$P292,Lists!$N$2)+1,"0000"))</f>
        <v/>
      </c>
    </row>
    <row r="294" customFormat="false" ht="15" hidden="false" customHeight="true" outlineLevel="0" collapsed="false">
      <c r="A294" s="35" t="str">
        <f aca="false">IF(AND(B294="",C294="",D294="",E294="",F294="",G294="",H294="",J294="",L294="",M294="",N294=""),"",Q294)</f>
        <v/>
      </c>
      <c r="B294" s="36"/>
      <c r="C294" s="36"/>
      <c r="D294" s="36"/>
      <c r="E294" s="36"/>
      <c r="F294" s="36"/>
      <c r="G294" s="36"/>
      <c r="H294" s="36"/>
      <c r="I294" s="1" t="str">
        <f aca="false">IF($A294="","",IFERROR(IF(ISBLANK(INDEX(SprintPlanning[Sprint],MATCH($A294,SprintPlanning[Requirement ID],0))),"To Plan",INDEX(SprintPlanning[Sprint],MATCH($A294,SprintPlanning[Requirement ID],0))),"To Plan"))</f>
        <v/>
      </c>
      <c r="J294" s="36"/>
      <c r="K294" s="1" t="str">
        <f aca="false">IFERROR(IF(ISBLANK(INDEX(Release[Release],MATCH($A294,Release[Requirement ID],0))),"",INDEX(Release[Release],MATCH($A294,Release[Requirement ID],0))),"")</f>
        <v/>
      </c>
      <c r="L294" s="36"/>
      <c r="M294" s="36"/>
      <c r="P294" s="1" t="n">
        <f aca="false">IFERROR(VALUE(MID($A294,5,4)),0)</f>
        <v>0</v>
      </c>
      <c r="Q294" s="1" t="str">
        <f aca="false">IF(B294="","","NEW-"&amp;TEXT(MAX($P$2:$P293,Lists!$N$2)+1,"0000"))</f>
        <v/>
      </c>
    </row>
    <row r="295" customFormat="false" ht="15" hidden="false" customHeight="true" outlineLevel="0" collapsed="false">
      <c r="A295" s="35" t="str">
        <f aca="false">IF(AND(B295="",C295="",D295="",E295="",F295="",G295="",H295="",J295="",L295="",M295="",N295=""),"",Q295)</f>
        <v/>
      </c>
      <c r="B295" s="36"/>
      <c r="C295" s="36"/>
      <c r="D295" s="36"/>
      <c r="E295" s="36"/>
      <c r="F295" s="36"/>
      <c r="G295" s="36"/>
      <c r="H295" s="36"/>
      <c r="I295" s="1" t="str">
        <f aca="false">IF($A295="","",IFERROR(IF(ISBLANK(INDEX(SprintPlanning[Sprint],MATCH($A295,SprintPlanning[Requirement ID],0))),"To Plan",INDEX(SprintPlanning[Sprint],MATCH($A295,SprintPlanning[Requirement ID],0))),"To Plan"))</f>
        <v/>
      </c>
      <c r="J295" s="36"/>
      <c r="K295" s="1" t="str">
        <f aca="false">IFERROR(IF(ISBLANK(INDEX(Release[Release],MATCH($A295,Release[Requirement ID],0))),"",INDEX(Release[Release],MATCH($A295,Release[Requirement ID],0))),"")</f>
        <v/>
      </c>
      <c r="L295" s="36"/>
      <c r="M295" s="36"/>
      <c r="P295" s="1" t="n">
        <f aca="false">IFERROR(VALUE(MID($A295,5,4)),0)</f>
        <v>0</v>
      </c>
      <c r="Q295" s="1" t="str">
        <f aca="false">IF(B295="","","NEW-"&amp;TEXT(MAX($P$2:$P294,Lists!$N$2)+1,"0000"))</f>
        <v/>
      </c>
    </row>
    <row r="296" customFormat="false" ht="15" hidden="false" customHeight="true" outlineLevel="0" collapsed="false">
      <c r="A296" s="35" t="str">
        <f aca="false">IF(AND(B296="",C296="",D296="",E296="",F296="",G296="",H296="",J296="",L296="",M296="",N296=""),"",Q296)</f>
        <v/>
      </c>
      <c r="B296" s="36"/>
      <c r="C296" s="36"/>
      <c r="D296" s="36"/>
      <c r="E296" s="36"/>
      <c r="F296" s="36"/>
      <c r="G296" s="36"/>
      <c r="H296" s="36"/>
      <c r="I296" s="1" t="str">
        <f aca="false">IF($A296="","",IFERROR(IF(ISBLANK(INDEX(SprintPlanning[Sprint],MATCH($A296,SprintPlanning[Requirement ID],0))),"To Plan",INDEX(SprintPlanning[Sprint],MATCH($A296,SprintPlanning[Requirement ID],0))),"To Plan"))</f>
        <v/>
      </c>
      <c r="J296" s="36"/>
      <c r="K296" s="1" t="str">
        <f aca="false">IFERROR(IF(ISBLANK(INDEX(Release[Release],MATCH($A296,Release[Requirement ID],0))),"",INDEX(Release[Release],MATCH($A296,Release[Requirement ID],0))),"")</f>
        <v/>
      </c>
      <c r="L296" s="36"/>
      <c r="M296" s="36"/>
      <c r="P296" s="1" t="n">
        <f aca="false">IFERROR(VALUE(MID($A296,5,4)),0)</f>
        <v>0</v>
      </c>
      <c r="Q296" s="1" t="str">
        <f aca="false">IF(B296="","","NEW-"&amp;TEXT(MAX($P$2:$P295,Lists!$N$2)+1,"0000"))</f>
        <v/>
      </c>
    </row>
    <row r="297" customFormat="false" ht="15" hidden="false" customHeight="true" outlineLevel="0" collapsed="false">
      <c r="A297" s="35" t="str">
        <f aca="false">IF(AND(B297="",C297="",D297="",E297="",F297="",G297="",H297="",J297="",L297="",M297="",N297=""),"",Q297)</f>
        <v/>
      </c>
      <c r="B297" s="36"/>
      <c r="C297" s="36"/>
      <c r="D297" s="36"/>
      <c r="E297" s="36"/>
      <c r="F297" s="36"/>
      <c r="G297" s="36"/>
      <c r="H297" s="36"/>
      <c r="I297" s="1" t="str">
        <f aca="false">IF($A297="","",IFERROR(IF(ISBLANK(INDEX(SprintPlanning[Sprint],MATCH($A297,SprintPlanning[Requirement ID],0))),"To Plan",INDEX(SprintPlanning[Sprint],MATCH($A297,SprintPlanning[Requirement ID],0))),"To Plan"))</f>
        <v/>
      </c>
      <c r="J297" s="36"/>
      <c r="K297" s="1" t="str">
        <f aca="false">IFERROR(IF(ISBLANK(INDEX(Release[Release],MATCH($A297,Release[Requirement ID],0))),"",INDEX(Release[Release],MATCH($A297,Release[Requirement ID],0))),"")</f>
        <v/>
      </c>
      <c r="L297" s="36"/>
      <c r="M297" s="36"/>
      <c r="P297" s="1" t="n">
        <f aca="false">IFERROR(VALUE(MID($A297,5,4)),0)</f>
        <v>0</v>
      </c>
      <c r="Q297" s="1" t="str">
        <f aca="false">IF(B297="","","NEW-"&amp;TEXT(MAX($P$2:$P296,Lists!$N$2)+1,"0000"))</f>
        <v/>
      </c>
    </row>
    <row r="298" customFormat="false" ht="15" hidden="false" customHeight="true" outlineLevel="0" collapsed="false">
      <c r="A298" s="35" t="str">
        <f aca="false">IF(AND(B298="",C298="",D298="",E298="",F298="",G298="",H298="",J298="",L298="",M298="",N298=""),"",Q298)</f>
        <v/>
      </c>
      <c r="B298" s="36"/>
      <c r="C298" s="36"/>
      <c r="D298" s="36"/>
      <c r="E298" s="36"/>
      <c r="F298" s="36"/>
      <c r="G298" s="36"/>
      <c r="H298" s="36"/>
      <c r="I298" s="1" t="str">
        <f aca="false">IF($A298="","",IFERROR(IF(ISBLANK(INDEX(SprintPlanning[Sprint],MATCH($A298,SprintPlanning[Requirement ID],0))),"To Plan",INDEX(SprintPlanning[Sprint],MATCH($A298,SprintPlanning[Requirement ID],0))),"To Plan"))</f>
        <v/>
      </c>
      <c r="J298" s="36"/>
      <c r="K298" s="1" t="str">
        <f aca="false">IFERROR(IF(ISBLANK(INDEX(Release[Release],MATCH($A298,Release[Requirement ID],0))),"",INDEX(Release[Release],MATCH($A298,Release[Requirement ID],0))),"")</f>
        <v/>
      </c>
      <c r="L298" s="36"/>
      <c r="M298" s="36"/>
      <c r="P298" s="1" t="n">
        <f aca="false">IFERROR(VALUE(MID($A298,5,4)),0)</f>
        <v>0</v>
      </c>
      <c r="Q298" s="1" t="str">
        <f aca="false">IF(B298="","","NEW-"&amp;TEXT(MAX($P$2:$P297,Lists!$N$2)+1,"0000"))</f>
        <v/>
      </c>
    </row>
    <row r="299" customFormat="false" ht="15" hidden="false" customHeight="true" outlineLevel="0" collapsed="false">
      <c r="A299" s="35" t="str">
        <f aca="false">IF(AND(B299="",C299="",D299="",E299="",F299="",G299="",H299="",J299="",L299="",M299="",N299=""),"",Q299)</f>
        <v/>
      </c>
      <c r="B299" s="36"/>
      <c r="C299" s="36"/>
      <c r="D299" s="36"/>
      <c r="E299" s="36"/>
      <c r="F299" s="36"/>
      <c r="G299" s="36"/>
      <c r="H299" s="36"/>
      <c r="I299" s="1" t="str">
        <f aca="false">IF($A299="","",IFERROR(IF(ISBLANK(INDEX(SprintPlanning[Sprint],MATCH($A299,SprintPlanning[Requirement ID],0))),"To Plan",INDEX(SprintPlanning[Sprint],MATCH($A299,SprintPlanning[Requirement ID],0))),"To Plan"))</f>
        <v/>
      </c>
      <c r="J299" s="36"/>
      <c r="K299" s="1" t="str">
        <f aca="false">IFERROR(IF(ISBLANK(INDEX(Release[Release],MATCH($A299,Release[Requirement ID],0))),"",INDEX(Release[Release],MATCH($A299,Release[Requirement ID],0))),"")</f>
        <v/>
      </c>
      <c r="L299" s="36"/>
      <c r="M299" s="36"/>
      <c r="P299" s="1" t="n">
        <f aca="false">IFERROR(VALUE(MID($A299,5,4)),0)</f>
        <v>0</v>
      </c>
      <c r="Q299" s="1" t="str">
        <f aca="false">IF(B299="","","NEW-"&amp;TEXT(MAX($P$2:$P298,Lists!$N$2)+1,"0000"))</f>
        <v/>
      </c>
    </row>
    <row r="300" customFormat="false" ht="15" hidden="false" customHeight="true" outlineLevel="0" collapsed="false">
      <c r="A300" s="35" t="str">
        <f aca="false">IF(AND(B300="",C300="",D300="",E300="",F300="",G300="",H300="",J300="",L300="",M300="",N300=""),"",Q300)</f>
        <v/>
      </c>
      <c r="B300" s="36"/>
      <c r="C300" s="36"/>
      <c r="D300" s="36"/>
      <c r="E300" s="36"/>
      <c r="F300" s="36"/>
      <c r="G300" s="36"/>
      <c r="H300" s="36"/>
      <c r="I300" s="1" t="str">
        <f aca="false">IF($A300="","",IFERROR(IF(ISBLANK(INDEX(SprintPlanning[Sprint],MATCH($A300,SprintPlanning[Requirement ID],0))),"To Plan",INDEX(SprintPlanning[Sprint],MATCH($A300,SprintPlanning[Requirement ID],0))),"To Plan"))</f>
        <v/>
      </c>
      <c r="J300" s="36"/>
      <c r="K300" s="1" t="str">
        <f aca="false">IFERROR(IF(ISBLANK(INDEX(Release[Release],MATCH($A300,Release[Requirement ID],0))),"",INDEX(Release[Release],MATCH($A300,Release[Requirement ID],0))),"")</f>
        <v/>
      </c>
      <c r="L300" s="36"/>
      <c r="M300" s="36"/>
      <c r="P300" s="1" t="n">
        <f aca="false">IFERROR(VALUE(MID($A300,5,4)),0)</f>
        <v>0</v>
      </c>
      <c r="Q300" s="1" t="str">
        <f aca="false">IF(B300="","","NEW-"&amp;TEXT(MAX($P$2:$P299,Lists!$N$2)+1,"0000"))</f>
        <v/>
      </c>
    </row>
    <row r="301" customFormat="false" ht="15" hidden="false" customHeight="true" outlineLevel="0" collapsed="false">
      <c r="A301" s="35" t="str">
        <f aca="false">IF(AND(B301="",C301="",D301="",E301="",F301="",G301="",H301="",J301="",L301="",M301="",N301=""),"",Q301)</f>
        <v/>
      </c>
      <c r="B301" s="36"/>
      <c r="C301" s="36"/>
      <c r="D301" s="36"/>
      <c r="E301" s="36"/>
      <c r="F301" s="36"/>
      <c r="G301" s="36"/>
      <c r="H301" s="36"/>
      <c r="I301" s="1" t="str">
        <f aca="false">IF($A301="","",IFERROR(IF(ISBLANK(INDEX(SprintPlanning[Sprint],MATCH($A301,SprintPlanning[Requirement ID],0))),"To Plan",INDEX(SprintPlanning[Sprint],MATCH($A301,SprintPlanning[Requirement ID],0))),"To Plan"))</f>
        <v/>
      </c>
      <c r="J301" s="36"/>
      <c r="K301" s="1" t="str">
        <f aca="false">IFERROR(IF(ISBLANK(INDEX(Release[Release],MATCH($A301,Release[Requirement ID],0))),"",INDEX(Release[Release],MATCH($A301,Release[Requirement ID],0))),"")</f>
        <v/>
      </c>
      <c r="L301" s="36"/>
      <c r="M301" s="36"/>
      <c r="P301" s="1" t="n">
        <f aca="false">IFERROR(VALUE(MID($A301,5,4)),0)</f>
        <v>0</v>
      </c>
      <c r="Q301" s="1" t="str">
        <f aca="false">IF(B301="","","NEW-"&amp;TEXT(MAX($P$2:$P300,Lists!$N$2)+1,"0000"))</f>
        <v/>
      </c>
    </row>
    <row r="302" customFormat="false" ht="15" hidden="false" customHeight="true" outlineLevel="0" collapsed="false">
      <c r="A302" s="35" t="str">
        <f aca="false">IF(AND(B302="",C302="",D302="",E302="",F302="",G302="",H302="",J302="",L302="",M302="",N302=""),"",Q302)</f>
        <v/>
      </c>
      <c r="B302" s="36"/>
      <c r="C302" s="36"/>
      <c r="D302" s="36"/>
      <c r="E302" s="36"/>
      <c r="F302" s="36"/>
      <c r="G302" s="36"/>
      <c r="H302" s="36"/>
      <c r="I302" s="1" t="str">
        <f aca="false">IF($A302="","",IFERROR(IF(ISBLANK(INDEX(SprintPlanning[Sprint],MATCH($A302,SprintPlanning[Requirement ID],0))),"To Plan",INDEX(SprintPlanning[Sprint],MATCH($A302,SprintPlanning[Requirement ID],0))),"To Plan"))</f>
        <v/>
      </c>
      <c r="J302" s="36"/>
      <c r="K302" s="1" t="str">
        <f aca="false">IFERROR(IF(ISBLANK(INDEX(Release[Release],MATCH($A302,Release[Requirement ID],0))),"",INDEX(Release[Release],MATCH($A302,Release[Requirement ID],0))),"")</f>
        <v/>
      </c>
      <c r="L302" s="36"/>
      <c r="M302" s="36"/>
      <c r="P302" s="1" t="n">
        <f aca="false">IFERROR(VALUE(MID($A302,5,4)),0)</f>
        <v>0</v>
      </c>
      <c r="Q302" s="1" t="str">
        <f aca="false">IF(B302="","","NEW-"&amp;TEXT(MAX($P$2:$P301,Lists!$N$2)+1,"0000"))</f>
        <v/>
      </c>
    </row>
    <row r="303" customFormat="false" ht="15" hidden="false" customHeight="true" outlineLevel="0" collapsed="false">
      <c r="A303" s="35" t="str">
        <f aca="false">IF(AND(B303="",C303="",D303="",E303="",F303="",G303="",H303="",J303="",L303="",M303="",N303=""),"",Q303)</f>
        <v/>
      </c>
      <c r="B303" s="36"/>
      <c r="C303" s="36"/>
      <c r="D303" s="36"/>
      <c r="E303" s="36"/>
      <c r="F303" s="36"/>
      <c r="G303" s="36"/>
      <c r="H303" s="36"/>
      <c r="I303" s="1" t="str">
        <f aca="false">IF($A303="","",IFERROR(IF(ISBLANK(INDEX(SprintPlanning[Sprint],MATCH($A303,SprintPlanning[Requirement ID],0))),"To Plan",INDEX(SprintPlanning[Sprint],MATCH($A303,SprintPlanning[Requirement ID],0))),"To Plan"))</f>
        <v/>
      </c>
      <c r="J303" s="36"/>
      <c r="K303" s="1" t="str">
        <f aca="false">IFERROR(IF(ISBLANK(INDEX(Release[Release],MATCH($A303,Release[Requirement ID],0))),"",INDEX(Release[Release],MATCH($A303,Release[Requirement ID],0))),"")</f>
        <v/>
      </c>
      <c r="L303" s="36"/>
      <c r="M303" s="36"/>
      <c r="P303" s="1" t="n">
        <f aca="false">IFERROR(VALUE(MID($A303,5,4)),0)</f>
        <v>0</v>
      </c>
      <c r="Q303" s="1" t="str">
        <f aca="false">IF(B303="","","NEW-"&amp;TEXT(MAX($P$2:$P302,Lists!$N$2)+1,"0000"))</f>
        <v/>
      </c>
    </row>
    <row r="304" customFormat="false" ht="15" hidden="false" customHeight="true" outlineLevel="0" collapsed="false">
      <c r="A304" s="35" t="str">
        <f aca="false">IF(AND(B304="",C304="",D304="",E304="",F304="",G304="",H304="",J304="",L304="",M304="",N304=""),"",Q304)</f>
        <v/>
      </c>
      <c r="B304" s="36"/>
      <c r="C304" s="36"/>
      <c r="D304" s="36"/>
      <c r="E304" s="36"/>
      <c r="F304" s="36"/>
      <c r="G304" s="36"/>
      <c r="H304" s="36"/>
      <c r="I304" s="1" t="str">
        <f aca="false">IF($A304="","",IFERROR(IF(ISBLANK(INDEX(SprintPlanning[Sprint],MATCH($A304,SprintPlanning[Requirement ID],0))),"To Plan",INDEX(SprintPlanning[Sprint],MATCH($A304,SprintPlanning[Requirement ID],0))),"To Plan"))</f>
        <v/>
      </c>
      <c r="J304" s="36"/>
      <c r="K304" s="1" t="str">
        <f aca="false">IFERROR(IF(ISBLANK(INDEX(Release[Release],MATCH($A304,Release[Requirement ID],0))),"",INDEX(Release[Release],MATCH($A304,Release[Requirement ID],0))),"")</f>
        <v/>
      </c>
      <c r="L304" s="36"/>
      <c r="M304" s="36"/>
      <c r="P304" s="1" t="n">
        <f aca="false">IFERROR(VALUE(MID($A304,5,4)),0)</f>
        <v>0</v>
      </c>
      <c r="Q304" s="1" t="str">
        <f aca="false">IF(B304="","","NEW-"&amp;TEXT(MAX($P$2:$P303,Lists!$N$2)+1,"0000"))</f>
        <v/>
      </c>
    </row>
    <row r="305" customFormat="false" ht="15" hidden="false" customHeight="true" outlineLevel="0" collapsed="false">
      <c r="A305" s="35" t="str">
        <f aca="false">IF(AND(B305="",C305="",D305="",E305="",F305="",G305="",H305="",J305="",L305="",M305="",N305=""),"",Q305)</f>
        <v/>
      </c>
      <c r="B305" s="36"/>
      <c r="C305" s="36"/>
      <c r="D305" s="36"/>
      <c r="E305" s="36"/>
      <c r="F305" s="36"/>
      <c r="G305" s="36"/>
      <c r="H305" s="36"/>
      <c r="I305" s="1" t="str">
        <f aca="false">IF($A305="","",IFERROR(IF(ISBLANK(INDEX(SprintPlanning[Sprint],MATCH($A305,SprintPlanning[Requirement ID],0))),"To Plan",INDEX(SprintPlanning[Sprint],MATCH($A305,SprintPlanning[Requirement ID],0))),"To Plan"))</f>
        <v/>
      </c>
      <c r="J305" s="36"/>
      <c r="K305" s="1" t="str">
        <f aca="false">IFERROR(IF(ISBLANK(INDEX(Release[Release],MATCH($A305,Release[Requirement ID],0))),"",INDEX(Release[Release],MATCH($A305,Release[Requirement ID],0))),"")</f>
        <v/>
      </c>
      <c r="L305" s="36"/>
      <c r="M305" s="36"/>
      <c r="P305" s="1" t="n">
        <f aca="false">IFERROR(VALUE(MID($A305,5,4)),0)</f>
        <v>0</v>
      </c>
      <c r="Q305" s="1" t="str">
        <f aca="false">IF(B305="","","NEW-"&amp;TEXT(MAX($P$2:$P304,Lists!$N$2)+1,"0000"))</f>
        <v/>
      </c>
    </row>
    <row r="306" customFormat="false" ht="15" hidden="false" customHeight="true" outlineLevel="0" collapsed="false">
      <c r="A306" s="35" t="str">
        <f aca="false">IF(AND(B306="",C306="",D306="",E306="",F306="",G306="",H306="",J306="",L306="",M306="",N306=""),"",Q306)</f>
        <v/>
      </c>
      <c r="B306" s="36"/>
      <c r="C306" s="36"/>
      <c r="D306" s="36"/>
      <c r="E306" s="36"/>
      <c r="F306" s="36"/>
      <c r="G306" s="36"/>
      <c r="H306" s="36"/>
      <c r="I306" s="1" t="str">
        <f aca="false">IF($A306="","",IFERROR(IF(ISBLANK(INDEX(SprintPlanning[Sprint],MATCH($A306,SprintPlanning[Requirement ID],0))),"To Plan",INDEX(SprintPlanning[Sprint],MATCH($A306,SprintPlanning[Requirement ID],0))),"To Plan"))</f>
        <v/>
      </c>
      <c r="J306" s="36"/>
      <c r="K306" s="1" t="str">
        <f aca="false">IFERROR(IF(ISBLANK(INDEX(Release[Release],MATCH($A306,Release[Requirement ID],0))),"",INDEX(Release[Release],MATCH($A306,Release[Requirement ID],0))),"")</f>
        <v/>
      </c>
      <c r="L306" s="36"/>
      <c r="M306" s="36"/>
      <c r="P306" s="1" t="n">
        <f aca="false">IFERROR(VALUE(MID($A306,5,4)),0)</f>
        <v>0</v>
      </c>
      <c r="Q306" s="1" t="str">
        <f aca="false">IF(B306="","","NEW-"&amp;TEXT(MAX($P$2:$P305,Lists!$N$2)+1,"0000"))</f>
        <v/>
      </c>
    </row>
    <row r="307" customFormat="false" ht="15" hidden="false" customHeight="true" outlineLevel="0" collapsed="false">
      <c r="A307" s="35" t="str">
        <f aca="false">IF(AND(B307="",C307="",D307="",E307="",F307="",G307="",H307="",J307="",L307="",M307="",N307=""),"",Q307)</f>
        <v/>
      </c>
      <c r="B307" s="36"/>
      <c r="C307" s="36"/>
      <c r="D307" s="36"/>
      <c r="E307" s="36"/>
      <c r="F307" s="36"/>
      <c r="G307" s="36"/>
      <c r="H307" s="36"/>
      <c r="I307" s="1" t="str">
        <f aca="false">IF($A307="","",IFERROR(IF(ISBLANK(INDEX(SprintPlanning[Sprint],MATCH($A307,SprintPlanning[Requirement ID],0))),"To Plan",INDEX(SprintPlanning[Sprint],MATCH($A307,SprintPlanning[Requirement ID],0))),"To Plan"))</f>
        <v/>
      </c>
      <c r="J307" s="36"/>
      <c r="K307" s="1" t="str">
        <f aca="false">IFERROR(IF(ISBLANK(INDEX(Release[Release],MATCH($A307,Release[Requirement ID],0))),"",INDEX(Release[Release],MATCH($A307,Release[Requirement ID],0))),"")</f>
        <v/>
      </c>
      <c r="L307" s="36"/>
      <c r="M307" s="36"/>
      <c r="P307" s="1" t="n">
        <f aca="false">IFERROR(VALUE(MID($A307,5,4)),0)</f>
        <v>0</v>
      </c>
      <c r="Q307" s="1" t="str">
        <f aca="false">IF(B307="","","NEW-"&amp;TEXT(MAX($P$2:$P306,Lists!$N$2)+1,"0000"))</f>
        <v/>
      </c>
    </row>
    <row r="308" customFormat="false" ht="15" hidden="false" customHeight="true" outlineLevel="0" collapsed="false">
      <c r="A308" s="35" t="str">
        <f aca="false">IF(AND(B308="",C308="",D308="",E308="",F308="",G308="",H308="",J308="",L308="",M308="",N308=""),"",Q308)</f>
        <v/>
      </c>
      <c r="B308" s="36"/>
      <c r="C308" s="36"/>
      <c r="D308" s="36"/>
      <c r="E308" s="36"/>
      <c r="F308" s="36"/>
      <c r="G308" s="36"/>
      <c r="H308" s="36"/>
      <c r="I308" s="1" t="str">
        <f aca="false">IF($A308="","",IFERROR(IF(ISBLANK(INDEX(SprintPlanning[Sprint],MATCH($A308,SprintPlanning[Requirement ID],0))),"To Plan",INDEX(SprintPlanning[Sprint],MATCH($A308,SprintPlanning[Requirement ID],0))),"To Plan"))</f>
        <v/>
      </c>
      <c r="J308" s="36"/>
      <c r="K308" s="1" t="str">
        <f aca="false">IFERROR(IF(ISBLANK(INDEX(Release[Release],MATCH($A308,Release[Requirement ID],0))),"",INDEX(Release[Release],MATCH($A308,Release[Requirement ID],0))),"")</f>
        <v/>
      </c>
      <c r="L308" s="36"/>
      <c r="M308" s="36"/>
      <c r="P308" s="1" t="n">
        <f aca="false">IFERROR(VALUE(MID($A308,5,4)),0)</f>
        <v>0</v>
      </c>
      <c r="Q308" s="1" t="str">
        <f aca="false">IF(B308="","","NEW-"&amp;TEXT(MAX($P$2:$P307,Lists!$N$2)+1,"0000"))</f>
        <v/>
      </c>
    </row>
    <row r="309" customFormat="false" ht="15" hidden="false" customHeight="true" outlineLevel="0" collapsed="false">
      <c r="A309" s="35" t="str">
        <f aca="false">IF(AND(B309="",C309="",D309="",E309="",F309="",G309="",H309="",J309="",L309="",M309="",N309=""),"",Q309)</f>
        <v/>
      </c>
      <c r="B309" s="36"/>
      <c r="C309" s="36"/>
      <c r="D309" s="36"/>
      <c r="E309" s="36"/>
      <c r="F309" s="36"/>
      <c r="G309" s="36"/>
      <c r="H309" s="36"/>
      <c r="I309" s="1" t="str">
        <f aca="false">IF($A309="","",IFERROR(IF(ISBLANK(INDEX(SprintPlanning[Sprint],MATCH($A309,SprintPlanning[Requirement ID],0))),"To Plan",INDEX(SprintPlanning[Sprint],MATCH($A309,SprintPlanning[Requirement ID],0))),"To Plan"))</f>
        <v/>
      </c>
      <c r="J309" s="36"/>
      <c r="K309" s="1" t="str">
        <f aca="false">IFERROR(IF(ISBLANK(INDEX(Release[Release],MATCH($A309,Release[Requirement ID],0))),"",INDEX(Release[Release],MATCH($A309,Release[Requirement ID],0))),"")</f>
        <v/>
      </c>
      <c r="L309" s="36"/>
      <c r="M309" s="36"/>
      <c r="P309" s="1" t="n">
        <f aca="false">IFERROR(VALUE(MID($A309,5,4)),0)</f>
        <v>0</v>
      </c>
      <c r="Q309" s="1" t="str">
        <f aca="false">IF(B309="","","NEW-"&amp;TEXT(MAX($P$2:$P308,Lists!$N$2)+1,"0000"))</f>
        <v/>
      </c>
    </row>
    <row r="310" customFormat="false" ht="15" hidden="false" customHeight="true" outlineLevel="0" collapsed="false">
      <c r="A310" s="35" t="str">
        <f aca="false">IF(AND(B310="",C310="",D310="",E310="",F310="",G310="",H310="",J310="",L310="",M310="",N310=""),"",Q310)</f>
        <v/>
      </c>
      <c r="B310" s="36"/>
      <c r="C310" s="36"/>
      <c r="D310" s="36"/>
      <c r="E310" s="36"/>
      <c r="F310" s="36"/>
      <c r="G310" s="36"/>
      <c r="H310" s="36"/>
      <c r="I310" s="1" t="str">
        <f aca="false">IF($A310="","",IFERROR(IF(ISBLANK(INDEX(SprintPlanning[Sprint],MATCH($A310,SprintPlanning[Requirement ID],0))),"To Plan",INDEX(SprintPlanning[Sprint],MATCH($A310,SprintPlanning[Requirement ID],0))),"To Plan"))</f>
        <v/>
      </c>
      <c r="J310" s="36"/>
      <c r="K310" s="1" t="str">
        <f aca="false">IFERROR(IF(ISBLANK(INDEX(Release[Release],MATCH($A310,Release[Requirement ID],0))),"",INDEX(Release[Release],MATCH($A310,Release[Requirement ID],0))),"")</f>
        <v/>
      </c>
      <c r="L310" s="36"/>
      <c r="M310" s="36"/>
      <c r="P310" s="1" t="n">
        <f aca="false">IFERROR(VALUE(MID($A310,5,4)),0)</f>
        <v>0</v>
      </c>
      <c r="Q310" s="1" t="str">
        <f aca="false">IF(B310="","","NEW-"&amp;TEXT(MAX($P$2:$P309,Lists!$N$2)+1,"0000"))</f>
        <v/>
      </c>
    </row>
    <row r="311" customFormat="false" ht="15" hidden="false" customHeight="true" outlineLevel="0" collapsed="false">
      <c r="A311" s="35" t="str">
        <f aca="false">IF(AND(B311="",C311="",D311="",E311="",F311="",G311="",H311="",J311="",L311="",M311="",N311=""),"",Q311)</f>
        <v/>
      </c>
      <c r="B311" s="36"/>
      <c r="C311" s="36"/>
      <c r="D311" s="36"/>
      <c r="E311" s="36"/>
      <c r="F311" s="36"/>
      <c r="G311" s="36"/>
      <c r="H311" s="36"/>
      <c r="I311" s="1" t="str">
        <f aca="false">IF($A311="","",IFERROR(IF(ISBLANK(INDEX(SprintPlanning[Sprint],MATCH($A311,SprintPlanning[Requirement ID],0))),"To Plan",INDEX(SprintPlanning[Sprint],MATCH($A311,SprintPlanning[Requirement ID],0))),"To Plan"))</f>
        <v/>
      </c>
      <c r="J311" s="36"/>
      <c r="K311" s="1" t="str">
        <f aca="false">IFERROR(IF(ISBLANK(INDEX(Release[Release],MATCH($A311,Release[Requirement ID],0))),"",INDEX(Release[Release],MATCH($A311,Release[Requirement ID],0))),"")</f>
        <v/>
      </c>
      <c r="L311" s="36"/>
      <c r="M311" s="36"/>
      <c r="P311" s="1" t="n">
        <f aca="false">IFERROR(VALUE(MID($A311,5,4)),0)</f>
        <v>0</v>
      </c>
      <c r="Q311" s="1" t="str">
        <f aca="false">IF(B311="","","NEW-"&amp;TEXT(MAX($P$2:$P310,Lists!$N$2)+1,"0000"))</f>
        <v/>
      </c>
    </row>
    <row r="312" customFormat="false" ht="15" hidden="false" customHeight="true" outlineLevel="0" collapsed="false">
      <c r="A312" s="35" t="str">
        <f aca="false">IF(AND(B312="",C312="",D312="",E312="",F312="",G312="",H312="",J312="",L312="",M312="",N312=""),"",Q312)</f>
        <v/>
      </c>
      <c r="B312" s="36"/>
      <c r="C312" s="36"/>
      <c r="D312" s="36"/>
      <c r="E312" s="36"/>
      <c r="F312" s="36"/>
      <c r="G312" s="36"/>
      <c r="H312" s="36"/>
      <c r="I312" s="1" t="str">
        <f aca="false">IF($A312="","",IFERROR(IF(ISBLANK(INDEX(SprintPlanning[Sprint],MATCH($A312,SprintPlanning[Requirement ID],0))),"To Plan",INDEX(SprintPlanning[Sprint],MATCH($A312,SprintPlanning[Requirement ID],0))),"To Plan"))</f>
        <v/>
      </c>
      <c r="J312" s="36"/>
      <c r="K312" s="1" t="str">
        <f aca="false">IFERROR(IF(ISBLANK(INDEX(Release[Release],MATCH($A312,Release[Requirement ID],0))),"",INDEX(Release[Release],MATCH($A312,Release[Requirement ID],0))),"")</f>
        <v/>
      </c>
      <c r="L312" s="36"/>
      <c r="M312" s="36"/>
      <c r="P312" s="1" t="n">
        <f aca="false">IFERROR(VALUE(MID($A312,5,4)),0)</f>
        <v>0</v>
      </c>
      <c r="Q312" s="1" t="str">
        <f aca="false">IF(B312="","","NEW-"&amp;TEXT(MAX($P$2:$P311,Lists!$N$2)+1,"0000"))</f>
        <v/>
      </c>
    </row>
    <row r="313" customFormat="false" ht="15" hidden="false" customHeight="true" outlineLevel="0" collapsed="false">
      <c r="A313" s="35" t="str">
        <f aca="false">IF(AND(B313="",C313="",D313="",E313="",F313="",G313="",H313="",J313="",L313="",M313="",N313=""),"",Q313)</f>
        <v/>
      </c>
      <c r="B313" s="36"/>
      <c r="C313" s="36"/>
      <c r="D313" s="36"/>
      <c r="E313" s="36"/>
      <c r="F313" s="36"/>
      <c r="G313" s="36"/>
      <c r="H313" s="36"/>
      <c r="I313" s="1" t="str">
        <f aca="false">IF($A313="","",IFERROR(IF(ISBLANK(INDEX(SprintPlanning[Sprint],MATCH($A313,SprintPlanning[Requirement ID],0))),"To Plan",INDEX(SprintPlanning[Sprint],MATCH($A313,SprintPlanning[Requirement ID],0))),"To Plan"))</f>
        <v/>
      </c>
      <c r="J313" s="36"/>
      <c r="K313" s="1" t="str">
        <f aca="false">IFERROR(IF(ISBLANK(INDEX(Release[Release],MATCH($A313,Release[Requirement ID],0))),"",INDEX(Release[Release],MATCH($A313,Release[Requirement ID],0))),"")</f>
        <v/>
      </c>
      <c r="L313" s="36"/>
      <c r="M313" s="36"/>
      <c r="P313" s="1" t="n">
        <f aca="false">IFERROR(VALUE(MID($A313,5,4)),0)</f>
        <v>0</v>
      </c>
      <c r="Q313" s="1" t="str">
        <f aca="false">IF(B313="","","NEW-"&amp;TEXT(MAX($P$2:$P312,Lists!$N$2)+1,"0000"))</f>
        <v/>
      </c>
    </row>
    <row r="314" customFormat="false" ht="15" hidden="false" customHeight="true" outlineLevel="0" collapsed="false">
      <c r="A314" s="35" t="str">
        <f aca="false">IF(AND(B314="",C314="",D314="",E314="",F314="",G314="",H314="",J314="",L314="",M314="",N314=""),"",Q314)</f>
        <v/>
      </c>
      <c r="B314" s="36"/>
      <c r="C314" s="36"/>
      <c r="D314" s="36"/>
      <c r="E314" s="36"/>
      <c r="F314" s="36"/>
      <c r="G314" s="36"/>
      <c r="H314" s="36"/>
      <c r="I314" s="1" t="str">
        <f aca="false">IF($A314="","",IFERROR(IF(ISBLANK(INDEX(SprintPlanning[Sprint],MATCH($A314,SprintPlanning[Requirement ID],0))),"To Plan",INDEX(SprintPlanning[Sprint],MATCH($A314,SprintPlanning[Requirement ID],0))),"To Plan"))</f>
        <v/>
      </c>
      <c r="J314" s="36"/>
      <c r="K314" s="1" t="str">
        <f aca="false">IFERROR(IF(ISBLANK(INDEX(Release[Release],MATCH($A314,Release[Requirement ID],0))),"",INDEX(Release[Release],MATCH($A314,Release[Requirement ID],0))),"")</f>
        <v/>
      </c>
      <c r="L314" s="36"/>
      <c r="M314" s="36"/>
      <c r="P314" s="1" t="n">
        <f aca="false">IFERROR(VALUE(MID($A314,5,4)),0)</f>
        <v>0</v>
      </c>
      <c r="Q314" s="1" t="str">
        <f aca="false">IF(B314="","","NEW-"&amp;TEXT(MAX($P$2:$P313,Lists!$N$2)+1,"0000"))</f>
        <v/>
      </c>
    </row>
    <row r="315" customFormat="false" ht="15" hidden="false" customHeight="true" outlineLevel="0" collapsed="false">
      <c r="A315" s="35" t="str">
        <f aca="false">IF(AND(B315="",C315="",D315="",E315="",F315="",G315="",H315="",J315="",L315="",M315="",N315=""),"",Q315)</f>
        <v/>
      </c>
      <c r="B315" s="36"/>
      <c r="C315" s="36"/>
      <c r="D315" s="36"/>
      <c r="E315" s="36"/>
      <c r="F315" s="36"/>
      <c r="G315" s="36"/>
      <c r="H315" s="36"/>
      <c r="I315" s="1" t="str">
        <f aca="false">IF($A315="","",IFERROR(IF(ISBLANK(INDEX(SprintPlanning[Sprint],MATCH($A315,SprintPlanning[Requirement ID],0))),"To Plan",INDEX(SprintPlanning[Sprint],MATCH($A315,SprintPlanning[Requirement ID],0))),"To Plan"))</f>
        <v/>
      </c>
      <c r="J315" s="36"/>
      <c r="K315" s="1" t="str">
        <f aca="false">IFERROR(IF(ISBLANK(INDEX(Release[Release],MATCH($A315,Release[Requirement ID],0))),"",INDEX(Release[Release],MATCH($A315,Release[Requirement ID],0))),"")</f>
        <v/>
      </c>
      <c r="L315" s="36"/>
      <c r="M315" s="36"/>
      <c r="P315" s="1" t="n">
        <f aca="false">IFERROR(VALUE(MID($A315,5,4)),0)</f>
        <v>0</v>
      </c>
      <c r="Q315" s="1" t="str">
        <f aca="false">IF(B315="","","NEW-"&amp;TEXT(MAX($P$2:$P314,Lists!$N$2)+1,"0000"))</f>
        <v/>
      </c>
    </row>
    <row r="316" customFormat="false" ht="15" hidden="false" customHeight="true" outlineLevel="0" collapsed="false">
      <c r="A316" s="35" t="str">
        <f aca="false">IF(AND(B316="",C316="",D316="",E316="",F316="",G316="",H316="",J316="",L316="",M316="",N316=""),"",Q316)</f>
        <v/>
      </c>
      <c r="B316" s="36"/>
      <c r="C316" s="36"/>
      <c r="D316" s="36"/>
      <c r="E316" s="36"/>
      <c r="F316" s="36"/>
      <c r="G316" s="36"/>
      <c r="H316" s="36"/>
      <c r="I316" s="1" t="str">
        <f aca="false">IF($A316="","",IFERROR(IF(ISBLANK(INDEX(SprintPlanning[Sprint],MATCH($A316,SprintPlanning[Requirement ID],0))),"To Plan",INDEX(SprintPlanning[Sprint],MATCH($A316,SprintPlanning[Requirement ID],0))),"To Plan"))</f>
        <v/>
      </c>
      <c r="J316" s="36"/>
      <c r="K316" s="1" t="str">
        <f aca="false">IFERROR(IF(ISBLANK(INDEX(Release[Release],MATCH($A316,Release[Requirement ID],0))),"",INDEX(Release[Release],MATCH($A316,Release[Requirement ID],0))),"")</f>
        <v/>
      </c>
      <c r="L316" s="36"/>
      <c r="M316" s="36"/>
      <c r="P316" s="1" t="n">
        <f aca="false">IFERROR(VALUE(MID($A316,5,4)),0)</f>
        <v>0</v>
      </c>
      <c r="Q316" s="1" t="str">
        <f aca="false">IF(B316="","","NEW-"&amp;TEXT(MAX($P$2:$P315,Lists!$N$2)+1,"0000"))</f>
        <v/>
      </c>
    </row>
    <row r="317" customFormat="false" ht="15" hidden="false" customHeight="true" outlineLevel="0" collapsed="false">
      <c r="A317" s="35" t="str">
        <f aca="false">IF(AND(B317="",C317="",D317="",E317="",F317="",G317="",H317="",J317="",L317="",M317="",N317=""),"",Q317)</f>
        <v/>
      </c>
      <c r="B317" s="36"/>
      <c r="C317" s="36"/>
      <c r="D317" s="36"/>
      <c r="E317" s="36"/>
      <c r="F317" s="36"/>
      <c r="G317" s="36"/>
      <c r="H317" s="36"/>
      <c r="I317" s="1" t="str">
        <f aca="false">IF($A317="","",IFERROR(IF(ISBLANK(INDEX(SprintPlanning[Sprint],MATCH($A317,SprintPlanning[Requirement ID],0))),"To Plan",INDEX(SprintPlanning[Sprint],MATCH($A317,SprintPlanning[Requirement ID],0))),"To Plan"))</f>
        <v/>
      </c>
      <c r="J317" s="36"/>
      <c r="K317" s="1" t="str">
        <f aca="false">IFERROR(IF(ISBLANK(INDEX(Release[Release],MATCH($A317,Release[Requirement ID],0))),"",INDEX(Release[Release],MATCH($A317,Release[Requirement ID],0))),"")</f>
        <v/>
      </c>
      <c r="L317" s="36"/>
      <c r="M317" s="36"/>
      <c r="P317" s="1" t="n">
        <f aca="false">IFERROR(VALUE(MID($A317,5,4)),0)</f>
        <v>0</v>
      </c>
      <c r="Q317" s="1" t="str">
        <f aca="false">IF(B317="","","NEW-"&amp;TEXT(MAX($P$2:$P316,Lists!$N$2)+1,"0000"))</f>
        <v/>
      </c>
    </row>
    <row r="318" customFormat="false" ht="15" hidden="false" customHeight="true" outlineLevel="0" collapsed="false">
      <c r="A318" s="35" t="str">
        <f aca="false">IF(AND(B318="",C318="",D318="",E318="",F318="",G318="",H318="",J318="",L318="",M318="",N318=""),"",Q318)</f>
        <v/>
      </c>
      <c r="B318" s="36"/>
      <c r="C318" s="36"/>
      <c r="D318" s="36"/>
      <c r="E318" s="36"/>
      <c r="F318" s="36"/>
      <c r="G318" s="36"/>
      <c r="H318" s="36"/>
      <c r="I318" s="1" t="str">
        <f aca="false">IF($A318="","",IFERROR(IF(ISBLANK(INDEX(SprintPlanning[Sprint],MATCH($A318,SprintPlanning[Requirement ID],0))),"To Plan",INDEX(SprintPlanning[Sprint],MATCH($A318,SprintPlanning[Requirement ID],0))),"To Plan"))</f>
        <v/>
      </c>
      <c r="J318" s="36"/>
      <c r="K318" s="1" t="str">
        <f aca="false">IFERROR(IF(ISBLANK(INDEX(Release[Release],MATCH($A318,Release[Requirement ID],0))),"",INDEX(Release[Release],MATCH($A318,Release[Requirement ID],0))),"")</f>
        <v/>
      </c>
      <c r="L318" s="36"/>
      <c r="M318" s="36"/>
      <c r="P318" s="1" t="n">
        <f aca="false">IFERROR(VALUE(MID($A318,5,4)),0)</f>
        <v>0</v>
      </c>
      <c r="Q318" s="1" t="str">
        <f aca="false">IF(B318="","","NEW-"&amp;TEXT(MAX($P$2:$P317,Lists!$N$2)+1,"0000"))</f>
        <v/>
      </c>
    </row>
    <row r="319" customFormat="false" ht="15" hidden="false" customHeight="true" outlineLevel="0" collapsed="false">
      <c r="A319" s="35" t="str">
        <f aca="false">IF(AND(B319="",C319="",D319="",E319="",F319="",G319="",H319="",J319="",L319="",M319="",N319=""),"",Q319)</f>
        <v/>
      </c>
      <c r="B319" s="36"/>
      <c r="C319" s="36"/>
      <c r="D319" s="36"/>
      <c r="E319" s="36"/>
      <c r="F319" s="36"/>
      <c r="G319" s="36"/>
      <c r="H319" s="36"/>
      <c r="I319" s="1" t="str">
        <f aca="false">IF($A319="","",IFERROR(IF(ISBLANK(INDEX(SprintPlanning[Sprint],MATCH($A319,SprintPlanning[Requirement ID],0))),"To Plan",INDEX(SprintPlanning[Sprint],MATCH($A319,SprintPlanning[Requirement ID],0))),"To Plan"))</f>
        <v/>
      </c>
      <c r="J319" s="36"/>
      <c r="K319" s="1" t="str">
        <f aca="false">IFERROR(IF(ISBLANK(INDEX(Release[Release],MATCH($A319,Release[Requirement ID],0))),"",INDEX(Release[Release],MATCH($A319,Release[Requirement ID],0))),"")</f>
        <v/>
      </c>
      <c r="L319" s="36"/>
      <c r="M319" s="36"/>
      <c r="P319" s="1" t="n">
        <f aca="false">IFERROR(VALUE(MID($A319,5,4)),0)</f>
        <v>0</v>
      </c>
      <c r="Q319" s="1" t="str">
        <f aca="false">IF(B319="","","NEW-"&amp;TEXT(MAX($P$2:$P318,Lists!$N$2)+1,"0000"))</f>
        <v/>
      </c>
    </row>
    <row r="320" customFormat="false" ht="15" hidden="false" customHeight="true" outlineLevel="0" collapsed="false">
      <c r="A320" s="35" t="str">
        <f aca="false">IF(AND(B320="",C320="",D320="",E320="",F320="",G320="",H320="",J320="",L320="",M320="",N320=""),"",Q320)</f>
        <v/>
      </c>
      <c r="B320" s="36"/>
      <c r="C320" s="36"/>
      <c r="D320" s="36"/>
      <c r="E320" s="36"/>
      <c r="F320" s="36"/>
      <c r="G320" s="36"/>
      <c r="H320" s="36"/>
      <c r="I320" s="1" t="str">
        <f aca="false">IF($A320="","",IFERROR(IF(ISBLANK(INDEX(SprintPlanning[Sprint],MATCH($A320,SprintPlanning[Requirement ID],0))),"To Plan",INDEX(SprintPlanning[Sprint],MATCH($A320,SprintPlanning[Requirement ID],0))),"To Plan"))</f>
        <v/>
      </c>
      <c r="J320" s="36"/>
      <c r="K320" s="1" t="str">
        <f aca="false">IFERROR(IF(ISBLANK(INDEX(Release[Release],MATCH($A320,Release[Requirement ID],0))),"",INDEX(Release[Release],MATCH($A320,Release[Requirement ID],0))),"")</f>
        <v/>
      </c>
      <c r="L320" s="36"/>
      <c r="M320" s="36"/>
      <c r="P320" s="1" t="n">
        <f aca="false">IFERROR(VALUE(MID($A320,5,4)),0)</f>
        <v>0</v>
      </c>
      <c r="Q320" s="1" t="str">
        <f aca="false">IF(B320="","","NEW-"&amp;TEXT(MAX($P$2:$P319,Lists!$N$2)+1,"0000"))</f>
        <v/>
      </c>
    </row>
    <row r="321" customFormat="false" ht="15" hidden="false" customHeight="true" outlineLevel="0" collapsed="false">
      <c r="A321" s="35" t="str">
        <f aca="false">IF(AND(B321="",C321="",D321="",E321="",F321="",G321="",H321="",J321="",L321="",M321="",N321=""),"",Q321)</f>
        <v/>
      </c>
      <c r="B321" s="36"/>
      <c r="C321" s="36"/>
      <c r="D321" s="36"/>
      <c r="E321" s="36"/>
      <c r="F321" s="36"/>
      <c r="G321" s="36"/>
      <c r="H321" s="36"/>
      <c r="I321" s="1" t="str">
        <f aca="false">IF($A321="","",IFERROR(IF(ISBLANK(INDEX(SprintPlanning[Sprint],MATCH($A321,SprintPlanning[Requirement ID],0))),"To Plan",INDEX(SprintPlanning[Sprint],MATCH($A321,SprintPlanning[Requirement ID],0))),"To Plan"))</f>
        <v/>
      </c>
      <c r="J321" s="36"/>
      <c r="K321" s="1" t="str">
        <f aca="false">IFERROR(IF(ISBLANK(INDEX(Release[Release],MATCH($A321,Release[Requirement ID],0))),"",INDEX(Release[Release],MATCH($A321,Release[Requirement ID],0))),"")</f>
        <v/>
      </c>
      <c r="L321" s="36"/>
      <c r="M321" s="36"/>
      <c r="P321" s="1" t="n">
        <f aca="false">IFERROR(VALUE(MID($A321,5,4)),0)</f>
        <v>0</v>
      </c>
      <c r="Q321" s="1" t="str">
        <f aca="false">IF(B321="","","NEW-"&amp;TEXT(MAX($P$2:$P320,Lists!$N$2)+1,"0000"))</f>
        <v/>
      </c>
    </row>
    <row r="322" customFormat="false" ht="15" hidden="false" customHeight="true" outlineLevel="0" collapsed="false">
      <c r="A322" s="35" t="str">
        <f aca="false">IF(AND(B322="",C322="",D322="",E322="",F322="",G322="",H322="",J322="",L322="",M322="",N322=""),"",Q322)</f>
        <v/>
      </c>
      <c r="B322" s="36"/>
      <c r="C322" s="36"/>
      <c r="D322" s="36"/>
      <c r="E322" s="36"/>
      <c r="F322" s="36"/>
      <c r="G322" s="36"/>
      <c r="H322" s="36"/>
      <c r="I322" s="1" t="str">
        <f aca="false">IF($A322="","",IFERROR(IF(ISBLANK(INDEX(SprintPlanning[Sprint],MATCH($A322,SprintPlanning[Requirement ID],0))),"To Plan",INDEX(SprintPlanning[Sprint],MATCH($A322,SprintPlanning[Requirement ID],0))),"To Plan"))</f>
        <v/>
      </c>
      <c r="J322" s="36"/>
      <c r="K322" s="1" t="str">
        <f aca="false">IFERROR(IF(ISBLANK(INDEX(Release[Release],MATCH($A322,Release[Requirement ID],0))),"",INDEX(Release[Release],MATCH($A322,Release[Requirement ID],0))),"")</f>
        <v/>
      </c>
      <c r="L322" s="36"/>
      <c r="M322" s="36"/>
      <c r="P322" s="1" t="n">
        <f aca="false">IFERROR(VALUE(MID($A322,5,4)),0)</f>
        <v>0</v>
      </c>
      <c r="Q322" s="1" t="str">
        <f aca="false">IF(B322="","","NEW-"&amp;TEXT(MAX($P$2:$P321,Lists!$N$2)+1,"0000"))</f>
        <v/>
      </c>
    </row>
    <row r="323" customFormat="false" ht="15" hidden="false" customHeight="true" outlineLevel="0" collapsed="false">
      <c r="A323" s="35" t="str">
        <f aca="false">IF(AND(B323="",C323="",D323="",E323="",F323="",G323="",H323="",J323="",L323="",M323="",N323=""),"",Q323)</f>
        <v/>
      </c>
      <c r="B323" s="36"/>
      <c r="C323" s="36"/>
      <c r="D323" s="36"/>
      <c r="E323" s="36"/>
      <c r="F323" s="36"/>
      <c r="G323" s="36"/>
      <c r="H323" s="36"/>
      <c r="I323" s="1" t="str">
        <f aca="false">IF($A323="","",IFERROR(IF(ISBLANK(INDEX(SprintPlanning[Sprint],MATCH($A323,SprintPlanning[Requirement ID],0))),"To Plan",INDEX(SprintPlanning[Sprint],MATCH($A323,SprintPlanning[Requirement ID],0))),"To Plan"))</f>
        <v/>
      </c>
      <c r="J323" s="36"/>
      <c r="K323" s="1" t="str">
        <f aca="false">IFERROR(IF(ISBLANK(INDEX(Release[Release],MATCH($A323,Release[Requirement ID],0))),"",INDEX(Release[Release],MATCH($A323,Release[Requirement ID],0))),"")</f>
        <v/>
      </c>
      <c r="L323" s="36"/>
      <c r="M323" s="36"/>
      <c r="P323" s="1" t="n">
        <f aca="false">IFERROR(VALUE(MID($A323,5,4)),0)</f>
        <v>0</v>
      </c>
      <c r="Q323" s="1" t="str">
        <f aca="false">IF(B323="","","NEW-"&amp;TEXT(MAX($P$2:$P322,Lists!$N$2)+1,"0000"))</f>
        <v/>
      </c>
    </row>
    <row r="324" customFormat="false" ht="15" hidden="false" customHeight="true" outlineLevel="0" collapsed="false">
      <c r="A324" s="35" t="str">
        <f aca="false">IF(AND(B324="",C324="",D324="",E324="",F324="",G324="",H324="",J324="",L324="",M324="",N324=""),"",Q324)</f>
        <v/>
      </c>
      <c r="B324" s="36"/>
      <c r="C324" s="36"/>
      <c r="D324" s="36"/>
      <c r="E324" s="36"/>
      <c r="F324" s="36"/>
      <c r="G324" s="36"/>
      <c r="H324" s="36"/>
      <c r="I324" s="1" t="str">
        <f aca="false">IF($A324="","",IFERROR(IF(ISBLANK(INDEX(SprintPlanning[Sprint],MATCH($A324,SprintPlanning[Requirement ID],0))),"To Plan",INDEX(SprintPlanning[Sprint],MATCH($A324,SprintPlanning[Requirement ID],0))),"To Plan"))</f>
        <v/>
      </c>
      <c r="J324" s="36"/>
      <c r="K324" s="1" t="str">
        <f aca="false">IFERROR(IF(ISBLANK(INDEX(Release[Release],MATCH($A324,Release[Requirement ID],0))),"",INDEX(Release[Release],MATCH($A324,Release[Requirement ID],0))),"")</f>
        <v/>
      </c>
      <c r="L324" s="36"/>
      <c r="M324" s="36"/>
      <c r="P324" s="1" t="n">
        <f aca="false">IFERROR(VALUE(MID($A324,5,4)),0)</f>
        <v>0</v>
      </c>
      <c r="Q324" s="1" t="str">
        <f aca="false">IF(B324="","","NEW-"&amp;TEXT(MAX($P$2:$P323,Lists!$N$2)+1,"0000"))</f>
        <v/>
      </c>
    </row>
    <row r="325" customFormat="false" ht="15" hidden="false" customHeight="true" outlineLevel="0" collapsed="false">
      <c r="A325" s="35" t="str">
        <f aca="false">IF(AND(B325="",C325="",D325="",E325="",F325="",G325="",H325="",J325="",L325="",M325="",N325=""),"",Q325)</f>
        <v/>
      </c>
      <c r="B325" s="36"/>
      <c r="C325" s="36"/>
      <c r="D325" s="36"/>
      <c r="E325" s="36"/>
      <c r="F325" s="36"/>
      <c r="G325" s="36"/>
      <c r="H325" s="36"/>
      <c r="I325" s="1" t="str">
        <f aca="false">IF($A325="","",IFERROR(IF(ISBLANK(INDEX(SprintPlanning[Sprint],MATCH($A325,SprintPlanning[Requirement ID],0))),"To Plan",INDEX(SprintPlanning[Sprint],MATCH($A325,SprintPlanning[Requirement ID],0))),"To Plan"))</f>
        <v/>
      </c>
      <c r="J325" s="36"/>
      <c r="K325" s="1" t="str">
        <f aca="false">IFERROR(IF(ISBLANK(INDEX(Release[Release],MATCH($A325,Release[Requirement ID],0))),"",INDEX(Release[Release],MATCH($A325,Release[Requirement ID],0))),"")</f>
        <v/>
      </c>
      <c r="L325" s="36"/>
      <c r="M325" s="36"/>
      <c r="P325" s="1" t="n">
        <f aca="false">IFERROR(VALUE(MID($A325,5,4)),0)</f>
        <v>0</v>
      </c>
      <c r="Q325" s="1" t="str">
        <f aca="false">IF(B325="","","NEW-"&amp;TEXT(MAX($P$2:$P324,Lists!$N$2)+1,"0000"))</f>
        <v/>
      </c>
    </row>
    <row r="326" customFormat="false" ht="15" hidden="false" customHeight="true" outlineLevel="0" collapsed="false">
      <c r="A326" s="35" t="str">
        <f aca="false">IF(AND(B326="",C326="",D326="",E326="",F326="",G326="",H326="",J326="",L326="",M326="",N326=""),"",Q326)</f>
        <v/>
      </c>
      <c r="B326" s="36"/>
      <c r="C326" s="36"/>
      <c r="D326" s="36"/>
      <c r="E326" s="36"/>
      <c r="F326" s="36"/>
      <c r="G326" s="36"/>
      <c r="H326" s="36"/>
      <c r="I326" s="1" t="str">
        <f aca="false">IF($A326="","",IFERROR(IF(ISBLANK(INDEX(SprintPlanning[Sprint],MATCH($A326,SprintPlanning[Requirement ID],0))),"To Plan",INDEX(SprintPlanning[Sprint],MATCH($A326,SprintPlanning[Requirement ID],0))),"To Plan"))</f>
        <v/>
      </c>
      <c r="J326" s="36"/>
      <c r="K326" s="1" t="str">
        <f aca="false">IFERROR(IF(ISBLANK(INDEX(Release[Release],MATCH($A326,Release[Requirement ID],0))),"",INDEX(Release[Release],MATCH($A326,Release[Requirement ID],0))),"")</f>
        <v/>
      </c>
      <c r="L326" s="36"/>
      <c r="M326" s="36"/>
      <c r="P326" s="1" t="n">
        <f aca="false">IFERROR(VALUE(MID($A326,5,4)),0)</f>
        <v>0</v>
      </c>
      <c r="Q326" s="1" t="str">
        <f aca="false">IF(B326="","","NEW-"&amp;TEXT(MAX($P$2:$P325,Lists!$N$2)+1,"0000"))</f>
        <v/>
      </c>
    </row>
    <row r="327" customFormat="false" ht="15" hidden="false" customHeight="true" outlineLevel="0" collapsed="false">
      <c r="A327" s="35" t="str">
        <f aca="false">IF(AND(B327="",C327="",D327="",E327="",F327="",G327="",H327="",J327="",L327="",M327="",N327=""),"",Q327)</f>
        <v/>
      </c>
      <c r="B327" s="36"/>
      <c r="C327" s="36"/>
      <c r="D327" s="36"/>
      <c r="E327" s="36"/>
      <c r="F327" s="36"/>
      <c r="G327" s="36"/>
      <c r="H327" s="36"/>
      <c r="I327" s="1" t="str">
        <f aca="false">IF($A327="","",IFERROR(IF(ISBLANK(INDEX(SprintPlanning[Sprint],MATCH($A327,SprintPlanning[Requirement ID],0))),"To Plan",INDEX(SprintPlanning[Sprint],MATCH($A327,SprintPlanning[Requirement ID],0))),"To Plan"))</f>
        <v/>
      </c>
      <c r="J327" s="36"/>
      <c r="K327" s="1" t="str">
        <f aca="false">IFERROR(IF(ISBLANK(INDEX(Release[Release],MATCH($A327,Release[Requirement ID],0))),"",INDEX(Release[Release],MATCH($A327,Release[Requirement ID],0))),"")</f>
        <v/>
      </c>
      <c r="L327" s="36"/>
      <c r="M327" s="36"/>
      <c r="P327" s="1" t="n">
        <f aca="false">IFERROR(VALUE(MID($A327,5,4)),0)</f>
        <v>0</v>
      </c>
      <c r="Q327" s="1" t="str">
        <f aca="false">IF(B327="","","NEW-"&amp;TEXT(MAX($P$2:$P326,Lists!$N$2)+1,"0000"))</f>
        <v/>
      </c>
    </row>
    <row r="328" customFormat="false" ht="15" hidden="false" customHeight="true" outlineLevel="0" collapsed="false">
      <c r="A328" s="35" t="str">
        <f aca="false">IF(AND(B328="",C328="",D328="",E328="",F328="",G328="",H328="",J328="",L328="",M328="",N328=""),"",Q328)</f>
        <v/>
      </c>
      <c r="B328" s="36"/>
      <c r="C328" s="36"/>
      <c r="D328" s="36"/>
      <c r="E328" s="36"/>
      <c r="F328" s="36"/>
      <c r="G328" s="36"/>
      <c r="H328" s="36"/>
      <c r="I328" s="1" t="str">
        <f aca="false">IF($A328="","",IFERROR(IF(ISBLANK(INDEX(SprintPlanning[Sprint],MATCH($A328,SprintPlanning[Requirement ID],0))),"To Plan",INDEX(SprintPlanning[Sprint],MATCH($A328,SprintPlanning[Requirement ID],0))),"To Plan"))</f>
        <v/>
      </c>
      <c r="J328" s="36"/>
      <c r="K328" s="1" t="str">
        <f aca="false">IFERROR(IF(ISBLANK(INDEX(Release[Release],MATCH($A328,Release[Requirement ID],0))),"",INDEX(Release[Release],MATCH($A328,Release[Requirement ID],0))),"")</f>
        <v/>
      </c>
      <c r="L328" s="36"/>
      <c r="M328" s="36"/>
      <c r="P328" s="1" t="n">
        <f aca="false">IFERROR(VALUE(MID($A328,5,4)),0)</f>
        <v>0</v>
      </c>
      <c r="Q328" s="1" t="str">
        <f aca="false">IF(B328="","","NEW-"&amp;TEXT(MAX($P$2:$P327,Lists!$N$2)+1,"0000"))</f>
        <v/>
      </c>
    </row>
    <row r="329" customFormat="false" ht="15" hidden="false" customHeight="true" outlineLevel="0" collapsed="false">
      <c r="A329" s="35" t="str">
        <f aca="false">IF(AND(B329="",C329="",D329="",E329="",F329="",G329="",H329="",J329="",L329="",M329="",N329=""),"",Q329)</f>
        <v/>
      </c>
      <c r="B329" s="36"/>
      <c r="C329" s="36"/>
      <c r="D329" s="36"/>
      <c r="E329" s="36"/>
      <c r="F329" s="36"/>
      <c r="G329" s="36"/>
      <c r="H329" s="36"/>
      <c r="I329" s="1" t="str">
        <f aca="false">IF($A329="","",IFERROR(IF(ISBLANK(INDEX(SprintPlanning[Sprint],MATCH($A329,SprintPlanning[Requirement ID],0))),"To Plan",INDEX(SprintPlanning[Sprint],MATCH($A329,SprintPlanning[Requirement ID],0))),"To Plan"))</f>
        <v/>
      </c>
      <c r="J329" s="36"/>
      <c r="K329" s="1" t="str">
        <f aca="false">IFERROR(IF(ISBLANK(INDEX(Release[Release],MATCH($A329,Release[Requirement ID],0))),"",INDEX(Release[Release],MATCH($A329,Release[Requirement ID],0))),"")</f>
        <v/>
      </c>
      <c r="L329" s="36"/>
      <c r="M329" s="36"/>
      <c r="P329" s="1" t="n">
        <f aca="false">IFERROR(VALUE(MID($A329,5,4)),0)</f>
        <v>0</v>
      </c>
      <c r="Q329" s="1" t="str">
        <f aca="false">IF(B329="","","NEW-"&amp;TEXT(MAX($P$2:$P328,Lists!$N$2)+1,"0000"))</f>
        <v/>
      </c>
    </row>
    <row r="330" customFormat="false" ht="15" hidden="false" customHeight="true" outlineLevel="0" collapsed="false">
      <c r="A330" s="35" t="str">
        <f aca="false">IF(AND(B330="",C330="",D330="",E330="",F330="",G330="",H330="",J330="",L330="",M330="",N330=""),"",Q330)</f>
        <v/>
      </c>
      <c r="B330" s="36"/>
      <c r="C330" s="36"/>
      <c r="D330" s="36"/>
      <c r="E330" s="36"/>
      <c r="F330" s="36"/>
      <c r="G330" s="36"/>
      <c r="H330" s="36"/>
      <c r="I330" s="1" t="str">
        <f aca="false">IF($A330="","",IFERROR(IF(ISBLANK(INDEX(SprintPlanning[Sprint],MATCH($A330,SprintPlanning[Requirement ID],0))),"To Plan",INDEX(SprintPlanning[Sprint],MATCH($A330,SprintPlanning[Requirement ID],0))),"To Plan"))</f>
        <v/>
      </c>
      <c r="J330" s="36"/>
      <c r="K330" s="1" t="str">
        <f aca="false">IFERROR(IF(ISBLANK(INDEX(Release[Release],MATCH($A330,Release[Requirement ID],0))),"",INDEX(Release[Release],MATCH($A330,Release[Requirement ID],0))),"")</f>
        <v/>
      </c>
      <c r="L330" s="36"/>
      <c r="M330" s="36"/>
      <c r="P330" s="1" t="n">
        <f aca="false">IFERROR(VALUE(MID($A330,5,4)),0)</f>
        <v>0</v>
      </c>
      <c r="Q330" s="1" t="str">
        <f aca="false">IF(B330="","","NEW-"&amp;TEXT(MAX($P$2:$P329,Lists!$N$2)+1,"0000"))</f>
        <v/>
      </c>
    </row>
    <row r="331" customFormat="false" ht="15" hidden="false" customHeight="true" outlineLevel="0" collapsed="false">
      <c r="A331" s="35" t="str">
        <f aca="false">IF(AND(B331="",C331="",D331="",E331="",F331="",G331="",H331="",J331="",L331="",M331="",N331=""),"",Q331)</f>
        <v/>
      </c>
      <c r="B331" s="36"/>
      <c r="C331" s="36"/>
      <c r="D331" s="36"/>
      <c r="E331" s="36"/>
      <c r="F331" s="36"/>
      <c r="G331" s="36"/>
      <c r="H331" s="36"/>
      <c r="I331" s="1" t="str">
        <f aca="false">IF($A331="","",IFERROR(IF(ISBLANK(INDEX(SprintPlanning[Sprint],MATCH($A331,SprintPlanning[Requirement ID],0))),"To Plan",INDEX(SprintPlanning[Sprint],MATCH($A331,SprintPlanning[Requirement ID],0))),"To Plan"))</f>
        <v/>
      </c>
      <c r="J331" s="36"/>
      <c r="K331" s="1" t="str">
        <f aca="false">IFERROR(IF(ISBLANK(INDEX(Release[Release],MATCH($A331,Release[Requirement ID],0))),"",INDEX(Release[Release],MATCH($A331,Release[Requirement ID],0))),"")</f>
        <v/>
      </c>
      <c r="L331" s="36"/>
      <c r="M331" s="36"/>
      <c r="P331" s="1" t="n">
        <f aca="false">IFERROR(VALUE(MID($A331,5,4)),0)</f>
        <v>0</v>
      </c>
      <c r="Q331" s="1" t="str">
        <f aca="false">IF(B331="","","NEW-"&amp;TEXT(MAX($P$2:$P330,Lists!$N$2)+1,"0000"))</f>
        <v/>
      </c>
    </row>
    <row r="332" customFormat="false" ht="15" hidden="false" customHeight="true" outlineLevel="0" collapsed="false">
      <c r="A332" s="35" t="str">
        <f aca="false">IF(AND(B332="",C332="",D332="",E332="",F332="",G332="",H332="",J332="",L332="",M332="",N332=""),"",Q332)</f>
        <v/>
      </c>
      <c r="B332" s="36"/>
      <c r="C332" s="36"/>
      <c r="D332" s="36"/>
      <c r="E332" s="36"/>
      <c r="F332" s="36"/>
      <c r="G332" s="36"/>
      <c r="H332" s="36"/>
      <c r="I332" s="1" t="str">
        <f aca="false">IF($A332="","",IFERROR(IF(ISBLANK(INDEX(SprintPlanning[Sprint],MATCH($A332,SprintPlanning[Requirement ID],0))),"To Plan",INDEX(SprintPlanning[Sprint],MATCH($A332,SprintPlanning[Requirement ID],0))),"To Plan"))</f>
        <v/>
      </c>
      <c r="J332" s="36"/>
      <c r="K332" s="1" t="str">
        <f aca="false">IFERROR(IF(ISBLANK(INDEX(Release[Release],MATCH($A332,Release[Requirement ID],0))),"",INDEX(Release[Release],MATCH($A332,Release[Requirement ID],0))),"")</f>
        <v/>
      </c>
      <c r="L332" s="36"/>
      <c r="M332" s="36"/>
      <c r="P332" s="1" t="n">
        <f aca="false">IFERROR(VALUE(MID($A332,5,4)),0)</f>
        <v>0</v>
      </c>
      <c r="Q332" s="1" t="str">
        <f aca="false">IF(B332="","","NEW-"&amp;TEXT(MAX($P$2:$P331,Lists!$N$2)+1,"0000"))</f>
        <v/>
      </c>
    </row>
    <row r="333" customFormat="false" ht="15" hidden="false" customHeight="true" outlineLevel="0" collapsed="false">
      <c r="A333" s="35" t="str">
        <f aca="false">IF(AND(B333="",C333="",D333="",E333="",F333="",G333="",H333="",J333="",L333="",M333="",N333=""),"",Q333)</f>
        <v/>
      </c>
      <c r="B333" s="36"/>
      <c r="C333" s="36"/>
      <c r="D333" s="36"/>
      <c r="E333" s="36"/>
      <c r="F333" s="36"/>
      <c r="G333" s="36"/>
      <c r="H333" s="36"/>
      <c r="I333" s="1" t="str">
        <f aca="false">IF($A333="","",IFERROR(IF(ISBLANK(INDEX(SprintPlanning[Sprint],MATCH($A333,SprintPlanning[Requirement ID],0))),"To Plan",INDEX(SprintPlanning[Sprint],MATCH($A333,SprintPlanning[Requirement ID],0))),"To Plan"))</f>
        <v/>
      </c>
      <c r="J333" s="36"/>
      <c r="K333" s="1" t="str">
        <f aca="false">IFERROR(IF(ISBLANK(INDEX(Release[Release],MATCH($A333,Release[Requirement ID],0))),"",INDEX(Release[Release],MATCH($A333,Release[Requirement ID],0))),"")</f>
        <v/>
      </c>
      <c r="L333" s="36"/>
      <c r="M333" s="36"/>
      <c r="P333" s="1" t="n">
        <f aca="false">IFERROR(VALUE(MID($A333,5,4)),0)</f>
        <v>0</v>
      </c>
      <c r="Q333" s="1" t="str">
        <f aca="false">IF(B333="","","NEW-"&amp;TEXT(MAX($P$2:$P332,Lists!$N$2)+1,"0000"))</f>
        <v/>
      </c>
    </row>
    <row r="334" customFormat="false" ht="15" hidden="false" customHeight="true" outlineLevel="0" collapsed="false">
      <c r="A334" s="35" t="str">
        <f aca="false">IF(AND(B334="",C334="",D334="",E334="",F334="",G334="",H334="",J334="",L334="",M334="",N334=""),"",Q334)</f>
        <v/>
      </c>
      <c r="B334" s="36"/>
      <c r="C334" s="36"/>
      <c r="D334" s="36"/>
      <c r="E334" s="36"/>
      <c r="F334" s="36"/>
      <c r="G334" s="36"/>
      <c r="H334" s="36"/>
      <c r="I334" s="1" t="str">
        <f aca="false">IF($A334="","",IFERROR(IF(ISBLANK(INDEX(SprintPlanning[Sprint],MATCH($A334,SprintPlanning[Requirement ID],0))),"To Plan",INDEX(SprintPlanning[Sprint],MATCH($A334,SprintPlanning[Requirement ID],0))),"To Plan"))</f>
        <v/>
      </c>
      <c r="J334" s="36"/>
      <c r="K334" s="1" t="str">
        <f aca="false">IFERROR(IF(ISBLANK(INDEX(Release[Release],MATCH($A334,Release[Requirement ID],0))),"",INDEX(Release[Release],MATCH($A334,Release[Requirement ID],0))),"")</f>
        <v/>
      </c>
      <c r="L334" s="36"/>
      <c r="M334" s="36"/>
      <c r="P334" s="1" t="n">
        <f aca="false">IFERROR(VALUE(MID($A334,5,4)),0)</f>
        <v>0</v>
      </c>
      <c r="Q334" s="1" t="str">
        <f aca="false">IF(B334="","","NEW-"&amp;TEXT(MAX($P$2:$P333,Lists!$N$2)+1,"0000"))</f>
        <v/>
      </c>
    </row>
    <row r="335" customFormat="false" ht="15" hidden="false" customHeight="true" outlineLevel="0" collapsed="false">
      <c r="A335" s="35" t="str">
        <f aca="false">IF(AND(B335="",C335="",D335="",E335="",F335="",G335="",H335="",J335="",L335="",M335="",N335=""),"",Q335)</f>
        <v/>
      </c>
      <c r="B335" s="36"/>
      <c r="C335" s="36"/>
      <c r="D335" s="36"/>
      <c r="E335" s="36"/>
      <c r="F335" s="36"/>
      <c r="G335" s="36"/>
      <c r="H335" s="36"/>
      <c r="I335" s="1" t="str">
        <f aca="false">IF($A335="","",IFERROR(IF(ISBLANK(INDEX(SprintPlanning[Sprint],MATCH($A335,SprintPlanning[Requirement ID],0))),"To Plan",INDEX(SprintPlanning[Sprint],MATCH($A335,SprintPlanning[Requirement ID],0))),"To Plan"))</f>
        <v/>
      </c>
      <c r="J335" s="36"/>
      <c r="K335" s="1" t="str">
        <f aca="false">IFERROR(IF(ISBLANK(INDEX(Release[Release],MATCH($A335,Release[Requirement ID],0))),"",INDEX(Release[Release],MATCH($A335,Release[Requirement ID],0))),"")</f>
        <v/>
      </c>
      <c r="L335" s="36"/>
      <c r="M335" s="36"/>
      <c r="P335" s="1" t="n">
        <f aca="false">IFERROR(VALUE(MID($A335,5,4)),0)</f>
        <v>0</v>
      </c>
      <c r="Q335" s="1" t="str">
        <f aca="false">IF(B335="","","NEW-"&amp;TEXT(MAX($P$2:$P334,Lists!$N$2)+1,"0000"))</f>
        <v/>
      </c>
    </row>
    <row r="336" customFormat="false" ht="15" hidden="false" customHeight="true" outlineLevel="0" collapsed="false">
      <c r="A336" s="35" t="str">
        <f aca="false">IF(AND(B336="",C336="",D336="",E336="",F336="",G336="",H336="",J336="",L336="",M336="",N336=""),"",Q336)</f>
        <v/>
      </c>
      <c r="B336" s="36"/>
      <c r="C336" s="36"/>
      <c r="D336" s="36"/>
      <c r="E336" s="36"/>
      <c r="F336" s="36"/>
      <c r="G336" s="36"/>
      <c r="H336" s="36"/>
      <c r="I336" s="1" t="str">
        <f aca="false">IF($A336="","",IFERROR(IF(ISBLANK(INDEX(SprintPlanning[Sprint],MATCH($A336,SprintPlanning[Requirement ID],0))),"To Plan",INDEX(SprintPlanning[Sprint],MATCH($A336,SprintPlanning[Requirement ID],0))),"To Plan"))</f>
        <v/>
      </c>
      <c r="J336" s="36"/>
      <c r="K336" s="1" t="str">
        <f aca="false">IFERROR(IF(ISBLANK(INDEX(Release[Release],MATCH($A336,Release[Requirement ID],0))),"",INDEX(Release[Release],MATCH($A336,Release[Requirement ID],0))),"")</f>
        <v/>
      </c>
      <c r="L336" s="36"/>
      <c r="M336" s="36"/>
      <c r="P336" s="1" t="n">
        <f aca="false">IFERROR(VALUE(MID($A336,5,4)),0)</f>
        <v>0</v>
      </c>
      <c r="Q336" s="1" t="str">
        <f aca="false">IF(B336="","","NEW-"&amp;TEXT(MAX($P$2:$P335,Lists!$N$2)+1,"0000"))</f>
        <v/>
      </c>
    </row>
    <row r="337" customFormat="false" ht="15" hidden="false" customHeight="true" outlineLevel="0" collapsed="false">
      <c r="A337" s="35" t="str">
        <f aca="false">IF(AND(B337="",C337="",D337="",E337="",F337="",G337="",H337="",J337="",L337="",M337="",N337=""),"",Q337)</f>
        <v/>
      </c>
      <c r="B337" s="36"/>
      <c r="C337" s="36"/>
      <c r="D337" s="36"/>
      <c r="E337" s="36"/>
      <c r="F337" s="36"/>
      <c r="G337" s="36"/>
      <c r="H337" s="36"/>
      <c r="I337" s="1" t="str">
        <f aca="false">IF($A337="","",IFERROR(IF(ISBLANK(INDEX(SprintPlanning[Sprint],MATCH($A337,SprintPlanning[Requirement ID],0))),"To Plan",INDEX(SprintPlanning[Sprint],MATCH($A337,SprintPlanning[Requirement ID],0))),"To Plan"))</f>
        <v/>
      </c>
      <c r="J337" s="36"/>
      <c r="K337" s="1" t="str">
        <f aca="false">IFERROR(IF(ISBLANK(INDEX(Release[Release],MATCH($A337,Release[Requirement ID],0))),"",INDEX(Release[Release],MATCH($A337,Release[Requirement ID],0))),"")</f>
        <v/>
      </c>
      <c r="L337" s="36"/>
      <c r="M337" s="36"/>
      <c r="P337" s="1" t="n">
        <f aca="false">IFERROR(VALUE(MID($A337,5,4)),0)</f>
        <v>0</v>
      </c>
      <c r="Q337" s="1" t="str">
        <f aca="false">IF(B337="","","NEW-"&amp;TEXT(MAX($P$2:$P336,Lists!$N$2)+1,"0000"))</f>
        <v/>
      </c>
    </row>
    <row r="338" customFormat="false" ht="15" hidden="false" customHeight="true" outlineLevel="0" collapsed="false">
      <c r="A338" s="35" t="str">
        <f aca="false">IF(AND(B338="",C338="",D338="",E338="",F338="",G338="",H338="",J338="",L338="",M338="",N338=""),"",Q338)</f>
        <v/>
      </c>
      <c r="B338" s="36"/>
      <c r="C338" s="36"/>
      <c r="D338" s="36"/>
      <c r="E338" s="36"/>
      <c r="F338" s="36"/>
      <c r="G338" s="36"/>
      <c r="H338" s="36"/>
      <c r="I338" s="1" t="str">
        <f aca="false">IF($A338="","",IFERROR(IF(ISBLANK(INDEX(SprintPlanning[Sprint],MATCH($A338,SprintPlanning[Requirement ID],0))),"To Plan",INDEX(SprintPlanning[Sprint],MATCH($A338,SprintPlanning[Requirement ID],0))),"To Plan"))</f>
        <v/>
      </c>
      <c r="J338" s="36"/>
      <c r="K338" s="1" t="str">
        <f aca="false">IFERROR(IF(ISBLANK(INDEX(Release[Release],MATCH($A338,Release[Requirement ID],0))),"",INDEX(Release[Release],MATCH($A338,Release[Requirement ID],0))),"")</f>
        <v/>
      </c>
      <c r="L338" s="36"/>
      <c r="M338" s="36"/>
      <c r="P338" s="1" t="n">
        <f aca="false">IFERROR(VALUE(MID($A338,5,4)),0)</f>
        <v>0</v>
      </c>
      <c r="Q338" s="1" t="str">
        <f aca="false">IF(B338="","","NEW-"&amp;TEXT(MAX($P$2:$P337,Lists!$N$2)+1,"0000"))</f>
        <v/>
      </c>
    </row>
    <row r="339" customFormat="false" ht="15" hidden="false" customHeight="true" outlineLevel="0" collapsed="false">
      <c r="A339" s="35" t="str">
        <f aca="false">IF(AND(B339="",C339="",D339="",E339="",F339="",G339="",H339="",J339="",L339="",M339="",N339=""),"",Q339)</f>
        <v/>
      </c>
      <c r="B339" s="36"/>
      <c r="C339" s="36"/>
      <c r="D339" s="36"/>
      <c r="E339" s="36"/>
      <c r="F339" s="36"/>
      <c r="G339" s="36"/>
      <c r="H339" s="36"/>
      <c r="I339" s="1" t="str">
        <f aca="false">IF($A339="","",IFERROR(IF(ISBLANK(INDEX(SprintPlanning[Sprint],MATCH($A339,SprintPlanning[Requirement ID],0))),"To Plan",INDEX(SprintPlanning[Sprint],MATCH($A339,SprintPlanning[Requirement ID],0))),"To Plan"))</f>
        <v/>
      </c>
      <c r="J339" s="36"/>
      <c r="K339" s="1" t="str">
        <f aca="false">IFERROR(IF(ISBLANK(INDEX(Release[Release],MATCH($A339,Release[Requirement ID],0))),"",INDEX(Release[Release],MATCH($A339,Release[Requirement ID],0))),"")</f>
        <v/>
      </c>
      <c r="L339" s="36"/>
      <c r="M339" s="36"/>
      <c r="P339" s="1" t="n">
        <f aca="false">IFERROR(VALUE(MID($A339,5,4)),0)</f>
        <v>0</v>
      </c>
      <c r="Q339" s="1" t="str">
        <f aca="false">IF(B339="","","NEW-"&amp;TEXT(MAX($P$2:$P338,Lists!$N$2)+1,"0000"))</f>
        <v/>
      </c>
    </row>
    <row r="340" customFormat="false" ht="15" hidden="false" customHeight="true" outlineLevel="0" collapsed="false">
      <c r="A340" s="35" t="str">
        <f aca="false">IF(AND(B340="",C340="",D340="",E340="",F340="",G340="",H340="",J340="",L340="",M340="",N340=""),"",Q340)</f>
        <v/>
      </c>
      <c r="B340" s="36"/>
      <c r="C340" s="36"/>
      <c r="D340" s="36"/>
      <c r="E340" s="36"/>
      <c r="F340" s="36"/>
      <c r="G340" s="36"/>
      <c r="H340" s="36"/>
      <c r="I340" s="1" t="str">
        <f aca="false">IF($A340="","",IFERROR(IF(ISBLANK(INDEX(SprintPlanning[Sprint],MATCH($A340,SprintPlanning[Requirement ID],0))),"To Plan",INDEX(SprintPlanning[Sprint],MATCH($A340,SprintPlanning[Requirement ID],0))),"To Plan"))</f>
        <v/>
      </c>
      <c r="J340" s="36"/>
      <c r="K340" s="1" t="str">
        <f aca="false">IFERROR(IF(ISBLANK(INDEX(Release[Release],MATCH($A340,Release[Requirement ID],0))),"",INDEX(Release[Release],MATCH($A340,Release[Requirement ID],0))),"")</f>
        <v/>
      </c>
      <c r="L340" s="36"/>
      <c r="M340" s="36"/>
      <c r="P340" s="1" t="n">
        <f aca="false">IFERROR(VALUE(MID($A340,5,4)),0)</f>
        <v>0</v>
      </c>
      <c r="Q340" s="1" t="str">
        <f aca="false">IF(B340="","","NEW-"&amp;TEXT(MAX($P$2:$P339,Lists!$N$2)+1,"0000"))</f>
        <v/>
      </c>
    </row>
    <row r="341" customFormat="false" ht="15" hidden="false" customHeight="true" outlineLevel="0" collapsed="false">
      <c r="A341" s="35" t="str">
        <f aca="false">IF(AND(B341="",C341="",D341="",E341="",F341="",G341="",H341="",J341="",L341="",M341="",N341=""),"",Q341)</f>
        <v/>
      </c>
      <c r="B341" s="36"/>
      <c r="C341" s="36"/>
      <c r="D341" s="36"/>
      <c r="E341" s="36"/>
      <c r="F341" s="36"/>
      <c r="G341" s="36"/>
      <c r="H341" s="36"/>
      <c r="I341" s="1" t="str">
        <f aca="false">IF($A341="","",IFERROR(IF(ISBLANK(INDEX(SprintPlanning[Sprint],MATCH($A341,SprintPlanning[Requirement ID],0))),"To Plan",INDEX(SprintPlanning[Sprint],MATCH($A341,SprintPlanning[Requirement ID],0))),"To Plan"))</f>
        <v/>
      </c>
      <c r="J341" s="36"/>
      <c r="K341" s="1" t="str">
        <f aca="false">IFERROR(IF(ISBLANK(INDEX(Release[Release],MATCH($A341,Release[Requirement ID],0))),"",INDEX(Release[Release],MATCH($A341,Release[Requirement ID],0))),"")</f>
        <v/>
      </c>
      <c r="L341" s="36"/>
      <c r="M341" s="36"/>
      <c r="P341" s="1" t="n">
        <f aca="false">IFERROR(VALUE(MID($A341,5,4)),0)</f>
        <v>0</v>
      </c>
      <c r="Q341" s="1" t="str">
        <f aca="false">IF(B341="","","NEW-"&amp;TEXT(MAX($P$2:$P340,Lists!$N$2)+1,"0000"))</f>
        <v/>
      </c>
    </row>
    <row r="342" customFormat="false" ht="15" hidden="false" customHeight="true" outlineLevel="0" collapsed="false">
      <c r="A342" s="35" t="str">
        <f aca="false">IF(AND(B342="",C342="",D342="",E342="",F342="",G342="",H342="",J342="",L342="",M342="",N342=""),"",Q342)</f>
        <v/>
      </c>
      <c r="B342" s="36"/>
      <c r="C342" s="36"/>
      <c r="D342" s="36"/>
      <c r="E342" s="36"/>
      <c r="F342" s="36"/>
      <c r="G342" s="36"/>
      <c r="H342" s="36"/>
      <c r="I342" s="1" t="str">
        <f aca="false">IF($A342="","",IFERROR(IF(ISBLANK(INDEX(SprintPlanning[Sprint],MATCH($A342,SprintPlanning[Requirement ID],0))),"To Plan",INDEX(SprintPlanning[Sprint],MATCH($A342,SprintPlanning[Requirement ID],0))),"To Plan"))</f>
        <v/>
      </c>
      <c r="J342" s="36"/>
      <c r="K342" s="1" t="str">
        <f aca="false">IFERROR(IF(ISBLANK(INDEX(Release[Release],MATCH($A342,Release[Requirement ID],0))),"",INDEX(Release[Release],MATCH($A342,Release[Requirement ID],0))),"")</f>
        <v/>
      </c>
      <c r="L342" s="36"/>
      <c r="M342" s="36"/>
      <c r="P342" s="1" t="n">
        <f aca="false">IFERROR(VALUE(MID($A342,5,4)),0)</f>
        <v>0</v>
      </c>
      <c r="Q342" s="1" t="str">
        <f aca="false">IF(B342="","","NEW-"&amp;TEXT(MAX($P$2:$P341,Lists!$N$2)+1,"0000"))</f>
        <v/>
      </c>
    </row>
    <row r="343" customFormat="false" ht="15" hidden="false" customHeight="true" outlineLevel="0" collapsed="false">
      <c r="A343" s="35" t="str">
        <f aca="false">IF(AND(B343="",C343="",D343="",E343="",F343="",G343="",H343="",J343="",L343="",M343="",N343=""),"",Q343)</f>
        <v/>
      </c>
      <c r="B343" s="36"/>
      <c r="C343" s="36"/>
      <c r="D343" s="36"/>
      <c r="E343" s="36"/>
      <c r="F343" s="36"/>
      <c r="G343" s="36"/>
      <c r="H343" s="36"/>
      <c r="I343" s="1" t="str">
        <f aca="false">IF($A343="","",IFERROR(IF(ISBLANK(INDEX(SprintPlanning[Sprint],MATCH($A343,SprintPlanning[Requirement ID],0))),"To Plan",INDEX(SprintPlanning[Sprint],MATCH($A343,SprintPlanning[Requirement ID],0))),"To Plan"))</f>
        <v/>
      </c>
      <c r="J343" s="36"/>
      <c r="K343" s="1" t="str">
        <f aca="false">IFERROR(IF(ISBLANK(INDEX(Release[Release],MATCH($A343,Release[Requirement ID],0))),"",INDEX(Release[Release],MATCH($A343,Release[Requirement ID],0))),"")</f>
        <v/>
      </c>
      <c r="L343" s="36"/>
      <c r="M343" s="36"/>
      <c r="P343" s="1" t="n">
        <f aca="false">IFERROR(VALUE(MID($A343,5,4)),0)</f>
        <v>0</v>
      </c>
      <c r="Q343" s="1" t="str">
        <f aca="false">IF(B343="","","NEW-"&amp;TEXT(MAX($P$2:$P342,Lists!$N$2)+1,"0000"))</f>
        <v/>
      </c>
    </row>
    <row r="344" customFormat="false" ht="15" hidden="false" customHeight="true" outlineLevel="0" collapsed="false">
      <c r="A344" s="35" t="str">
        <f aca="false">IF(AND(B344="",C344="",D344="",E344="",F344="",G344="",H344="",J344="",L344="",M344="",N344=""),"",Q344)</f>
        <v/>
      </c>
      <c r="B344" s="36"/>
      <c r="C344" s="36"/>
      <c r="D344" s="36"/>
      <c r="E344" s="36"/>
      <c r="F344" s="36"/>
      <c r="G344" s="36"/>
      <c r="H344" s="36"/>
      <c r="I344" s="1" t="str">
        <f aca="false">IF($A344="","",IFERROR(IF(ISBLANK(INDEX(SprintPlanning[Sprint],MATCH($A344,SprintPlanning[Requirement ID],0))),"To Plan",INDEX(SprintPlanning[Sprint],MATCH($A344,SprintPlanning[Requirement ID],0))),"To Plan"))</f>
        <v/>
      </c>
      <c r="J344" s="36"/>
      <c r="K344" s="1" t="str">
        <f aca="false">IFERROR(IF(ISBLANK(INDEX(Release[Release],MATCH($A344,Release[Requirement ID],0))),"",INDEX(Release[Release],MATCH($A344,Release[Requirement ID],0))),"")</f>
        <v/>
      </c>
      <c r="L344" s="36"/>
      <c r="M344" s="36"/>
      <c r="P344" s="1" t="n">
        <f aca="false">IFERROR(VALUE(MID($A344,5,4)),0)</f>
        <v>0</v>
      </c>
      <c r="Q344" s="1" t="str">
        <f aca="false">IF(B344="","","NEW-"&amp;TEXT(MAX($P$2:$P343,Lists!$N$2)+1,"0000"))</f>
        <v/>
      </c>
    </row>
    <row r="345" customFormat="false" ht="15" hidden="false" customHeight="true" outlineLevel="0" collapsed="false">
      <c r="A345" s="35" t="str">
        <f aca="false">IF(AND(B345="",C345="",D345="",E345="",F345="",G345="",H345="",J345="",L345="",M345="",N345=""),"",Q345)</f>
        <v/>
      </c>
      <c r="B345" s="36"/>
      <c r="C345" s="36"/>
      <c r="D345" s="36"/>
      <c r="E345" s="36"/>
      <c r="F345" s="36"/>
      <c r="G345" s="36"/>
      <c r="H345" s="36"/>
      <c r="I345" s="1" t="str">
        <f aca="false">IF($A345="","",IFERROR(IF(ISBLANK(INDEX(SprintPlanning[Sprint],MATCH($A345,SprintPlanning[Requirement ID],0))),"To Plan",INDEX(SprintPlanning[Sprint],MATCH($A345,SprintPlanning[Requirement ID],0))),"To Plan"))</f>
        <v/>
      </c>
      <c r="J345" s="36"/>
      <c r="K345" s="1" t="str">
        <f aca="false">IFERROR(IF(ISBLANK(INDEX(Release[Release],MATCH($A345,Release[Requirement ID],0))),"",INDEX(Release[Release],MATCH($A345,Release[Requirement ID],0))),"")</f>
        <v/>
      </c>
      <c r="L345" s="36"/>
      <c r="M345" s="36"/>
      <c r="P345" s="1" t="n">
        <f aca="false">IFERROR(VALUE(MID($A345,5,4)),0)</f>
        <v>0</v>
      </c>
      <c r="Q345" s="1" t="str">
        <f aca="false">IF(B345="","","NEW-"&amp;TEXT(MAX($P$2:$P344,Lists!$N$2)+1,"0000"))</f>
        <v/>
      </c>
    </row>
    <row r="346" customFormat="false" ht="15" hidden="false" customHeight="true" outlineLevel="0" collapsed="false">
      <c r="A346" s="35" t="str">
        <f aca="false">IF(AND(B346="",C346="",D346="",E346="",F346="",G346="",H346="",J346="",L346="",M346="",N346=""),"",Q346)</f>
        <v/>
      </c>
      <c r="B346" s="36"/>
      <c r="C346" s="36"/>
      <c r="D346" s="36"/>
      <c r="E346" s="36"/>
      <c r="F346" s="36"/>
      <c r="G346" s="36"/>
      <c r="H346" s="36"/>
      <c r="I346" s="1" t="str">
        <f aca="false">IF($A346="","",IFERROR(IF(ISBLANK(INDEX(SprintPlanning[Sprint],MATCH($A346,SprintPlanning[Requirement ID],0))),"To Plan",INDEX(SprintPlanning[Sprint],MATCH($A346,SprintPlanning[Requirement ID],0))),"To Plan"))</f>
        <v/>
      </c>
      <c r="J346" s="36"/>
      <c r="K346" s="1" t="str">
        <f aca="false">IFERROR(IF(ISBLANK(INDEX(Release[Release],MATCH($A346,Release[Requirement ID],0))),"",INDEX(Release[Release],MATCH($A346,Release[Requirement ID],0))),"")</f>
        <v/>
      </c>
      <c r="L346" s="36"/>
      <c r="M346" s="36"/>
      <c r="P346" s="1" t="n">
        <f aca="false">IFERROR(VALUE(MID($A346,5,4)),0)</f>
        <v>0</v>
      </c>
      <c r="Q346" s="1" t="str">
        <f aca="false">IF(B346="","","NEW-"&amp;TEXT(MAX($P$2:$P345,Lists!$N$2)+1,"0000"))</f>
        <v/>
      </c>
    </row>
    <row r="347" customFormat="false" ht="15" hidden="false" customHeight="true" outlineLevel="0" collapsed="false">
      <c r="A347" s="35" t="str">
        <f aca="false">IF(AND(B347="",C347="",D347="",E347="",F347="",G347="",H347="",J347="",L347="",M347="",N347=""),"",Q347)</f>
        <v/>
      </c>
      <c r="B347" s="36"/>
      <c r="C347" s="36"/>
      <c r="D347" s="36"/>
      <c r="E347" s="36"/>
      <c r="F347" s="36"/>
      <c r="G347" s="36"/>
      <c r="H347" s="36"/>
      <c r="I347" s="1" t="str">
        <f aca="false">IF($A347="","",IFERROR(IF(ISBLANK(INDEX(SprintPlanning[Sprint],MATCH($A347,SprintPlanning[Requirement ID],0))),"To Plan",INDEX(SprintPlanning[Sprint],MATCH($A347,SprintPlanning[Requirement ID],0))),"To Plan"))</f>
        <v/>
      </c>
      <c r="J347" s="36"/>
      <c r="K347" s="1" t="str">
        <f aca="false">IFERROR(IF(ISBLANK(INDEX(Release[Release],MATCH($A347,Release[Requirement ID],0))),"",INDEX(Release[Release],MATCH($A347,Release[Requirement ID],0))),"")</f>
        <v/>
      </c>
      <c r="L347" s="36"/>
      <c r="M347" s="36"/>
      <c r="P347" s="1" t="n">
        <f aca="false">IFERROR(VALUE(MID($A347,5,4)),0)</f>
        <v>0</v>
      </c>
      <c r="Q347" s="1" t="str">
        <f aca="false">IF(B347="","","NEW-"&amp;TEXT(MAX($P$2:$P346,Lists!$N$2)+1,"0000"))</f>
        <v/>
      </c>
    </row>
    <row r="348" customFormat="false" ht="15" hidden="false" customHeight="true" outlineLevel="0" collapsed="false">
      <c r="A348" s="35" t="str">
        <f aca="false">IF(AND(B348="",C348="",D348="",E348="",F348="",G348="",H348="",J348="",L348="",M348="",N348=""),"",Q348)</f>
        <v/>
      </c>
      <c r="B348" s="36"/>
      <c r="C348" s="36"/>
      <c r="D348" s="36"/>
      <c r="E348" s="36"/>
      <c r="F348" s="36"/>
      <c r="G348" s="36"/>
      <c r="H348" s="36"/>
      <c r="I348" s="1" t="str">
        <f aca="false">IF($A348="","",IFERROR(IF(ISBLANK(INDEX(SprintPlanning[Sprint],MATCH($A348,SprintPlanning[Requirement ID],0))),"To Plan",INDEX(SprintPlanning[Sprint],MATCH($A348,SprintPlanning[Requirement ID],0))),"To Plan"))</f>
        <v/>
      </c>
      <c r="J348" s="36"/>
      <c r="K348" s="1" t="str">
        <f aca="false">IFERROR(IF(ISBLANK(INDEX(Release[Release],MATCH($A348,Release[Requirement ID],0))),"",INDEX(Release[Release],MATCH($A348,Release[Requirement ID],0))),"")</f>
        <v/>
      </c>
      <c r="L348" s="36"/>
      <c r="M348" s="36"/>
      <c r="P348" s="1" t="n">
        <f aca="false">IFERROR(VALUE(MID($A348,5,4)),0)</f>
        <v>0</v>
      </c>
      <c r="Q348" s="1" t="str">
        <f aca="false">IF(B348="","","NEW-"&amp;TEXT(MAX($P$2:$P347,Lists!$N$2)+1,"0000"))</f>
        <v/>
      </c>
    </row>
    <row r="349" customFormat="false" ht="15" hidden="false" customHeight="true" outlineLevel="0" collapsed="false">
      <c r="A349" s="35" t="str">
        <f aca="false">IF(AND(B349="",C349="",D349="",E349="",F349="",G349="",H349="",J349="",L349="",M349="",N349=""),"",Q349)</f>
        <v/>
      </c>
      <c r="B349" s="36"/>
      <c r="C349" s="36"/>
      <c r="D349" s="36"/>
      <c r="E349" s="36"/>
      <c r="F349" s="36"/>
      <c r="G349" s="36"/>
      <c r="H349" s="36"/>
      <c r="I349" s="1" t="str">
        <f aca="false">IF($A349="","",IFERROR(IF(ISBLANK(INDEX(SprintPlanning[Sprint],MATCH($A349,SprintPlanning[Requirement ID],0))),"To Plan",INDEX(SprintPlanning[Sprint],MATCH($A349,SprintPlanning[Requirement ID],0))),"To Plan"))</f>
        <v/>
      </c>
      <c r="J349" s="36"/>
      <c r="K349" s="1" t="str">
        <f aca="false">IFERROR(IF(ISBLANK(INDEX(Release[Release],MATCH($A349,Release[Requirement ID],0))),"",INDEX(Release[Release],MATCH($A349,Release[Requirement ID],0))),"")</f>
        <v/>
      </c>
      <c r="L349" s="36"/>
      <c r="M349" s="36"/>
      <c r="P349" s="1" t="n">
        <f aca="false">IFERROR(VALUE(MID($A349,5,4)),0)</f>
        <v>0</v>
      </c>
      <c r="Q349" s="1" t="str">
        <f aca="false">IF(B349="","","NEW-"&amp;TEXT(MAX($P$2:$P348,Lists!$N$2)+1,"0000"))</f>
        <v/>
      </c>
    </row>
    <row r="350" customFormat="false" ht="15" hidden="false" customHeight="true" outlineLevel="0" collapsed="false">
      <c r="A350" s="35" t="str">
        <f aca="false">IF(AND(B350="",C350="",D350="",E350="",F350="",G350="",H350="",J350="",L350="",M350="",N350=""),"",Q350)</f>
        <v/>
      </c>
      <c r="B350" s="36"/>
      <c r="C350" s="36"/>
      <c r="D350" s="36"/>
      <c r="E350" s="36"/>
      <c r="F350" s="36"/>
      <c r="G350" s="36"/>
      <c r="H350" s="36"/>
      <c r="I350" s="1" t="str">
        <f aca="false">IF($A350="","",IFERROR(IF(ISBLANK(INDEX(SprintPlanning[Sprint],MATCH($A350,SprintPlanning[Requirement ID],0))),"To Plan",INDEX(SprintPlanning[Sprint],MATCH($A350,SprintPlanning[Requirement ID],0))),"To Plan"))</f>
        <v/>
      </c>
      <c r="J350" s="36"/>
      <c r="K350" s="1" t="str">
        <f aca="false">IFERROR(IF(ISBLANK(INDEX(Release[Release],MATCH($A350,Release[Requirement ID],0))),"",INDEX(Release[Release],MATCH($A350,Release[Requirement ID],0))),"")</f>
        <v/>
      </c>
      <c r="L350" s="36"/>
      <c r="M350" s="36"/>
      <c r="P350" s="1" t="n">
        <f aca="false">IFERROR(VALUE(MID($A350,5,4)),0)</f>
        <v>0</v>
      </c>
      <c r="Q350" s="1" t="str">
        <f aca="false">IF(B350="","","NEW-"&amp;TEXT(MAX($P$2:$P349,Lists!$N$2)+1,"0000"))</f>
        <v/>
      </c>
    </row>
    <row r="351" customFormat="false" ht="15" hidden="false" customHeight="true" outlineLevel="0" collapsed="false">
      <c r="A351" s="35" t="str">
        <f aca="false">IF(AND(B351="",C351="",D351="",E351="",F351="",G351="",H351="",J351="",L351="",M351="",N351=""),"",Q351)</f>
        <v/>
      </c>
      <c r="B351" s="36"/>
      <c r="C351" s="36"/>
      <c r="D351" s="36"/>
      <c r="E351" s="36"/>
      <c r="F351" s="36"/>
      <c r="G351" s="36"/>
      <c r="H351" s="36"/>
      <c r="I351" s="1" t="str">
        <f aca="false">IF($A351="","",IFERROR(IF(ISBLANK(INDEX(SprintPlanning[Sprint],MATCH($A351,SprintPlanning[Requirement ID],0))),"To Plan",INDEX(SprintPlanning[Sprint],MATCH($A351,SprintPlanning[Requirement ID],0))),"To Plan"))</f>
        <v/>
      </c>
      <c r="J351" s="36"/>
      <c r="K351" s="1" t="str">
        <f aca="false">IFERROR(IF(ISBLANK(INDEX(Release[Release],MATCH($A351,Release[Requirement ID],0))),"",INDEX(Release[Release],MATCH($A351,Release[Requirement ID],0))),"")</f>
        <v/>
      </c>
      <c r="L351" s="36"/>
      <c r="M351" s="36"/>
      <c r="P351" s="1" t="n">
        <f aca="false">IFERROR(VALUE(MID($A351,5,4)),0)</f>
        <v>0</v>
      </c>
      <c r="Q351" s="1" t="str">
        <f aca="false">IF(B351="","","NEW-"&amp;TEXT(MAX($P$2:$P350,Lists!$N$2)+1,"0000"))</f>
        <v/>
      </c>
    </row>
    <row r="352" customFormat="false" ht="15" hidden="false" customHeight="true" outlineLevel="0" collapsed="false">
      <c r="A352" s="35" t="str">
        <f aca="false">IF(AND(B352="",C352="",D352="",E352="",F352="",G352="",H352="",J352="",L352="",M352="",N352=""),"",Q352)</f>
        <v/>
      </c>
      <c r="B352" s="36"/>
      <c r="C352" s="36"/>
      <c r="D352" s="36"/>
      <c r="E352" s="36"/>
      <c r="F352" s="36"/>
      <c r="G352" s="36"/>
      <c r="H352" s="36"/>
      <c r="I352" s="1" t="str">
        <f aca="false">IF($A352="","",IFERROR(IF(ISBLANK(INDEX(SprintPlanning[Sprint],MATCH($A352,SprintPlanning[Requirement ID],0))),"To Plan",INDEX(SprintPlanning[Sprint],MATCH($A352,SprintPlanning[Requirement ID],0))),"To Plan"))</f>
        <v/>
      </c>
      <c r="J352" s="36"/>
      <c r="K352" s="1" t="str">
        <f aca="false">IFERROR(IF(ISBLANK(INDEX(Release[Release],MATCH($A352,Release[Requirement ID],0))),"",INDEX(Release[Release],MATCH($A352,Release[Requirement ID],0))),"")</f>
        <v/>
      </c>
      <c r="L352" s="36"/>
      <c r="M352" s="36"/>
      <c r="P352" s="1" t="n">
        <f aca="false">IFERROR(VALUE(MID($A352,5,4)),0)</f>
        <v>0</v>
      </c>
      <c r="Q352" s="1" t="str">
        <f aca="false">IF(B352="","","NEW-"&amp;TEXT(MAX($P$2:$P351,Lists!$N$2)+1,"0000"))</f>
        <v/>
      </c>
    </row>
    <row r="353" customFormat="false" ht="15" hidden="false" customHeight="true" outlineLevel="0" collapsed="false">
      <c r="A353" s="35" t="str">
        <f aca="false">IF(AND(B353="",C353="",D353="",E353="",F353="",G353="",H353="",J353="",L353="",M353="",N353=""),"",Q353)</f>
        <v/>
      </c>
      <c r="B353" s="36"/>
      <c r="C353" s="36"/>
      <c r="D353" s="36"/>
      <c r="E353" s="36"/>
      <c r="F353" s="36"/>
      <c r="G353" s="36"/>
      <c r="H353" s="36"/>
      <c r="I353" s="1" t="str">
        <f aca="false">IF($A353="","",IFERROR(IF(ISBLANK(INDEX(SprintPlanning[Sprint],MATCH($A353,SprintPlanning[Requirement ID],0))),"To Plan",INDEX(SprintPlanning[Sprint],MATCH($A353,SprintPlanning[Requirement ID],0))),"To Plan"))</f>
        <v/>
      </c>
      <c r="J353" s="36"/>
      <c r="K353" s="1" t="str">
        <f aca="false">IFERROR(IF(ISBLANK(INDEX(Release[Release],MATCH($A353,Release[Requirement ID],0))),"",INDEX(Release[Release],MATCH($A353,Release[Requirement ID],0))),"")</f>
        <v/>
      </c>
      <c r="L353" s="36"/>
      <c r="M353" s="36"/>
      <c r="P353" s="1" t="n">
        <f aca="false">IFERROR(VALUE(MID($A353,5,4)),0)</f>
        <v>0</v>
      </c>
      <c r="Q353" s="1" t="str">
        <f aca="false">IF(B353="","","NEW-"&amp;TEXT(MAX($P$2:$P352,Lists!$N$2)+1,"0000"))</f>
        <v/>
      </c>
    </row>
    <row r="354" customFormat="false" ht="15" hidden="false" customHeight="true" outlineLevel="0" collapsed="false">
      <c r="A354" s="35" t="str">
        <f aca="false">IF(AND(B354="",C354="",D354="",E354="",F354="",G354="",H354="",J354="",L354="",M354="",N354=""),"",Q354)</f>
        <v/>
      </c>
      <c r="B354" s="36"/>
      <c r="C354" s="36"/>
      <c r="D354" s="36"/>
      <c r="E354" s="36"/>
      <c r="F354" s="36"/>
      <c r="G354" s="36"/>
      <c r="H354" s="36"/>
      <c r="I354" s="1" t="str">
        <f aca="false">IF($A354="","",IFERROR(IF(ISBLANK(INDEX(SprintPlanning[Sprint],MATCH($A354,SprintPlanning[Requirement ID],0))),"To Plan",INDEX(SprintPlanning[Sprint],MATCH($A354,SprintPlanning[Requirement ID],0))),"To Plan"))</f>
        <v/>
      </c>
      <c r="J354" s="36"/>
      <c r="K354" s="1" t="str">
        <f aca="false">IFERROR(IF(ISBLANK(INDEX(Release[Release],MATCH($A354,Release[Requirement ID],0))),"",INDEX(Release[Release],MATCH($A354,Release[Requirement ID],0))),"")</f>
        <v/>
      </c>
      <c r="L354" s="36"/>
      <c r="M354" s="36"/>
      <c r="P354" s="1" t="n">
        <f aca="false">IFERROR(VALUE(MID($A354,5,4)),0)</f>
        <v>0</v>
      </c>
      <c r="Q354" s="1" t="str">
        <f aca="false">IF(B354="","","NEW-"&amp;TEXT(MAX($P$2:$P353,Lists!$N$2)+1,"0000"))</f>
        <v/>
      </c>
    </row>
    <row r="355" customFormat="false" ht="15" hidden="false" customHeight="true" outlineLevel="0" collapsed="false">
      <c r="A355" s="35" t="str">
        <f aca="false">IF(AND(B355="",C355="",D355="",E355="",F355="",G355="",H355="",J355="",L355="",M355="",N355=""),"",Q355)</f>
        <v/>
      </c>
      <c r="B355" s="36"/>
      <c r="C355" s="36"/>
      <c r="D355" s="36"/>
      <c r="E355" s="36"/>
      <c r="F355" s="36"/>
      <c r="G355" s="36"/>
      <c r="H355" s="36"/>
      <c r="I355" s="1" t="str">
        <f aca="false">IF($A355="","",IFERROR(IF(ISBLANK(INDEX(SprintPlanning[Sprint],MATCH($A355,SprintPlanning[Requirement ID],0))),"To Plan",INDEX(SprintPlanning[Sprint],MATCH($A355,SprintPlanning[Requirement ID],0))),"To Plan"))</f>
        <v/>
      </c>
      <c r="J355" s="36"/>
      <c r="K355" s="1" t="str">
        <f aca="false">IFERROR(IF(ISBLANK(INDEX(Release[Release],MATCH($A355,Release[Requirement ID],0))),"",INDEX(Release[Release],MATCH($A355,Release[Requirement ID],0))),"")</f>
        <v/>
      </c>
      <c r="L355" s="36"/>
      <c r="M355" s="36"/>
      <c r="P355" s="1" t="n">
        <f aca="false">IFERROR(VALUE(MID($A355,5,4)),0)</f>
        <v>0</v>
      </c>
      <c r="Q355" s="1" t="str">
        <f aca="false">IF(B355="","","NEW-"&amp;TEXT(MAX($P$2:$P354,Lists!$N$2)+1,"0000"))</f>
        <v/>
      </c>
    </row>
    <row r="356" customFormat="false" ht="15" hidden="false" customHeight="true" outlineLevel="0" collapsed="false">
      <c r="A356" s="35" t="str">
        <f aca="false">IF(AND(B356="",C356="",D356="",E356="",F356="",G356="",H356="",J356="",L356="",M356="",N356=""),"",Q356)</f>
        <v/>
      </c>
      <c r="B356" s="36"/>
      <c r="C356" s="36"/>
      <c r="D356" s="36"/>
      <c r="E356" s="36"/>
      <c r="F356" s="36"/>
      <c r="G356" s="36"/>
      <c r="H356" s="36"/>
      <c r="I356" s="1" t="str">
        <f aca="false">IF($A356="","",IFERROR(IF(ISBLANK(INDEX(SprintPlanning[Sprint],MATCH($A356,SprintPlanning[Requirement ID],0))),"To Plan",INDEX(SprintPlanning[Sprint],MATCH($A356,SprintPlanning[Requirement ID],0))),"To Plan"))</f>
        <v/>
      </c>
      <c r="J356" s="36"/>
      <c r="K356" s="1" t="str">
        <f aca="false">IFERROR(IF(ISBLANK(INDEX(Release[Release],MATCH($A356,Release[Requirement ID],0))),"",INDEX(Release[Release],MATCH($A356,Release[Requirement ID],0))),"")</f>
        <v/>
      </c>
      <c r="L356" s="36"/>
      <c r="M356" s="36"/>
      <c r="P356" s="1" t="n">
        <f aca="false">IFERROR(VALUE(MID($A356,5,4)),0)</f>
        <v>0</v>
      </c>
      <c r="Q356" s="1" t="str">
        <f aca="false">IF(B356="","","NEW-"&amp;TEXT(MAX($P$2:$P355,Lists!$N$2)+1,"0000"))</f>
        <v/>
      </c>
    </row>
    <row r="357" customFormat="false" ht="15" hidden="false" customHeight="true" outlineLevel="0" collapsed="false">
      <c r="A357" s="35" t="str">
        <f aca="false">IF(AND(B357="",C357="",D357="",E357="",F357="",G357="",H357="",J357="",L357="",M357="",N357=""),"",Q357)</f>
        <v/>
      </c>
      <c r="B357" s="36"/>
      <c r="C357" s="36"/>
      <c r="D357" s="36"/>
      <c r="E357" s="36"/>
      <c r="F357" s="36"/>
      <c r="G357" s="36"/>
      <c r="H357" s="36"/>
      <c r="I357" s="1" t="str">
        <f aca="false">IF($A357="","",IFERROR(IF(ISBLANK(INDEX(SprintPlanning[Sprint],MATCH($A357,SprintPlanning[Requirement ID],0))),"To Plan",INDEX(SprintPlanning[Sprint],MATCH($A357,SprintPlanning[Requirement ID],0))),"To Plan"))</f>
        <v/>
      </c>
      <c r="J357" s="36"/>
      <c r="K357" s="1" t="str">
        <f aca="false">IFERROR(IF(ISBLANK(INDEX(Release[Release],MATCH($A357,Release[Requirement ID],0))),"",INDEX(Release[Release],MATCH($A357,Release[Requirement ID],0))),"")</f>
        <v/>
      </c>
      <c r="L357" s="36"/>
      <c r="M357" s="36"/>
      <c r="P357" s="1" t="n">
        <f aca="false">IFERROR(VALUE(MID($A357,5,4)),0)</f>
        <v>0</v>
      </c>
      <c r="Q357" s="1" t="str">
        <f aca="false">IF(B357="","","NEW-"&amp;TEXT(MAX($P$2:$P356,Lists!$N$2)+1,"0000"))</f>
        <v/>
      </c>
    </row>
    <row r="358" customFormat="false" ht="15" hidden="false" customHeight="true" outlineLevel="0" collapsed="false">
      <c r="A358" s="35" t="str">
        <f aca="false">IF(AND(B358="",C358="",D358="",E358="",F358="",G358="",H358="",J358="",L358="",M358="",N358=""),"",Q358)</f>
        <v/>
      </c>
      <c r="B358" s="36"/>
      <c r="C358" s="36"/>
      <c r="D358" s="36"/>
      <c r="E358" s="36"/>
      <c r="F358" s="36"/>
      <c r="G358" s="36"/>
      <c r="H358" s="36"/>
      <c r="I358" s="1" t="str">
        <f aca="false">IF($A358="","",IFERROR(IF(ISBLANK(INDEX(SprintPlanning[Sprint],MATCH($A358,SprintPlanning[Requirement ID],0))),"To Plan",INDEX(SprintPlanning[Sprint],MATCH($A358,SprintPlanning[Requirement ID],0))),"To Plan"))</f>
        <v/>
      </c>
      <c r="J358" s="36"/>
      <c r="K358" s="1" t="str">
        <f aca="false">IFERROR(IF(ISBLANK(INDEX(Release[Release],MATCH($A358,Release[Requirement ID],0))),"",INDEX(Release[Release],MATCH($A358,Release[Requirement ID],0))),"")</f>
        <v/>
      </c>
      <c r="L358" s="36"/>
      <c r="M358" s="36"/>
      <c r="P358" s="1" t="n">
        <f aca="false">IFERROR(VALUE(MID($A358,5,4)),0)</f>
        <v>0</v>
      </c>
      <c r="Q358" s="1" t="str">
        <f aca="false">IF(B358="","","NEW-"&amp;TEXT(MAX($P$2:$P357,Lists!$N$2)+1,"0000"))</f>
        <v/>
      </c>
    </row>
    <row r="359" customFormat="false" ht="15" hidden="false" customHeight="true" outlineLevel="0" collapsed="false">
      <c r="A359" s="35" t="str">
        <f aca="false">IF(AND(B359="",C359="",D359="",E359="",F359="",G359="",H359="",J359="",L359="",M359="",N359=""),"",Q359)</f>
        <v/>
      </c>
      <c r="B359" s="36"/>
      <c r="C359" s="36"/>
      <c r="D359" s="36"/>
      <c r="E359" s="36"/>
      <c r="F359" s="36"/>
      <c r="G359" s="36"/>
      <c r="H359" s="36"/>
      <c r="I359" s="1" t="str">
        <f aca="false">IF($A359="","",IFERROR(IF(ISBLANK(INDEX(SprintPlanning[Sprint],MATCH($A359,SprintPlanning[Requirement ID],0))),"To Plan",INDEX(SprintPlanning[Sprint],MATCH($A359,SprintPlanning[Requirement ID],0))),"To Plan"))</f>
        <v/>
      </c>
      <c r="J359" s="36"/>
      <c r="K359" s="1" t="str">
        <f aca="false">IFERROR(IF(ISBLANK(INDEX(Release[Release],MATCH($A359,Release[Requirement ID],0))),"",INDEX(Release[Release],MATCH($A359,Release[Requirement ID],0))),"")</f>
        <v/>
      </c>
      <c r="L359" s="36"/>
      <c r="M359" s="36"/>
      <c r="P359" s="1" t="n">
        <f aca="false">IFERROR(VALUE(MID($A359,5,4)),0)</f>
        <v>0</v>
      </c>
      <c r="Q359" s="1" t="str">
        <f aca="false">IF(B359="","","NEW-"&amp;TEXT(MAX($P$2:$P358,Lists!$N$2)+1,"0000"))</f>
        <v/>
      </c>
    </row>
    <row r="360" customFormat="false" ht="15" hidden="false" customHeight="true" outlineLevel="0" collapsed="false">
      <c r="A360" s="35" t="str">
        <f aca="false">IF(AND(B360="",C360="",D360="",E360="",F360="",G360="",H360="",J360="",L360="",M360="",N360=""),"",Q360)</f>
        <v/>
      </c>
      <c r="B360" s="36"/>
      <c r="C360" s="36"/>
      <c r="D360" s="36"/>
      <c r="E360" s="36"/>
      <c r="F360" s="36"/>
      <c r="G360" s="36"/>
      <c r="H360" s="36"/>
      <c r="I360" s="1" t="str">
        <f aca="false">IF($A360="","",IFERROR(IF(ISBLANK(INDEX(SprintPlanning[Sprint],MATCH($A360,SprintPlanning[Requirement ID],0))),"To Plan",INDEX(SprintPlanning[Sprint],MATCH($A360,SprintPlanning[Requirement ID],0))),"To Plan"))</f>
        <v/>
      </c>
      <c r="J360" s="36"/>
      <c r="K360" s="1" t="str">
        <f aca="false">IFERROR(IF(ISBLANK(INDEX(Release[Release],MATCH($A360,Release[Requirement ID],0))),"",INDEX(Release[Release],MATCH($A360,Release[Requirement ID],0))),"")</f>
        <v/>
      </c>
      <c r="L360" s="36"/>
      <c r="M360" s="36"/>
      <c r="P360" s="1" t="n">
        <f aca="false">IFERROR(VALUE(MID($A360,5,4)),0)</f>
        <v>0</v>
      </c>
      <c r="Q360" s="1" t="str">
        <f aca="false">IF(B360="","","NEW-"&amp;TEXT(MAX($P$2:$P359,Lists!$N$2)+1,"0000"))</f>
        <v/>
      </c>
    </row>
    <row r="361" customFormat="false" ht="15" hidden="false" customHeight="true" outlineLevel="0" collapsed="false">
      <c r="A361" s="35" t="str">
        <f aca="false">IF(AND(B361="",C361="",D361="",E361="",F361="",G361="",H361="",J361="",L361="",M361="",N361=""),"",Q361)</f>
        <v/>
      </c>
      <c r="B361" s="36"/>
      <c r="C361" s="36"/>
      <c r="D361" s="36"/>
      <c r="E361" s="36"/>
      <c r="F361" s="36"/>
      <c r="G361" s="36"/>
      <c r="H361" s="36"/>
      <c r="I361" s="1" t="str">
        <f aca="false">IF($A361="","",IFERROR(IF(ISBLANK(INDEX(SprintPlanning[Sprint],MATCH($A361,SprintPlanning[Requirement ID],0))),"To Plan",INDEX(SprintPlanning[Sprint],MATCH($A361,SprintPlanning[Requirement ID],0))),"To Plan"))</f>
        <v/>
      </c>
      <c r="J361" s="36"/>
      <c r="K361" s="1" t="str">
        <f aca="false">IFERROR(IF(ISBLANK(INDEX(Release[Release],MATCH($A361,Release[Requirement ID],0))),"",INDEX(Release[Release],MATCH($A361,Release[Requirement ID],0))),"")</f>
        <v/>
      </c>
      <c r="L361" s="36"/>
      <c r="M361" s="36"/>
      <c r="P361" s="1" t="n">
        <f aca="false">IFERROR(VALUE(MID($A361,5,4)),0)</f>
        <v>0</v>
      </c>
      <c r="Q361" s="1" t="str">
        <f aca="false">IF(B361="","","NEW-"&amp;TEXT(MAX($P$2:$P360,Lists!$N$2)+1,"0000"))</f>
        <v/>
      </c>
    </row>
    <row r="362" customFormat="false" ht="15" hidden="false" customHeight="true" outlineLevel="0" collapsed="false">
      <c r="A362" s="35" t="str">
        <f aca="false">IF(AND(B362="",C362="",D362="",E362="",F362="",G362="",H362="",J362="",L362="",M362="",N362=""),"",Q362)</f>
        <v/>
      </c>
      <c r="B362" s="36"/>
      <c r="C362" s="36"/>
      <c r="D362" s="36"/>
      <c r="E362" s="36"/>
      <c r="F362" s="36"/>
      <c r="G362" s="36"/>
      <c r="H362" s="36"/>
      <c r="I362" s="1" t="str">
        <f aca="false">IF($A362="","",IFERROR(IF(ISBLANK(INDEX(SprintPlanning[Sprint],MATCH($A362,SprintPlanning[Requirement ID],0))),"To Plan",INDEX(SprintPlanning[Sprint],MATCH($A362,SprintPlanning[Requirement ID],0))),"To Plan"))</f>
        <v/>
      </c>
      <c r="J362" s="36"/>
      <c r="K362" s="1" t="str">
        <f aca="false">IFERROR(IF(ISBLANK(INDEX(Release[Release],MATCH($A362,Release[Requirement ID],0))),"",INDEX(Release[Release],MATCH($A362,Release[Requirement ID],0))),"")</f>
        <v/>
      </c>
      <c r="L362" s="36"/>
      <c r="M362" s="36"/>
      <c r="P362" s="1" t="n">
        <f aca="false">IFERROR(VALUE(MID($A362,5,4)),0)</f>
        <v>0</v>
      </c>
      <c r="Q362" s="1" t="str">
        <f aca="false">IF(B362="","","NEW-"&amp;TEXT(MAX($P$2:$P361,Lists!$N$2)+1,"0000"))</f>
        <v/>
      </c>
    </row>
    <row r="363" customFormat="false" ht="15" hidden="false" customHeight="true" outlineLevel="0" collapsed="false">
      <c r="A363" s="35" t="str">
        <f aca="false">IF(AND(B363="",C363="",D363="",E363="",F363="",G363="",H363="",J363="",L363="",M363="",N363=""),"",Q363)</f>
        <v/>
      </c>
      <c r="B363" s="36"/>
      <c r="C363" s="36"/>
      <c r="D363" s="36"/>
      <c r="E363" s="36"/>
      <c r="F363" s="36"/>
      <c r="G363" s="36"/>
      <c r="H363" s="36"/>
      <c r="I363" s="1" t="str">
        <f aca="false">IF($A363="","",IFERROR(IF(ISBLANK(INDEX(SprintPlanning[Sprint],MATCH($A363,SprintPlanning[Requirement ID],0))),"To Plan",INDEX(SprintPlanning[Sprint],MATCH($A363,SprintPlanning[Requirement ID],0))),"To Plan"))</f>
        <v/>
      </c>
      <c r="J363" s="36"/>
      <c r="K363" s="1" t="str">
        <f aca="false">IFERROR(IF(ISBLANK(INDEX(Release[Release],MATCH($A363,Release[Requirement ID],0))),"",INDEX(Release[Release],MATCH($A363,Release[Requirement ID],0))),"")</f>
        <v/>
      </c>
      <c r="L363" s="36"/>
      <c r="M363" s="36"/>
      <c r="P363" s="1" t="n">
        <f aca="false">IFERROR(VALUE(MID($A363,5,4)),0)</f>
        <v>0</v>
      </c>
      <c r="Q363" s="1" t="str">
        <f aca="false">IF(B363="","","NEW-"&amp;TEXT(MAX($P$2:$P362,Lists!$N$2)+1,"0000"))</f>
        <v/>
      </c>
    </row>
    <row r="364" customFormat="false" ht="15" hidden="false" customHeight="true" outlineLevel="0" collapsed="false">
      <c r="A364" s="35" t="str">
        <f aca="false">IF(AND(B364="",C364="",D364="",E364="",F364="",G364="",H364="",J364="",L364="",M364="",N364=""),"",Q364)</f>
        <v/>
      </c>
      <c r="B364" s="36"/>
      <c r="C364" s="36"/>
      <c r="D364" s="36"/>
      <c r="E364" s="36"/>
      <c r="F364" s="36"/>
      <c r="G364" s="36"/>
      <c r="H364" s="36"/>
      <c r="I364" s="1" t="str">
        <f aca="false">IF($A364="","",IFERROR(IF(ISBLANK(INDEX(SprintPlanning[Sprint],MATCH($A364,SprintPlanning[Requirement ID],0))),"To Plan",INDEX(SprintPlanning[Sprint],MATCH($A364,SprintPlanning[Requirement ID],0))),"To Plan"))</f>
        <v/>
      </c>
      <c r="J364" s="36"/>
      <c r="K364" s="1" t="str">
        <f aca="false">IFERROR(IF(ISBLANK(INDEX(Release[Release],MATCH($A364,Release[Requirement ID],0))),"",INDEX(Release[Release],MATCH($A364,Release[Requirement ID],0))),"")</f>
        <v/>
      </c>
      <c r="L364" s="36"/>
      <c r="M364" s="36"/>
      <c r="P364" s="1" t="n">
        <f aca="false">IFERROR(VALUE(MID($A364,5,4)),0)</f>
        <v>0</v>
      </c>
      <c r="Q364" s="1" t="str">
        <f aca="false">IF(B364="","","NEW-"&amp;TEXT(MAX($P$2:$P363,Lists!$N$2)+1,"0000"))</f>
        <v/>
      </c>
    </row>
    <row r="365" customFormat="false" ht="15" hidden="false" customHeight="true" outlineLevel="0" collapsed="false">
      <c r="A365" s="35" t="str">
        <f aca="false">IF(AND(B365="",C365="",D365="",E365="",F365="",G365="",H365="",J365="",L365="",M365="",N365=""),"",Q365)</f>
        <v/>
      </c>
      <c r="B365" s="36"/>
      <c r="C365" s="36"/>
      <c r="D365" s="36"/>
      <c r="E365" s="36"/>
      <c r="F365" s="36"/>
      <c r="G365" s="36"/>
      <c r="H365" s="36"/>
      <c r="I365" s="1" t="str">
        <f aca="false">IF($A365="","",IFERROR(IF(ISBLANK(INDEX(SprintPlanning[Sprint],MATCH($A365,SprintPlanning[Requirement ID],0))),"To Plan",INDEX(SprintPlanning[Sprint],MATCH($A365,SprintPlanning[Requirement ID],0))),"To Plan"))</f>
        <v/>
      </c>
      <c r="J365" s="36"/>
      <c r="K365" s="1" t="str">
        <f aca="false">IFERROR(IF(ISBLANK(INDEX(Release[Release],MATCH($A365,Release[Requirement ID],0))),"",INDEX(Release[Release],MATCH($A365,Release[Requirement ID],0))),"")</f>
        <v/>
      </c>
      <c r="L365" s="36"/>
      <c r="M365" s="36"/>
      <c r="P365" s="1" t="n">
        <f aca="false">IFERROR(VALUE(MID($A365,5,4)),0)</f>
        <v>0</v>
      </c>
      <c r="Q365" s="1" t="str">
        <f aca="false">IF(B365="","","NEW-"&amp;TEXT(MAX($P$2:$P364,Lists!$N$2)+1,"0000"))</f>
        <v/>
      </c>
    </row>
    <row r="366" customFormat="false" ht="15" hidden="false" customHeight="true" outlineLevel="0" collapsed="false">
      <c r="A366" s="35" t="str">
        <f aca="false">IF(AND(B366="",C366="",D366="",E366="",F366="",G366="",H366="",J366="",L366="",M366="",N366=""),"",Q366)</f>
        <v/>
      </c>
      <c r="B366" s="36"/>
      <c r="C366" s="36"/>
      <c r="D366" s="36"/>
      <c r="E366" s="36"/>
      <c r="F366" s="36"/>
      <c r="G366" s="36"/>
      <c r="H366" s="36"/>
      <c r="I366" s="1" t="str">
        <f aca="false">IF($A366="","",IFERROR(IF(ISBLANK(INDEX(SprintPlanning[Sprint],MATCH($A366,SprintPlanning[Requirement ID],0))),"To Plan",INDEX(SprintPlanning[Sprint],MATCH($A366,SprintPlanning[Requirement ID],0))),"To Plan"))</f>
        <v/>
      </c>
      <c r="J366" s="36"/>
      <c r="K366" s="1" t="str">
        <f aca="false">IFERROR(IF(ISBLANK(INDEX(Release[Release],MATCH($A366,Release[Requirement ID],0))),"",INDEX(Release[Release],MATCH($A366,Release[Requirement ID],0))),"")</f>
        <v/>
      </c>
      <c r="L366" s="36"/>
      <c r="M366" s="36"/>
      <c r="P366" s="1" t="n">
        <f aca="false">IFERROR(VALUE(MID($A366,5,4)),0)</f>
        <v>0</v>
      </c>
      <c r="Q366" s="1" t="str">
        <f aca="false">IF(B366="","","NEW-"&amp;TEXT(MAX($P$2:$P365,Lists!$N$2)+1,"0000"))</f>
        <v/>
      </c>
    </row>
    <row r="367" customFormat="false" ht="15" hidden="false" customHeight="true" outlineLevel="0" collapsed="false">
      <c r="A367" s="35" t="str">
        <f aca="false">IF(AND(B367="",C367="",D367="",E367="",F367="",G367="",H367="",J367="",L367="",M367="",N367=""),"",Q367)</f>
        <v/>
      </c>
      <c r="B367" s="36"/>
      <c r="C367" s="36"/>
      <c r="D367" s="36"/>
      <c r="E367" s="36"/>
      <c r="F367" s="36"/>
      <c r="G367" s="36"/>
      <c r="H367" s="36"/>
      <c r="I367" s="1" t="str">
        <f aca="false">IF($A367="","",IFERROR(IF(ISBLANK(INDEX(SprintPlanning[Sprint],MATCH($A367,SprintPlanning[Requirement ID],0))),"To Plan",INDEX(SprintPlanning[Sprint],MATCH($A367,SprintPlanning[Requirement ID],0))),"To Plan"))</f>
        <v/>
      </c>
      <c r="J367" s="36"/>
      <c r="K367" s="1" t="str">
        <f aca="false">IFERROR(IF(ISBLANK(INDEX(Release[Release],MATCH($A367,Release[Requirement ID],0))),"",INDEX(Release[Release],MATCH($A367,Release[Requirement ID],0))),"")</f>
        <v/>
      </c>
      <c r="L367" s="36"/>
      <c r="M367" s="36"/>
      <c r="P367" s="1" t="n">
        <f aca="false">IFERROR(VALUE(MID($A367,5,4)),0)</f>
        <v>0</v>
      </c>
      <c r="Q367" s="1" t="str">
        <f aca="false">IF(B367="","","NEW-"&amp;TEXT(MAX($P$2:$P366,Lists!$N$2)+1,"0000"))</f>
        <v/>
      </c>
    </row>
    <row r="368" customFormat="false" ht="15" hidden="false" customHeight="true" outlineLevel="0" collapsed="false">
      <c r="A368" s="35" t="str">
        <f aca="false">IF(AND(B368="",C368="",D368="",E368="",F368="",G368="",H368="",J368="",L368="",M368="",N368=""),"",Q368)</f>
        <v/>
      </c>
      <c r="B368" s="36"/>
      <c r="C368" s="36"/>
      <c r="D368" s="36"/>
      <c r="E368" s="36"/>
      <c r="F368" s="36"/>
      <c r="G368" s="36"/>
      <c r="H368" s="36"/>
      <c r="I368" s="1" t="str">
        <f aca="false">IF($A368="","",IFERROR(IF(ISBLANK(INDEX(SprintPlanning[Sprint],MATCH($A368,SprintPlanning[Requirement ID],0))),"To Plan",INDEX(SprintPlanning[Sprint],MATCH($A368,SprintPlanning[Requirement ID],0))),"To Plan"))</f>
        <v/>
      </c>
      <c r="J368" s="36"/>
      <c r="K368" s="1" t="str">
        <f aca="false">IFERROR(IF(ISBLANK(INDEX(Release[Release],MATCH($A368,Release[Requirement ID],0))),"",INDEX(Release[Release],MATCH($A368,Release[Requirement ID],0))),"")</f>
        <v/>
      </c>
      <c r="L368" s="36"/>
      <c r="M368" s="36"/>
      <c r="P368" s="1" t="n">
        <f aca="false">IFERROR(VALUE(MID($A368,5,4)),0)</f>
        <v>0</v>
      </c>
      <c r="Q368" s="1" t="str">
        <f aca="false">IF(B368="","","NEW-"&amp;TEXT(MAX($P$2:$P367,Lists!$N$2)+1,"0000"))</f>
        <v/>
      </c>
    </row>
    <row r="369" customFormat="false" ht="15" hidden="false" customHeight="true" outlineLevel="0" collapsed="false">
      <c r="A369" s="35" t="str">
        <f aca="false">IF(AND(B369="",C369="",D369="",E369="",F369="",G369="",H369="",J369="",L369="",M369="",N369=""),"",Q369)</f>
        <v/>
      </c>
      <c r="B369" s="36"/>
      <c r="C369" s="36"/>
      <c r="D369" s="36"/>
      <c r="E369" s="36"/>
      <c r="F369" s="36"/>
      <c r="G369" s="36"/>
      <c r="H369" s="36"/>
      <c r="I369" s="1" t="str">
        <f aca="false">IF($A369="","",IFERROR(IF(ISBLANK(INDEX(SprintPlanning[Sprint],MATCH($A369,SprintPlanning[Requirement ID],0))),"To Plan",INDEX(SprintPlanning[Sprint],MATCH($A369,SprintPlanning[Requirement ID],0))),"To Plan"))</f>
        <v/>
      </c>
      <c r="J369" s="36"/>
      <c r="K369" s="1" t="str">
        <f aca="false">IFERROR(IF(ISBLANK(INDEX(Release[Release],MATCH($A369,Release[Requirement ID],0))),"",INDEX(Release[Release],MATCH($A369,Release[Requirement ID],0))),"")</f>
        <v/>
      </c>
      <c r="L369" s="36"/>
      <c r="M369" s="36"/>
      <c r="P369" s="1" t="n">
        <f aca="false">IFERROR(VALUE(MID($A369,5,4)),0)</f>
        <v>0</v>
      </c>
      <c r="Q369" s="1" t="str">
        <f aca="false">IF(B369="","","NEW-"&amp;TEXT(MAX($P$2:$P368,Lists!$N$2)+1,"0000"))</f>
        <v/>
      </c>
    </row>
    <row r="370" customFormat="false" ht="15" hidden="false" customHeight="true" outlineLevel="0" collapsed="false">
      <c r="A370" s="35" t="str">
        <f aca="false">IF(AND(B370="",C370="",D370="",E370="",F370="",G370="",H370="",J370="",L370="",M370="",N370=""),"",Q370)</f>
        <v/>
      </c>
      <c r="B370" s="36"/>
      <c r="C370" s="36"/>
      <c r="D370" s="36"/>
      <c r="E370" s="36"/>
      <c r="F370" s="36"/>
      <c r="G370" s="36"/>
      <c r="H370" s="36"/>
      <c r="I370" s="1" t="str">
        <f aca="false">IF($A370="","",IFERROR(IF(ISBLANK(INDEX(SprintPlanning[Sprint],MATCH($A370,SprintPlanning[Requirement ID],0))),"To Plan",INDEX(SprintPlanning[Sprint],MATCH($A370,SprintPlanning[Requirement ID],0))),"To Plan"))</f>
        <v/>
      </c>
      <c r="J370" s="36"/>
      <c r="K370" s="1" t="str">
        <f aca="false">IFERROR(IF(ISBLANK(INDEX(Release[Release],MATCH($A370,Release[Requirement ID],0))),"",INDEX(Release[Release],MATCH($A370,Release[Requirement ID],0))),"")</f>
        <v/>
      </c>
      <c r="L370" s="36"/>
      <c r="M370" s="36"/>
      <c r="P370" s="1" t="n">
        <f aca="false">IFERROR(VALUE(MID($A370,5,4)),0)</f>
        <v>0</v>
      </c>
      <c r="Q370" s="1" t="str">
        <f aca="false">IF(B370="","","NEW-"&amp;TEXT(MAX($P$2:$P369,Lists!$N$2)+1,"0000"))</f>
        <v/>
      </c>
    </row>
    <row r="371" customFormat="false" ht="15" hidden="false" customHeight="true" outlineLevel="0" collapsed="false">
      <c r="A371" s="35" t="str">
        <f aca="false">IF(AND(B371="",C371="",D371="",E371="",F371="",G371="",H371="",J371="",L371="",M371="",N371=""),"",Q371)</f>
        <v/>
      </c>
      <c r="B371" s="36"/>
      <c r="C371" s="36"/>
      <c r="D371" s="36"/>
      <c r="E371" s="36"/>
      <c r="F371" s="36"/>
      <c r="G371" s="36"/>
      <c r="H371" s="36"/>
      <c r="I371" s="1" t="str">
        <f aca="false">IF($A371="","",IFERROR(IF(ISBLANK(INDEX(SprintPlanning[Sprint],MATCH($A371,SprintPlanning[Requirement ID],0))),"To Plan",INDEX(SprintPlanning[Sprint],MATCH($A371,SprintPlanning[Requirement ID],0))),"To Plan"))</f>
        <v/>
      </c>
      <c r="J371" s="36"/>
      <c r="K371" s="1" t="str">
        <f aca="false">IFERROR(IF(ISBLANK(INDEX(Release[Release],MATCH($A371,Release[Requirement ID],0))),"",INDEX(Release[Release],MATCH($A371,Release[Requirement ID],0))),"")</f>
        <v/>
      </c>
      <c r="L371" s="36"/>
      <c r="M371" s="36"/>
      <c r="P371" s="1" t="n">
        <f aca="false">IFERROR(VALUE(MID($A371,5,4)),0)</f>
        <v>0</v>
      </c>
      <c r="Q371" s="1" t="str">
        <f aca="false">IF(B371="","","NEW-"&amp;TEXT(MAX($P$2:$P370,Lists!$N$2)+1,"0000"))</f>
        <v/>
      </c>
    </row>
    <row r="372" customFormat="false" ht="15" hidden="false" customHeight="true" outlineLevel="0" collapsed="false">
      <c r="A372" s="35" t="str">
        <f aca="false">IF(AND(B372="",C372="",D372="",E372="",F372="",G372="",H372="",J372="",L372="",M372="",N372=""),"",Q372)</f>
        <v/>
      </c>
      <c r="B372" s="36"/>
      <c r="C372" s="36"/>
      <c r="D372" s="36"/>
      <c r="E372" s="36"/>
      <c r="F372" s="36"/>
      <c r="G372" s="36"/>
      <c r="H372" s="36"/>
      <c r="I372" s="1" t="str">
        <f aca="false">IF($A372="","",IFERROR(IF(ISBLANK(INDEX(SprintPlanning[Sprint],MATCH($A372,SprintPlanning[Requirement ID],0))),"To Plan",INDEX(SprintPlanning[Sprint],MATCH($A372,SprintPlanning[Requirement ID],0))),"To Plan"))</f>
        <v/>
      </c>
      <c r="J372" s="36"/>
      <c r="K372" s="1" t="str">
        <f aca="false">IFERROR(IF(ISBLANK(INDEX(Release[Release],MATCH($A372,Release[Requirement ID],0))),"",INDEX(Release[Release],MATCH($A372,Release[Requirement ID],0))),"")</f>
        <v/>
      </c>
      <c r="L372" s="36"/>
      <c r="M372" s="36"/>
      <c r="P372" s="1" t="n">
        <f aca="false">IFERROR(VALUE(MID($A372,5,4)),0)</f>
        <v>0</v>
      </c>
      <c r="Q372" s="1" t="str">
        <f aca="false">IF(B372="","","NEW-"&amp;TEXT(MAX($P$2:$P371,Lists!$N$2)+1,"0000"))</f>
        <v/>
      </c>
    </row>
    <row r="373" customFormat="false" ht="15" hidden="false" customHeight="true" outlineLevel="0" collapsed="false">
      <c r="A373" s="35" t="str">
        <f aca="false">IF(AND(B373="",C373="",D373="",E373="",F373="",G373="",H373="",J373="",L373="",M373="",N373=""),"",Q373)</f>
        <v/>
      </c>
      <c r="B373" s="36"/>
      <c r="C373" s="36"/>
      <c r="D373" s="36"/>
      <c r="E373" s="36"/>
      <c r="F373" s="36"/>
      <c r="G373" s="36"/>
      <c r="H373" s="36"/>
      <c r="I373" s="1" t="str">
        <f aca="false">IF($A373="","",IFERROR(IF(ISBLANK(INDEX(SprintPlanning[Sprint],MATCH($A373,SprintPlanning[Requirement ID],0))),"To Plan",INDEX(SprintPlanning[Sprint],MATCH($A373,SprintPlanning[Requirement ID],0))),"To Plan"))</f>
        <v/>
      </c>
      <c r="J373" s="36"/>
      <c r="K373" s="1" t="str">
        <f aca="false">IFERROR(IF(ISBLANK(INDEX(Release[Release],MATCH($A373,Release[Requirement ID],0))),"",INDEX(Release[Release],MATCH($A373,Release[Requirement ID],0))),"")</f>
        <v/>
      </c>
      <c r="L373" s="36"/>
      <c r="M373" s="36"/>
      <c r="P373" s="1" t="n">
        <f aca="false">IFERROR(VALUE(MID($A373,5,4)),0)</f>
        <v>0</v>
      </c>
      <c r="Q373" s="1" t="str">
        <f aca="false">IF(B373="","","NEW-"&amp;TEXT(MAX($P$2:$P372,Lists!$N$2)+1,"0000"))</f>
        <v/>
      </c>
    </row>
    <row r="374" customFormat="false" ht="15" hidden="false" customHeight="true" outlineLevel="0" collapsed="false">
      <c r="A374" s="35" t="str">
        <f aca="false">IF(AND(B374="",C374="",D374="",E374="",F374="",G374="",H374="",J374="",L374="",M374="",N374=""),"",Q374)</f>
        <v/>
      </c>
      <c r="B374" s="36"/>
      <c r="C374" s="36"/>
      <c r="D374" s="36"/>
      <c r="E374" s="36"/>
      <c r="F374" s="36"/>
      <c r="G374" s="36"/>
      <c r="H374" s="36"/>
      <c r="I374" s="1" t="str">
        <f aca="false">IF($A374="","",IFERROR(IF(ISBLANK(INDEX(SprintPlanning[Sprint],MATCH($A374,SprintPlanning[Requirement ID],0))),"To Plan",INDEX(SprintPlanning[Sprint],MATCH($A374,SprintPlanning[Requirement ID],0))),"To Plan"))</f>
        <v/>
      </c>
      <c r="J374" s="36"/>
      <c r="K374" s="1" t="str">
        <f aca="false">IFERROR(IF(ISBLANK(INDEX(Release[Release],MATCH($A374,Release[Requirement ID],0))),"",INDEX(Release[Release],MATCH($A374,Release[Requirement ID],0))),"")</f>
        <v/>
      </c>
      <c r="L374" s="36"/>
      <c r="M374" s="36"/>
      <c r="P374" s="1" t="n">
        <f aca="false">IFERROR(VALUE(MID($A374,5,4)),0)</f>
        <v>0</v>
      </c>
      <c r="Q374" s="1" t="str">
        <f aca="false">IF(B374="","","NEW-"&amp;TEXT(MAX($P$2:$P373,Lists!$N$2)+1,"0000"))</f>
        <v/>
      </c>
    </row>
    <row r="375" customFormat="false" ht="15" hidden="false" customHeight="true" outlineLevel="0" collapsed="false">
      <c r="A375" s="35" t="str">
        <f aca="false">IF(AND(B375="",C375="",D375="",E375="",F375="",G375="",H375="",J375="",L375="",M375="",N375=""),"",Q375)</f>
        <v/>
      </c>
      <c r="B375" s="36"/>
      <c r="C375" s="36"/>
      <c r="D375" s="36"/>
      <c r="E375" s="36"/>
      <c r="F375" s="36"/>
      <c r="G375" s="36"/>
      <c r="H375" s="36"/>
      <c r="I375" s="1" t="str">
        <f aca="false">IF($A375="","",IFERROR(IF(ISBLANK(INDEX(SprintPlanning[Sprint],MATCH($A375,SprintPlanning[Requirement ID],0))),"To Plan",INDEX(SprintPlanning[Sprint],MATCH($A375,SprintPlanning[Requirement ID],0))),"To Plan"))</f>
        <v/>
      </c>
      <c r="J375" s="36"/>
      <c r="K375" s="1" t="str">
        <f aca="false">IFERROR(IF(ISBLANK(INDEX(Release[Release],MATCH($A375,Release[Requirement ID],0))),"",INDEX(Release[Release],MATCH($A375,Release[Requirement ID],0))),"")</f>
        <v/>
      </c>
      <c r="L375" s="36"/>
      <c r="M375" s="36"/>
      <c r="P375" s="1" t="n">
        <f aca="false">IFERROR(VALUE(MID($A375,5,4)),0)</f>
        <v>0</v>
      </c>
      <c r="Q375" s="1" t="str">
        <f aca="false">IF(B375="","","NEW-"&amp;TEXT(MAX($P$2:$P374,Lists!$N$2)+1,"0000"))</f>
        <v/>
      </c>
    </row>
    <row r="376" customFormat="false" ht="15" hidden="false" customHeight="true" outlineLevel="0" collapsed="false">
      <c r="A376" s="35" t="str">
        <f aca="false">IF(AND(B376="",C376="",D376="",E376="",F376="",G376="",H376="",J376="",L376="",M376="",N376=""),"",Q376)</f>
        <v/>
      </c>
      <c r="B376" s="36"/>
      <c r="C376" s="36"/>
      <c r="D376" s="36"/>
      <c r="E376" s="36"/>
      <c r="F376" s="36"/>
      <c r="G376" s="36"/>
      <c r="H376" s="36"/>
      <c r="I376" s="1" t="str">
        <f aca="false">IF($A376="","",IFERROR(IF(ISBLANK(INDEX(SprintPlanning[Sprint],MATCH($A376,SprintPlanning[Requirement ID],0))),"To Plan",INDEX(SprintPlanning[Sprint],MATCH($A376,SprintPlanning[Requirement ID],0))),"To Plan"))</f>
        <v/>
      </c>
      <c r="J376" s="36"/>
      <c r="K376" s="1" t="str">
        <f aca="false">IFERROR(IF(ISBLANK(INDEX(Release[Release],MATCH($A376,Release[Requirement ID],0))),"",INDEX(Release[Release],MATCH($A376,Release[Requirement ID],0))),"")</f>
        <v/>
      </c>
      <c r="L376" s="36"/>
      <c r="M376" s="36"/>
      <c r="P376" s="1" t="n">
        <f aca="false">IFERROR(VALUE(MID($A376,5,4)),0)</f>
        <v>0</v>
      </c>
      <c r="Q376" s="1" t="str">
        <f aca="false">IF(B376="","","NEW-"&amp;TEXT(MAX($P$2:$P375,Lists!$N$2)+1,"0000"))</f>
        <v/>
      </c>
    </row>
    <row r="377" customFormat="false" ht="15" hidden="false" customHeight="true" outlineLevel="0" collapsed="false">
      <c r="A377" s="35" t="str">
        <f aca="false">IF(AND(B377="",C377="",D377="",E377="",F377="",G377="",H377="",J377="",L377="",M377="",N377=""),"",Q377)</f>
        <v/>
      </c>
      <c r="B377" s="36"/>
      <c r="C377" s="36"/>
      <c r="D377" s="36"/>
      <c r="E377" s="36"/>
      <c r="F377" s="36"/>
      <c r="G377" s="36"/>
      <c r="H377" s="36"/>
      <c r="I377" s="1" t="str">
        <f aca="false">IF($A377="","",IFERROR(IF(ISBLANK(INDEX(SprintPlanning[Sprint],MATCH($A377,SprintPlanning[Requirement ID],0))),"To Plan",INDEX(SprintPlanning[Sprint],MATCH($A377,SprintPlanning[Requirement ID],0))),"To Plan"))</f>
        <v/>
      </c>
      <c r="J377" s="36"/>
      <c r="K377" s="1" t="str">
        <f aca="false">IFERROR(IF(ISBLANK(INDEX(Release[Release],MATCH($A377,Release[Requirement ID],0))),"",INDEX(Release[Release],MATCH($A377,Release[Requirement ID],0))),"")</f>
        <v/>
      </c>
      <c r="L377" s="36"/>
      <c r="M377" s="36"/>
      <c r="P377" s="1" t="n">
        <f aca="false">IFERROR(VALUE(MID($A377,5,4)),0)</f>
        <v>0</v>
      </c>
      <c r="Q377" s="1" t="str">
        <f aca="false">IF(B377="","","NEW-"&amp;TEXT(MAX($P$2:$P376,Lists!$N$2)+1,"0000"))</f>
        <v/>
      </c>
    </row>
    <row r="378" customFormat="false" ht="15" hidden="false" customHeight="true" outlineLevel="0" collapsed="false">
      <c r="A378" s="35" t="str">
        <f aca="false">IF(AND(B378="",C378="",D378="",E378="",F378="",G378="",H378="",J378="",L378="",M378="",N378=""),"",Q378)</f>
        <v/>
      </c>
      <c r="B378" s="36"/>
      <c r="C378" s="36"/>
      <c r="D378" s="36"/>
      <c r="E378" s="36"/>
      <c r="F378" s="36"/>
      <c r="G378" s="36"/>
      <c r="H378" s="36"/>
      <c r="I378" s="1" t="str">
        <f aca="false">IF($A378="","",IFERROR(IF(ISBLANK(INDEX(SprintPlanning[Sprint],MATCH($A378,SprintPlanning[Requirement ID],0))),"To Plan",INDEX(SprintPlanning[Sprint],MATCH($A378,SprintPlanning[Requirement ID],0))),"To Plan"))</f>
        <v/>
      </c>
      <c r="J378" s="36"/>
      <c r="K378" s="1" t="str">
        <f aca="false">IFERROR(IF(ISBLANK(INDEX(Release[Release],MATCH($A378,Release[Requirement ID],0))),"",INDEX(Release[Release],MATCH($A378,Release[Requirement ID],0))),"")</f>
        <v/>
      </c>
      <c r="L378" s="36"/>
      <c r="M378" s="36"/>
      <c r="P378" s="1" t="n">
        <f aca="false">IFERROR(VALUE(MID($A378,5,4)),0)</f>
        <v>0</v>
      </c>
      <c r="Q378" s="1" t="str">
        <f aca="false">IF(B378="","","NEW-"&amp;TEXT(MAX($P$2:$P377,Lists!$N$2)+1,"0000"))</f>
        <v/>
      </c>
    </row>
    <row r="379" customFormat="false" ht="15" hidden="false" customHeight="true" outlineLevel="0" collapsed="false">
      <c r="A379" s="35" t="str">
        <f aca="false">IF(AND(B379="",C379="",D379="",E379="",F379="",G379="",H379="",J379="",L379="",M379="",N379=""),"",Q379)</f>
        <v/>
      </c>
      <c r="B379" s="36"/>
      <c r="C379" s="36"/>
      <c r="D379" s="36"/>
      <c r="E379" s="36"/>
      <c r="F379" s="36"/>
      <c r="G379" s="36"/>
      <c r="H379" s="36"/>
      <c r="I379" s="1" t="str">
        <f aca="false">IF($A379="","",IFERROR(IF(ISBLANK(INDEX(SprintPlanning[Sprint],MATCH($A379,SprintPlanning[Requirement ID],0))),"To Plan",INDEX(SprintPlanning[Sprint],MATCH($A379,SprintPlanning[Requirement ID],0))),"To Plan"))</f>
        <v/>
      </c>
      <c r="J379" s="36"/>
      <c r="K379" s="1" t="str">
        <f aca="false">IFERROR(IF(ISBLANK(INDEX(Release[Release],MATCH($A379,Release[Requirement ID],0))),"",INDEX(Release[Release],MATCH($A379,Release[Requirement ID],0))),"")</f>
        <v/>
      </c>
      <c r="L379" s="36"/>
      <c r="M379" s="36"/>
      <c r="P379" s="1" t="n">
        <f aca="false">IFERROR(VALUE(MID($A379,5,4)),0)</f>
        <v>0</v>
      </c>
      <c r="Q379" s="1" t="str">
        <f aca="false">IF(B379="","","NEW-"&amp;TEXT(MAX($P$2:$P378,Lists!$N$2)+1,"0000"))</f>
        <v/>
      </c>
    </row>
    <row r="380" customFormat="false" ht="15" hidden="false" customHeight="true" outlineLevel="0" collapsed="false">
      <c r="A380" s="35" t="str">
        <f aca="false">IF(AND(B380="",C380="",D380="",E380="",F380="",G380="",H380="",J380="",L380="",M380="",N380=""),"",Q380)</f>
        <v/>
      </c>
      <c r="B380" s="36"/>
      <c r="C380" s="36"/>
      <c r="D380" s="36"/>
      <c r="E380" s="36"/>
      <c r="F380" s="36"/>
      <c r="G380" s="36"/>
      <c r="H380" s="36"/>
      <c r="I380" s="1" t="str">
        <f aca="false">IF($A380="","",IFERROR(IF(ISBLANK(INDEX(SprintPlanning[Sprint],MATCH($A380,SprintPlanning[Requirement ID],0))),"To Plan",INDEX(SprintPlanning[Sprint],MATCH($A380,SprintPlanning[Requirement ID],0))),"To Plan"))</f>
        <v/>
      </c>
      <c r="J380" s="36"/>
      <c r="K380" s="1" t="str">
        <f aca="false">IFERROR(IF(ISBLANK(INDEX(Release[Release],MATCH($A380,Release[Requirement ID],0))),"",INDEX(Release[Release],MATCH($A380,Release[Requirement ID],0))),"")</f>
        <v/>
      </c>
      <c r="L380" s="36"/>
      <c r="M380" s="36"/>
      <c r="P380" s="1" t="n">
        <f aca="false">IFERROR(VALUE(MID($A380,5,4)),0)</f>
        <v>0</v>
      </c>
      <c r="Q380" s="1" t="str">
        <f aca="false">IF(B380="","","NEW-"&amp;TEXT(MAX($P$2:$P379,Lists!$N$2)+1,"0000"))</f>
        <v/>
      </c>
    </row>
    <row r="381" customFormat="false" ht="15" hidden="false" customHeight="true" outlineLevel="0" collapsed="false">
      <c r="A381" s="35" t="str">
        <f aca="false">IF(AND(B381="",C381="",D381="",E381="",F381="",G381="",H381="",J381="",L381="",M381="",N381=""),"",Q381)</f>
        <v/>
      </c>
      <c r="B381" s="36"/>
      <c r="C381" s="36"/>
      <c r="D381" s="36"/>
      <c r="E381" s="36"/>
      <c r="F381" s="36"/>
      <c r="G381" s="36"/>
      <c r="H381" s="36"/>
      <c r="I381" s="1" t="str">
        <f aca="false">IF($A381="","",IFERROR(IF(ISBLANK(INDEX(SprintPlanning[Sprint],MATCH($A381,SprintPlanning[Requirement ID],0))),"To Plan",INDEX(SprintPlanning[Sprint],MATCH($A381,SprintPlanning[Requirement ID],0))),"To Plan"))</f>
        <v/>
      </c>
      <c r="J381" s="36"/>
      <c r="K381" s="1" t="str">
        <f aca="false">IFERROR(IF(ISBLANK(INDEX(Release[Release],MATCH($A381,Release[Requirement ID],0))),"",INDEX(Release[Release],MATCH($A381,Release[Requirement ID],0))),"")</f>
        <v/>
      </c>
      <c r="L381" s="36"/>
      <c r="M381" s="36"/>
      <c r="P381" s="1" t="n">
        <f aca="false">IFERROR(VALUE(MID($A381,5,4)),0)</f>
        <v>0</v>
      </c>
      <c r="Q381" s="1" t="str">
        <f aca="false">IF(B381="","","NEW-"&amp;TEXT(MAX($P$2:$P380,Lists!$N$2)+1,"0000"))</f>
        <v/>
      </c>
    </row>
    <row r="382" customFormat="false" ht="15" hidden="false" customHeight="true" outlineLevel="0" collapsed="false">
      <c r="A382" s="35" t="str">
        <f aca="false">IF(AND(B382="",C382="",D382="",E382="",F382="",G382="",H382="",J382="",L382="",M382="",N382=""),"",Q382)</f>
        <v/>
      </c>
      <c r="B382" s="36"/>
      <c r="C382" s="36"/>
      <c r="D382" s="36"/>
      <c r="E382" s="36"/>
      <c r="F382" s="36"/>
      <c r="G382" s="36"/>
      <c r="H382" s="36"/>
      <c r="I382" s="1" t="str">
        <f aca="false">IF($A382="","",IFERROR(IF(ISBLANK(INDEX(SprintPlanning[Sprint],MATCH($A382,SprintPlanning[Requirement ID],0))),"To Plan",INDEX(SprintPlanning[Sprint],MATCH($A382,SprintPlanning[Requirement ID],0))),"To Plan"))</f>
        <v/>
      </c>
      <c r="J382" s="36"/>
      <c r="K382" s="1" t="str">
        <f aca="false">IFERROR(IF(ISBLANK(INDEX(Release[Release],MATCH($A382,Release[Requirement ID],0))),"",INDEX(Release[Release],MATCH($A382,Release[Requirement ID],0))),"")</f>
        <v/>
      </c>
      <c r="L382" s="36"/>
      <c r="M382" s="36"/>
      <c r="P382" s="1" t="n">
        <f aca="false">IFERROR(VALUE(MID($A382,5,4)),0)</f>
        <v>0</v>
      </c>
      <c r="Q382" s="1" t="str">
        <f aca="false">IF(B382="","","NEW-"&amp;TEXT(MAX($P$2:$P381,Lists!$N$2)+1,"0000"))</f>
        <v/>
      </c>
    </row>
    <row r="383" customFormat="false" ht="15" hidden="false" customHeight="true" outlineLevel="0" collapsed="false">
      <c r="A383" s="35" t="str">
        <f aca="false">IF(AND(B383="",C383="",D383="",E383="",F383="",G383="",H383="",J383="",L383="",M383="",N383=""),"",Q383)</f>
        <v/>
      </c>
      <c r="B383" s="36"/>
      <c r="C383" s="36"/>
      <c r="D383" s="36"/>
      <c r="E383" s="36"/>
      <c r="F383" s="36"/>
      <c r="G383" s="36"/>
      <c r="H383" s="36"/>
      <c r="I383" s="1" t="str">
        <f aca="false">IF($A383="","",IFERROR(IF(ISBLANK(INDEX(SprintPlanning[Sprint],MATCH($A383,SprintPlanning[Requirement ID],0))),"To Plan",INDEX(SprintPlanning[Sprint],MATCH($A383,SprintPlanning[Requirement ID],0))),"To Plan"))</f>
        <v/>
      </c>
      <c r="J383" s="36"/>
      <c r="K383" s="1" t="str">
        <f aca="false">IFERROR(IF(ISBLANK(INDEX(Release[Release],MATCH($A383,Release[Requirement ID],0))),"",INDEX(Release[Release],MATCH($A383,Release[Requirement ID],0))),"")</f>
        <v/>
      </c>
      <c r="L383" s="36"/>
      <c r="M383" s="36"/>
      <c r="P383" s="1" t="n">
        <f aca="false">IFERROR(VALUE(MID($A383,5,4)),0)</f>
        <v>0</v>
      </c>
      <c r="Q383" s="1" t="str">
        <f aca="false">IF(B383="","","NEW-"&amp;TEXT(MAX($P$2:$P382,Lists!$N$2)+1,"0000"))</f>
        <v/>
      </c>
    </row>
    <row r="384" customFormat="false" ht="15" hidden="false" customHeight="true" outlineLevel="0" collapsed="false">
      <c r="A384" s="35" t="str">
        <f aca="false">IF(AND(B384="",C384="",D384="",E384="",F384="",G384="",H384="",J384="",L384="",M384="",N384=""),"",Q384)</f>
        <v/>
      </c>
      <c r="B384" s="36"/>
      <c r="C384" s="36"/>
      <c r="D384" s="36"/>
      <c r="E384" s="36"/>
      <c r="F384" s="36"/>
      <c r="G384" s="36"/>
      <c r="H384" s="36"/>
      <c r="I384" s="1" t="str">
        <f aca="false">IF($A384="","",IFERROR(IF(ISBLANK(INDEX(SprintPlanning[Sprint],MATCH($A384,SprintPlanning[Requirement ID],0))),"To Plan",INDEX(SprintPlanning[Sprint],MATCH($A384,SprintPlanning[Requirement ID],0))),"To Plan"))</f>
        <v/>
      </c>
      <c r="J384" s="36"/>
      <c r="K384" s="1" t="str">
        <f aca="false">IFERROR(IF(ISBLANK(INDEX(Release[Release],MATCH($A384,Release[Requirement ID],0))),"",INDEX(Release[Release],MATCH($A384,Release[Requirement ID],0))),"")</f>
        <v/>
      </c>
      <c r="L384" s="36"/>
      <c r="M384" s="36"/>
      <c r="P384" s="1" t="n">
        <f aca="false">IFERROR(VALUE(MID($A384,5,4)),0)</f>
        <v>0</v>
      </c>
      <c r="Q384" s="1" t="str">
        <f aca="false">IF(B384="","","NEW-"&amp;TEXT(MAX($P$2:$P383,Lists!$N$2)+1,"0000"))</f>
        <v/>
      </c>
    </row>
    <row r="385" customFormat="false" ht="15" hidden="false" customHeight="true" outlineLevel="0" collapsed="false">
      <c r="A385" s="35" t="str">
        <f aca="false">IF(AND(B385="",C385="",D385="",E385="",F385="",G385="",H385="",J385="",L385="",M385="",N385=""),"",Q385)</f>
        <v/>
      </c>
      <c r="B385" s="36"/>
      <c r="C385" s="36"/>
      <c r="D385" s="36"/>
      <c r="E385" s="36"/>
      <c r="F385" s="36"/>
      <c r="G385" s="36"/>
      <c r="H385" s="36"/>
      <c r="I385" s="1" t="str">
        <f aca="false">IF($A385="","",IFERROR(IF(ISBLANK(INDEX(SprintPlanning[Sprint],MATCH($A385,SprintPlanning[Requirement ID],0))),"To Plan",INDEX(SprintPlanning[Sprint],MATCH($A385,SprintPlanning[Requirement ID],0))),"To Plan"))</f>
        <v/>
      </c>
      <c r="J385" s="36"/>
      <c r="K385" s="1" t="str">
        <f aca="false">IFERROR(IF(ISBLANK(INDEX(Release[Release],MATCH($A385,Release[Requirement ID],0))),"",INDEX(Release[Release],MATCH($A385,Release[Requirement ID],0))),"")</f>
        <v/>
      </c>
      <c r="L385" s="36"/>
      <c r="M385" s="36"/>
      <c r="P385" s="1" t="n">
        <f aca="false">IFERROR(VALUE(MID($A385,5,4)),0)</f>
        <v>0</v>
      </c>
      <c r="Q385" s="1" t="str">
        <f aca="false">IF(B385="","","NEW-"&amp;TEXT(MAX($P$2:$P384,Lists!$N$2)+1,"0000"))</f>
        <v/>
      </c>
    </row>
    <row r="386" customFormat="false" ht="15" hidden="false" customHeight="true" outlineLevel="0" collapsed="false">
      <c r="A386" s="35" t="str">
        <f aca="false">IF(AND(B386="",C386="",D386="",E386="",F386="",G386="",H386="",J386="",L386="",M386="",N386=""),"",Q386)</f>
        <v/>
      </c>
      <c r="B386" s="36"/>
      <c r="C386" s="36"/>
      <c r="D386" s="36"/>
      <c r="E386" s="36"/>
      <c r="F386" s="36"/>
      <c r="G386" s="36"/>
      <c r="H386" s="36"/>
      <c r="I386" s="1" t="str">
        <f aca="false">IF($A386="","",IFERROR(IF(ISBLANK(INDEX(SprintPlanning[Sprint],MATCH($A386,SprintPlanning[Requirement ID],0))),"To Plan",INDEX(SprintPlanning[Sprint],MATCH($A386,SprintPlanning[Requirement ID],0))),"To Plan"))</f>
        <v/>
      </c>
      <c r="J386" s="36"/>
      <c r="K386" s="1" t="str">
        <f aca="false">IFERROR(IF(ISBLANK(INDEX(Release[Release],MATCH($A386,Release[Requirement ID],0))),"",INDEX(Release[Release],MATCH($A386,Release[Requirement ID],0))),"")</f>
        <v/>
      </c>
      <c r="L386" s="36"/>
      <c r="M386" s="36"/>
      <c r="P386" s="1" t="n">
        <f aca="false">IFERROR(VALUE(MID($A386,5,4)),0)</f>
        <v>0</v>
      </c>
      <c r="Q386" s="1" t="str">
        <f aca="false">IF(B386="","","NEW-"&amp;TEXT(MAX($P$2:$P385,Lists!$N$2)+1,"0000"))</f>
        <v/>
      </c>
    </row>
    <row r="387" customFormat="false" ht="15" hidden="false" customHeight="true" outlineLevel="0" collapsed="false">
      <c r="A387" s="35" t="str">
        <f aca="false">IF(AND(B387="",C387="",D387="",E387="",F387="",G387="",H387="",J387="",L387="",M387="",N387=""),"",Q387)</f>
        <v/>
      </c>
      <c r="B387" s="36"/>
      <c r="C387" s="36"/>
      <c r="D387" s="36"/>
      <c r="E387" s="36"/>
      <c r="F387" s="36"/>
      <c r="G387" s="36"/>
      <c r="H387" s="36"/>
      <c r="I387" s="1" t="str">
        <f aca="false">IF($A387="","",IFERROR(IF(ISBLANK(INDEX(SprintPlanning[Sprint],MATCH($A387,SprintPlanning[Requirement ID],0))),"To Plan",INDEX(SprintPlanning[Sprint],MATCH($A387,SprintPlanning[Requirement ID],0))),"To Plan"))</f>
        <v/>
      </c>
      <c r="J387" s="36"/>
      <c r="K387" s="1" t="str">
        <f aca="false">IFERROR(IF(ISBLANK(INDEX(Release[Release],MATCH($A387,Release[Requirement ID],0))),"",INDEX(Release[Release],MATCH($A387,Release[Requirement ID],0))),"")</f>
        <v/>
      </c>
      <c r="L387" s="36"/>
      <c r="M387" s="36"/>
      <c r="P387" s="1" t="n">
        <f aca="false">IFERROR(VALUE(MID($A387,5,4)),0)</f>
        <v>0</v>
      </c>
      <c r="Q387" s="1" t="str">
        <f aca="false">IF(B387="","","NEW-"&amp;TEXT(MAX($P$2:$P386,Lists!$N$2)+1,"0000"))</f>
        <v/>
      </c>
    </row>
    <row r="388" customFormat="false" ht="15" hidden="false" customHeight="true" outlineLevel="0" collapsed="false">
      <c r="A388" s="35" t="str">
        <f aca="false">IF(AND(B388="",C388="",D388="",E388="",F388="",G388="",H388="",J388="",L388="",M388="",N388=""),"",Q388)</f>
        <v/>
      </c>
      <c r="B388" s="36"/>
      <c r="C388" s="36"/>
      <c r="D388" s="36"/>
      <c r="E388" s="36"/>
      <c r="F388" s="36"/>
      <c r="G388" s="36"/>
      <c r="H388" s="36"/>
      <c r="I388" s="1" t="str">
        <f aca="false">IF($A388="","",IFERROR(IF(ISBLANK(INDEX(SprintPlanning[Sprint],MATCH($A388,SprintPlanning[Requirement ID],0))),"To Plan",INDEX(SprintPlanning[Sprint],MATCH($A388,SprintPlanning[Requirement ID],0))),"To Plan"))</f>
        <v/>
      </c>
      <c r="J388" s="36"/>
      <c r="K388" s="1" t="str">
        <f aca="false">IFERROR(IF(ISBLANK(INDEX(Release[Release],MATCH($A388,Release[Requirement ID],0))),"",INDEX(Release[Release],MATCH($A388,Release[Requirement ID],0))),"")</f>
        <v/>
      </c>
      <c r="L388" s="36"/>
      <c r="M388" s="36"/>
      <c r="P388" s="1" t="n">
        <f aca="false">IFERROR(VALUE(MID($A388,5,4)),0)</f>
        <v>0</v>
      </c>
      <c r="Q388" s="1" t="str">
        <f aca="false">IF(B388="","","NEW-"&amp;TEXT(MAX($P$2:$P387,Lists!$N$2)+1,"0000"))</f>
        <v/>
      </c>
    </row>
    <row r="389" customFormat="false" ht="15" hidden="false" customHeight="true" outlineLevel="0" collapsed="false">
      <c r="A389" s="35" t="str">
        <f aca="false">IF(AND(B389="",C389="",D389="",E389="",F389="",G389="",H389="",J389="",L389="",M389="",N389=""),"",Q389)</f>
        <v/>
      </c>
      <c r="B389" s="36"/>
      <c r="C389" s="36"/>
      <c r="D389" s="36"/>
      <c r="E389" s="36"/>
      <c r="F389" s="36"/>
      <c r="G389" s="36"/>
      <c r="H389" s="36"/>
      <c r="I389" s="1" t="str">
        <f aca="false">IF($A389="","",IFERROR(IF(ISBLANK(INDEX(SprintPlanning[Sprint],MATCH($A389,SprintPlanning[Requirement ID],0))),"To Plan",INDEX(SprintPlanning[Sprint],MATCH($A389,SprintPlanning[Requirement ID],0))),"To Plan"))</f>
        <v/>
      </c>
      <c r="J389" s="36"/>
      <c r="K389" s="1" t="str">
        <f aca="false">IFERROR(IF(ISBLANK(INDEX(Release[Release],MATCH($A389,Release[Requirement ID],0))),"",INDEX(Release[Release],MATCH($A389,Release[Requirement ID],0))),"")</f>
        <v/>
      </c>
      <c r="L389" s="36"/>
      <c r="M389" s="36"/>
      <c r="P389" s="1" t="n">
        <f aca="false">IFERROR(VALUE(MID($A389,5,4)),0)</f>
        <v>0</v>
      </c>
      <c r="Q389" s="1" t="str">
        <f aca="false">IF(B389="","","NEW-"&amp;TEXT(MAX($P$2:$P388,Lists!$N$2)+1,"0000"))</f>
        <v/>
      </c>
    </row>
    <row r="390" customFormat="false" ht="15" hidden="false" customHeight="true" outlineLevel="0" collapsed="false">
      <c r="A390" s="35" t="str">
        <f aca="false">IF(AND(B390="",C390="",D390="",E390="",F390="",G390="",H390="",J390="",L390="",M390="",N390=""),"",Q390)</f>
        <v/>
      </c>
      <c r="B390" s="36"/>
      <c r="C390" s="36"/>
      <c r="D390" s="36"/>
      <c r="E390" s="36"/>
      <c r="F390" s="36"/>
      <c r="G390" s="36"/>
      <c r="H390" s="36"/>
      <c r="I390" s="1" t="str">
        <f aca="false">IF($A390="","",IFERROR(IF(ISBLANK(INDEX(SprintPlanning[Sprint],MATCH($A390,SprintPlanning[Requirement ID],0))),"To Plan",INDEX(SprintPlanning[Sprint],MATCH($A390,SprintPlanning[Requirement ID],0))),"To Plan"))</f>
        <v/>
      </c>
      <c r="J390" s="36"/>
      <c r="K390" s="1" t="str">
        <f aca="false">IFERROR(IF(ISBLANK(INDEX(Release[Release],MATCH($A390,Release[Requirement ID],0))),"",INDEX(Release[Release],MATCH($A390,Release[Requirement ID],0))),"")</f>
        <v/>
      </c>
      <c r="L390" s="36"/>
      <c r="M390" s="36"/>
      <c r="P390" s="1" t="n">
        <f aca="false">IFERROR(VALUE(MID($A390,5,4)),0)</f>
        <v>0</v>
      </c>
      <c r="Q390" s="1" t="str">
        <f aca="false">IF(B390="","","NEW-"&amp;TEXT(MAX($P$2:$P389,Lists!$N$2)+1,"0000"))</f>
        <v/>
      </c>
    </row>
    <row r="391" customFormat="false" ht="15" hidden="false" customHeight="true" outlineLevel="0" collapsed="false">
      <c r="A391" s="35" t="str">
        <f aca="false">IF(AND(B391="",C391="",D391="",E391="",F391="",G391="",H391="",J391="",L391="",M391="",N391=""),"",Q391)</f>
        <v/>
      </c>
      <c r="B391" s="36"/>
      <c r="C391" s="36"/>
      <c r="D391" s="36"/>
      <c r="E391" s="36"/>
      <c r="F391" s="36"/>
      <c r="G391" s="36"/>
      <c r="H391" s="36"/>
      <c r="I391" s="1" t="str">
        <f aca="false">IF($A391="","",IFERROR(IF(ISBLANK(INDEX(SprintPlanning[Sprint],MATCH($A391,SprintPlanning[Requirement ID],0))),"To Plan",INDEX(SprintPlanning[Sprint],MATCH($A391,SprintPlanning[Requirement ID],0))),"To Plan"))</f>
        <v/>
      </c>
      <c r="J391" s="36"/>
      <c r="K391" s="1" t="str">
        <f aca="false">IFERROR(IF(ISBLANK(INDEX(Release[Release],MATCH($A391,Release[Requirement ID],0))),"",INDEX(Release[Release],MATCH($A391,Release[Requirement ID],0))),"")</f>
        <v/>
      </c>
      <c r="L391" s="36"/>
      <c r="M391" s="36"/>
      <c r="P391" s="1" t="n">
        <f aca="false">IFERROR(VALUE(MID($A391,5,4)),0)</f>
        <v>0</v>
      </c>
      <c r="Q391" s="1" t="str">
        <f aca="false">IF(B391="","","NEW-"&amp;TEXT(MAX($P$2:$P390,Lists!$N$2)+1,"0000"))</f>
        <v/>
      </c>
    </row>
    <row r="392" customFormat="false" ht="15" hidden="false" customHeight="true" outlineLevel="0" collapsed="false">
      <c r="A392" s="35" t="str">
        <f aca="false">IF(AND(B392="",C392="",D392="",E392="",F392="",G392="",H392="",J392="",L392="",M392="",N392=""),"",Q392)</f>
        <v/>
      </c>
      <c r="B392" s="36"/>
      <c r="C392" s="36"/>
      <c r="D392" s="36"/>
      <c r="E392" s="36"/>
      <c r="F392" s="36"/>
      <c r="G392" s="36"/>
      <c r="H392" s="36"/>
      <c r="I392" s="1" t="str">
        <f aca="false">IF($A392="","",IFERROR(IF(ISBLANK(INDEX(SprintPlanning[Sprint],MATCH($A392,SprintPlanning[Requirement ID],0))),"To Plan",INDEX(SprintPlanning[Sprint],MATCH($A392,SprintPlanning[Requirement ID],0))),"To Plan"))</f>
        <v/>
      </c>
      <c r="J392" s="36"/>
      <c r="K392" s="1" t="str">
        <f aca="false">IFERROR(IF(ISBLANK(INDEX(Release[Release],MATCH($A392,Release[Requirement ID],0))),"",INDEX(Release[Release],MATCH($A392,Release[Requirement ID],0))),"")</f>
        <v/>
      </c>
      <c r="L392" s="36"/>
      <c r="M392" s="36"/>
      <c r="P392" s="1" t="n">
        <f aca="false">IFERROR(VALUE(MID($A392,5,4)),0)</f>
        <v>0</v>
      </c>
      <c r="Q392" s="1" t="str">
        <f aca="false">IF(B392="","","NEW-"&amp;TEXT(MAX($P$2:$P391,Lists!$N$2)+1,"0000"))</f>
        <v/>
      </c>
    </row>
    <row r="393" customFormat="false" ht="15" hidden="false" customHeight="true" outlineLevel="0" collapsed="false">
      <c r="A393" s="35" t="str">
        <f aca="false">IF(AND(B393="",C393="",D393="",E393="",F393="",G393="",H393="",J393="",L393="",M393="",N393=""),"",Q393)</f>
        <v/>
      </c>
      <c r="B393" s="36"/>
      <c r="C393" s="36"/>
      <c r="D393" s="36"/>
      <c r="E393" s="36"/>
      <c r="F393" s="36"/>
      <c r="G393" s="36"/>
      <c r="H393" s="36"/>
      <c r="I393" s="1" t="str">
        <f aca="false">IF($A393="","",IFERROR(IF(ISBLANK(INDEX(SprintPlanning[Sprint],MATCH($A393,SprintPlanning[Requirement ID],0))),"To Plan",INDEX(SprintPlanning[Sprint],MATCH($A393,SprintPlanning[Requirement ID],0))),"To Plan"))</f>
        <v/>
      </c>
      <c r="J393" s="36"/>
      <c r="K393" s="1" t="str">
        <f aca="false">IFERROR(IF(ISBLANK(INDEX(Release[Release],MATCH($A393,Release[Requirement ID],0))),"",INDEX(Release[Release],MATCH($A393,Release[Requirement ID],0))),"")</f>
        <v/>
      </c>
      <c r="L393" s="36"/>
      <c r="M393" s="36"/>
      <c r="P393" s="1" t="n">
        <f aca="false">IFERROR(VALUE(MID($A393,5,4)),0)</f>
        <v>0</v>
      </c>
      <c r="Q393" s="1" t="str">
        <f aca="false">IF(B393="","","NEW-"&amp;TEXT(MAX($P$2:$P392,Lists!$N$2)+1,"0000"))</f>
        <v/>
      </c>
    </row>
    <row r="394" customFormat="false" ht="15" hidden="false" customHeight="true" outlineLevel="0" collapsed="false">
      <c r="A394" s="35" t="str">
        <f aca="false">IF(AND(B394="",C394="",D394="",E394="",F394="",G394="",H394="",J394="",L394="",M394="",N394=""),"",Q394)</f>
        <v/>
      </c>
      <c r="B394" s="36"/>
      <c r="C394" s="36"/>
      <c r="D394" s="36"/>
      <c r="E394" s="36"/>
      <c r="F394" s="36"/>
      <c r="G394" s="36"/>
      <c r="H394" s="36"/>
      <c r="I394" s="1" t="str">
        <f aca="false">IF($A394="","",IFERROR(IF(ISBLANK(INDEX(SprintPlanning[Sprint],MATCH($A394,SprintPlanning[Requirement ID],0))),"To Plan",INDEX(SprintPlanning[Sprint],MATCH($A394,SprintPlanning[Requirement ID],0))),"To Plan"))</f>
        <v/>
      </c>
      <c r="J394" s="36"/>
      <c r="K394" s="1" t="str">
        <f aca="false">IFERROR(IF(ISBLANK(INDEX(Release[Release],MATCH($A394,Release[Requirement ID],0))),"",INDEX(Release[Release],MATCH($A394,Release[Requirement ID],0))),"")</f>
        <v/>
      </c>
      <c r="L394" s="36"/>
      <c r="M394" s="36"/>
      <c r="P394" s="1" t="n">
        <f aca="false">IFERROR(VALUE(MID($A394,5,4)),0)</f>
        <v>0</v>
      </c>
      <c r="Q394" s="1" t="str">
        <f aca="false">IF(B394="","","NEW-"&amp;TEXT(MAX($P$2:$P393,Lists!$N$2)+1,"0000"))</f>
        <v/>
      </c>
    </row>
    <row r="395" customFormat="false" ht="15" hidden="false" customHeight="true" outlineLevel="0" collapsed="false">
      <c r="A395" s="35" t="str">
        <f aca="false">IF(AND(B395="",C395="",D395="",E395="",F395="",G395="",H395="",J395="",L395="",M395="",N395=""),"",Q395)</f>
        <v/>
      </c>
      <c r="B395" s="36"/>
      <c r="C395" s="36"/>
      <c r="D395" s="36"/>
      <c r="E395" s="36"/>
      <c r="F395" s="36"/>
      <c r="G395" s="36"/>
      <c r="H395" s="36"/>
      <c r="I395" s="1" t="str">
        <f aca="false">IF($A395="","",IFERROR(IF(ISBLANK(INDEX(SprintPlanning[Sprint],MATCH($A395,SprintPlanning[Requirement ID],0))),"To Plan",INDEX(SprintPlanning[Sprint],MATCH($A395,SprintPlanning[Requirement ID],0))),"To Plan"))</f>
        <v/>
      </c>
      <c r="J395" s="36"/>
      <c r="K395" s="1" t="str">
        <f aca="false">IFERROR(IF(ISBLANK(INDEX(Release[Release],MATCH($A395,Release[Requirement ID],0))),"",INDEX(Release[Release],MATCH($A395,Release[Requirement ID],0))),"")</f>
        <v/>
      </c>
      <c r="L395" s="36"/>
      <c r="M395" s="36"/>
      <c r="P395" s="1" t="n">
        <f aca="false">IFERROR(VALUE(MID($A395,5,4)),0)</f>
        <v>0</v>
      </c>
      <c r="Q395" s="1" t="str">
        <f aca="false">IF(B395="","","NEW-"&amp;TEXT(MAX($P$2:$P394,Lists!$N$2)+1,"0000"))</f>
        <v/>
      </c>
    </row>
    <row r="396" customFormat="false" ht="15" hidden="false" customHeight="true" outlineLevel="0" collapsed="false">
      <c r="A396" s="35" t="str">
        <f aca="false">IF(AND(B396="",C396="",D396="",E396="",F396="",G396="",H396="",J396="",L396="",M396="",N396=""),"",Q396)</f>
        <v/>
      </c>
      <c r="B396" s="36"/>
      <c r="C396" s="36"/>
      <c r="D396" s="36"/>
      <c r="E396" s="36"/>
      <c r="F396" s="36"/>
      <c r="G396" s="36"/>
      <c r="H396" s="36"/>
      <c r="I396" s="1" t="str">
        <f aca="false">IF($A396="","",IFERROR(IF(ISBLANK(INDEX(SprintPlanning[Sprint],MATCH($A396,SprintPlanning[Requirement ID],0))),"To Plan",INDEX(SprintPlanning[Sprint],MATCH($A396,SprintPlanning[Requirement ID],0))),"To Plan"))</f>
        <v/>
      </c>
      <c r="J396" s="36"/>
      <c r="K396" s="1" t="str">
        <f aca="false">IFERROR(IF(ISBLANK(INDEX(Release[Release],MATCH($A396,Release[Requirement ID],0))),"",INDEX(Release[Release],MATCH($A396,Release[Requirement ID],0))),"")</f>
        <v/>
      </c>
      <c r="L396" s="36"/>
      <c r="M396" s="36"/>
      <c r="P396" s="1" t="n">
        <f aca="false">IFERROR(VALUE(MID($A396,5,4)),0)</f>
        <v>0</v>
      </c>
      <c r="Q396" s="1" t="str">
        <f aca="false">IF(B396="","","NEW-"&amp;TEXT(MAX($P$2:$P395,Lists!$N$2)+1,"0000"))</f>
        <v/>
      </c>
    </row>
    <row r="397" customFormat="false" ht="15" hidden="false" customHeight="true" outlineLevel="0" collapsed="false">
      <c r="A397" s="35" t="str">
        <f aca="false">IF(AND(B397="",C397="",D397="",E397="",F397="",G397="",H397="",J397="",L397="",M397="",N397=""),"",Q397)</f>
        <v/>
      </c>
      <c r="B397" s="36"/>
      <c r="C397" s="36"/>
      <c r="D397" s="36"/>
      <c r="E397" s="36"/>
      <c r="F397" s="36"/>
      <c r="G397" s="36"/>
      <c r="H397" s="36"/>
      <c r="I397" s="1" t="str">
        <f aca="false">IF($A397="","",IFERROR(IF(ISBLANK(INDEX(SprintPlanning[Sprint],MATCH($A397,SprintPlanning[Requirement ID],0))),"To Plan",INDEX(SprintPlanning[Sprint],MATCH($A397,SprintPlanning[Requirement ID],0))),"To Plan"))</f>
        <v/>
      </c>
      <c r="J397" s="36"/>
      <c r="K397" s="1" t="str">
        <f aca="false">IFERROR(IF(ISBLANK(INDEX(Release[Release],MATCH($A397,Release[Requirement ID],0))),"",INDEX(Release[Release],MATCH($A397,Release[Requirement ID],0))),"")</f>
        <v/>
      </c>
      <c r="L397" s="36"/>
      <c r="M397" s="36"/>
      <c r="P397" s="1" t="n">
        <f aca="false">IFERROR(VALUE(MID($A397,5,4)),0)</f>
        <v>0</v>
      </c>
      <c r="Q397" s="1" t="str">
        <f aca="false">IF(B397="","","NEW-"&amp;TEXT(MAX($P$2:$P396,Lists!$N$2)+1,"0000"))</f>
        <v/>
      </c>
    </row>
    <row r="398" customFormat="false" ht="15" hidden="false" customHeight="true" outlineLevel="0" collapsed="false">
      <c r="A398" s="35" t="str">
        <f aca="false">IF(AND(B398="",C398="",D398="",E398="",F398="",G398="",H398="",J398="",L398="",M398="",N398=""),"",Q398)</f>
        <v/>
      </c>
      <c r="B398" s="36"/>
      <c r="C398" s="36"/>
      <c r="D398" s="36"/>
      <c r="E398" s="36"/>
      <c r="F398" s="36"/>
      <c r="G398" s="36"/>
      <c r="H398" s="36"/>
      <c r="I398" s="1" t="str">
        <f aca="false">IF($A398="","",IFERROR(IF(ISBLANK(INDEX(SprintPlanning[Sprint],MATCH($A398,SprintPlanning[Requirement ID],0))),"To Plan",INDEX(SprintPlanning[Sprint],MATCH($A398,SprintPlanning[Requirement ID],0))),"To Plan"))</f>
        <v/>
      </c>
      <c r="J398" s="36"/>
      <c r="K398" s="1" t="str">
        <f aca="false">IFERROR(IF(ISBLANK(INDEX(Release[Release],MATCH($A398,Release[Requirement ID],0))),"",INDEX(Release[Release],MATCH($A398,Release[Requirement ID],0))),"")</f>
        <v/>
      </c>
      <c r="L398" s="36"/>
      <c r="M398" s="36"/>
      <c r="P398" s="1" t="n">
        <f aca="false">IFERROR(VALUE(MID($A398,5,4)),0)</f>
        <v>0</v>
      </c>
      <c r="Q398" s="1" t="str">
        <f aca="false">IF(B398="","","NEW-"&amp;TEXT(MAX($P$2:$P397,Lists!$N$2)+1,"0000"))</f>
        <v/>
      </c>
    </row>
    <row r="399" customFormat="false" ht="15" hidden="false" customHeight="true" outlineLevel="0" collapsed="false">
      <c r="A399" s="35" t="str">
        <f aca="false">IF(AND(B399="",C399="",D399="",E399="",F399="",G399="",H399="",J399="",L399="",M399="",N399=""),"",Q399)</f>
        <v/>
      </c>
      <c r="B399" s="36"/>
      <c r="C399" s="36"/>
      <c r="D399" s="36"/>
      <c r="E399" s="36"/>
      <c r="F399" s="36"/>
      <c r="G399" s="36"/>
      <c r="H399" s="36"/>
      <c r="I399" s="1" t="str">
        <f aca="false">IF($A399="","",IFERROR(IF(ISBLANK(INDEX(SprintPlanning[Sprint],MATCH($A399,SprintPlanning[Requirement ID],0))),"To Plan",INDEX(SprintPlanning[Sprint],MATCH($A399,SprintPlanning[Requirement ID],0))),"To Plan"))</f>
        <v/>
      </c>
      <c r="J399" s="36"/>
      <c r="K399" s="1" t="str">
        <f aca="false">IFERROR(IF(ISBLANK(INDEX(Release[Release],MATCH($A399,Release[Requirement ID],0))),"",INDEX(Release[Release],MATCH($A399,Release[Requirement ID],0))),"")</f>
        <v/>
      </c>
      <c r="L399" s="36"/>
      <c r="M399" s="36"/>
      <c r="P399" s="1" t="n">
        <f aca="false">IFERROR(VALUE(MID($A399,5,4)),0)</f>
        <v>0</v>
      </c>
      <c r="Q399" s="1" t="str">
        <f aca="false">IF(B399="","","NEW-"&amp;TEXT(MAX($P$2:$P398,Lists!$N$2)+1,"0000"))</f>
        <v/>
      </c>
    </row>
    <row r="400" customFormat="false" ht="15" hidden="false" customHeight="true" outlineLevel="0" collapsed="false">
      <c r="A400" s="35" t="str">
        <f aca="false">IF(AND(B400="",C400="",D400="",E400="",F400="",G400="",H400="",J400="",L400="",M400="",N400=""),"",Q400)</f>
        <v/>
      </c>
      <c r="B400" s="36"/>
      <c r="C400" s="36"/>
      <c r="D400" s="36"/>
      <c r="E400" s="36"/>
      <c r="F400" s="36"/>
      <c r="G400" s="36"/>
      <c r="H400" s="36"/>
      <c r="I400" s="1" t="str">
        <f aca="false">IF($A400="","",IFERROR(IF(ISBLANK(INDEX(SprintPlanning[Sprint],MATCH($A400,SprintPlanning[Requirement ID],0))),"To Plan",INDEX(SprintPlanning[Sprint],MATCH($A400,SprintPlanning[Requirement ID],0))),"To Plan"))</f>
        <v/>
      </c>
      <c r="J400" s="36"/>
      <c r="K400" s="1" t="str">
        <f aca="false">IFERROR(IF(ISBLANK(INDEX(Release[Release],MATCH($A400,Release[Requirement ID],0))),"",INDEX(Release[Release],MATCH($A400,Release[Requirement ID],0))),"")</f>
        <v/>
      </c>
      <c r="L400" s="36"/>
      <c r="M400" s="36"/>
      <c r="P400" s="1" t="n">
        <f aca="false">IFERROR(VALUE(MID($A400,5,4)),0)</f>
        <v>0</v>
      </c>
      <c r="Q400" s="1" t="str">
        <f aca="false">IF(B400="","","NEW-"&amp;TEXT(MAX($P$2:$P399,Lists!$N$2)+1,"0000"))</f>
        <v/>
      </c>
    </row>
    <row r="401" customFormat="false" ht="15" hidden="false" customHeight="true" outlineLevel="0" collapsed="false">
      <c r="A401" s="35" t="str">
        <f aca="false">IF(AND(B401="",C401="",D401="",E401="",F401="",G401="",H401="",J401="",L401="",M401="",N401=""),"",Q401)</f>
        <v/>
      </c>
      <c r="B401" s="36"/>
      <c r="C401" s="36"/>
      <c r="D401" s="36"/>
      <c r="E401" s="36"/>
      <c r="F401" s="36"/>
      <c r="G401" s="36"/>
      <c r="H401" s="36"/>
      <c r="I401" s="1" t="str">
        <f aca="false">IF($A401="","",IFERROR(IF(ISBLANK(INDEX(SprintPlanning[Sprint],MATCH($A401,SprintPlanning[Requirement ID],0))),"To Plan",INDEX(SprintPlanning[Sprint],MATCH($A401,SprintPlanning[Requirement ID],0))),"To Plan"))</f>
        <v/>
      </c>
      <c r="J401" s="36"/>
      <c r="K401" s="1" t="str">
        <f aca="false">IFERROR(IF(ISBLANK(INDEX(Release[Release],MATCH($A401,Release[Requirement ID],0))),"",INDEX(Release[Release],MATCH($A401,Release[Requirement ID],0))),"")</f>
        <v/>
      </c>
      <c r="L401" s="36"/>
      <c r="M401" s="36"/>
      <c r="P401" s="1" t="n">
        <f aca="false">IFERROR(VALUE(MID($A401,5,4)),0)</f>
        <v>0</v>
      </c>
      <c r="Q401" s="1" t="str">
        <f aca="false">IF(B401="","","NEW-"&amp;TEXT(MAX($P$2:$P400,Lists!$N$2)+1,"0000"))</f>
        <v/>
      </c>
    </row>
    <row r="402" customFormat="false" ht="15" hidden="false" customHeight="true" outlineLevel="0" collapsed="false">
      <c r="A402" s="35" t="str">
        <f aca="false">IF(AND(B402="",C402="",D402="",E402="",F402="",G402="",H402="",J402="",L402="",M402="",N402=""),"",Q402)</f>
        <v/>
      </c>
      <c r="B402" s="36"/>
      <c r="C402" s="36"/>
      <c r="D402" s="36"/>
      <c r="E402" s="36"/>
      <c r="F402" s="36"/>
      <c r="G402" s="36"/>
      <c r="H402" s="36"/>
      <c r="I402" s="1" t="str">
        <f aca="false">IF($A402="","",IFERROR(IF(ISBLANK(INDEX(SprintPlanning[Sprint],MATCH($A402,SprintPlanning[Requirement ID],0))),"To Plan",INDEX(SprintPlanning[Sprint],MATCH($A402,SprintPlanning[Requirement ID],0))),"To Plan"))</f>
        <v/>
      </c>
      <c r="J402" s="36"/>
      <c r="K402" s="1" t="str">
        <f aca="false">IFERROR(IF(ISBLANK(INDEX(Release[Release],MATCH($A402,Release[Requirement ID],0))),"",INDEX(Release[Release],MATCH($A402,Release[Requirement ID],0))),"")</f>
        <v/>
      </c>
      <c r="L402" s="36"/>
      <c r="M402" s="36"/>
      <c r="P402" s="1" t="n">
        <f aca="false">IFERROR(VALUE(MID($A402,5,4)),0)</f>
        <v>0</v>
      </c>
      <c r="Q402" s="1" t="str">
        <f aca="false">IF(B402="","","NEW-"&amp;TEXT(MAX($P$2:$P401,Lists!$N$2)+1,"0000"))</f>
        <v/>
      </c>
    </row>
    <row r="403" customFormat="false" ht="15" hidden="false" customHeight="true" outlineLevel="0" collapsed="false">
      <c r="A403" s="35" t="str">
        <f aca="false">IF(AND(B403="",C403="",D403="",E403="",F403="",G403="",H403="",J403="",L403="",M403="",N403=""),"",Q403)</f>
        <v/>
      </c>
      <c r="B403" s="36"/>
      <c r="C403" s="36"/>
      <c r="D403" s="36"/>
      <c r="E403" s="36"/>
      <c r="F403" s="36"/>
      <c r="G403" s="36"/>
      <c r="H403" s="36"/>
      <c r="I403" s="1" t="str">
        <f aca="false">IF($A403="","",IFERROR(IF(ISBLANK(INDEX(SprintPlanning[Sprint],MATCH($A403,SprintPlanning[Requirement ID],0))),"To Plan",INDEX(SprintPlanning[Sprint],MATCH($A403,SprintPlanning[Requirement ID],0))),"To Plan"))</f>
        <v/>
      </c>
      <c r="J403" s="36"/>
      <c r="K403" s="1" t="str">
        <f aca="false">IFERROR(IF(ISBLANK(INDEX(Release[Release],MATCH($A403,Release[Requirement ID],0))),"",INDEX(Release[Release],MATCH($A403,Release[Requirement ID],0))),"")</f>
        <v/>
      </c>
      <c r="L403" s="36"/>
      <c r="M403" s="36"/>
      <c r="P403" s="1" t="n">
        <f aca="false">IFERROR(VALUE(MID($A403,5,4)),0)</f>
        <v>0</v>
      </c>
      <c r="Q403" s="1" t="str">
        <f aca="false">IF(B403="","","NEW-"&amp;TEXT(MAX($P$2:$P402,Lists!$N$2)+1,"0000"))</f>
        <v/>
      </c>
    </row>
    <row r="404" customFormat="false" ht="15" hidden="false" customHeight="true" outlineLevel="0" collapsed="false">
      <c r="A404" s="35" t="str">
        <f aca="false">IF(AND(B404="",C404="",D404="",E404="",F404="",G404="",H404="",J404="",L404="",M404="",N404=""),"",Q404)</f>
        <v/>
      </c>
      <c r="B404" s="36"/>
      <c r="C404" s="36"/>
      <c r="D404" s="36"/>
      <c r="E404" s="36"/>
      <c r="F404" s="36"/>
      <c r="G404" s="36"/>
      <c r="H404" s="36"/>
      <c r="I404" s="1" t="str">
        <f aca="false">IF($A404="","",IFERROR(IF(ISBLANK(INDEX(SprintPlanning[Sprint],MATCH($A404,SprintPlanning[Requirement ID],0))),"To Plan",INDEX(SprintPlanning[Sprint],MATCH($A404,SprintPlanning[Requirement ID],0))),"To Plan"))</f>
        <v/>
      </c>
      <c r="J404" s="36"/>
      <c r="K404" s="1" t="str">
        <f aca="false">IFERROR(IF(ISBLANK(INDEX(Release[Release],MATCH($A404,Release[Requirement ID],0))),"",INDEX(Release[Release],MATCH($A404,Release[Requirement ID],0))),"")</f>
        <v/>
      </c>
      <c r="L404" s="36"/>
      <c r="M404" s="36"/>
      <c r="P404" s="1" t="n">
        <f aca="false">IFERROR(VALUE(MID($A404,5,4)),0)</f>
        <v>0</v>
      </c>
      <c r="Q404" s="1" t="str">
        <f aca="false">IF(B404="","","NEW-"&amp;TEXT(MAX($P$2:$P403,Lists!$N$2)+1,"0000"))</f>
        <v/>
      </c>
    </row>
    <row r="405" customFormat="false" ht="15" hidden="false" customHeight="true" outlineLevel="0" collapsed="false">
      <c r="A405" s="35" t="str">
        <f aca="false">IF(AND(B405="",C405="",D405="",E405="",F405="",G405="",H405="",J405="",L405="",M405="",N405=""),"",Q405)</f>
        <v/>
      </c>
      <c r="B405" s="36"/>
      <c r="C405" s="36"/>
      <c r="D405" s="36"/>
      <c r="E405" s="36"/>
      <c r="F405" s="36"/>
      <c r="G405" s="36"/>
      <c r="H405" s="36"/>
      <c r="I405" s="1" t="str">
        <f aca="false">IF($A405="","",IFERROR(IF(ISBLANK(INDEX(SprintPlanning[Sprint],MATCH($A405,SprintPlanning[Requirement ID],0))),"To Plan",INDEX(SprintPlanning[Sprint],MATCH($A405,SprintPlanning[Requirement ID],0))),"To Plan"))</f>
        <v/>
      </c>
      <c r="J405" s="36"/>
      <c r="K405" s="1" t="str">
        <f aca="false">IFERROR(IF(ISBLANK(INDEX(Release[Release],MATCH($A405,Release[Requirement ID],0))),"",INDEX(Release[Release],MATCH($A405,Release[Requirement ID],0))),"")</f>
        <v/>
      </c>
      <c r="L405" s="36"/>
      <c r="M405" s="36"/>
      <c r="P405" s="1" t="n">
        <f aca="false">IFERROR(VALUE(MID($A405,5,4)),0)</f>
        <v>0</v>
      </c>
      <c r="Q405" s="1" t="str">
        <f aca="false">IF(B405="","","NEW-"&amp;TEXT(MAX($P$2:$P404,Lists!$N$2)+1,"0000"))</f>
        <v/>
      </c>
    </row>
    <row r="406" customFormat="false" ht="15" hidden="false" customHeight="true" outlineLevel="0" collapsed="false">
      <c r="A406" s="35" t="str">
        <f aca="false">IF(AND(B406="",C406="",D406="",E406="",F406="",G406="",H406="",J406="",L406="",M406="",N406=""),"",Q406)</f>
        <v/>
      </c>
      <c r="B406" s="36"/>
      <c r="C406" s="36"/>
      <c r="D406" s="36"/>
      <c r="E406" s="36"/>
      <c r="F406" s="36"/>
      <c r="G406" s="36"/>
      <c r="H406" s="36"/>
      <c r="I406" s="1" t="str">
        <f aca="false">IF($A406="","",IFERROR(IF(ISBLANK(INDEX(SprintPlanning[Sprint],MATCH($A406,SprintPlanning[Requirement ID],0))),"To Plan",INDEX(SprintPlanning[Sprint],MATCH($A406,SprintPlanning[Requirement ID],0))),"To Plan"))</f>
        <v/>
      </c>
      <c r="J406" s="36"/>
      <c r="K406" s="1" t="str">
        <f aca="false">IFERROR(IF(ISBLANK(INDEX(Release[Release],MATCH($A406,Release[Requirement ID],0))),"",INDEX(Release[Release],MATCH($A406,Release[Requirement ID],0))),"")</f>
        <v/>
      </c>
      <c r="L406" s="36"/>
      <c r="M406" s="36"/>
      <c r="P406" s="1" t="n">
        <f aca="false">IFERROR(VALUE(MID($A406,5,4)),0)</f>
        <v>0</v>
      </c>
      <c r="Q406" s="1" t="str">
        <f aca="false">IF(B406="","","NEW-"&amp;TEXT(MAX($P$2:$P405,Lists!$N$2)+1,"0000"))</f>
        <v/>
      </c>
    </row>
    <row r="407" customFormat="false" ht="15" hidden="false" customHeight="true" outlineLevel="0" collapsed="false">
      <c r="A407" s="35" t="str">
        <f aca="false">IF(AND(B407="",C407="",D407="",E407="",F407="",G407="",H407="",J407="",L407="",M407="",N407=""),"",Q407)</f>
        <v/>
      </c>
      <c r="B407" s="36"/>
      <c r="C407" s="36"/>
      <c r="D407" s="36"/>
      <c r="E407" s="36"/>
      <c r="F407" s="36"/>
      <c r="G407" s="36"/>
      <c r="H407" s="36"/>
      <c r="I407" s="1" t="str">
        <f aca="false">IF($A407="","",IFERROR(IF(ISBLANK(INDEX(SprintPlanning[Sprint],MATCH($A407,SprintPlanning[Requirement ID],0))),"To Plan",INDEX(SprintPlanning[Sprint],MATCH($A407,SprintPlanning[Requirement ID],0))),"To Plan"))</f>
        <v/>
      </c>
      <c r="J407" s="36"/>
      <c r="K407" s="1" t="str">
        <f aca="false">IFERROR(IF(ISBLANK(INDEX(Release[Release],MATCH($A407,Release[Requirement ID],0))),"",INDEX(Release[Release],MATCH($A407,Release[Requirement ID],0))),"")</f>
        <v/>
      </c>
      <c r="L407" s="36"/>
      <c r="M407" s="36"/>
      <c r="P407" s="1" t="n">
        <f aca="false">IFERROR(VALUE(MID($A407,5,4)),0)</f>
        <v>0</v>
      </c>
      <c r="Q407" s="1" t="str">
        <f aca="false">IF(B407="","","NEW-"&amp;TEXT(MAX($P$2:$P406,Lists!$N$2)+1,"0000"))</f>
        <v/>
      </c>
    </row>
    <row r="408" customFormat="false" ht="15" hidden="false" customHeight="true" outlineLevel="0" collapsed="false">
      <c r="A408" s="35" t="str">
        <f aca="false">IF(AND(B408="",C408="",D408="",E408="",F408="",G408="",H408="",J408="",L408="",M408="",N408=""),"",Q408)</f>
        <v/>
      </c>
      <c r="B408" s="36"/>
      <c r="C408" s="36"/>
      <c r="D408" s="36"/>
      <c r="E408" s="36"/>
      <c r="F408" s="36"/>
      <c r="G408" s="36"/>
      <c r="H408" s="36"/>
      <c r="I408" s="1" t="str">
        <f aca="false">IF($A408="","",IFERROR(IF(ISBLANK(INDEX(SprintPlanning[Sprint],MATCH($A408,SprintPlanning[Requirement ID],0))),"To Plan",INDEX(SprintPlanning[Sprint],MATCH($A408,SprintPlanning[Requirement ID],0))),"To Plan"))</f>
        <v/>
      </c>
      <c r="J408" s="36"/>
      <c r="K408" s="1" t="str">
        <f aca="false">IFERROR(IF(ISBLANK(INDEX(Release[Release],MATCH($A408,Release[Requirement ID],0))),"",INDEX(Release[Release],MATCH($A408,Release[Requirement ID],0))),"")</f>
        <v/>
      </c>
      <c r="L408" s="36"/>
      <c r="M408" s="36"/>
      <c r="P408" s="1" t="n">
        <f aca="false">IFERROR(VALUE(MID($A408,5,4)),0)</f>
        <v>0</v>
      </c>
      <c r="Q408" s="1" t="str">
        <f aca="false">IF(B408="","","NEW-"&amp;TEXT(MAX($P$2:$P407,Lists!$N$2)+1,"0000"))</f>
        <v/>
      </c>
    </row>
    <row r="409" customFormat="false" ht="15" hidden="false" customHeight="true" outlineLevel="0" collapsed="false">
      <c r="A409" s="35" t="str">
        <f aca="false">IF(AND(B409="",C409="",D409="",E409="",F409="",G409="",H409="",J409="",L409="",M409="",N409=""),"",Q409)</f>
        <v/>
      </c>
      <c r="B409" s="36"/>
      <c r="C409" s="36"/>
      <c r="D409" s="36"/>
      <c r="E409" s="36"/>
      <c r="F409" s="36"/>
      <c r="G409" s="36"/>
      <c r="H409" s="36"/>
      <c r="I409" s="1" t="str">
        <f aca="false">IF($A409="","",IFERROR(IF(ISBLANK(INDEX(SprintPlanning[Sprint],MATCH($A409,SprintPlanning[Requirement ID],0))),"To Plan",INDEX(SprintPlanning[Sprint],MATCH($A409,SprintPlanning[Requirement ID],0))),"To Plan"))</f>
        <v/>
      </c>
      <c r="J409" s="36"/>
      <c r="K409" s="1" t="str">
        <f aca="false">IFERROR(IF(ISBLANK(INDEX(Release[Release],MATCH($A409,Release[Requirement ID],0))),"",INDEX(Release[Release],MATCH($A409,Release[Requirement ID],0))),"")</f>
        <v/>
      </c>
      <c r="L409" s="36"/>
      <c r="M409" s="36"/>
      <c r="P409" s="1" t="n">
        <f aca="false">IFERROR(VALUE(MID($A409,5,4)),0)</f>
        <v>0</v>
      </c>
      <c r="Q409" s="1" t="str">
        <f aca="false">IF(B409="","","NEW-"&amp;TEXT(MAX($P$2:$P408,Lists!$N$2)+1,"0000"))</f>
        <v/>
      </c>
    </row>
    <row r="410" customFormat="false" ht="15" hidden="false" customHeight="true" outlineLevel="0" collapsed="false">
      <c r="A410" s="35" t="str">
        <f aca="false">IF(AND(B410="",C410="",D410="",E410="",F410="",G410="",H410="",J410="",L410="",M410="",N410=""),"",Q410)</f>
        <v/>
      </c>
      <c r="B410" s="36"/>
      <c r="C410" s="36"/>
      <c r="D410" s="36"/>
      <c r="E410" s="36"/>
      <c r="F410" s="36"/>
      <c r="G410" s="36"/>
      <c r="H410" s="36"/>
      <c r="I410" s="1" t="str">
        <f aca="false">IF($A410="","",IFERROR(IF(ISBLANK(INDEX(SprintPlanning[Sprint],MATCH($A410,SprintPlanning[Requirement ID],0))),"To Plan",INDEX(SprintPlanning[Sprint],MATCH($A410,SprintPlanning[Requirement ID],0))),"To Plan"))</f>
        <v/>
      </c>
      <c r="J410" s="36"/>
      <c r="K410" s="1" t="str">
        <f aca="false">IFERROR(IF(ISBLANK(INDEX(Release[Release],MATCH($A410,Release[Requirement ID],0))),"",INDEX(Release[Release],MATCH($A410,Release[Requirement ID],0))),"")</f>
        <v/>
      </c>
      <c r="L410" s="36"/>
      <c r="M410" s="36"/>
      <c r="P410" s="1" t="n">
        <f aca="false">IFERROR(VALUE(MID($A410,5,4)),0)</f>
        <v>0</v>
      </c>
      <c r="Q410" s="1" t="str">
        <f aca="false">IF(B410="","","NEW-"&amp;TEXT(MAX($P$2:$P409,Lists!$N$2)+1,"0000"))</f>
        <v/>
      </c>
    </row>
    <row r="411" customFormat="false" ht="15" hidden="false" customHeight="true" outlineLevel="0" collapsed="false">
      <c r="A411" s="35" t="str">
        <f aca="false">IF(AND(B411="",C411="",D411="",E411="",F411="",G411="",H411="",J411="",L411="",M411="",N411=""),"",Q411)</f>
        <v/>
      </c>
      <c r="B411" s="36"/>
      <c r="C411" s="36"/>
      <c r="D411" s="36"/>
      <c r="E411" s="36"/>
      <c r="F411" s="36"/>
      <c r="G411" s="36"/>
      <c r="H411" s="36"/>
      <c r="I411" s="1" t="str">
        <f aca="false">IF($A411="","",IFERROR(IF(ISBLANK(INDEX(SprintPlanning[Sprint],MATCH($A411,SprintPlanning[Requirement ID],0))),"To Plan",INDEX(SprintPlanning[Sprint],MATCH($A411,SprintPlanning[Requirement ID],0))),"To Plan"))</f>
        <v/>
      </c>
      <c r="J411" s="36"/>
      <c r="K411" s="1" t="str">
        <f aca="false">IFERROR(IF(ISBLANK(INDEX(Release[Release],MATCH($A411,Release[Requirement ID],0))),"",INDEX(Release[Release],MATCH($A411,Release[Requirement ID],0))),"")</f>
        <v/>
      </c>
      <c r="L411" s="36"/>
      <c r="M411" s="36"/>
      <c r="P411" s="1" t="n">
        <f aca="false">IFERROR(VALUE(MID($A411,5,4)),0)</f>
        <v>0</v>
      </c>
      <c r="Q411" s="1" t="str">
        <f aca="false">IF(B411="","","NEW-"&amp;TEXT(MAX($P$2:$P410,Lists!$N$2)+1,"0000"))</f>
        <v/>
      </c>
    </row>
    <row r="412" customFormat="false" ht="15" hidden="false" customHeight="true" outlineLevel="0" collapsed="false">
      <c r="A412" s="35" t="str">
        <f aca="false">IF(AND(B412="",C412="",D412="",E412="",F412="",G412="",H412="",J412="",L412="",M412="",N412=""),"",Q412)</f>
        <v/>
      </c>
      <c r="B412" s="36"/>
      <c r="C412" s="36"/>
      <c r="D412" s="36"/>
      <c r="E412" s="36"/>
      <c r="F412" s="36"/>
      <c r="G412" s="36"/>
      <c r="H412" s="36"/>
      <c r="I412" s="1" t="str">
        <f aca="false">IF($A412="","",IFERROR(IF(ISBLANK(INDEX(SprintPlanning[Sprint],MATCH($A412,SprintPlanning[Requirement ID],0))),"To Plan",INDEX(SprintPlanning[Sprint],MATCH($A412,SprintPlanning[Requirement ID],0))),"To Plan"))</f>
        <v/>
      </c>
      <c r="J412" s="36"/>
      <c r="K412" s="1" t="str">
        <f aca="false">IFERROR(IF(ISBLANK(INDEX(Release[Release],MATCH($A412,Release[Requirement ID],0))),"",INDEX(Release[Release],MATCH($A412,Release[Requirement ID],0))),"")</f>
        <v/>
      </c>
      <c r="L412" s="36"/>
      <c r="M412" s="36"/>
      <c r="P412" s="1" t="n">
        <f aca="false">IFERROR(VALUE(MID($A412,5,4)),0)</f>
        <v>0</v>
      </c>
      <c r="Q412" s="1" t="str">
        <f aca="false">IF(B412="","","NEW-"&amp;TEXT(MAX($P$2:$P411,Lists!$N$2)+1,"0000"))</f>
        <v/>
      </c>
    </row>
    <row r="413" customFormat="false" ht="15" hidden="false" customHeight="true" outlineLevel="0" collapsed="false">
      <c r="A413" s="35" t="str">
        <f aca="false">IF(AND(B413="",C413="",D413="",E413="",F413="",G413="",H413="",J413="",L413="",M413="",N413=""),"",Q413)</f>
        <v/>
      </c>
      <c r="B413" s="36"/>
      <c r="C413" s="36"/>
      <c r="D413" s="36"/>
      <c r="E413" s="36"/>
      <c r="F413" s="36"/>
      <c r="G413" s="36"/>
      <c r="H413" s="36"/>
      <c r="I413" s="1" t="str">
        <f aca="false">IF($A413="","",IFERROR(IF(ISBLANK(INDEX(SprintPlanning[Sprint],MATCH($A413,SprintPlanning[Requirement ID],0))),"To Plan",INDEX(SprintPlanning[Sprint],MATCH($A413,SprintPlanning[Requirement ID],0))),"To Plan"))</f>
        <v/>
      </c>
      <c r="J413" s="36"/>
      <c r="K413" s="1" t="str">
        <f aca="false">IFERROR(IF(ISBLANK(INDEX(Release[Release],MATCH($A413,Release[Requirement ID],0))),"",INDEX(Release[Release],MATCH($A413,Release[Requirement ID],0))),"")</f>
        <v/>
      </c>
      <c r="L413" s="36"/>
      <c r="M413" s="36"/>
      <c r="P413" s="1" t="n">
        <f aca="false">IFERROR(VALUE(MID($A413,5,4)),0)</f>
        <v>0</v>
      </c>
      <c r="Q413" s="1" t="str">
        <f aca="false">IF(B413="","","NEW-"&amp;TEXT(MAX($P$2:$P412,Lists!$N$2)+1,"0000"))</f>
        <v/>
      </c>
    </row>
    <row r="414" customFormat="false" ht="15" hidden="false" customHeight="true" outlineLevel="0" collapsed="false">
      <c r="A414" s="35" t="str">
        <f aca="false">IF(AND(B414="",C414="",D414="",E414="",F414="",G414="",H414="",J414="",L414="",M414="",N414=""),"",Q414)</f>
        <v/>
      </c>
      <c r="B414" s="36"/>
      <c r="C414" s="36"/>
      <c r="D414" s="36"/>
      <c r="E414" s="36"/>
      <c r="F414" s="36"/>
      <c r="G414" s="36"/>
      <c r="H414" s="36"/>
      <c r="I414" s="1" t="str">
        <f aca="false">IF($A414="","",IFERROR(IF(ISBLANK(INDEX(SprintPlanning[Sprint],MATCH($A414,SprintPlanning[Requirement ID],0))),"To Plan",INDEX(SprintPlanning[Sprint],MATCH($A414,SprintPlanning[Requirement ID],0))),"To Plan"))</f>
        <v/>
      </c>
      <c r="J414" s="36"/>
      <c r="K414" s="1" t="str">
        <f aca="false">IFERROR(IF(ISBLANK(INDEX(Release[Release],MATCH($A414,Release[Requirement ID],0))),"",INDEX(Release[Release],MATCH($A414,Release[Requirement ID],0))),"")</f>
        <v/>
      </c>
      <c r="L414" s="36"/>
      <c r="M414" s="36"/>
      <c r="P414" s="1" t="n">
        <f aca="false">IFERROR(VALUE(MID($A414,5,4)),0)</f>
        <v>0</v>
      </c>
      <c r="Q414" s="1" t="str">
        <f aca="false">IF(B414="","","NEW-"&amp;TEXT(MAX($P$2:$P413,Lists!$N$2)+1,"0000"))</f>
        <v/>
      </c>
    </row>
    <row r="415" customFormat="false" ht="15" hidden="false" customHeight="true" outlineLevel="0" collapsed="false">
      <c r="A415" s="35" t="str">
        <f aca="false">IF(AND(B415="",C415="",D415="",E415="",F415="",G415="",H415="",J415="",L415="",M415="",N415=""),"",Q415)</f>
        <v/>
      </c>
      <c r="B415" s="36"/>
      <c r="C415" s="36"/>
      <c r="D415" s="36"/>
      <c r="E415" s="36"/>
      <c r="F415" s="36"/>
      <c r="G415" s="36"/>
      <c r="H415" s="36"/>
      <c r="I415" s="1" t="str">
        <f aca="false">IF($A415="","",IFERROR(IF(ISBLANK(INDEX(SprintPlanning[Sprint],MATCH($A415,SprintPlanning[Requirement ID],0))),"To Plan",INDEX(SprintPlanning[Sprint],MATCH($A415,SprintPlanning[Requirement ID],0))),"To Plan"))</f>
        <v/>
      </c>
      <c r="J415" s="36"/>
      <c r="K415" s="1" t="str">
        <f aca="false">IFERROR(IF(ISBLANK(INDEX(Release[Release],MATCH($A415,Release[Requirement ID],0))),"",INDEX(Release[Release],MATCH($A415,Release[Requirement ID],0))),"")</f>
        <v/>
      </c>
      <c r="L415" s="36"/>
      <c r="M415" s="36"/>
      <c r="P415" s="1" t="n">
        <f aca="false">IFERROR(VALUE(MID($A415,5,4)),0)</f>
        <v>0</v>
      </c>
      <c r="Q415" s="1" t="str">
        <f aca="false">IF(B415="","","NEW-"&amp;TEXT(MAX($P$2:$P414,Lists!$N$2)+1,"0000"))</f>
        <v/>
      </c>
    </row>
    <row r="416" customFormat="false" ht="15" hidden="false" customHeight="true" outlineLevel="0" collapsed="false">
      <c r="A416" s="35" t="str">
        <f aca="false">IF(AND(B416="",C416="",D416="",E416="",F416="",G416="",H416="",J416="",L416="",M416="",N416=""),"",Q416)</f>
        <v/>
      </c>
      <c r="B416" s="36"/>
      <c r="C416" s="36"/>
      <c r="D416" s="36"/>
      <c r="E416" s="36"/>
      <c r="F416" s="36"/>
      <c r="G416" s="36"/>
      <c r="H416" s="36"/>
      <c r="I416" s="1" t="str">
        <f aca="false">IF($A416="","",IFERROR(IF(ISBLANK(INDEX(SprintPlanning[Sprint],MATCH($A416,SprintPlanning[Requirement ID],0))),"To Plan",INDEX(SprintPlanning[Sprint],MATCH($A416,SprintPlanning[Requirement ID],0))),"To Plan"))</f>
        <v/>
      </c>
      <c r="J416" s="36"/>
      <c r="K416" s="1" t="str">
        <f aca="false">IFERROR(IF(ISBLANK(INDEX(Release[Release],MATCH($A416,Release[Requirement ID],0))),"",INDEX(Release[Release],MATCH($A416,Release[Requirement ID],0))),"")</f>
        <v/>
      </c>
      <c r="L416" s="36"/>
      <c r="M416" s="36"/>
      <c r="P416" s="1" t="n">
        <f aca="false">IFERROR(VALUE(MID($A416,5,4)),0)</f>
        <v>0</v>
      </c>
      <c r="Q416" s="1" t="str">
        <f aca="false">IF(B416="","","NEW-"&amp;TEXT(MAX($P$2:$P415,Lists!$N$2)+1,"0000"))</f>
        <v/>
      </c>
    </row>
    <row r="417" customFormat="false" ht="15" hidden="false" customHeight="true" outlineLevel="0" collapsed="false">
      <c r="A417" s="35" t="str">
        <f aca="false">IF(AND(B417="",C417="",D417="",E417="",F417="",G417="",H417="",J417="",L417="",M417="",N417=""),"",Q417)</f>
        <v/>
      </c>
      <c r="B417" s="36"/>
      <c r="C417" s="36"/>
      <c r="D417" s="36"/>
      <c r="E417" s="36"/>
      <c r="F417" s="36"/>
      <c r="G417" s="36"/>
      <c r="H417" s="36"/>
      <c r="I417" s="1" t="str">
        <f aca="false">IF($A417="","",IFERROR(IF(ISBLANK(INDEX(SprintPlanning[Sprint],MATCH($A417,SprintPlanning[Requirement ID],0))),"To Plan",INDEX(SprintPlanning[Sprint],MATCH($A417,SprintPlanning[Requirement ID],0))),"To Plan"))</f>
        <v/>
      </c>
      <c r="J417" s="36"/>
      <c r="K417" s="1" t="str">
        <f aca="false">IFERROR(IF(ISBLANK(INDEX(Release[Release],MATCH($A417,Release[Requirement ID],0))),"",INDEX(Release[Release],MATCH($A417,Release[Requirement ID],0))),"")</f>
        <v/>
      </c>
      <c r="L417" s="36"/>
      <c r="M417" s="36"/>
      <c r="P417" s="1" t="n">
        <f aca="false">IFERROR(VALUE(MID($A417,5,4)),0)</f>
        <v>0</v>
      </c>
      <c r="Q417" s="1" t="str">
        <f aca="false">IF(B417="","","NEW-"&amp;TEXT(MAX($P$2:$P416,Lists!$N$2)+1,"0000"))</f>
        <v/>
      </c>
    </row>
    <row r="418" customFormat="false" ht="15" hidden="false" customHeight="true" outlineLevel="0" collapsed="false">
      <c r="A418" s="35" t="str">
        <f aca="false">IF(AND(B418="",C418="",D418="",E418="",F418="",G418="",H418="",J418="",L418="",M418="",N418=""),"",Q418)</f>
        <v/>
      </c>
      <c r="B418" s="36"/>
      <c r="C418" s="36"/>
      <c r="D418" s="36"/>
      <c r="E418" s="36"/>
      <c r="F418" s="36"/>
      <c r="G418" s="36"/>
      <c r="H418" s="36"/>
      <c r="I418" s="1" t="str">
        <f aca="false">IF($A418="","",IFERROR(IF(ISBLANK(INDEX(SprintPlanning[Sprint],MATCH($A418,SprintPlanning[Requirement ID],0))),"To Plan",INDEX(SprintPlanning[Sprint],MATCH($A418,SprintPlanning[Requirement ID],0))),"To Plan"))</f>
        <v/>
      </c>
      <c r="J418" s="36"/>
      <c r="K418" s="1" t="str">
        <f aca="false">IFERROR(IF(ISBLANK(INDEX(Release[Release],MATCH($A418,Release[Requirement ID],0))),"",INDEX(Release[Release],MATCH($A418,Release[Requirement ID],0))),"")</f>
        <v/>
      </c>
      <c r="L418" s="36"/>
      <c r="M418" s="36"/>
      <c r="P418" s="1" t="n">
        <f aca="false">IFERROR(VALUE(MID($A418,5,4)),0)</f>
        <v>0</v>
      </c>
      <c r="Q418" s="1" t="str">
        <f aca="false">IF(B418="","","NEW-"&amp;TEXT(MAX($P$2:$P417,Lists!$N$2)+1,"0000"))</f>
        <v/>
      </c>
    </row>
    <row r="419" customFormat="false" ht="15" hidden="false" customHeight="true" outlineLevel="0" collapsed="false">
      <c r="A419" s="35" t="str">
        <f aca="false">IF(AND(B419="",C419="",D419="",E419="",F419="",G419="",H419="",J419="",L419="",M419="",N419=""),"",Q419)</f>
        <v/>
      </c>
      <c r="B419" s="36"/>
      <c r="C419" s="36"/>
      <c r="D419" s="36"/>
      <c r="E419" s="36"/>
      <c r="F419" s="36"/>
      <c r="G419" s="36"/>
      <c r="H419" s="36"/>
      <c r="I419" s="1" t="str">
        <f aca="false">IF($A419="","",IFERROR(IF(ISBLANK(INDEX(SprintPlanning[Sprint],MATCH($A419,SprintPlanning[Requirement ID],0))),"To Plan",INDEX(SprintPlanning[Sprint],MATCH($A419,SprintPlanning[Requirement ID],0))),"To Plan"))</f>
        <v/>
      </c>
      <c r="J419" s="36"/>
      <c r="K419" s="1" t="str">
        <f aca="false">IFERROR(IF(ISBLANK(INDEX(Release[Release],MATCH($A419,Release[Requirement ID],0))),"",INDEX(Release[Release],MATCH($A419,Release[Requirement ID],0))),"")</f>
        <v/>
      </c>
      <c r="L419" s="36"/>
      <c r="M419" s="36"/>
      <c r="P419" s="1" t="n">
        <f aca="false">IFERROR(VALUE(MID($A419,5,4)),0)</f>
        <v>0</v>
      </c>
      <c r="Q419" s="1" t="str">
        <f aca="false">IF(B419="","","NEW-"&amp;TEXT(MAX($P$2:$P418,Lists!$N$2)+1,"0000"))</f>
        <v/>
      </c>
    </row>
    <row r="420" customFormat="false" ht="15" hidden="false" customHeight="true" outlineLevel="0" collapsed="false">
      <c r="A420" s="35" t="str">
        <f aca="false">IF(AND(B420="",C420="",D420="",E420="",F420="",G420="",H420="",J420="",L420="",M420="",N420=""),"",Q420)</f>
        <v/>
      </c>
      <c r="B420" s="36"/>
      <c r="C420" s="36"/>
      <c r="D420" s="36"/>
      <c r="E420" s="36"/>
      <c r="F420" s="36"/>
      <c r="G420" s="36"/>
      <c r="H420" s="36"/>
      <c r="I420" s="1" t="str">
        <f aca="false">IF($A420="","",IFERROR(IF(ISBLANK(INDEX(SprintPlanning[Sprint],MATCH($A420,SprintPlanning[Requirement ID],0))),"To Plan",INDEX(SprintPlanning[Sprint],MATCH($A420,SprintPlanning[Requirement ID],0))),"To Plan"))</f>
        <v/>
      </c>
      <c r="J420" s="36"/>
      <c r="K420" s="1" t="str">
        <f aca="false">IFERROR(IF(ISBLANK(INDEX(Release[Release],MATCH($A420,Release[Requirement ID],0))),"",INDEX(Release[Release],MATCH($A420,Release[Requirement ID],0))),"")</f>
        <v/>
      </c>
      <c r="L420" s="36"/>
      <c r="M420" s="36"/>
      <c r="P420" s="1" t="n">
        <f aca="false">IFERROR(VALUE(MID($A420,5,4)),0)</f>
        <v>0</v>
      </c>
      <c r="Q420" s="1" t="str">
        <f aca="false">IF(B420="","","NEW-"&amp;TEXT(MAX($P$2:$P419,Lists!$N$2)+1,"0000"))</f>
        <v/>
      </c>
    </row>
    <row r="421" customFormat="false" ht="15" hidden="false" customHeight="true" outlineLevel="0" collapsed="false">
      <c r="A421" s="35" t="str">
        <f aca="false">IF(AND(B421="",C421="",D421="",E421="",F421="",G421="",H421="",J421="",L421="",M421="",N421=""),"",Q421)</f>
        <v/>
      </c>
      <c r="B421" s="36"/>
      <c r="C421" s="36"/>
      <c r="D421" s="36"/>
      <c r="E421" s="36"/>
      <c r="F421" s="36"/>
      <c r="G421" s="36"/>
      <c r="H421" s="36"/>
      <c r="I421" s="1" t="str">
        <f aca="false">IF($A421="","",IFERROR(IF(ISBLANK(INDEX(SprintPlanning[Sprint],MATCH($A421,SprintPlanning[Requirement ID],0))),"To Plan",INDEX(SprintPlanning[Sprint],MATCH($A421,SprintPlanning[Requirement ID],0))),"To Plan"))</f>
        <v/>
      </c>
      <c r="J421" s="36"/>
      <c r="K421" s="1" t="str">
        <f aca="false">IFERROR(IF(ISBLANK(INDEX(Release[Release],MATCH($A421,Release[Requirement ID],0))),"",INDEX(Release[Release],MATCH($A421,Release[Requirement ID],0))),"")</f>
        <v/>
      </c>
      <c r="L421" s="36"/>
      <c r="M421" s="36"/>
      <c r="P421" s="1" t="n">
        <f aca="false">IFERROR(VALUE(MID($A421,5,4)),0)</f>
        <v>0</v>
      </c>
      <c r="Q421" s="1" t="str">
        <f aca="false">IF(B421="","","NEW-"&amp;TEXT(MAX($P$2:$P420,Lists!$N$2)+1,"0000"))</f>
        <v/>
      </c>
    </row>
    <row r="422" customFormat="false" ht="15" hidden="false" customHeight="true" outlineLevel="0" collapsed="false">
      <c r="A422" s="35" t="str">
        <f aca="false">IF(AND(B422="",C422="",D422="",E422="",F422="",G422="",H422="",J422="",L422="",M422="",N422=""),"",Q422)</f>
        <v/>
      </c>
      <c r="B422" s="36"/>
      <c r="C422" s="36"/>
      <c r="D422" s="36"/>
      <c r="E422" s="36"/>
      <c r="F422" s="36"/>
      <c r="G422" s="36"/>
      <c r="H422" s="36"/>
      <c r="I422" s="1" t="str">
        <f aca="false">IF($A422="","",IFERROR(IF(ISBLANK(INDEX(SprintPlanning[Sprint],MATCH($A422,SprintPlanning[Requirement ID],0))),"To Plan",INDEX(SprintPlanning[Sprint],MATCH($A422,SprintPlanning[Requirement ID],0))),"To Plan"))</f>
        <v/>
      </c>
      <c r="J422" s="36"/>
      <c r="K422" s="1" t="str">
        <f aca="false">IFERROR(IF(ISBLANK(INDEX(Release[Release],MATCH($A422,Release[Requirement ID],0))),"",INDEX(Release[Release],MATCH($A422,Release[Requirement ID],0))),"")</f>
        <v/>
      </c>
      <c r="L422" s="36"/>
      <c r="M422" s="36"/>
      <c r="P422" s="1" t="n">
        <f aca="false">IFERROR(VALUE(MID($A422,5,4)),0)</f>
        <v>0</v>
      </c>
      <c r="Q422" s="1" t="str">
        <f aca="false">IF(B422="","","NEW-"&amp;TEXT(MAX($P$2:$P421,Lists!$N$2)+1,"0000"))</f>
        <v/>
      </c>
    </row>
    <row r="423" customFormat="false" ht="15" hidden="false" customHeight="true" outlineLevel="0" collapsed="false">
      <c r="A423" s="35" t="str">
        <f aca="false">IF(AND(B423="",C423="",D423="",E423="",F423="",G423="",H423="",J423="",L423="",M423="",N423=""),"",Q423)</f>
        <v/>
      </c>
      <c r="B423" s="36"/>
      <c r="C423" s="36"/>
      <c r="D423" s="36"/>
      <c r="E423" s="36"/>
      <c r="F423" s="36"/>
      <c r="G423" s="36"/>
      <c r="H423" s="36"/>
      <c r="I423" s="1" t="str">
        <f aca="false">IF($A423="","",IFERROR(IF(ISBLANK(INDEX(SprintPlanning[Sprint],MATCH($A423,SprintPlanning[Requirement ID],0))),"To Plan",INDEX(SprintPlanning[Sprint],MATCH($A423,SprintPlanning[Requirement ID],0))),"To Plan"))</f>
        <v/>
      </c>
      <c r="J423" s="36"/>
      <c r="K423" s="1" t="str">
        <f aca="false">IFERROR(IF(ISBLANK(INDEX(Release[Release],MATCH($A423,Release[Requirement ID],0))),"",INDEX(Release[Release],MATCH($A423,Release[Requirement ID],0))),"")</f>
        <v/>
      </c>
      <c r="L423" s="36"/>
      <c r="M423" s="36"/>
      <c r="P423" s="1" t="n">
        <f aca="false">IFERROR(VALUE(MID($A423,5,4)),0)</f>
        <v>0</v>
      </c>
      <c r="Q423" s="1" t="str">
        <f aca="false">IF(B423="","","NEW-"&amp;TEXT(MAX($P$2:$P422,Lists!$N$2)+1,"0000"))</f>
        <v/>
      </c>
    </row>
    <row r="424" customFormat="false" ht="15" hidden="false" customHeight="true" outlineLevel="0" collapsed="false">
      <c r="A424" s="35" t="str">
        <f aca="false">IF(AND(B424="",C424="",D424="",E424="",F424="",G424="",H424="",J424="",L424="",M424="",N424=""),"",Q424)</f>
        <v/>
      </c>
      <c r="B424" s="36"/>
      <c r="C424" s="36"/>
      <c r="D424" s="36"/>
      <c r="E424" s="36"/>
      <c r="F424" s="36"/>
      <c r="G424" s="36"/>
      <c r="H424" s="36"/>
      <c r="I424" s="1" t="str">
        <f aca="false">IF($A424="","",IFERROR(IF(ISBLANK(INDEX(SprintPlanning[Sprint],MATCH($A424,SprintPlanning[Requirement ID],0))),"To Plan",INDEX(SprintPlanning[Sprint],MATCH($A424,SprintPlanning[Requirement ID],0))),"To Plan"))</f>
        <v/>
      </c>
      <c r="J424" s="36"/>
      <c r="K424" s="1" t="str">
        <f aca="false">IFERROR(IF(ISBLANK(INDEX(Release[Release],MATCH($A424,Release[Requirement ID],0))),"",INDEX(Release[Release],MATCH($A424,Release[Requirement ID],0))),"")</f>
        <v/>
      </c>
      <c r="L424" s="36"/>
      <c r="M424" s="36"/>
      <c r="P424" s="1" t="n">
        <f aca="false">IFERROR(VALUE(MID($A424,5,4)),0)</f>
        <v>0</v>
      </c>
      <c r="Q424" s="1" t="str">
        <f aca="false">IF(B424="","","NEW-"&amp;TEXT(MAX($P$2:$P423,Lists!$N$2)+1,"0000"))</f>
        <v/>
      </c>
    </row>
    <row r="425" customFormat="false" ht="15" hidden="false" customHeight="true" outlineLevel="0" collapsed="false">
      <c r="A425" s="35" t="str">
        <f aca="false">IF(AND(B425="",C425="",D425="",E425="",F425="",G425="",H425="",J425="",L425="",M425="",N425=""),"",Q425)</f>
        <v/>
      </c>
      <c r="B425" s="36"/>
      <c r="C425" s="36"/>
      <c r="D425" s="36"/>
      <c r="E425" s="36"/>
      <c r="F425" s="36"/>
      <c r="G425" s="36"/>
      <c r="H425" s="36"/>
      <c r="I425" s="1" t="str">
        <f aca="false">IF($A425="","",IFERROR(IF(ISBLANK(INDEX(SprintPlanning[Sprint],MATCH($A425,SprintPlanning[Requirement ID],0))),"To Plan",INDEX(SprintPlanning[Sprint],MATCH($A425,SprintPlanning[Requirement ID],0))),"To Plan"))</f>
        <v/>
      </c>
      <c r="J425" s="36"/>
      <c r="K425" s="1" t="str">
        <f aca="false">IFERROR(IF(ISBLANK(INDEX(Release[Release],MATCH($A425,Release[Requirement ID],0))),"",INDEX(Release[Release],MATCH($A425,Release[Requirement ID],0))),"")</f>
        <v/>
      </c>
      <c r="L425" s="36"/>
      <c r="M425" s="36"/>
      <c r="P425" s="1" t="n">
        <f aca="false">IFERROR(VALUE(MID($A425,5,4)),0)</f>
        <v>0</v>
      </c>
      <c r="Q425" s="1" t="str">
        <f aca="false">IF(B425="","","NEW-"&amp;TEXT(MAX($P$2:$P424,Lists!$N$2)+1,"0000"))</f>
        <v/>
      </c>
    </row>
    <row r="426" customFormat="false" ht="15" hidden="false" customHeight="true" outlineLevel="0" collapsed="false">
      <c r="A426" s="35" t="str">
        <f aca="false">IF(AND(B426="",C426="",D426="",E426="",F426="",G426="",H426="",J426="",L426="",M426="",N426=""),"",Q426)</f>
        <v/>
      </c>
      <c r="B426" s="36"/>
      <c r="C426" s="36"/>
      <c r="D426" s="36"/>
      <c r="E426" s="36"/>
      <c r="F426" s="36"/>
      <c r="G426" s="36"/>
      <c r="H426" s="36"/>
      <c r="I426" s="1" t="str">
        <f aca="false">IF($A426="","",IFERROR(IF(ISBLANK(INDEX(SprintPlanning[Sprint],MATCH($A426,SprintPlanning[Requirement ID],0))),"To Plan",INDEX(SprintPlanning[Sprint],MATCH($A426,SprintPlanning[Requirement ID],0))),"To Plan"))</f>
        <v/>
      </c>
      <c r="J426" s="36"/>
      <c r="K426" s="1" t="str">
        <f aca="false">IFERROR(IF(ISBLANK(INDEX(Release[Release],MATCH($A426,Release[Requirement ID],0))),"",INDEX(Release[Release],MATCH($A426,Release[Requirement ID],0))),"")</f>
        <v/>
      </c>
      <c r="L426" s="36"/>
      <c r="M426" s="36"/>
      <c r="P426" s="1" t="n">
        <f aca="false">IFERROR(VALUE(MID($A426,5,4)),0)</f>
        <v>0</v>
      </c>
      <c r="Q426" s="1" t="str">
        <f aca="false">IF(B426="","","NEW-"&amp;TEXT(MAX($P$2:$P425,Lists!$N$2)+1,"0000"))</f>
        <v/>
      </c>
    </row>
    <row r="427" customFormat="false" ht="15" hidden="false" customHeight="true" outlineLevel="0" collapsed="false">
      <c r="A427" s="35" t="str">
        <f aca="false">IF(AND(B427="",C427="",D427="",E427="",F427="",G427="",H427="",J427="",L427="",M427="",N427=""),"",Q427)</f>
        <v/>
      </c>
      <c r="B427" s="36"/>
      <c r="C427" s="36"/>
      <c r="D427" s="36"/>
      <c r="E427" s="36"/>
      <c r="F427" s="36"/>
      <c r="G427" s="36"/>
      <c r="H427" s="36"/>
      <c r="I427" s="1" t="str">
        <f aca="false">IF($A427="","",IFERROR(IF(ISBLANK(INDEX(SprintPlanning[Sprint],MATCH($A427,SprintPlanning[Requirement ID],0))),"To Plan",INDEX(SprintPlanning[Sprint],MATCH($A427,SprintPlanning[Requirement ID],0))),"To Plan"))</f>
        <v/>
      </c>
      <c r="J427" s="36"/>
      <c r="K427" s="1" t="str">
        <f aca="false">IFERROR(IF(ISBLANK(INDEX(Release[Release],MATCH($A427,Release[Requirement ID],0))),"",INDEX(Release[Release],MATCH($A427,Release[Requirement ID],0))),"")</f>
        <v/>
      </c>
      <c r="L427" s="36"/>
      <c r="M427" s="36"/>
      <c r="P427" s="1" t="n">
        <f aca="false">IFERROR(VALUE(MID($A427,5,4)),0)</f>
        <v>0</v>
      </c>
      <c r="Q427" s="1" t="str">
        <f aca="false">IF(B427="","","NEW-"&amp;TEXT(MAX($P$2:$P426,Lists!$N$2)+1,"0000"))</f>
        <v/>
      </c>
    </row>
    <row r="428" customFormat="false" ht="15" hidden="false" customHeight="true" outlineLevel="0" collapsed="false">
      <c r="A428" s="35" t="str">
        <f aca="false">IF(AND(B428="",C428="",D428="",E428="",F428="",G428="",H428="",J428="",L428="",M428="",N428=""),"",Q428)</f>
        <v/>
      </c>
      <c r="B428" s="36"/>
      <c r="C428" s="36"/>
      <c r="D428" s="36"/>
      <c r="E428" s="36"/>
      <c r="F428" s="36"/>
      <c r="G428" s="36"/>
      <c r="H428" s="36"/>
      <c r="I428" s="1" t="str">
        <f aca="false">IF($A428="","",IFERROR(IF(ISBLANK(INDEX(SprintPlanning[Sprint],MATCH($A428,SprintPlanning[Requirement ID],0))),"To Plan",INDEX(SprintPlanning[Sprint],MATCH($A428,SprintPlanning[Requirement ID],0))),"To Plan"))</f>
        <v/>
      </c>
      <c r="J428" s="36"/>
      <c r="K428" s="1" t="str">
        <f aca="false">IFERROR(IF(ISBLANK(INDEX(Release[Release],MATCH($A428,Release[Requirement ID],0))),"",INDEX(Release[Release],MATCH($A428,Release[Requirement ID],0))),"")</f>
        <v/>
      </c>
      <c r="L428" s="36"/>
      <c r="M428" s="36"/>
      <c r="P428" s="1" t="n">
        <f aca="false">IFERROR(VALUE(MID($A428,5,4)),0)</f>
        <v>0</v>
      </c>
      <c r="Q428" s="1" t="str">
        <f aca="false">IF(B428="","","NEW-"&amp;TEXT(MAX($P$2:$P427,Lists!$N$2)+1,"0000"))</f>
        <v/>
      </c>
    </row>
    <row r="429" customFormat="false" ht="15" hidden="false" customHeight="true" outlineLevel="0" collapsed="false">
      <c r="A429" s="35" t="str">
        <f aca="false">IF(AND(B429="",C429="",D429="",E429="",F429="",G429="",H429="",J429="",L429="",M429="",N429=""),"",Q429)</f>
        <v/>
      </c>
      <c r="B429" s="36"/>
      <c r="C429" s="36"/>
      <c r="D429" s="36"/>
      <c r="E429" s="36"/>
      <c r="F429" s="36"/>
      <c r="G429" s="36"/>
      <c r="H429" s="36"/>
      <c r="I429" s="1" t="str">
        <f aca="false">IF($A429="","",IFERROR(IF(ISBLANK(INDEX(SprintPlanning[Sprint],MATCH($A429,SprintPlanning[Requirement ID],0))),"To Plan",INDEX(SprintPlanning[Sprint],MATCH($A429,SprintPlanning[Requirement ID],0))),"To Plan"))</f>
        <v/>
      </c>
      <c r="J429" s="36"/>
      <c r="K429" s="1" t="str">
        <f aca="false">IFERROR(IF(ISBLANK(INDEX(Release[Release],MATCH($A429,Release[Requirement ID],0))),"",INDEX(Release[Release],MATCH($A429,Release[Requirement ID],0))),"")</f>
        <v/>
      </c>
      <c r="L429" s="36"/>
      <c r="M429" s="36"/>
      <c r="P429" s="1" t="n">
        <f aca="false">IFERROR(VALUE(MID($A429,5,4)),0)</f>
        <v>0</v>
      </c>
      <c r="Q429" s="1" t="str">
        <f aca="false">IF(B429="","","NEW-"&amp;TEXT(MAX($P$2:$P428,Lists!$N$2)+1,"0000"))</f>
        <v/>
      </c>
    </row>
    <row r="430" customFormat="false" ht="15" hidden="false" customHeight="true" outlineLevel="0" collapsed="false">
      <c r="A430" s="35" t="str">
        <f aca="false">IF(AND(B430="",C430="",D430="",E430="",F430="",G430="",H430="",J430="",L430="",M430="",N430=""),"",Q430)</f>
        <v/>
      </c>
      <c r="B430" s="36"/>
      <c r="C430" s="36"/>
      <c r="D430" s="36"/>
      <c r="E430" s="36"/>
      <c r="F430" s="36"/>
      <c r="G430" s="36"/>
      <c r="H430" s="36"/>
      <c r="I430" s="1" t="str">
        <f aca="false">IF($A430="","",IFERROR(IF(ISBLANK(INDEX(SprintPlanning[Sprint],MATCH($A430,SprintPlanning[Requirement ID],0))),"To Plan",INDEX(SprintPlanning[Sprint],MATCH($A430,SprintPlanning[Requirement ID],0))),"To Plan"))</f>
        <v/>
      </c>
      <c r="J430" s="36"/>
      <c r="K430" s="1" t="str">
        <f aca="false">IFERROR(IF(ISBLANK(INDEX(Release[Release],MATCH($A430,Release[Requirement ID],0))),"",INDEX(Release[Release],MATCH($A430,Release[Requirement ID],0))),"")</f>
        <v/>
      </c>
      <c r="L430" s="36"/>
      <c r="M430" s="36"/>
      <c r="P430" s="1" t="n">
        <f aca="false">IFERROR(VALUE(MID($A430,5,4)),0)</f>
        <v>0</v>
      </c>
      <c r="Q430" s="1" t="str">
        <f aca="false">IF(B430="","","NEW-"&amp;TEXT(MAX($P$2:$P429,Lists!$N$2)+1,"0000"))</f>
        <v/>
      </c>
    </row>
    <row r="431" customFormat="false" ht="15" hidden="false" customHeight="true" outlineLevel="0" collapsed="false">
      <c r="A431" s="35" t="str">
        <f aca="false">IF(AND(B431="",C431="",D431="",E431="",F431="",G431="",H431="",J431="",L431="",M431="",N431=""),"",Q431)</f>
        <v/>
      </c>
      <c r="B431" s="36"/>
      <c r="C431" s="36"/>
      <c r="D431" s="36"/>
      <c r="E431" s="36"/>
      <c r="F431" s="36"/>
      <c r="G431" s="36"/>
      <c r="H431" s="36"/>
      <c r="I431" s="1" t="str">
        <f aca="false">IF($A431="","",IFERROR(IF(ISBLANK(INDEX(SprintPlanning[Sprint],MATCH($A431,SprintPlanning[Requirement ID],0))),"To Plan",INDEX(SprintPlanning[Sprint],MATCH($A431,SprintPlanning[Requirement ID],0))),"To Plan"))</f>
        <v/>
      </c>
      <c r="J431" s="36"/>
      <c r="K431" s="1" t="str">
        <f aca="false">IFERROR(IF(ISBLANK(INDEX(Release[Release],MATCH($A431,Release[Requirement ID],0))),"",INDEX(Release[Release],MATCH($A431,Release[Requirement ID],0))),"")</f>
        <v/>
      </c>
      <c r="L431" s="36"/>
      <c r="M431" s="36"/>
      <c r="P431" s="1" t="n">
        <f aca="false">IFERROR(VALUE(MID($A431,5,4)),0)</f>
        <v>0</v>
      </c>
      <c r="Q431" s="1" t="str">
        <f aca="false">IF(B431="","","NEW-"&amp;TEXT(MAX($P$2:$P430,Lists!$N$2)+1,"0000"))</f>
        <v/>
      </c>
    </row>
    <row r="432" customFormat="false" ht="15" hidden="false" customHeight="true" outlineLevel="0" collapsed="false">
      <c r="A432" s="35" t="str">
        <f aca="false">IF(AND(B432="",C432="",D432="",E432="",F432="",G432="",H432="",J432="",L432="",M432="",N432=""),"",Q432)</f>
        <v/>
      </c>
      <c r="B432" s="36"/>
      <c r="C432" s="36"/>
      <c r="D432" s="36"/>
      <c r="E432" s="36"/>
      <c r="F432" s="36"/>
      <c r="G432" s="36"/>
      <c r="H432" s="36"/>
      <c r="I432" s="1" t="str">
        <f aca="false">IF($A432="","",IFERROR(IF(ISBLANK(INDEX(SprintPlanning[Sprint],MATCH($A432,SprintPlanning[Requirement ID],0))),"To Plan",INDEX(SprintPlanning[Sprint],MATCH($A432,SprintPlanning[Requirement ID],0))),"To Plan"))</f>
        <v/>
      </c>
      <c r="J432" s="36"/>
      <c r="K432" s="1" t="str">
        <f aca="false">IFERROR(IF(ISBLANK(INDEX(Release[Release],MATCH($A432,Release[Requirement ID],0))),"",INDEX(Release[Release],MATCH($A432,Release[Requirement ID],0))),"")</f>
        <v/>
      </c>
      <c r="L432" s="36"/>
      <c r="M432" s="36"/>
      <c r="P432" s="1" t="n">
        <f aca="false">IFERROR(VALUE(MID($A432,5,4)),0)</f>
        <v>0</v>
      </c>
      <c r="Q432" s="1" t="str">
        <f aca="false">IF(B432="","","NEW-"&amp;TEXT(MAX($P$2:$P431,Lists!$N$2)+1,"0000"))</f>
        <v/>
      </c>
    </row>
    <row r="433" customFormat="false" ht="15" hidden="false" customHeight="true" outlineLevel="0" collapsed="false">
      <c r="A433" s="35" t="str">
        <f aca="false">IF(AND(B433="",C433="",D433="",E433="",F433="",G433="",H433="",J433="",L433="",M433="",N433=""),"",Q433)</f>
        <v/>
      </c>
      <c r="B433" s="36"/>
      <c r="C433" s="36"/>
      <c r="D433" s="36"/>
      <c r="E433" s="36"/>
      <c r="F433" s="36"/>
      <c r="G433" s="36"/>
      <c r="H433" s="36"/>
      <c r="I433" s="1" t="str">
        <f aca="false">IF($A433="","",IFERROR(IF(ISBLANK(INDEX(SprintPlanning[Sprint],MATCH($A433,SprintPlanning[Requirement ID],0))),"To Plan",INDEX(SprintPlanning[Sprint],MATCH($A433,SprintPlanning[Requirement ID],0))),"To Plan"))</f>
        <v/>
      </c>
      <c r="J433" s="36"/>
      <c r="K433" s="1" t="str">
        <f aca="false">IFERROR(IF(ISBLANK(INDEX(Release[Release],MATCH($A433,Release[Requirement ID],0))),"",INDEX(Release[Release],MATCH($A433,Release[Requirement ID],0))),"")</f>
        <v/>
      </c>
      <c r="L433" s="36"/>
      <c r="M433" s="36"/>
      <c r="P433" s="1" t="n">
        <f aca="false">IFERROR(VALUE(MID($A433,5,4)),0)</f>
        <v>0</v>
      </c>
      <c r="Q433" s="1" t="str">
        <f aca="false">IF(B433="","","NEW-"&amp;TEXT(MAX($P$2:$P432,Lists!$N$2)+1,"0000"))</f>
        <v/>
      </c>
    </row>
    <row r="434" customFormat="false" ht="15" hidden="false" customHeight="true" outlineLevel="0" collapsed="false">
      <c r="A434" s="35" t="str">
        <f aca="false">IF(AND(B434="",C434="",D434="",E434="",F434="",G434="",H434="",J434="",L434="",M434="",N434=""),"",Q434)</f>
        <v/>
      </c>
      <c r="B434" s="36"/>
      <c r="C434" s="36"/>
      <c r="D434" s="36"/>
      <c r="E434" s="36"/>
      <c r="F434" s="36"/>
      <c r="G434" s="36"/>
      <c r="H434" s="36"/>
      <c r="I434" s="1" t="str">
        <f aca="false">IF($A434="","",IFERROR(IF(ISBLANK(INDEX(SprintPlanning[Sprint],MATCH($A434,SprintPlanning[Requirement ID],0))),"To Plan",INDEX(SprintPlanning[Sprint],MATCH($A434,SprintPlanning[Requirement ID],0))),"To Plan"))</f>
        <v/>
      </c>
      <c r="J434" s="36"/>
      <c r="K434" s="1" t="str">
        <f aca="false">IFERROR(IF(ISBLANK(INDEX(Release[Release],MATCH($A434,Release[Requirement ID],0))),"",INDEX(Release[Release],MATCH($A434,Release[Requirement ID],0))),"")</f>
        <v/>
      </c>
      <c r="L434" s="36"/>
      <c r="M434" s="36"/>
      <c r="P434" s="1" t="n">
        <f aca="false">IFERROR(VALUE(MID($A434,5,4)),0)</f>
        <v>0</v>
      </c>
      <c r="Q434" s="1" t="str">
        <f aca="false">IF(B434="","","NEW-"&amp;TEXT(MAX($P$2:$P433,Lists!$N$2)+1,"0000"))</f>
        <v/>
      </c>
    </row>
    <row r="435" customFormat="false" ht="15" hidden="false" customHeight="true" outlineLevel="0" collapsed="false">
      <c r="A435" s="35" t="str">
        <f aca="false">IF(AND(B435="",C435="",D435="",E435="",F435="",G435="",H435="",J435="",L435="",M435="",N435=""),"",Q435)</f>
        <v/>
      </c>
      <c r="B435" s="36"/>
      <c r="C435" s="36"/>
      <c r="D435" s="36"/>
      <c r="E435" s="36"/>
      <c r="F435" s="36"/>
      <c r="G435" s="36"/>
      <c r="H435" s="36"/>
      <c r="I435" s="1" t="str">
        <f aca="false">IF($A435="","",IFERROR(IF(ISBLANK(INDEX(SprintPlanning[Sprint],MATCH($A435,SprintPlanning[Requirement ID],0))),"To Plan",INDEX(SprintPlanning[Sprint],MATCH($A435,SprintPlanning[Requirement ID],0))),"To Plan"))</f>
        <v/>
      </c>
      <c r="J435" s="36"/>
      <c r="K435" s="1" t="str">
        <f aca="false">IFERROR(IF(ISBLANK(INDEX(Release[Release],MATCH($A435,Release[Requirement ID],0))),"",INDEX(Release[Release],MATCH($A435,Release[Requirement ID],0))),"")</f>
        <v/>
      </c>
      <c r="L435" s="36"/>
      <c r="M435" s="36"/>
      <c r="P435" s="1" t="n">
        <f aca="false">IFERROR(VALUE(MID($A435,5,4)),0)</f>
        <v>0</v>
      </c>
      <c r="Q435" s="1" t="str">
        <f aca="false">IF(B435="","","NEW-"&amp;TEXT(MAX($P$2:$P434,Lists!$N$2)+1,"0000"))</f>
        <v/>
      </c>
    </row>
    <row r="436" customFormat="false" ht="15" hidden="false" customHeight="true" outlineLevel="0" collapsed="false">
      <c r="A436" s="35" t="str">
        <f aca="false">IF(AND(B436="",C436="",D436="",E436="",F436="",G436="",H436="",J436="",L436="",M436="",N436=""),"",Q436)</f>
        <v/>
      </c>
      <c r="B436" s="36"/>
      <c r="C436" s="36"/>
      <c r="D436" s="36"/>
      <c r="E436" s="36"/>
      <c r="F436" s="36"/>
      <c r="G436" s="36"/>
      <c r="H436" s="36"/>
      <c r="I436" s="1" t="str">
        <f aca="false">IF($A436="","",IFERROR(IF(ISBLANK(INDEX(SprintPlanning[Sprint],MATCH($A436,SprintPlanning[Requirement ID],0))),"To Plan",INDEX(SprintPlanning[Sprint],MATCH($A436,SprintPlanning[Requirement ID],0))),"To Plan"))</f>
        <v/>
      </c>
      <c r="J436" s="36"/>
      <c r="K436" s="1" t="str">
        <f aca="false">IFERROR(IF(ISBLANK(INDEX(Release[Release],MATCH($A436,Release[Requirement ID],0))),"",INDEX(Release[Release],MATCH($A436,Release[Requirement ID],0))),"")</f>
        <v/>
      </c>
      <c r="L436" s="36"/>
      <c r="M436" s="36"/>
      <c r="P436" s="1" t="n">
        <f aca="false">IFERROR(VALUE(MID($A436,5,4)),0)</f>
        <v>0</v>
      </c>
      <c r="Q436" s="1" t="str">
        <f aca="false">IF(B436="","","NEW-"&amp;TEXT(MAX($P$2:$P435,Lists!$N$2)+1,"0000"))</f>
        <v/>
      </c>
    </row>
    <row r="437" customFormat="false" ht="15" hidden="false" customHeight="true" outlineLevel="0" collapsed="false">
      <c r="A437" s="35" t="str">
        <f aca="false">IF(AND(B437="",C437="",D437="",E437="",F437="",G437="",H437="",J437="",L437="",M437="",N437=""),"",Q437)</f>
        <v/>
      </c>
      <c r="B437" s="36"/>
      <c r="C437" s="36"/>
      <c r="D437" s="36"/>
      <c r="E437" s="36"/>
      <c r="F437" s="36"/>
      <c r="G437" s="36"/>
      <c r="H437" s="36"/>
      <c r="I437" s="1" t="str">
        <f aca="false">IF($A437="","",IFERROR(IF(ISBLANK(INDEX(SprintPlanning[Sprint],MATCH($A437,SprintPlanning[Requirement ID],0))),"To Plan",INDEX(SprintPlanning[Sprint],MATCH($A437,SprintPlanning[Requirement ID],0))),"To Plan"))</f>
        <v/>
      </c>
      <c r="J437" s="36"/>
      <c r="K437" s="1" t="str">
        <f aca="false">IFERROR(IF(ISBLANK(INDEX(Release[Release],MATCH($A437,Release[Requirement ID],0))),"",INDEX(Release[Release],MATCH($A437,Release[Requirement ID],0))),"")</f>
        <v/>
      </c>
      <c r="L437" s="36"/>
      <c r="M437" s="36"/>
      <c r="P437" s="1" t="n">
        <f aca="false">IFERROR(VALUE(MID($A437,5,4)),0)</f>
        <v>0</v>
      </c>
      <c r="Q437" s="1" t="str">
        <f aca="false">IF(B437="","","NEW-"&amp;TEXT(MAX($P$2:$P436,Lists!$N$2)+1,"0000"))</f>
        <v/>
      </c>
    </row>
    <row r="438" customFormat="false" ht="15" hidden="false" customHeight="true" outlineLevel="0" collapsed="false">
      <c r="A438" s="35" t="str">
        <f aca="false">IF(AND(B438="",C438="",D438="",E438="",F438="",G438="",H438="",J438="",L438="",M438="",N438=""),"",Q438)</f>
        <v/>
      </c>
      <c r="B438" s="36"/>
      <c r="C438" s="36"/>
      <c r="D438" s="36"/>
      <c r="E438" s="36"/>
      <c r="F438" s="36"/>
      <c r="G438" s="36"/>
      <c r="H438" s="36"/>
      <c r="I438" s="1" t="str">
        <f aca="false">IF($A438="","",IFERROR(IF(ISBLANK(INDEX(SprintPlanning[Sprint],MATCH($A438,SprintPlanning[Requirement ID],0))),"To Plan",INDEX(SprintPlanning[Sprint],MATCH($A438,SprintPlanning[Requirement ID],0))),"To Plan"))</f>
        <v/>
      </c>
      <c r="J438" s="36"/>
      <c r="K438" s="1" t="str">
        <f aca="false">IFERROR(IF(ISBLANK(INDEX(Release[Release],MATCH($A438,Release[Requirement ID],0))),"",INDEX(Release[Release],MATCH($A438,Release[Requirement ID],0))),"")</f>
        <v/>
      </c>
      <c r="L438" s="36"/>
      <c r="M438" s="36"/>
      <c r="P438" s="1" t="n">
        <f aca="false">IFERROR(VALUE(MID($A438,5,4)),0)</f>
        <v>0</v>
      </c>
      <c r="Q438" s="1" t="str">
        <f aca="false">IF(B438="","","NEW-"&amp;TEXT(MAX($P$2:$P437,Lists!$N$2)+1,"0000"))</f>
        <v/>
      </c>
    </row>
    <row r="439" customFormat="false" ht="15" hidden="false" customHeight="true" outlineLevel="0" collapsed="false">
      <c r="A439" s="35" t="str">
        <f aca="false">IF(AND(B439="",C439="",D439="",E439="",F439="",G439="",H439="",J439="",L439="",M439="",N439=""),"",Q439)</f>
        <v/>
      </c>
      <c r="B439" s="36"/>
      <c r="C439" s="36"/>
      <c r="D439" s="36"/>
      <c r="E439" s="36"/>
      <c r="F439" s="36"/>
      <c r="G439" s="36"/>
      <c r="H439" s="36"/>
      <c r="I439" s="1" t="str">
        <f aca="false">IF($A439="","",IFERROR(IF(ISBLANK(INDEX(SprintPlanning[Sprint],MATCH($A439,SprintPlanning[Requirement ID],0))),"To Plan",INDEX(SprintPlanning[Sprint],MATCH($A439,SprintPlanning[Requirement ID],0))),"To Plan"))</f>
        <v/>
      </c>
      <c r="J439" s="36"/>
      <c r="K439" s="1" t="str">
        <f aca="false">IFERROR(IF(ISBLANK(INDEX(Release[Release],MATCH($A439,Release[Requirement ID],0))),"",INDEX(Release[Release],MATCH($A439,Release[Requirement ID],0))),"")</f>
        <v/>
      </c>
      <c r="L439" s="36"/>
      <c r="M439" s="36"/>
      <c r="P439" s="1" t="n">
        <f aca="false">IFERROR(VALUE(MID($A439,5,4)),0)</f>
        <v>0</v>
      </c>
      <c r="Q439" s="1" t="str">
        <f aca="false">IF(B439="","","NEW-"&amp;TEXT(MAX($P$2:$P438,Lists!$N$2)+1,"0000"))</f>
        <v/>
      </c>
    </row>
    <row r="440" customFormat="false" ht="15" hidden="false" customHeight="true" outlineLevel="0" collapsed="false">
      <c r="A440" s="35" t="str">
        <f aca="false">IF(AND(B440="",C440="",D440="",E440="",F440="",G440="",H440="",J440="",L440="",M440="",N440=""),"",Q440)</f>
        <v/>
      </c>
      <c r="B440" s="36"/>
      <c r="C440" s="36"/>
      <c r="D440" s="36"/>
      <c r="E440" s="36"/>
      <c r="F440" s="36"/>
      <c r="G440" s="36"/>
      <c r="H440" s="36"/>
      <c r="I440" s="1" t="str">
        <f aca="false">IF($A440="","",IFERROR(IF(ISBLANK(INDEX(SprintPlanning[Sprint],MATCH($A440,SprintPlanning[Requirement ID],0))),"To Plan",INDEX(SprintPlanning[Sprint],MATCH($A440,SprintPlanning[Requirement ID],0))),"To Plan"))</f>
        <v/>
      </c>
      <c r="J440" s="36"/>
      <c r="K440" s="1" t="str">
        <f aca="false">IFERROR(IF(ISBLANK(INDEX(Release[Release],MATCH($A440,Release[Requirement ID],0))),"",INDEX(Release[Release],MATCH($A440,Release[Requirement ID],0))),"")</f>
        <v/>
      </c>
      <c r="L440" s="36"/>
      <c r="M440" s="36"/>
      <c r="P440" s="1" t="n">
        <f aca="false">IFERROR(VALUE(MID($A440,5,4)),0)</f>
        <v>0</v>
      </c>
      <c r="Q440" s="1" t="str">
        <f aca="false">IF(B440="","","NEW-"&amp;TEXT(MAX($P$2:$P439,Lists!$N$2)+1,"0000"))</f>
        <v/>
      </c>
    </row>
    <row r="441" customFormat="false" ht="15" hidden="false" customHeight="true" outlineLevel="0" collapsed="false">
      <c r="A441" s="35" t="str">
        <f aca="false">IF(AND(B441="",C441="",D441="",E441="",F441="",G441="",H441="",J441="",L441="",M441="",N441=""),"",Q441)</f>
        <v/>
      </c>
      <c r="B441" s="36"/>
      <c r="C441" s="36"/>
      <c r="D441" s="36"/>
      <c r="E441" s="36"/>
      <c r="F441" s="36"/>
      <c r="G441" s="36"/>
      <c r="H441" s="36"/>
      <c r="I441" s="1" t="str">
        <f aca="false">IF($A441="","",IFERROR(IF(ISBLANK(INDEX(SprintPlanning[Sprint],MATCH($A441,SprintPlanning[Requirement ID],0))),"To Plan",INDEX(SprintPlanning[Sprint],MATCH($A441,SprintPlanning[Requirement ID],0))),"To Plan"))</f>
        <v/>
      </c>
      <c r="J441" s="36"/>
      <c r="K441" s="1" t="str">
        <f aca="false">IFERROR(IF(ISBLANK(INDEX(Release[Release],MATCH($A441,Release[Requirement ID],0))),"",INDEX(Release[Release],MATCH($A441,Release[Requirement ID],0))),"")</f>
        <v/>
      </c>
      <c r="L441" s="36"/>
      <c r="M441" s="36"/>
      <c r="P441" s="1" t="n">
        <f aca="false">IFERROR(VALUE(MID($A441,5,4)),0)</f>
        <v>0</v>
      </c>
      <c r="Q441" s="1" t="str">
        <f aca="false">IF(B441="","","NEW-"&amp;TEXT(MAX($P$2:$P440,Lists!$N$2)+1,"0000"))</f>
        <v/>
      </c>
    </row>
    <row r="442" customFormat="false" ht="15" hidden="false" customHeight="true" outlineLevel="0" collapsed="false">
      <c r="A442" s="35" t="str">
        <f aca="false">IF(AND(B442="",C442="",D442="",E442="",F442="",G442="",H442="",J442="",L442="",M442="",N442=""),"",Q442)</f>
        <v/>
      </c>
      <c r="B442" s="36"/>
      <c r="C442" s="36"/>
      <c r="D442" s="36"/>
      <c r="E442" s="36"/>
      <c r="F442" s="36"/>
      <c r="G442" s="36"/>
      <c r="H442" s="36"/>
      <c r="I442" s="1" t="str">
        <f aca="false">IF($A442="","",IFERROR(IF(ISBLANK(INDEX(SprintPlanning[Sprint],MATCH($A442,SprintPlanning[Requirement ID],0))),"To Plan",INDEX(SprintPlanning[Sprint],MATCH($A442,SprintPlanning[Requirement ID],0))),"To Plan"))</f>
        <v/>
      </c>
      <c r="J442" s="36"/>
      <c r="K442" s="1" t="str">
        <f aca="false">IFERROR(IF(ISBLANK(INDEX(Release[Release],MATCH($A442,Release[Requirement ID],0))),"",INDEX(Release[Release],MATCH($A442,Release[Requirement ID],0))),"")</f>
        <v/>
      </c>
      <c r="L442" s="36"/>
      <c r="M442" s="36"/>
      <c r="P442" s="1" t="n">
        <f aca="false">IFERROR(VALUE(MID($A442,5,4)),0)</f>
        <v>0</v>
      </c>
      <c r="Q442" s="1" t="str">
        <f aca="false">IF(B442="","","NEW-"&amp;TEXT(MAX($P$2:$P441,Lists!$N$2)+1,"0000"))</f>
        <v/>
      </c>
    </row>
    <row r="443" customFormat="false" ht="15" hidden="false" customHeight="true" outlineLevel="0" collapsed="false">
      <c r="A443" s="35" t="str">
        <f aca="false">IF(AND(B443="",C443="",D443="",E443="",F443="",G443="",H443="",J443="",L443="",M443="",N443=""),"",Q443)</f>
        <v/>
      </c>
      <c r="B443" s="36"/>
      <c r="C443" s="36"/>
      <c r="D443" s="36"/>
      <c r="E443" s="36"/>
      <c r="F443" s="36"/>
      <c r="G443" s="36"/>
      <c r="H443" s="36"/>
      <c r="I443" s="1" t="str">
        <f aca="false">IF($A443="","",IFERROR(IF(ISBLANK(INDEX(SprintPlanning[Sprint],MATCH($A443,SprintPlanning[Requirement ID],0))),"To Plan",INDEX(SprintPlanning[Sprint],MATCH($A443,SprintPlanning[Requirement ID],0))),"To Plan"))</f>
        <v/>
      </c>
      <c r="J443" s="36"/>
      <c r="K443" s="1" t="str">
        <f aca="false">IFERROR(IF(ISBLANK(INDEX(Release[Release],MATCH($A443,Release[Requirement ID],0))),"",INDEX(Release[Release],MATCH($A443,Release[Requirement ID],0))),"")</f>
        <v/>
      </c>
      <c r="L443" s="36"/>
      <c r="M443" s="36"/>
      <c r="P443" s="1" t="n">
        <f aca="false">IFERROR(VALUE(MID($A443,5,4)),0)</f>
        <v>0</v>
      </c>
      <c r="Q443" s="1" t="str">
        <f aca="false">IF(B443="","","NEW-"&amp;TEXT(MAX($P$2:$P442,Lists!$N$2)+1,"0000"))</f>
        <v/>
      </c>
    </row>
    <row r="444" customFormat="false" ht="15" hidden="false" customHeight="true" outlineLevel="0" collapsed="false">
      <c r="A444" s="35" t="str">
        <f aca="false">IF(AND(B444="",C444="",D444="",E444="",F444="",G444="",H444="",J444="",L444="",M444="",N444=""),"",Q444)</f>
        <v/>
      </c>
      <c r="B444" s="36"/>
      <c r="C444" s="36"/>
      <c r="D444" s="36"/>
      <c r="E444" s="36"/>
      <c r="F444" s="36"/>
      <c r="G444" s="36"/>
      <c r="H444" s="36"/>
      <c r="I444" s="1" t="str">
        <f aca="false">IF($A444="","",IFERROR(IF(ISBLANK(INDEX(SprintPlanning[Sprint],MATCH($A444,SprintPlanning[Requirement ID],0))),"To Plan",INDEX(SprintPlanning[Sprint],MATCH($A444,SprintPlanning[Requirement ID],0))),"To Plan"))</f>
        <v/>
      </c>
      <c r="J444" s="36"/>
      <c r="K444" s="1" t="str">
        <f aca="false">IFERROR(IF(ISBLANK(INDEX(Release[Release],MATCH($A444,Release[Requirement ID],0))),"",INDEX(Release[Release],MATCH($A444,Release[Requirement ID],0))),"")</f>
        <v/>
      </c>
      <c r="L444" s="36"/>
      <c r="M444" s="36"/>
      <c r="P444" s="1" t="n">
        <f aca="false">IFERROR(VALUE(MID($A444,5,4)),0)</f>
        <v>0</v>
      </c>
      <c r="Q444" s="1" t="str">
        <f aca="false">IF(B444="","","NEW-"&amp;TEXT(MAX($P$2:$P443,Lists!$N$2)+1,"0000"))</f>
        <v/>
      </c>
    </row>
    <row r="445" customFormat="false" ht="15" hidden="false" customHeight="true" outlineLevel="0" collapsed="false">
      <c r="A445" s="35" t="str">
        <f aca="false">IF(AND(B445="",C445="",D445="",E445="",F445="",G445="",H445="",J445="",L445="",M445="",N445=""),"",Q445)</f>
        <v/>
      </c>
      <c r="B445" s="36"/>
      <c r="C445" s="36"/>
      <c r="D445" s="36"/>
      <c r="E445" s="36"/>
      <c r="F445" s="36"/>
      <c r="G445" s="36"/>
      <c r="H445" s="36"/>
      <c r="I445" s="1" t="str">
        <f aca="false">IF($A445="","",IFERROR(IF(ISBLANK(INDEX(SprintPlanning[Sprint],MATCH($A445,SprintPlanning[Requirement ID],0))),"To Plan",INDEX(SprintPlanning[Sprint],MATCH($A445,SprintPlanning[Requirement ID],0))),"To Plan"))</f>
        <v/>
      </c>
      <c r="J445" s="36"/>
      <c r="K445" s="1" t="str">
        <f aca="false">IFERROR(IF(ISBLANK(INDEX(Release[Release],MATCH($A445,Release[Requirement ID],0))),"",INDEX(Release[Release],MATCH($A445,Release[Requirement ID],0))),"")</f>
        <v/>
      </c>
      <c r="L445" s="36"/>
      <c r="M445" s="36"/>
      <c r="P445" s="1" t="n">
        <f aca="false">IFERROR(VALUE(MID($A445,5,4)),0)</f>
        <v>0</v>
      </c>
      <c r="Q445" s="1" t="str">
        <f aca="false">IF(B445="","","NEW-"&amp;TEXT(MAX($P$2:$P444,Lists!$N$2)+1,"0000"))</f>
        <v/>
      </c>
    </row>
    <row r="446" customFormat="false" ht="15" hidden="false" customHeight="true" outlineLevel="0" collapsed="false">
      <c r="A446" s="35" t="str">
        <f aca="false">IF(AND(B446="",C446="",D446="",E446="",F446="",G446="",H446="",J446="",L446="",M446="",N446=""),"",Q446)</f>
        <v/>
      </c>
      <c r="B446" s="36"/>
      <c r="C446" s="36"/>
      <c r="D446" s="36"/>
      <c r="E446" s="36"/>
      <c r="F446" s="36"/>
      <c r="G446" s="36"/>
      <c r="H446" s="36"/>
      <c r="I446" s="1" t="str">
        <f aca="false">IF($A446="","",IFERROR(IF(ISBLANK(INDEX(SprintPlanning[Sprint],MATCH($A446,SprintPlanning[Requirement ID],0))),"To Plan",INDEX(SprintPlanning[Sprint],MATCH($A446,SprintPlanning[Requirement ID],0))),"To Plan"))</f>
        <v/>
      </c>
      <c r="J446" s="36"/>
      <c r="K446" s="1" t="str">
        <f aca="false">IFERROR(IF(ISBLANK(INDEX(Release[Release],MATCH($A446,Release[Requirement ID],0))),"",INDEX(Release[Release],MATCH($A446,Release[Requirement ID],0))),"")</f>
        <v/>
      </c>
      <c r="L446" s="36"/>
      <c r="M446" s="36"/>
      <c r="P446" s="1" t="n">
        <f aca="false">IFERROR(VALUE(MID($A446,5,4)),0)</f>
        <v>0</v>
      </c>
      <c r="Q446" s="1" t="str">
        <f aca="false">IF(B446="","","NEW-"&amp;TEXT(MAX($P$2:$P445,Lists!$N$2)+1,"0000"))</f>
        <v/>
      </c>
    </row>
    <row r="447" customFormat="false" ht="15" hidden="false" customHeight="true" outlineLevel="0" collapsed="false">
      <c r="A447" s="35" t="str">
        <f aca="false">IF(AND(B447="",C447="",D447="",E447="",F447="",G447="",H447="",J447="",L447="",M447="",N447=""),"",Q447)</f>
        <v/>
      </c>
      <c r="B447" s="36"/>
      <c r="C447" s="36"/>
      <c r="D447" s="36"/>
      <c r="E447" s="36"/>
      <c r="F447" s="36"/>
      <c r="G447" s="36"/>
      <c r="H447" s="36"/>
      <c r="I447" s="1" t="str">
        <f aca="false">IF($A447="","",IFERROR(IF(ISBLANK(INDEX(SprintPlanning[Sprint],MATCH($A447,SprintPlanning[Requirement ID],0))),"To Plan",INDEX(SprintPlanning[Sprint],MATCH($A447,SprintPlanning[Requirement ID],0))),"To Plan"))</f>
        <v/>
      </c>
      <c r="J447" s="36"/>
      <c r="K447" s="1" t="str">
        <f aca="false">IFERROR(IF(ISBLANK(INDEX(Release[Release],MATCH($A447,Release[Requirement ID],0))),"",INDEX(Release[Release],MATCH($A447,Release[Requirement ID],0))),"")</f>
        <v/>
      </c>
      <c r="L447" s="36"/>
      <c r="M447" s="36"/>
      <c r="P447" s="1" t="n">
        <f aca="false">IFERROR(VALUE(MID($A447,5,4)),0)</f>
        <v>0</v>
      </c>
      <c r="Q447" s="1" t="str">
        <f aca="false">IF(B447="","","NEW-"&amp;TEXT(MAX($P$2:$P446,Lists!$N$2)+1,"0000"))</f>
        <v/>
      </c>
    </row>
    <row r="448" customFormat="false" ht="15" hidden="false" customHeight="true" outlineLevel="0" collapsed="false">
      <c r="A448" s="35" t="str">
        <f aca="false">IF(AND(B448="",C448="",D448="",E448="",F448="",G448="",H448="",J448="",L448="",M448="",N448=""),"",Q448)</f>
        <v/>
      </c>
      <c r="B448" s="36"/>
      <c r="C448" s="36"/>
      <c r="D448" s="36"/>
      <c r="E448" s="36"/>
      <c r="F448" s="36"/>
      <c r="G448" s="36"/>
      <c r="H448" s="36"/>
      <c r="I448" s="1" t="str">
        <f aca="false">IF($A448="","",IFERROR(IF(ISBLANK(INDEX(SprintPlanning[Sprint],MATCH($A448,SprintPlanning[Requirement ID],0))),"To Plan",INDEX(SprintPlanning[Sprint],MATCH($A448,SprintPlanning[Requirement ID],0))),"To Plan"))</f>
        <v/>
      </c>
      <c r="J448" s="36"/>
      <c r="K448" s="1" t="str">
        <f aca="false">IFERROR(IF(ISBLANK(INDEX(Release[Release],MATCH($A448,Release[Requirement ID],0))),"",INDEX(Release[Release],MATCH($A448,Release[Requirement ID],0))),"")</f>
        <v/>
      </c>
      <c r="L448" s="36"/>
      <c r="M448" s="36"/>
      <c r="P448" s="1" t="n">
        <f aca="false">IFERROR(VALUE(MID($A448,5,4)),0)</f>
        <v>0</v>
      </c>
      <c r="Q448" s="1" t="str">
        <f aca="false">IF(B448="","","NEW-"&amp;TEXT(MAX($P$2:$P447,Lists!$N$2)+1,"0000"))</f>
        <v/>
      </c>
    </row>
    <row r="449" customFormat="false" ht="15" hidden="false" customHeight="true" outlineLevel="0" collapsed="false">
      <c r="A449" s="35" t="str">
        <f aca="false">IF(AND(B449="",C449="",D449="",E449="",F449="",G449="",H449="",J449="",L449="",M449="",N449=""),"",Q449)</f>
        <v/>
      </c>
      <c r="B449" s="36"/>
      <c r="C449" s="36"/>
      <c r="D449" s="36"/>
      <c r="E449" s="36"/>
      <c r="F449" s="36"/>
      <c r="G449" s="36"/>
      <c r="H449" s="36"/>
      <c r="I449" s="1" t="str">
        <f aca="false">IF($A449="","",IFERROR(IF(ISBLANK(INDEX(SprintPlanning[Sprint],MATCH($A449,SprintPlanning[Requirement ID],0))),"To Plan",INDEX(SprintPlanning[Sprint],MATCH($A449,SprintPlanning[Requirement ID],0))),"To Plan"))</f>
        <v/>
      </c>
      <c r="J449" s="36"/>
      <c r="K449" s="1" t="str">
        <f aca="false">IFERROR(IF(ISBLANK(INDEX(Release[Release],MATCH($A449,Release[Requirement ID],0))),"",INDEX(Release[Release],MATCH($A449,Release[Requirement ID],0))),"")</f>
        <v/>
      </c>
      <c r="L449" s="36"/>
      <c r="M449" s="36"/>
      <c r="P449" s="1" t="n">
        <f aca="false">IFERROR(VALUE(MID($A449,5,4)),0)</f>
        <v>0</v>
      </c>
      <c r="Q449" s="1" t="str">
        <f aca="false">IF(B449="","","NEW-"&amp;TEXT(MAX($P$2:$P448,Lists!$N$2)+1,"0000"))</f>
        <v/>
      </c>
    </row>
    <row r="450" customFormat="false" ht="15" hidden="false" customHeight="true" outlineLevel="0" collapsed="false">
      <c r="A450" s="35" t="str">
        <f aca="false">IF(AND(B450="",C450="",D450="",E450="",F450="",G450="",H450="",J450="",L450="",M450="",N450=""),"",Q450)</f>
        <v/>
      </c>
      <c r="B450" s="36"/>
      <c r="C450" s="36"/>
      <c r="D450" s="36"/>
      <c r="E450" s="36"/>
      <c r="F450" s="36"/>
      <c r="G450" s="36"/>
      <c r="H450" s="36"/>
      <c r="I450" s="1" t="str">
        <f aca="false">IF($A450="","",IFERROR(IF(ISBLANK(INDEX(SprintPlanning[Sprint],MATCH($A450,SprintPlanning[Requirement ID],0))),"To Plan",INDEX(SprintPlanning[Sprint],MATCH($A450,SprintPlanning[Requirement ID],0))),"To Plan"))</f>
        <v/>
      </c>
      <c r="J450" s="36"/>
      <c r="K450" s="1" t="str">
        <f aca="false">IFERROR(IF(ISBLANK(INDEX(Release[Release],MATCH($A450,Release[Requirement ID],0))),"",INDEX(Release[Release],MATCH($A450,Release[Requirement ID],0))),"")</f>
        <v/>
      </c>
      <c r="L450" s="36"/>
      <c r="M450" s="36"/>
      <c r="P450" s="1" t="n">
        <f aca="false">IFERROR(VALUE(MID($A450,5,4)),0)</f>
        <v>0</v>
      </c>
      <c r="Q450" s="1" t="str">
        <f aca="false">IF(B450="","","NEW-"&amp;TEXT(MAX($P$2:$P449,Lists!$N$2)+1,"0000"))</f>
        <v/>
      </c>
    </row>
    <row r="451" customFormat="false" ht="15" hidden="false" customHeight="true" outlineLevel="0" collapsed="false">
      <c r="A451" s="35" t="str">
        <f aca="false">IF(AND(B451="",C451="",D451="",E451="",F451="",G451="",H451="",J451="",L451="",M451="",N451=""),"",Q451)</f>
        <v/>
      </c>
      <c r="B451" s="36"/>
      <c r="C451" s="36"/>
      <c r="D451" s="36"/>
      <c r="E451" s="36"/>
      <c r="F451" s="36"/>
      <c r="G451" s="36"/>
      <c r="H451" s="36"/>
      <c r="I451" s="1" t="str">
        <f aca="false">IF($A451="","",IFERROR(IF(ISBLANK(INDEX(SprintPlanning[Sprint],MATCH($A451,SprintPlanning[Requirement ID],0))),"To Plan",INDEX(SprintPlanning[Sprint],MATCH($A451,SprintPlanning[Requirement ID],0))),"To Plan"))</f>
        <v/>
      </c>
      <c r="J451" s="36"/>
      <c r="K451" s="1" t="str">
        <f aca="false">IFERROR(IF(ISBLANK(INDEX(Release[Release],MATCH($A451,Release[Requirement ID],0))),"",INDEX(Release[Release],MATCH($A451,Release[Requirement ID],0))),"")</f>
        <v/>
      </c>
      <c r="L451" s="36"/>
      <c r="M451" s="36"/>
      <c r="P451" s="1" t="n">
        <f aca="false">IFERROR(VALUE(MID($A451,5,4)),0)</f>
        <v>0</v>
      </c>
      <c r="Q451" s="1" t="str">
        <f aca="false">IF(B451="","","NEW-"&amp;TEXT(MAX($P$2:$P450,Lists!$N$2)+1,"0000"))</f>
        <v/>
      </c>
    </row>
    <row r="452" customFormat="false" ht="15" hidden="false" customHeight="true" outlineLevel="0" collapsed="false">
      <c r="A452" s="35" t="str">
        <f aca="false">IF(AND(B452="",C452="",D452="",E452="",F452="",G452="",H452="",J452="",L452="",M452="",N452=""),"",Q452)</f>
        <v/>
      </c>
      <c r="B452" s="36"/>
      <c r="C452" s="36"/>
      <c r="D452" s="36"/>
      <c r="E452" s="36"/>
      <c r="F452" s="36"/>
      <c r="G452" s="36"/>
      <c r="H452" s="36"/>
      <c r="I452" s="1" t="str">
        <f aca="false">IF($A452="","",IFERROR(IF(ISBLANK(INDEX(SprintPlanning[Sprint],MATCH($A452,SprintPlanning[Requirement ID],0))),"To Plan",INDEX(SprintPlanning[Sprint],MATCH($A452,SprintPlanning[Requirement ID],0))),"To Plan"))</f>
        <v/>
      </c>
      <c r="J452" s="36"/>
      <c r="K452" s="1" t="str">
        <f aca="false">IFERROR(IF(ISBLANK(INDEX(Release[Release],MATCH($A452,Release[Requirement ID],0))),"",INDEX(Release[Release],MATCH($A452,Release[Requirement ID],0))),"")</f>
        <v/>
      </c>
      <c r="L452" s="36"/>
      <c r="M452" s="36"/>
      <c r="P452" s="1" t="n">
        <f aca="false">IFERROR(VALUE(MID($A452,5,4)),0)</f>
        <v>0</v>
      </c>
      <c r="Q452" s="1" t="str">
        <f aca="false">IF(B452="","","NEW-"&amp;TEXT(MAX($P$2:$P451,Lists!$N$2)+1,"0000"))</f>
        <v/>
      </c>
    </row>
    <row r="453" customFormat="false" ht="15" hidden="false" customHeight="true" outlineLevel="0" collapsed="false">
      <c r="A453" s="35" t="str">
        <f aca="false">IF(AND(B453="",C453="",D453="",E453="",F453="",G453="",H453="",J453="",L453="",M453="",N453=""),"",Q453)</f>
        <v/>
      </c>
      <c r="B453" s="36"/>
      <c r="C453" s="36"/>
      <c r="D453" s="36"/>
      <c r="E453" s="36"/>
      <c r="F453" s="36"/>
      <c r="G453" s="36"/>
      <c r="H453" s="36"/>
      <c r="I453" s="1" t="str">
        <f aca="false">IF($A453="","",IFERROR(IF(ISBLANK(INDEX(SprintPlanning[Sprint],MATCH($A453,SprintPlanning[Requirement ID],0))),"To Plan",INDEX(SprintPlanning[Sprint],MATCH($A453,SprintPlanning[Requirement ID],0))),"To Plan"))</f>
        <v/>
      </c>
      <c r="J453" s="36"/>
      <c r="K453" s="1" t="str">
        <f aca="false">IFERROR(IF(ISBLANK(INDEX(Release[Release],MATCH($A453,Release[Requirement ID],0))),"",INDEX(Release[Release],MATCH($A453,Release[Requirement ID],0))),"")</f>
        <v/>
      </c>
      <c r="L453" s="36"/>
      <c r="M453" s="36"/>
      <c r="P453" s="1" t="n">
        <f aca="false">IFERROR(VALUE(MID($A453,5,4)),0)</f>
        <v>0</v>
      </c>
      <c r="Q453" s="1" t="str">
        <f aca="false">IF(B453="","","NEW-"&amp;TEXT(MAX($P$2:$P452,Lists!$N$2)+1,"0000"))</f>
        <v/>
      </c>
    </row>
    <row r="454" customFormat="false" ht="15" hidden="false" customHeight="true" outlineLevel="0" collapsed="false">
      <c r="A454" s="35" t="str">
        <f aca="false">IF(AND(B454="",C454="",D454="",E454="",F454="",G454="",H454="",J454="",L454="",M454="",N454=""),"",Q454)</f>
        <v/>
      </c>
      <c r="B454" s="36"/>
      <c r="C454" s="36"/>
      <c r="D454" s="36"/>
      <c r="E454" s="36"/>
      <c r="F454" s="36"/>
      <c r="G454" s="36"/>
      <c r="H454" s="36"/>
      <c r="I454" s="1" t="str">
        <f aca="false">IF($A454="","",IFERROR(IF(ISBLANK(INDEX(SprintPlanning[Sprint],MATCH($A454,SprintPlanning[Requirement ID],0))),"To Plan",INDEX(SprintPlanning[Sprint],MATCH($A454,SprintPlanning[Requirement ID],0))),"To Plan"))</f>
        <v/>
      </c>
      <c r="J454" s="36"/>
      <c r="K454" s="1" t="str">
        <f aca="false">IFERROR(IF(ISBLANK(INDEX(Release[Release],MATCH($A454,Release[Requirement ID],0))),"",INDEX(Release[Release],MATCH($A454,Release[Requirement ID],0))),"")</f>
        <v/>
      </c>
      <c r="L454" s="36"/>
      <c r="M454" s="36"/>
      <c r="P454" s="1" t="n">
        <f aca="false">IFERROR(VALUE(MID($A454,5,4)),0)</f>
        <v>0</v>
      </c>
      <c r="Q454" s="1" t="str">
        <f aca="false">IF(B454="","","NEW-"&amp;TEXT(MAX($P$2:$P453,Lists!$N$2)+1,"0000"))</f>
        <v/>
      </c>
    </row>
    <row r="455" customFormat="false" ht="15" hidden="false" customHeight="true" outlineLevel="0" collapsed="false">
      <c r="A455" s="35" t="str">
        <f aca="false">IF(AND(B455="",C455="",D455="",E455="",F455="",G455="",H455="",J455="",L455="",M455="",N455=""),"",Q455)</f>
        <v/>
      </c>
      <c r="B455" s="36"/>
      <c r="C455" s="36"/>
      <c r="D455" s="36"/>
      <c r="E455" s="36"/>
      <c r="F455" s="36"/>
      <c r="G455" s="36"/>
      <c r="H455" s="36"/>
      <c r="I455" s="1" t="str">
        <f aca="false">IF($A455="","",IFERROR(IF(ISBLANK(INDEX(SprintPlanning[Sprint],MATCH($A455,SprintPlanning[Requirement ID],0))),"To Plan",INDEX(SprintPlanning[Sprint],MATCH($A455,SprintPlanning[Requirement ID],0))),"To Plan"))</f>
        <v/>
      </c>
      <c r="J455" s="36"/>
      <c r="K455" s="1" t="str">
        <f aca="false">IFERROR(IF(ISBLANK(INDEX(Release[Release],MATCH($A455,Release[Requirement ID],0))),"",INDEX(Release[Release],MATCH($A455,Release[Requirement ID],0))),"")</f>
        <v/>
      </c>
      <c r="L455" s="36"/>
      <c r="M455" s="36"/>
      <c r="P455" s="1" t="n">
        <f aca="false">IFERROR(VALUE(MID($A455,5,4)),0)</f>
        <v>0</v>
      </c>
      <c r="Q455" s="1" t="str">
        <f aca="false">IF(B455="","","NEW-"&amp;TEXT(MAX($P$2:$P454,Lists!$N$2)+1,"0000"))</f>
        <v/>
      </c>
    </row>
    <row r="456" customFormat="false" ht="15" hidden="false" customHeight="true" outlineLevel="0" collapsed="false">
      <c r="A456" s="35" t="str">
        <f aca="false">IF(AND(B456="",C456="",D456="",E456="",F456="",G456="",H456="",J456="",L456="",M456="",N456=""),"",Q456)</f>
        <v/>
      </c>
      <c r="B456" s="36"/>
      <c r="C456" s="36"/>
      <c r="D456" s="36"/>
      <c r="E456" s="36"/>
      <c r="F456" s="36"/>
      <c r="G456" s="36"/>
      <c r="H456" s="36"/>
      <c r="I456" s="1" t="str">
        <f aca="false">IF($A456="","",IFERROR(IF(ISBLANK(INDEX(SprintPlanning[Sprint],MATCH($A456,SprintPlanning[Requirement ID],0))),"To Plan",INDEX(SprintPlanning[Sprint],MATCH($A456,SprintPlanning[Requirement ID],0))),"To Plan"))</f>
        <v/>
      </c>
      <c r="J456" s="36"/>
      <c r="K456" s="1" t="str">
        <f aca="false">IFERROR(IF(ISBLANK(INDEX(Release[Release],MATCH($A456,Release[Requirement ID],0))),"",INDEX(Release[Release],MATCH($A456,Release[Requirement ID],0))),"")</f>
        <v/>
      </c>
      <c r="L456" s="36"/>
      <c r="M456" s="36"/>
      <c r="P456" s="1" t="n">
        <f aca="false">IFERROR(VALUE(MID($A456,5,4)),0)</f>
        <v>0</v>
      </c>
      <c r="Q456" s="1" t="str">
        <f aca="false">IF(B456="","","NEW-"&amp;TEXT(MAX($P$2:$P455,Lists!$N$2)+1,"0000"))</f>
        <v/>
      </c>
    </row>
    <row r="457" customFormat="false" ht="15" hidden="false" customHeight="true" outlineLevel="0" collapsed="false">
      <c r="A457" s="35" t="str">
        <f aca="false">IF(AND(B457="",C457="",D457="",E457="",F457="",G457="",H457="",J457="",L457="",M457="",N457=""),"",Q457)</f>
        <v/>
      </c>
      <c r="B457" s="36"/>
      <c r="C457" s="36"/>
      <c r="D457" s="36"/>
      <c r="E457" s="36"/>
      <c r="F457" s="36"/>
      <c r="G457" s="36"/>
      <c r="H457" s="36"/>
      <c r="I457" s="1" t="str">
        <f aca="false">IF($A457="","",IFERROR(IF(ISBLANK(INDEX(SprintPlanning[Sprint],MATCH($A457,SprintPlanning[Requirement ID],0))),"To Plan",INDEX(SprintPlanning[Sprint],MATCH($A457,SprintPlanning[Requirement ID],0))),"To Plan"))</f>
        <v/>
      </c>
      <c r="J457" s="36"/>
      <c r="K457" s="1" t="str">
        <f aca="false">IFERROR(IF(ISBLANK(INDEX(Release[Release],MATCH($A457,Release[Requirement ID],0))),"",INDEX(Release[Release],MATCH($A457,Release[Requirement ID],0))),"")</f>
        <v/>
      </c>
      <c r="L457" s="36"/>
      <c r="M457" s="36"/>
      <c r="P457" s="1" t="n">
        <f aca="false">IFERROR(VALUE(MID($A457,5,4)),0)</f>
        <v>0</v>
      </c>
      <c r="Q457" s="1" t="str">
        <f aca="false">IF(B457="","","NEW-"&amp;TEXT(MAX($P$2:$P456,Lists!$N$2)+1,"0000"))</f>
        <v/>
      </c>
    </row>
    <row r="458" customFormat="false" ht="15" hidden="false" customHeight="true" outlineLevel="0" collapsed="false">
      <c r="A458" s="35" t="str">
        <f aca="false">IF(AND(B458="",C458="",D458="",E458="",F458="",G458="",H458="",J458="",L458="",M458="",N458=""),"",Q458)</f>
        <v/>
      </c>
      <c r="B458" s="36"/>
      <c r="C458" s="36"/>
      <c r="D458" s="36"/>
      <c r="E458" s="36"/>
      <c r="F458" s="36"/>
      <c r="G458" s="36"/>
      <c r="H458" s="36"/>
      <c r="I458" s="1" t="str">
        <f aca="false">IF($A458="","",IFERROR(IF(ISBLANK(INDEX(SprintPlanning[Sprint],MATCH($A458,SprintPlanning[Requirement ID],0))),"To Plan",INDEX(SprintPlanning[Sprint],MATCH($A458,SprintPlanning[Requirement ID],0))),"To Plan"))</f>
        <v/>
      </c>
      <c r="J458" s="36"/>
      <c r="K458" s="1" t="str">
        <f aca="false">IFERROR(IF(ISBLANK(INDEX(Release[Release],MATCH($A458,Release[Requirement ID],0))),"",INDEX(Release[Release],MATCH($A458,Release[Requirement ID],0))),"")</f>
        <v/>
      </c>
      <c r="L458" s="36"/>
      <c r="M458" s="36"/>
      <c r="P458" s="1" t="n">
        <f aca="false">IFERROR(VALUE(MID($A458,5,4)),0)</f>
        <v>0</v>
      </c>
      <c r="Q458" s="1" t="str">
        <f aca="false">IF(B458="","","NEW-"&amp;TEXT(MAX($P$2:$P457,Lists!$N$2)+1,"0000"))</f>
        <v/>
      </c>
    </row>
    <row r="459" customFormat="false" ht="15" hidden="false" customHeight="true" outlineLevel="0" collapsed="false">
      <c r="A459" s="35" t="str">
        <f aca="false">IF(AND(B459="",C459="",D459="",E459="",F459="",G459="",H459="",J459="",L459="",M459="",N459=""),"",Q459)</f>
        <v/>
      </c>
      <c r="B459" s="36"/>
      <c r="C459" s="36"/>
      <c r="D459" s="36"/>
      <c r="E459" s="36"/>
      <c r="F459" s="36"/>
      <c r="G459" s="36"/>
      <c r="H459" s="36"/>
      <c r="I459" s="1" t="str">
        <f aca="false">IF($A459="","",IFERROR(IF(ISBLANK(INDEX(SprintPlanning[Sprint],MATCH($A459,SprintPlanning[Requirement ID],0))),"To Plan",INDEX(SprintPlanning[Sprint],MATCH($A459,SprintPlanning[Requirement ID],0))),"To Plan"))</f>
        <v/>
      </c>
      <c r="J459" s="36"/>
      <c r="K459" s="1" t="str">
        <f aca="false">IFERROR(IF(ISBLANK(INDEX(Release[Release],MATCH($A459,Release[Requirement ID],0))),"",INDEX(Release[Release],MATCH($A459,Release[Requirement ID],0))),"")</f>
        <v/>
      </c>
      <c r="L459" s="36"/>
      <c r="M459" s="36"/>
      <c r="P459" s="1" t="n">
        <f aca="false">IFERROR(VALUE(MID($A459,5,4)),0)</f>
        <v>0</v>
      </c>
      <c r="Q459" s="1" t="str">
        <f aca="false">IF(B459="","","NEW-"&amp;TEXT(MAX($P$2:$P458,Lists!$N$2)+1,"0000"))</f>
        <v/>
      </c>
    </row>
    <row r="460" customFormat="false" ht="15" hidden="false" customHeight="true" outlineLevel="0" collapsed="false">
      <c r="A460" s="35" t="str">
        <f aca="false">IF(AND(B460="",C460="",D460="",E460="",F460="",G460="",H460="",J460="",L460="",M460="",N460=""),"",Q460)</f>
        <v/>
      </c>
      <c r="B460" s="36"/>
      <c r="C460" s="36"/>
      <c r="D460" s="36"/>
      <c r="E460" s="36"/>
      <c r="F460" s="36"/>
      <c r="G460" s="36"/>
      <c r="H460" s="36"/>
      <c r="I460" s="1" t="str">
        <f aca="false">IF($A460="","",IFERROR(IF(ISBLANK(INDEX(SprintPlanning[Sprint],MATCH($A460,SprintPlanning[Requirement ID],0))),"To Plan",INDEX(SprintPlanning[Sprint],MATCH($A460,SprintPlanning[Requirement ID],0))),"To Plan"))</f>
        <v/>
      </c>
      <c r="J460" s="36"/>
      <c r="K460" s="1" t="str">
        <f aca="false">IFERROR(IF(ISBLANK(INDEX(Release[Release],MATCH($A460,Release[Requirement ID],0))),"",INDEX(Release[Release],MATCH($A460,Release[Requirement ID],0))),"")</f>
        <v/>
      </c>
      <c r="L460" s="36"/>
      <c r="M460" s="36"/>
      <c r="P460" s="1" t="n">
        <f aca="false">IFERROR(VALUE(MID($A460,5,4)),0)</f>
        <v>0</v>
      </c>
      <c r="Q460" s="1" t="str">
        <f aca="false">IF(B460="","","NEW-"&amp;TEXT(MAX($P$2:$P459,Lists!$N$2)+1,"0000"))</f>
        <v/>
      </c>
    </row>
    <row r="461" customFormat="false" ht="15" hidden="false" customHeight="true" outlineLevel="0" collapsed="false">
      <c r="A461" s="35" t="str">
        <f aca="false">IF(AND(B461="",C461="",D461="",E461="",F461="",G461="",H461="",J461="",L461="",M461="",N461=""),"",Q461)</f>
        <v/>
      </c>
      <c r="B461" s="36"/>
      <c r="C461" s="36"/>
      <c r="D461" s="36"/>
      <c r="E461" s="36"/>
      <c r="F461" s="36"/>
      <c r="G461" s="36"/>
      <c r="H461" s="36"/>
      <c r="I461" s="1" t="str">
        <f aca="false">IF($A461="","",IFERROR(IF(ISBLANK(INDEX(SprintPlanning[Sprint],MATCH($A461,SprintPlanning[Requirement ID],0))),"To Plan",INDEX(SprintPlanning[Sprint],MATCH($A461,SprintPlanning[Requirement ID],0))),"To Plan"))</f>
        <v/>
      </c>
      <c r="J461" s="36"/>
      <c r="K461" s="1" t="str">
        <f aca="false">IFERROR(IF(ISBLANK(INDEX(Release[Release],MATCH($A461,Release[Requirement ID],0))),"",INDEX(Release[Release],MATCH($A461,Release[Requirement ID],0))),"")</f>
        <v/>
      </c>
      <c r="L461" s="36"/>
      <c r="M461" s="36"/>
      <c r="P461" s="1" t="n">
        <f aca="false">IFERROR(VALUE(MID($A461,5,4)),0)</f>
        <v>0</v>
      </c>
      <c r="Q461" s="1" t="str">
        <f aca="false">IF(B461="","","NEW-"&amp;TEXT(MAX($P$2:$P460,Lists!$N$2)+1,"0000"))</f>
        <v/>
      </c>
    </row>
    <row r="462" customFormat="false" ht="15" hidden="false" customHeight="true" outlineLevel="0" collapsed="false">
      <c r="A462" s="35" t="str">
        <f aca="false">IF(AND(B462="",C462="",D462="",E462="",F462="",G462="",H462="",J462="",L462="",M462="",N462=""),"",Q462)</f>
        <v/>
      </c>
      <c r="B462" s="36"/>
      <c r="C462" s="36"/>
      <c r="D462" s="36"/>
      <c r="E462" s="36"/>
      <c r="F462" s="36"/>
      <c r="G462" s="36"/>
      <c r="H462" s="36"/>
      <c r="I462" s="1" t="str">
        <f aca="false">IF($A462="","",IFERROR(IF(ISBLANK(INDEX(SprintPlanning[Sprint],MATCH($A462,SprintPlanning[Requirement ID],0))),"To Plan",INDEX(SprintPlanning[Sprint],MATCH($A462,SprintPlanning[Requirement ID],0))),"To Plan"))</f>
        <v/>
      </c>
      <c r="J462" s="36"/>
      <c r="K462" s="1" t="str">
        <f aca="false">IFERROR(IF(ISBLANK(INDEX(Release[Release],MATCH($A462,Release[Requirement ID],0))),"",INDEX(Release[Release],MATCH($A462,Release[Requirement ID],0))),"")</f>
        <v/>
      </c>
      <c r="L462" s="36"/>
      <c r="M462" s="36"/>
      <c r="P462" s="1" t="n">
        <f aca="false">IFERROR(VALUE(MID($A462,5,4)),0)</f>
        <v>0</v>
      </c>
      <c r="Q462" s="1" t="str">
        <f aca="false">IF(B462="","","NEW-"&amp;TEXT(MAX($P$2:$P461,Lists!$N$2)+1,"0000"))</f>
        <v/>
      </c>
    </row>
    <row r="463" customFormat="false" ht="15" hidden="false" customHeight="true" outlineLevel="0" collapsed="false">
      <c r="A463" s="35" t="str">
        <f aca="false">IF(AND(B463="",C463="",D463="",E463="",F463="",G463="",H463="",J463="",L463="",M463="",N463=""),"",Q463)</f>
        <v/>
      </c>
      <c r="B463" s="36"/>
      <c r="C463" s="36"/>
      <c r="D463" s="36"/>
      <c r="E463" s="36"/>
      <c r="F463" s="36"/>
      <c r="G463" s="36"/>
      <c r="H463" s="36"/>
      <c r="I463" s="1" t="str">
        <f aca="false">IF($A463="","",IFERROR(IF(ISBLANK(INDEX(SprintPlanning[Sprint],MATCH($A463,SprintPlanning[Requirement ID],0))),"To Plan",INDEX(SprintPlanning[Sprint],MATCH($A463,SprintPlanning[Requirement ID],0))),"To Plan"))</f>
        <v/>
      </c>
      <c r="J463" s="36"/>
      <c r="K463" s="1" t="str">
        <f aca="false">IFERROR(IF(ISBLANK(INDEX(Release[Release],MATCH($A463,Release[Requirement ID],0))),"",INDEX(Release[Release],MATCH($A463,Release[Requirement ID],0))),"")</f>
        <v/>
      </c>
      <c r="L463" s="36"/>
      <c r="M463" s="36"/>
      <c r="P463" s="1" t="n">
        <f aca="false">IFERROR(VALUE(MID($A463,5,4)),0)</f>
        <v>0</v>
      </c>
      <c r="Q463" s="1" t="str">
        <f aca="false">IF(B463="","","NEW-"&amp;TEXT(MAX($P$2:$P462,Lists!$N$2)+1,"0000"))</f>
        <v/>
      </c>
    </row>
    <row r="464" customFormat="false" ht="15" hidden="false" customHeight="true" outlineLevel="0" collapsed="false">
      <c r="A464" s="35" t="str">
        <f aca="false">IF(AND(B464="",C464="",D464="",E464="",F464="",G464="",H464="",J464="",L464="",M464="",N464=""),"",Q464)</f>
        <v/>
      </c>
      <c r="B464" s="36"/>
      <c r="C464" s="36"/>
      <c r="D464" s="36"/>
      <c r="E464" s="36"/>
      <c r="F464" s="36"/>
      <c r="G464" s="36"/>
      <c r="H464" s="36"/>
      <c r="I464" s="1" t="str">
        <f aca="false">IF($A464="","",IFERROR(IF(ISBLANK(INDEX(SprintPlanning[Sprint],MATCH($A464,SprintPlanning[Requirement ID],0))),"To Plan",INDEX(SprintPlanning[Sprint],MATCH($A464,SprintPlanning[Requirement ID],0))),"To Plan"))</f>
        <v/>
      </c>
      <c r="J464" s="36"/>
      <c r="K464" s="1" t="str">
        <f aca="false">IFERROR(IF(ISBLANK(INDEX(Release[Release],MATCH($A464,Release[Requirement ID],0))),"",INDEX(Release[Release],MATCH($A464,Release[Requirement ID],0))),"")</f>
        <v/>
      </c>
      <c r="L464" s="36"/>
      <c r="M464" s="36"/>
      <c r="P464" s="1" t="n">
        <f aca="false">IFERROR(VALUE(MID($A464,5,4)),0)</f>
        <v>0</v>
      </c>
      <c r="Q464" s="1" t="str">
        <f aca="false">IF(B464="","","NEW-"&amp;TEXT(MAX($P$2:$P463,Lists!$N$2)+1,"0000"))</f>
        <v/>
      </c>
    </row>
    <row r="465" customFormat="false" ht="15" hidden="false" customHeight="true" outlineLevel="0" collapsed="false">
      <c r="A465" s="35" t="str">
        <f aca="false">IF(AND(B465="",C465="",D465="",E465="",F465="",G465="",H465="",J465="",L465="",M465="",N465=""),"",Q465)</f>
        <v/>
      </c>
      <c r="B465" s="36"/>
      <c r="C465" s="36"/>
      <c r="D465" s="36"/>
      <c r="E465" s="36"/>
      <c r="F465" s="36"/>
      <c r="G465" s="36"/>
      <c r="H465" s="36"/>
      <c r="I465" s="1" t="str">
        <f aca="false">IF($A465="","",IFERROR(IF(ISBLANK(INDEX(SprintPlanning[Sprint],MATCH($A465,SprintPlanning[Requirement ID],0))),"To Plan",INDEX(SprintPlanning[Sprint],MATCH($A465,SprintPlanning[Requirement ID],0))),"To Plan"))</f>
        <v/>
      </c>
      <c r="J465" s="36"/>
      <c r="K465" s="1" t="str">
        <f aca="false">IFERROR(IF(ISBLANK(INDEX(Release[Release],MATCH($A465,Release[Requirement ID],0))),"",INDEX(Release[Release],MATCH($A465,Release[Requirement ID],0))),"")</f>
        <v/>
      </c>
      <c r="L465" s="36"/>
      <c r="M465" s="36"/>
      <c r="P465" s="1" t="n">
        <f aca="false">IFERROR(VALUE(MID($A465,5,4)),0)</f>
        <v>0</v>
      </c>
      <c r="Q465" s="1" t="str">
        <f aca="false">IF(B465="","","NEW-"&amp;TEXT(MAX($P$2:$P464,Lists!$N$2)+1,"0000"))</f>
        <v/>
      </c>
    </row>
    <row r="466" customFormat="false" ht="15" hidden="false" customHeight="true" outlineLevel="0" collapsed="false">
      <c r="A466" s="35" t="str">
        <f aca="false">IF(AND(B466="",C466="",D466="",E466="",F466="",G466="",H466="",J466="",L466="",M466="",N466=""),"",Q466)</f>
        <v/>
      </c>
      <c r="B466" s="36"/>
      <c r="C466" s="36"/>
      <c r="D466" s="36"/>
      <c r="E466" s="36"/>
      <c r="F466" s="36"/>
      <c r="G466" s="36"/>
      <c r="H466" s="36"/>
      <c r="I466" s="1" t="str">
        <f aca="false">IF($A466="","",IFERROR(IF(ISBLANK(INDEX(SprintPlanning[Sprint],MATCH($A466,SprintPlanning[Requirement ID],0))),"To Plan",INDEX(SprintPlanning[Sprint],MATCH($A466,SprintPlanning[Requirement ID],0))),"To Plan"))</f>
        <v/>
      </c>
      <c r="J466" s="36"/>
      <c r="K466" s="1" t="str">
        <f aca="false">IFERROR(IF(ISBLANK(INDEX(Release[Release],MATCH($A466,Release[Requirement ID],0))),"",INDEX(Release[Release],MATCH($A466,Release[Requirement ID],0))),"")</f>
        <v/>
      </c>
      <c r="L466" s="36"/>
      <c r="M466" s="36"/>
      <c r="P466" s="1" t="n">
        <f aca="false">IFERROR(VALUE(MID($A466,5,4)),0)</f>
        <v>0</v>
      </c>
      <c r="Q466" s="1" t="str">
        <f aca="false">IF(B466="","","NEW-"&amp;TEXT(MAX($P$2:$P465,Lists!$N$2)+1,"0000"))</f>
        <v/>
      </c>
    </row>
    <row r="467" customFormat="false" ht="15" hidden="false" customHeight="true" outlineLevel="0" collapsed="false">
      <c r="A467" s="35" t="str">
        <f aca="false">IF(AND(B467="",C467="",D467="",E467="",F467="",G467="",H467="",J467="",L467="",M467="",N467=""),"",Q467)</f>
        <v/>
      </c>
      <c r="B467" s="36"/>
      <c r="C467" s="36"/>
      <c r="D467" s="36"/>
      <c r="E467" s="36"/>
      <c r="F467" s="36"/>
      <c r="G467" s="36"/>
      <c r="H467" s="36"/>
      <c r="I467" s="1" t="str">
        <f aca="false">IF($A467="","",IFERROR(IF(ISBLANK(INDEX(SprintPlanning[Sprint],MATCH($A467,SprintPlanning[Requirement ID],0))),"To Plan",INDEX(SprintPlanning[Sprint],MATCH($A467,SprintPlanning[Requirement ID],0))),"To Plan"))</f>
        <v/>
      </c>
      <c r="J467" s="36"/>
      <c r="K467" s="1" t="str">
        <f aca="false">IFERROR(IF(ISBLANK(INDEX(Release[Release],MATCH($A467,Release[Requirement ID],0))),"",INDEX(Release[Release],MATCH($A467,Release[Requirement ID],0))),"")</f>
        <v/>
      </c>
      <c r="L467" s="36"/>
      <c r="M467" s="36"/>
      <c r="P467" s="1" t="n">
        <f aca="false">IFERROR(VALUE(MID($A467,5,4)),0)</f>
        <v>0</v>
      </c>
      <c r="Q467" s="1" t="str">
        <f aca="false">IF(B467="","","NEW-"&amp;TEXT(MAX($P$2:$P466,Lists!$N$2)+1,"0000"))</f>
        <v/>
      </c>
    </row>
    <row r="468" customFormat="false" ht="15" hidden="false" customHeight="true" outlineLevel="0" collapsed="false">
      <c r="A468" s="35" t="str">
        <f aca="false">IF(AND(B468="",C468="",D468="",E468="",F468="",G468="",H468="",J468="",L468="",M468="",N468=""),"",Q468)</f>
        <v/>
      </c>
      <c r="B468" s="36"/>
      <c r="C468" s="36"/>
      <c r="D468" s="36"/>
      <c r="E468" s="36"/>
      <c r="F468" s="36"/>
      <c r="G468" s="36"/>
      <c r="H468" s="36"/>
      <c r="I468" s="1" t="str">
        <f aca="false">IF($A468="","",IFERROR(IF(ISBLANK(INDEX(SprintPlanning[Sprint],MATCH($A468,SprintPlanning[Requirement ID],0))),"To Plan",INDEX(SprintPlanning[Sprint],MATCH($A468,SprintPlanning[Requirement ID],0))),"To Plan"))</f>
        <v/>
      </c>
      <c r="J468" s="36"/>
      <c r="K468" s="1" t="str">
        <f aca="false">IFERROR(IF(ISBLANK(INDEX(Release[Release],MATCH($A468,Release[Requirement ID],0))),"",INDEX(Release[Release],MATCH($A468,Release[Requirement ID],0))),"")</f>
        <v/>
      </c>
      <c r="L468" s="36"/>
      <c r="M468" s="36"/>
      <c r="P468" s="1" t="n">
        <f aca="false">IFERROR(VALUE(MID($A468,5,4)),0)</f>
        <v>0</v>
      </c>
      <c r="Q468" s="1" t="str">
        <f aca="false">IF(B468="","","NEW-"&amp;TEXT(MAX($P$2:$P467,Lists!$N$2)+1,"0000"))</f>
        <v/>
      </c>
    </row>
    <row r="469" customFormat="false" ht="15" hidden="false" customHeight="true" outlineLevel="0" collapsed="false">
      <c r="A469" s="35" t="str">
        <f aca="false">IF(AND(B469="",C469="",D469="",E469="",F469="",G469="",H469="",J469="",L469="",M469="",N469=""),"",Q469)</f>
        <v/>
      </c>
      <c r="B469" s="36"/>
      <c r="C469" s="36"/>
      <c r="D469" s="36"/>
      <c r="E469" s="36"/>
      <c r="F469" s="36"/>
      <c r="G469" s="36"/>
      <c r="H469" s="36"/>
      <c r="I469" s="1" t="str">
        <f aca="false">IF($A469="","",IFERROR(IF(ISBLANK(INDEX(SprintPlanning[Sprint],MATCH($A469,SprintPlanning[Requirement ID],0))),"To Plan",INDEX(SprintPlanning[Sprint],MATCH($A469,SprintPlanning[Requirement ID],0))),"To Plan"))</f>
        <v/>
      </c>
      <c r="J469" s="36"/>
      <c r="K469" s="1" t="str">
        <f aca="false">IFERROR(IF(ISBLANK(INDEX(Release[Release],MATCH($A469,Release[Requirement ID],0))),"",INDEX(Release[Release],MATCH($A469,Release[Requirement ID],0))),"")</f>
        <v/>
      </c>
      <c r="L469" s="36"/>
      <c r="M469" s="36"/>
      <c r="P469" s="1" t="n">
        <f aca="false">IFERROR(VALUE(MID($A469,5,4)),0)</f>
        <v>0</v>
      </c>
      <c r="Q469" s="1" t="str">
        <f aca="false">IF(B469="","","NEW-"&amp;TEXT(MAX($P$2:$P468,Lists!$N$2)+1,"0000"))</f>
        <v/>
      </c>
    </row>
    <row r="470" customFormat="false" ht="15" hidden="false" customHeight="true" outlineLevel="0" collapsed="false">
      <c r="A470" s="35" t="str">
        <f aca="false">IF(AND(B470="",C470="",D470="",E470="",F470="",G470="",H470="",J470="",L470="",M470="",N470=""),"",Q470)</f>
        <v/>
      </c>
      <c r="B470" s="36"/>
      <c r="C470" s="36"/>
      <c r="D470" s="36"/>
      <c r="E470" s="36"/>
      <c r="F470" s="36"/>
      <c r="G470" s="36"/>
      <c r="H470" s="36"/>
      <c r="I470" s="1" t="str">
        <f aca="false">IF($A470="","",IFERROR(IF(ISBLANK(INDEX(SprintPlanning[Sprint],MATCH($A470,SprintPlanning[Requirement ID],0))),"To Plan",INDEX(SprintPlanning[Sprint],MATCH($A470,SprintPlanning[Requirement ID],0))),"To Plan"))</f>
        <v/>
      </c>
      <c r="J470" s="36"/>
      <c r="K470" s="1" t="str">
        <f aca="false">IFERROR(IF(ISBLANK(INDEX(Release[Release],MATCH($A470,Release[Requirement ID],0))),"",INDEX(Release[Release],MATCH($A470,Release[Requirement ID],0))),"")</f>
        <v/>
      </c>
      <c r="L470" s="36"/>
      <c r="M470" s="36"/>
      <c r="P470" s="1" t="n">
        <f aca="false">IFERROR(VALUE(MID($A470,5,4)),0)</f>
        <v>0</v>
      </c>
      <c r="Q470" s="1" t="str">
        <f aca="false">IF(B470="","","NEW-"&amp;TEXT(MAX($P$2:$P469,Lists!$N$2)+1,"0000"))</f>
        <v/>
      </c>
    </row>
    <row r="471" customFormat="false" ht="15" hidden="false" customHeight="true" outlineLevel="0" collapsed="false">
      <c r="A471" s="35" t="str">
        <f aca="false">IF(AND(B471="",C471="",D471="",E471="",F471="",G471="",H471="",J471="",L471="",M471="",N471=""),"",Q471)</f>
        <v/>
      </c>
      <c r="B471" s="36"/>
      <c r="C471" s="36"/>
      <c r="D471" s="36"/>
      <c r="E471" s="36"/>
      <c r="F471" s="36"/>
      <c r="G471" s="36"/>
      <c r="H471" s="36"/>
      <c r="I471" s="1" t="str">
        <f aca="false">IF($A471="","",IFERROR(IF(ISBLANK(INDEX(SprintPlanning[Sprint],MATCH($A471,SprintPlanning[Requirement ID],0))),"To Plan",INDEX(SprintPlanning[Sprint],MATCH($A471,SprintPlanning[Requirement ID],0))),"To Plan"))</f>
        <v/>
      </c>
      <c r="J471" s="36"/>
      <c r="K471" s="1" t="str">
        <f aca="false">IFERROR(IF(ISBLANK(INDEX(Release[Release],MATCH($A471,Release[Requirement ID],0))),"",INDEX(Release[Release],MATCH($A471,Release[Requirement ID],0))),"")</f>
        <v/>
      </c>
      <c r="L471" s="36"/>
      <c r="M471" s="36"/>
      <c r="P471" s="1" t="n">
        <f aca="false">IFERROR(VALUE(MID($A471,5,4)),0)</f>
        <v>0</v>
      </c>
      <c r="Q471" s="1" t="str">
        <f aca="false">IF(B471="","","NEW-"&amp;TEXT(MAX($P$2:$P470,Lists!$N$2)+1,"0000"))</f>
        <v/>
      </c>
    </row>
    <row r="472" customFormat="false" ht="15" hidden="false" customHeight="true" outlineLevel="0" collapsed="false">
      <c r="A472" s="35" t="str">
        <f aca="false">IF(AND(B472="",C472="",D472="",E472="",F472="",G472="",H472="",J472="",L472="",M472="",N472=""),"",Q472)</f>
        <v/>
      </c>
      <c r="B472" s="36"/>
      <c r="C472" s="36"/>
      <c r="D472" s="36"/>
      <c r="E472" s="36"/>
      <c r="F472" s="36"/>
      <c r="G472" s="36"/>
      <c r="H472" s="36"/>
      <c r="I472" s="1" t="str">
        <f aca="false">IF($A472="","",IFERROR(IF(ISBLANK(INDEX(SprintPlanning[Sprint],MATCH($A472,SprintPlanning[Requirement ID],0))),"To Plan",INDEX(SprintPlanning[Sprint],MATCH($A472,SprintPlanning[Requirement ID],0))),"To Plan"))</f>
        <v/>
      </c>
      <c r="J472" s="36"/>
      <c r="K472" s="1" t="str">
        <f aca="false">IFERROR(IF(ISBLANK(INDEX(Release[Release],MATCH($A472,Release[Requirement ID],0))),"",INDEX(Release[Release],MATCH($A472,Release[Requirement ID],0))),"")</f>
        <v/>
      </c>
      <c r="L472" s="36"/>
      <c r="M472" s="36"/>
      <c r="P472" s="1" t="n">
        <f aca="false">IFERROR(VALUE(MID($A472,5,4)),0)</f>
        <v>0</v>
      </c>
      <c r="Q472" s="1" t="str">
        <f aca="false">IF(B472="","","NEW-"&amp;TEXT(MAX($P$2:$P471,Lists!$N$2)+1,"0000"))</f>
        <v/>
      </c>
    </row>
    <row r="473" customFormat="false" ht="15" hidden="false" customHeight="true" outlineLevel="0" collapsed="false">
      <c r="A473" s="35" t="str">
        <f aca="false">IF(AND(B473="",C473="",D473="",E473="",F473="",G473="",H473="",J473="",L473="",M473="",N473=""),"",Q473)</f>
        <v/>
      </c>
      <c r="B473" s="36"/>
      <c r="C473" s="36"/>
      <c r="D473" s="36"/>
      <c r="E473" s="36"/>
      <c r="F473" s="36"/>
      <c r="G473" s="36"/>
      <c r="H473" s="36"/>
      <c r="I473" s="1" t="str">
        <f aca="false">IF($A473="","",IFERROR(IF(ISBLANK(INDEX(SprintPlanning[Sprint],MATCH($A473,SprintPlanning[Requirement ID],0))),"To Plan",INDEX(SprintPlanning[Sprint],MATCH($A473,SprintPlanning[Requirement ID],0))),"To Plan"))</f>
        <v/>
      </c>
      <c r="J473" s="36"/>
      <c r="K473" s="1" t="str">
        <f aca="false">IFERROR(IF(ISBLANK(INDEX(Release[Release],MATCH($A473,Release[Requirement ID],0))),"",INDEX(Release[Release],MATCH($A473,Release[Requirement ID],0))),"")</f>
        <v/>
      </c>
      <c r="L473" s="36"/>
      <c r="M473" s="36"/>
      <c r="P473" s="1" t="n">
        <f aca="false">IFERROR(VALUE(MID($A473,5,4)),0)</f>
        <v>0</v>
      </c>
      <c r="Q473" s="1" t="str">
        <f aca="false">IF(B473="","","NEW-"&amp;TEXT(MAX($P$2:$P472,Lists!$N$2)+1,"0000"))</f>
        <v/>
      </c>
    </row>
    <row r="474" customFormat="false" ht="15" hidden="false" customHeight="true" outlineLevel="0" collapsed="false">
      <c r="A474" s="35" t="str">
        <f aca="false">IF(AND(B474="",C474="",D474="",E474="",F474="",G474="",H474="",J474="",L474="",M474="",N474=""),"",Q474)</f>
        <v/>
      </c>
      <c r="B474" s="36"/>
      <c r="C474" s="36"/>
      <c r="D474" s="36"/>
      <c r="E474" s="36"/>
      <c r="F474" s="36"/>
      <c r="G474" s="36"/>
      <c r="H474" s="36"/>
      <c r="I474" s="1" t="str">
        <f aca="false">IF($A474="","",IFERROR(IF(ISBLANK(INDEX(SprintPlanning[Sprint],MATCH($A474,SprintPlanning[Requirement ID],0))),"To Plan",INDEX(SprintPlanning[Sprint],MATCH($A474,SprintPlanning[Requirement ID],0))),"To Plan"))</f>
        <v/>
      </c>
      <c r="J474" s="36"/>
      <c r="K474" s="1" t="str">
        <f aca="false">IFERROR(IF(ISBLANK(INDEX(Release[Release],MATCH($A474,Release[Requirement ID],0))),"",INDEX(Release[Release],MATCH($A474,Release[Requirement ID],0))),"")</f>
        <v/>
      </c>
      <c r="L474" s="36"/>
      <c r="M474" s="36"/>
      <c r="P474" s="1" t="n">
        <f aca="false">IFERROR(VALUE(MID($A474,5,4)),0)</f>
        <v>0</v>
      </c>
      <c r="Q474" s="1" t="str">
        <f aca="false">IF(B474="","","NEW-"&amp;TEXT(MAX($P$2:$P473,Lists!$N$2)+1,"0000"))</f>
        <v/>
      </c>
    </row>
    <row r="475" customFormat="false" ht="15" hidden="false" customHeight="true" outlineLevel="0" collapsed="false">
      <c r="A475" s="35" t="str">
        <f aca="false">IF(AND(B475="",C475="",D475="",E475="",F475="",G475="",H475="",J475="",L475="",M475="",N475=""),"",Q475)</f>
        <v/>
      </c>
      <c r="B475" s="36"/>
      <c r="C475" s="36"/>
      <c r="D475" s="36"/>
      <c r="E475" s="36"/>
      <c r="F475" s="36"/>
      <c r="G475" s="36"/>
      <c r="H475" s="36"/>
      <c r="I475" s="1" t="str">
        <f aca="false">IF($A475="","",IFERROR(IF(ISBLANK(INDEX(SprintPlanning[Sprint],MATCH($A475,SprintPlanning[Requirement ID],0))),"To Plan",INDEX(SprintPlanning[Sprint],MATCH($A475,SprintPlanning[Requirement ID],0))),"To Plan"))</f>
        <v/>
      </c>
      <c r="J475" s="36"/>
      <c r="K475" s="1" t="str">
        <f aca="false">IFERROR(IF(ISBLANK(INDEX(Release[Release],MATCH($A475,Release[Requirement ID],0))),"",INDEX(Release[Release],MATCH($A475,Release[Requirement ID],0))),"")</f>
        <v/>
      </c>
      <c r="L475" s="36"/>
      <c r="M475" s="36"/>
      <c r="P475" s="1" t="n">
        <f aca="false">IFERROR(VALUE(MID($A475,5,4)),0)</f>
        <v>0</v>
      </c>
      <c r="Q475" s="1" t="str">
        <f aca="false">IF(B475="","","NEW-"&amp;TEXT(MAX($P$2:$P474,Lists!$N$2)+1,"0000"))</f>
        <v/>
      </c>
    </row>
    <row r="476" customFormat="false" ht="15" hidden="false" customHeight="true" outlineLevel="0" collapsed="false">
      <c r="A476" s="35" t="str">
        <f aca="false">IF(AND(B476="",C476="",D476="",E476="",F476="",G476="",H476="",J476="",L476="",M476="",N476=""),"",Q476)</f>
        <v/>
      </c>
      <c r="B476" s="36"/>
      <c r="C476" s="36"/>
      <c r="D476" s="36"/>
      <c r="E476" s="36"/>
      <c r="F476" s="36"/>
      <c r="G476" s="36"/>
      <c r="H476" s="36"/>
      <c r="I476" s="1" t="str">
        <f aca="false">IF($A476="","",IFERROR(IF(ISBLANK(INDEX(SprintPlanning[Sprint],MATCH($A476,SprintPlanning[Requirement ID],0))),"To Plan",INDEX(SprintPlanning[Sprint],MATCH($A476,SprintPlanning[Requirement ID],0))),"To Plan"))</f>
        <v/>
      </c>
      <c r="J476" s="36"/>
      <c r="K476" s="1" t="str">
        <f aca="false">IFERROR(IF(ISBLANK(INDEX(Release[Release],MATCH($A476,Release[Requirement ID],0))),"",INDEX(Release[Release],MATCH($A476,Release[Requirement ID],0))),"")</f>
        <v/>
      </c>
      <c r="L476" s="36"/>
      <c r="M476" s="36"/>
      <c r="P476" s="1" t="n">
        <f aca="false">IFERROR(VALUE(MID($A476,5,4)),0)</f>
        <v>0</v>
      </c>
      <c r="Q476" s="1" t="str">
        <f aca="false">IF(B476="","","NEW-"&amp;TEXT(MAX($P$2:$P475,Lists!$N$2)+1,"0000"))</f>
        <v/>
      </c>
    </row>
    <row r="477" customFormat="false" ht="15" hidden="false" customHeight="true" outlineLevel="0" collapsed="false">
      <c r="A477" s="35" t="str">
        <f aca="false">IF(AND(B477="",C477="",D477="",E477="",F477="",G477="",H477="",J477="",L477="",M477="",N477=""),"",Q477)</f>
        <v/>
      </c>
      <c r="B477" s="36"/>
      <c r="C477" s="36"/>
      <c r="D477" s="36"/>
      <c r="E477" s="36"/>
      <c r="F477" s="36"/>
      <c r="G477" s="36"/>
      <c r="H477" s="36"/>
      <c r="I477" s="1" t="str">
        <f aca="false">IF($A477="","",IFERROR(IF(ISBLANK(INDEX(SprintPlanning[Sprint],MATCH($A477,SprintPlanning[Requirement ID],0))),"To Plan",INDEX(SprintPlanning[Sprint],MATCH($A477,SprintPlanning[Requirement ID],0))),"To Plan"))</f>
        <v/>
      </c>
      <c r="J477" s="36"/>
      <c r="K477" s="1" t="str">
        <f aca="false">IFERROR(IF(ISBLANK(INDEX(Release[Release],MATCH($A477,Release[Requirement ID],0))),"",INDEX(Release[Release],MATCH($A477,Release[Requirement ID],0))),"")</f>
        <v/>
      </c>
      <c r="L477" s="36"/>
      <c r="M477" s="36"/>
      <c r="P477" s="1" t="n">
        <f aca="false">IFERROR(VALUE(MID($A477,5,4)),0)</f>
        <v>0</v>
      </c>
      <c r="Q477" s="1" t="str">
        <f aca="false">IF(B477="","","NEW-"&amp;TEXT(MAX($P$2:$P476,Lists!$N$2)+1,"0000"))</f>
        <v/>
      </c>
    </row>
    <row r="478" customFormat="false" ht="15" hidden="false" customHeight="true" outlineLevel="0" collapsed="false">
      <c r="A478" s="35" t="str">
        <f aca="false">IF(AND(B478="",C478="",D478="",E478="",F478="",G478="",H478="",J478="",L478="",M478="",N478=""),"",Q478)</f>
        <v/>
      </c>
      <c r="B478" s="36"/>
      <c r="C478" s="36"/>
      <c r="D478" s="36"/>
      <c r="E478" s="36"/>
      <c r="F478" s="36"/>
      <c r="G478" s="36"/>
      <c r="H478" s="36"/>
      <c r="I478" s="1" t="str">
        <f aca="false">IF($A478="","",IFERROR(IF(ISBLANK(INDEX(SprintPlanning[Sprint],MATCH($A478,SprintPlanning[Requirement ID],0))),"To Plan",INDEX(SprintPlanning[Sprint],MATCH($A478,SprintPlanning[Requirement ID],0))),"To Plan"))</f>
        <v/>
      </c>
      <c r="J478" s="36"/>
      <c r="K478" s="1" t="str">
        <f aca="false">IFERROR(IF(ISBLANK(INDEX(Release[Release],MATCH($A478,Release[Requirement ID],0))),"",INDEX(Release[Release],MATCH($A478,Release[Requirement ID],0))),"")</f>
        <v/>
      </c>
      <c r="L478" s="36"/>
      <c r="M478" s="36"/>
      <c r="P478" s="1" t="n">
        <f aca="false">IFERROR(VALUE(MID($A478,5,4)),0)</f>
        <v>0</v>
      </c>
      <c r="Q478" s="1" t="str">
        <f aca="false">IF(B478="","","NEW-"&amp;TEXT(MAX($P$2:$P477,Lists!$N$2)+1,"0000"))</f>
        <v/>
      </c>
    </row>
    <row r="479" customFormat="false" ht="15" hidden="false" customHeight="true" outlineLevel="0" collapsed="false">
      <c r="A479" s="35" t="str">
        <f aca="false">IF(AND(B479="",C479="",D479="",E479="",F479="",G479="",H479="",J479="",L479="",M479="",N479=""),"",Q479)</f>
        <v/>
      </c>
      <c r="B479" s="36"/>
      <c r="C479" s="36"/>
      <c r="D479" s="36"/>
      <c r="E479" s="36"/>
      <c r="F479" s="36"/>
      <c r="G479" s="36"/>
      <c r="H479" s="36"/>
      <c r="I479" s="1" t="str">
        <f aca="false">IF($A479="","",IFERROR(IF(ISBLANK(INDEX(SprintPlanning[Sprint],MATCH($A479,SprintPlanning[Requirement ID],0))),"To Plan",INDEX(SprintPlanning[Sprint],MATCH($A479,SprintPlanning[Requirement ID],0))),"To Plan"))</f>
        <v/>
      </c>
      <c r="J479" s="36"/>
      <c r="K479" s="1" t="str">
        <f aca="false">IFERROR(IF(ISBLANK(INDEX(Release[Release],MATCH($A479,Release[Requirement ID],0))),"",INDEX(Release[Release],MATCH($A479,Release[Requirement ID],0))),"")</f>
        <v/>
      </c>
      <c r="L479" s="36"/>
      <c r="M479" s="36"/>
      <c r="P479" s="1" t="n">
        <f aca="false">IFERROR(VALUE(MID($A479,5,4)),0)</f>
        <v>0</v>
      </c>
      <c r="Q479" s="1" t="str">
        <f aca="false">IF(B479="","","NEW-"&amp;TEXT(MAX($P$2:$P478,Lists!$N$2)+1,"0000"))</f>
        <v/>
      </c>
    </row>
    <row r="480" customFormat="false" ht="15" hidden="false" customHeight="true" outlineLevel="0" collapsed="false">
      <c r="A480" s="35" t="str">
        <f aca="false">IF(AND(B480="",C480="",D480="",E480="",F480="",G480="",H480="",J480="",L480="",M480="",N480=""),"",Q480)</f>
        <v/>
      </c>
      <c r="B480" s="36"/>
      <c r="C480" s="36"/>
      <c r="D480" s="36"/>
      <c r="E480" s="36"/>
      <c r="F480" s="36"/>
      <c r="G480" s="36"/>
      <c r="H480" s="36"/>
      <c r="I480" s="1" t="str">
        <f aca="false">IF($A480="","",IFERROR(IF(ISBLANK(INDEX(SprintPlanning[Sprint],MATCH($A480,SprintPlanning[Requirement ID],0))),"To Plan",INDEX(SprintPlanning[Sprint],MATCH($A480,SprintPlanning[Requirement ID],0))),"To Plan"))</f>
        <v/>
      </c>
      <c r="J480" s="36"/>
      <c r="K480" s="1" t="str">
        <f aca="false">IFERROR(IF(ISBLANK(INDEX(Release[Release],MATCH($A480,Release[Requirement ID],0))),"",INDEX(Release[Release],MATCH($A480,Release[Requirement ID],0))),"")</f>
        <v/>
      </c>
      <c r="L480" s="36"/>
      <c r="M480" s="36"/>
      <c r="P480" s="1" t="n">
        <f aca="false">IFERROR(VALUE(MID($A480,5,4)),0)</f>
        <v>0</v>
      </c>
      <c r="Q480" s="1" t="str">
        <f aca="false">IF(B480="","","NEW-"&amp;TEXT(MAX($P$2:$P479,Lists!$N$2)+1,"0000"))</f>
        <v/>
      </c>
    </row>
    <row r="481" customFormat="false" ht="15" hidden="false" customHeight="true" outlineLevel="0" collapsed="false">
      <c r="A481" s="35" t="str">
        <f aca="false">IF(AND(B481="",C481="",D481="",E481="",F481="",G481="",H481="",J481="",L481="",M481="",N481=""),"",Q481)</f>
        <v/>
      </c>
      <c r="B481" s="36"/>
      <c r="C481" s="36"/>
      <c r="D481" s="36"/>
      <c r="E481" s="36"/>
      <c r="F481" s="36"/>
      <c r="G481" s="36"/>
      <c r="H481" s="36"/>
      <c r="I481" s="1" t="str">
        <f aca="false">IF($A481="","",IFERROR(IF(ISBLANK(INDEX(SprintPlanning[Sprint],MATCH($A481,SprintPlanning[Requirement ID],0))),"To Plan",INDEX(SprintPlanning[Sprint],MATCH($A481,SprintPlanning[Requirement ID],0))),"To Plan"))</f>
        <v/>
      </c>
      <c r="J481" s="36"/>
      <c r="K481" s="1" t="str">
        <f aca="false">IFERROR(IF(ISBLANK(INDEX(Release[Release],MATCH($A481,Release[Requirement ID],0))),"",INDEX(Release[Release],MATCH($A481,Release[Requirement ID],0))),"")</f>
        <v/>
      </c>
      <c r="L481" s="36"/>
      <c r="M481" s="36"/>
      <c r="P481" s="1" t="n">
        <f aca="false">IFERROR(VALUE(MID($A481,5,4)),0)</f>
        <v>0</v>
      </c>
      <c r="Q481" s="1" t="str">
        <f aca="false">IF(B481="","","NEW-"&amp;TEXT(MAX($P$2:$P480,Lists!$N$2)+1,"0000"))</f>
        <v/>
      </c>
    </row>
    <row r="482" customFormat="false" ht="15" hidden="false" customHeight="true" outlineLevel="0" collapsed="false">
      <c r="A482" s="35" t="str">
        <f aca="false">IF(AND(B482="",C482="",D482="",E482="",F482="",G482="",H482="",J482="",L482="",M482="",N482=""),"",Q482)</f>
        <v/>
      </c>
      <c r="B482" s="36"/>
      <c r="C482" s="36"/>
      <c r="D482" s="36"/>
      <c r="E482" s="36"/>
      <c r="F482" s="36"/>
      <c r="G482" s="36"/>
      <c r="H482" s="36"/>
      <c r="I482" s="1" t="str">
        <f aca="false">IF($A482="","",IFERROR(IF(ISBLANK(INDEX(SprintPlanning[Sprint],MATCH($A482,SprintPlanning[Requirement ID],0))),"To Plan",INDEX(SprintPlanning[Sprint],MATCH($A482,SprintPlanning[Requirement ID],0))),"To Plan"))</f>
        <v/>
      </c>
      <c r="J482" s="36"/>
      <c r="K482" s="1" t="str">
        <f aca="false">IFERROR(IF(ISBLANK(INDEX(Release[Release],MATCH($A482,Release[Requirement ID],0))),"",INDEX(Release[Release],MATCH($A482,Release[Requirement ID],0))),"")</f>
        <v/>
      </c>
      <c r="L482" s="36"/>
      <c r="M482" s="36"/>
      <c r="P482" s="1" t="n">
        <f aca="false">IFERROR(VALUE(MID($A482,5,4)),0)</f>
        <v>0</v>
      </c>
      <c r="Q482" s="1" t="str">
        <f aca="false">IF(B482="","","NEW-"&amp;TEXT(MAX($P$2:$P481,Lists!$N$2)+1,"0000"))</f>
        <v/>
      </c>
    </row>
    <row r="483" customFormat="false" ht="15" hidden="false" customHeight="true" outlineLevel="0" collapsed="false">
      <c r="A483" s="35" t="str">
        <f aca="false">IF(AND(B483="",C483="",D483="",E483="",F483="",G483="",H483="",J483="",L483="",M483="",N483=""),"",Q483)</f>
        <v/>
      </c>
      <c r="B483" s="36"/>
      <c r="C483" s="36"/>
      <c r="D483" s="36"/>
      <c r="E483" s="36"/>
      <c r="F483" s="36"/>
      <c r="G483" s="36"/>
      <c r="H483" s="36"/>
      <c r="I483" s="1" t="str">
        <f aca="false">IF($A483="","",IFERROR(IF(ISBLANK(INDEX(SprintPlanning[Sprint],MATCH($A483,SprintPlanning[Requirement ID],0))),"To Plan",INDEX(SprintPlanning[Sprint],MATCH($A483,SprintPlanning[Requirement ID],0))),"To Plan"))</f>
        <v/>
      </c>
      <c r="J483" s="36"/>
      <c r="K483" s="1" t="str">
        <f aca="false">IFERROR(IF(ISBLANK(INDEX(Release[Release],MATCH($A483,Release[Requirement ID],0))),"",INDEX(Release[Release],MATCH($A483,Release[Requirement ID],0))),"")</f>
        <v/>
      </c>
      <c r="L483" s="36"/>
      <c r="M483" s="36"/>
      <c r="P483" s="1" t="n">
        <f aca="false">IFERROR(VALUE(MID($A483,5,4)),0)</f>
        <v>0</v>
      </c>
      <c r="Q483" s="1" t="str">
        <f aca="false">IF(B483="","","NEW-"&amp;TEXT(MAX($P$2:$P482,Lists!$N$2)+1,"0000"))</f>
        <v/>
      </c>
    </row>
    <row r="484" customFormat="false" ht="15" hidden="false" customHeight="true" outlineLevel="0" collapsed="false">
      <c r="A484" s="35" t="str">
        <f aca="false">IF(AND(B484="",C484="",D484="",E484="",F484="",G484="",H484="",J484="",L484="",M484="",N484=""),"",Q484)</f>
        <v/>
      </c>
      <c r="B484" s="36"/>
      <c r="C484" s="36"/>
      <c r="D484" s="36"/>
      <c r="E484" s="36"/>
      <c r="F484" s="36"/>
      <c r="G484" s="36"/>
      <c r="H484" s="36"/>
      <c r="I484" s="1" t="str">
        <f aca="false">IF($A484="","",IFERROR(IF(ISBLANK(INDEX(SprintPlanning[Sprint],MATCH($A484,SprintPlanning[Requirement ID],0))),"To Plan",INDEX(SprintPlanning[Sprint],MATCH($A484,SprintPlanning[Requirement ID],0))),"To Plan"))</f>
        <v/>
      </c>
      <c r="J484" s="36"/>
      <c r="K484" s="1" t="str">
        <f aca="false">IFERROR(IF(ISBLANK(INDEX(Release[Release],MATCH($A484,Release[Requirement ID],0))),"",INDEX(Release[Release],MATCH($A484,Release[Requirement ID],0))),"")</f>
        <v/>
      </c>
      <c r="L484" s="36"/>
      <c r="M484" s="36"/>
      <c r="P484" s="1" t="n">
        <f aca="false">IFERROR(VALUE(MID($A484,5,4)),0)</f>
        <v>0</v>
      </c>
      <c r="Q484" s="1" t="str">
        <f aca="false">IF(B484="","","NEW-"&amp;TEXT(MAX($P$2:$P483,Lists!$N$2)+1,"0000"))</f>
        <v/>
      </c>
    </row>
    <row r="485" customFormat="false" ht="15" hidden="false" customHeight="true" outlineLevel="0" collapsed="false">
      <c r="A485" s="35" t="str">
        <f aca="false">IF(AND(B485="",C485="",D485="",E485="",F485="",G485="",H485="",J485="",L485="",M485="",N485=""),"",Q485)</f>
        <v/>
      </c>
      <c r="B485" s="36"/>
      <c r="C485" s="36"/>
      <c r="D485" s="36"/>
      <c r="E485" s="36"/>
      <c r="F485" s="36"/>
      <c r="G485" s="36"/>
      <c r="H485" s="36"/>
      <c r="I485" s="1" t="str">
        <f aca="false">IF($A485="","",IFERROR(IF(ISBLANK(INDEX(SprintPlanning[Sprint],MATCH($A485,SprintPlanning[Requirement ID],0))),"To Plan",INDEX(SprintPlanning[Sprint],MATCH($A485,SprintPlanning[Requirement ID],0))),"To Plan"))</f>
        <v/>
      </c>
      <c r="J485" s="36"/>
      <c r="K485" s="1" t="str">
        <f aca="false">IFERROR(IF(ISBLANK(INDEX(Release[Release],MATCH($A485,Release[Requirement ID],0))),"",INDEX(Release[Release],MATCH($A485,Release[Requirement ID],0))),"")</f>
        <v/>
      </c>
      <c r="L485" s="36"/>
      <c r="M485" s="36"/>
      <c r="P485" s="1" t="n">
        <f aca="false">IFERROR(VALUE(MID($A485,5,4)),0)</f>
        <v>0</v>
      </c>
      <c r="Q485" s="1" t="str">
        <f aca="false">IF(B485="","","NEW-"&amp;TEXT(MAX($P$2:$P484,Lists!$N$2)+1,"0000"))</f>
        <v/>
      </c>
    </row>
    <row r="486" customFormat="false" ht="15" hidden="false" customHeight="true" outlineLevel="0" collapsed="false">
      <c r="A486" s="35" t="str">
        <f aca="false">IF(AND(B486="",C486="",D486="",E486="",F486="",G486="",H486="",J486="",L486="",M486="",N486=""),"",Q486)</f>
        <v/>
      </c>
      <c r="B486" s="36"/>
      <c r="C486" s="36"/>
      <c r="D486" s="36"/>
      <c r="E486" s="36"/>
      <c r="F486" s="36"/>
      <c r="G486" s="36"/>
      <c r="H486" s="36"/>
      <c r="I486" s="1" t="str">
        <f aca="false">IF($A486="","",IFERROR(IF(ISBLANK(INDEX(SprintPlanning[Sprint],MATCH($A486,SprintPlanning[Requirement ID],0))),"To Plan",INDEX(SprintPlanning[Sprint],MATCH($A486,SprintPlanning[Requirement ID],0))),"To Plan"))</f>
        <v/>
      </c>
      <c r="J486" s="36"/>
      <c r="K486" s="1" t="str">
        <f aca="false">IFERROR(IF(ISBLANK(INDEX(Release[Release],MATCH($A486,Release[Requirement ID],0))),"",INDEX(Release[Release],MATCH($A486,Release[Requirement ID],0))),"")</f>
        <v/>
      </c>
      <c r="L486" s="36"/>
      <c r="M486" s="36"/>
      <c r="P486" s="1" t="n">
        <f aca="false">IFERROR(VALUE(MID($A486,5,4)),0)</f>
        <v>0</v>
      </c>
      <c r="Q486" s="1" t="str">
        <f aca="false">IF(B486="","","NEW-"&amp;TEXT(MAX($P$2:$P485,Lists!$N$2)+1,"0000"))</f>
        <v/>
      </c>
    </row>
    <row r="487" customFormat="false" ht="15" hidden="false" customHeight="true" outlineLevel="0" collapsed="false">
      <c r="A487" s="35" t="str">
        <f aca="false">IF(AND(B487="",C487="",D487="",E487="",F487="",G487="",H487="",J487="",L487="",M487="",N487=""),"",Q487)</f>
        <v/>
      </c>
      <c r="B487" s="36"/>
      <c r="C487" s="36"/>
      <c r="D487" s="36"/>
      <c r="E487" s="36"/>
      <c r="F487" s="36"/>
      <c r="G487" s="36"/>
      <c r="H487" s="36"/>
      <c r="I487" s="1" t="str">
        <f aca="false">IF($A487="","",IFERROR(IF(ISBLANK(INDEX(SprintPlanning[Sprint],MATCH($A487,SprintPlanning[Requirement ID],0))),"To Plan",INDEX(SprintPlanning[Sprint],MATCH($A487,SprintPlanning[Requirement ID],0))),"To Plan"))</f>
        <v/>
      </c>
      <c r="J487" s="36"/>
      <c r="K487" s="1" t="str">
        <f aca="false">IFERROR(IF(ISBLANK(INDEX(Release[Release],MATCH($A487,Release[Requirement ID],0))),"",INDEX(Release[Release],MATCH($A487,Release[Requirement ID],0))),"")</f>
        <v/>
      </c>
      <c r="L487" s="36"/>
      <c r="M487" s="36"/>
      <c r="P487" s="1" t="n">
        <f aca="false">IFERROR(VALUE(MID($A487,5,4)),0)</f>
        <v>0</v>
      </c>
      <c r="Q487" s="1" t="str">
        <f aca="false">IF(B487="","","NEW-"&amp;TEXT(MAX($P$2:$P486,Lists!$N$2)+1,"0000"))</f>
        <v/>
      </c>
    </row>
    <row r="488" customFormat="false" ht="15" hidden="false" customHeight="true" outlineLevel="0" collapsed="false">
      <c r="A488" s="35" t="str">
        <f aca="false">IF(AND(B488="",C488="",D488="",E488="",F488="",G488="",H488="",J488="",L488="",M488="",N488=""),"",Q488)</f>
        <v/>
      </c>
      <c r="B488" s="36"/>
      <c r="C488" s="36"/>
      <c r="D488" s="36"/>
      <c r="E488" s="36"/>
      <c r="F488" s="36"/>
      <c r="G488" s="36"/>
      <c r="H488" s="36"/>
      <c r="I488" s="1" t="str">
        <f aca="false">IF($A488="","",IFERROR(IF(ISBLANK(INDEX(SprintPlanning[Sprint],MATCH($A488,SprintPlanning[Requirement ID],0))),"To Plan",INDEX(SprintPlanning[Sprint],MATCH($A488,SprintPlanning[Requirement ID],0))),"To Plan"))</f>
        <v/>
      </c>
      <c r="J488" s="36"/>
      <c r="K488" s="1" t="str">
        <f aca="false">IFERROR(IF(ISBLANK(INDEX(Release[Release],MATCH($A488,Release[Requirement ID],0))),"",INDEX(Release[Release],MATCH($A488,Release[Requirement ID],0))),"")</f>
        <v/>
      </c>
      <c r="L488" s="36"/>
      <c r="M488" s="36"/>
      <c r="P488" s="1" t="n">
        <f aca="false">IFERROR(VALUE(MID($A488,5,4)),0)</f>
        <v>0</v>
      </c>
      <c r="Q488" s="1" t="str">
        <f aca="false">IF(B488="","","NEW-"&amp;TEXT(MAX($P$2:$P487,Lists!$N$2)+1,"0000"))</f>
        <v/>
      </c>
    </row>
    <row r="489" customFormat="false" ht="15" hidden="false" customHeight="true" outlineLevel="0" collapsed="false">
      <c r="A489" s="35" t="str">
        <f aca="false">IF(AND(B489="",C489="",D489="",E489="",F489="",G489="",H489="",J489="",L489="",M489="",N489=""),"",Q489)</f>
        <v/>
      </c>
      <c r="B489" s="36"/>
      <c r="C489" s="36"/>
      <c r="D489" s="36"/>
      <c r="E489" s="36"/>
      <c r="F489" s="36"/>
      <c r="G489" s="36"/>
      <c r="H489" s="36"/>
      <c r="I489" s="1" t="str">
        <f aca="false">IF($A489="","",IFERROR(IF(ISBLANK(INDEX(SprintPlanning[Sprint],MATCH($A489,SprintPlanning[Requirement ID],0))),"To Plan",INDEX(SprintPlanning[Sprint],MATCH($A489,SprintPlanning[Requirement ID],0))),"To Plan"))</f>
        <v/>
      </c>
      <c r="J489" s="36"/>
      <c r="K489" s="1" t="str">
        <f aca="false">IFERROR(IF(ISBLANK(INDEX(Release[Release],MATCH($A489,Release[Requirement ID],0))),"",INDEX(Release[Release],MATCH($A489,Release[Requirement ID],0))),"")</f>
        <v/>
      </c>
      <c r="L489" s="36"/>
      <c r="M489" s="36"/>
      <c r="P489" s="1" t="n">
        <f aca="false">IFERROR(VALUE(MID($A489,5,4)),0)</f>
        <v>0</v>
      </c>
      <c r="Q489" s="1" t="str">
        <f aca="false">IF(B489="","","NEW-"&amp;TEXT(MAX($P$2:$P488,Lists!$N$2)+1,"0000"))</f>
        <v/>
      </c>
    </row>
    <row r="490" customFormat="false" ht="15" hidden="false" customHeight="true" outlineLevel="0" collapsed="false">
      <c r="A490" s="35" t="str">
        <f aca="false">IF(AND(B490="",C490="",D490="",E490="",F490="",G490="",H490="",J490="",L490="",M490="",N490=""),"",Q490)</f>
        <v/>
      </c>
      <c r="B490" s="36"/>
      <c r="C490" s="36"/>
      <c r="D490" s="36"/>
      <c r="E490" s="36"/>
      <c r="F490" s="36"/>
      <c r="G490" s="36"/>
      <c r="H490" s="36"/>
      <c r="I490" s="1" t="str">
        <f aca="false">IF($A490="","",IFERROR(IF(ISBLANK(INDEX(SprintPlanning[Sprint],MATCH($A490,SprintPlanning[Requirement ID],0))),"To Plan",INDEX(SprintPlanning[Sprint],MATCH($A490,SprintPlanning[Requirement ID],0))),"To Plan"))</f>
        <v/>
      </c>
      <c r="J490" s="36"/>
      <c r="K490" s="1" t="str">
        <f aca="false">IFERROR(IF(ISBLANK(INDEX(Release[Release],MATCH($A490,Release[Requirement ID],0))),"",INDEX(Release[Release],MATCH($A490,Release[Requirement ID],0))),"")</f>
        <v/>
      </c>
      <c r="L490" s="36"/>
      <c r="M490" s="36"/>
      <c r="P490" s="1" t="n">
        <f aca="false">IFERROR(VALUE(MID($A490,5,4)),0)</f>
        <v>0</v>
      </c>
      <c r="Q490" s="1" t="str">
        <f aca="false">IF(B490="","","NEW-"&amp;TEXT(MAX($P$2:$P489,Lists!$N$2)+1,"0000"))</f>
        <v/>
      </c>
    </row>
    <row r="491" customFormat="false" ht="15" hidden="false" customHeight="true" outlineLevel="0" collapsed="false">
      <c r="A491" s="35" t="str">
        <f aca="false">IF(AND(B491="",C491="",D491="",E491="",F491="",G491="",H491="",J491="",L491="",M491="",N491=""),"",Q491)</f>
        <v/>
      </c>
      <c r="B491" s="36"/>
      <c r="C491" s="36"/>
      <c r="D491" s="36"/>
      <c r="E491" s="36"/>
      <c r="F491" s="36"/>
      <c r="G491" s="36"/>
      <c r="H491" s="36"/>
      <c r="I491" s="1" t="str">
        <f aca="false">IF($A491="","",IFERROR(IF(ISBLANK(INDEX(SprintPlanning[Sprint],MATCH($A491,SprintPlanning[Requirement ID],0))),"To Plan",INDEX(SprintPlanning[Sprint],MATCH($A491,SprintPlanning[Requirement ID],0))),"To Plan"))</f>
        <v/>
      </c>
      <c r="J491" s="36"/>
      <c r="K491" s="1" t="str">
        <f aca="false">IFERROR(IF(ISBLANK(INDEX(Release[Release],MATCH($A491,Release[Requirement ID],0))),"",INDEX(Release[Release],MATCH($A491,Release[Requirement ID],0))),"")</f>
        <v/>
      </c>
      <c r="L491" s="36"/>
      <c r="M491" s="36"/>
      <c r="P491" s="1" t="n">
        <f aca="false">IFERROR(VALUE(MID($A491,5,4)),0)</f>
        <v>0</v>
      </c>
      <c r="Q491" s="1" t="str">
        <f aca="false">IF(B491="","","NEW-"&amp;TEXT(MAX($P$2:$P490,Lists!$N$2)+1,"0000"))</f>
        <v/>
      </c>
    </row>
    <row r="492" customFormat="false" ht="15" hidden="false" customHeight="true" outlineLevel="0" collapsed="false">
      <c r="A492" s="35" t="str">
        <f aca="false">IF(AND(B492="",C492="",D492="",E492="",F492="",G492="",H492="",J492="",L492="",M492="",N492=""),"",Q492)</f>
        <v/>
      </c>
      <c r="B492" s="36"/>
      <c r="C492" s="36"/>
      <c r="D492" s="36"/>
      <c r="E492" s="36"/>
      <c r="F492" s="36"/>
      <c r="G492" s="36"/>
      <c r="H492" s="36"/>
      <c r="I492" s="1" t="str">
        <f aca="false">IF($A492="","",IFERROR(IF(ISBLANK(INDEX(SprintPlanning[Sprint],MATCH($A492,SprintPlanning[Requirement ID],0))),"To Plan",INDEX(SprintPlanning[Sprint],MATCH($A492,SprintPlanning[Requirement ID],0))),"To Plan"))</f>
        <v/>
      </c>
      <c r="J492" s="36"/>
      <c r="K492" s="1" t="str">
        <f aca="false">IFERROR(IF(ISBLANK(INDEX(Release[Release],MATCH($A492,Release[Requirement ID],0))),"",INDEX(Release[Release],MATCH($A492,Release[Requirement ID],0))),"")</f>
        <v/>
      </c>
      <c r="L492" s="36"/>
      <c r="M492" s="36"/>
      <c r="P492" s="1" t="n">
        <f aca="false">IFERROR(VALUE(MID($A492,5,4)),0)</f>
        <v>0</v>
      </c>
      <c r="Q492" s="1" t="str">
        <f aca="false">IF(B492="","","NEW-"&amp;TEXT(MAX($P$2:$P491,Lists!$N$2)+1,"0000"))</f>
        <v/>
      </c>
    </row>
    <row r="493" customFormat="false" ht="15" hidden="false" customHeight="true" outlineLevel="0" collapsed="false">
      <c r="A493" s="35" t="str">
        <f aca="false">IF(AND(B493="",C493="",D493="",E493="",F493="",G493="",H493="",J493="",L493="",M493="",N493=""),"",Q493)</f>
        <v/>
      </c>
      <c r="B493" s="36"/>
      <c r="C493" s="36"/>
      <c r="D493" s="36"/>
      <c r="E493" s="36"/>
      <c r="F493" s="36"/>
      <c r="G493" s="36"/>
      <c r="H493" s="36"/>
      <c r="I493" s="1" t="str">
        <f aca="false">IF($A493="","",IFERROR(IF(ISBLANK(INDEX(SprintPlanning[Sprint],MATCH($A493,SprintPlanning[Requirement ID],0))),"To Plan",INDEX(SprintPlanning[Sprint],MATCH($A493,SprintPlanning[Requirement ID],0))),"To Plan"))</f>
        <v/>
      </c>
      <c r="J493" s="36"/>
      <c r="K493" s="1" t="str">
        <f aca="false">IFERROR(IF(ISBLANK(INDEX(Release[Release],MATCH($A493,Release[Requirement ID],0))),"",INDEX(Release[Release],MATCH($A493,Release[Requirement ID],0))),"")</f>
        <v/>
      </c>
      <c r="L493" s="36"/>
      <c r="M493" s="36"/>
      <c r="P493" s="1" t="n">
        <f aca="false">IFERROR(VALUE(MID($A493,5,4)),0)</f>
        <v>0</v>
      </c>
      <c r="Q493" s="1" t="str">
        <f aca="false">IF(B493="","","NEW-"&amp;TEXT(MAX($P$2:$P492,Lists!$N$2)+1,"0000"))</f>
        <v/>
      </c>
    </row>
    <row r="494" customFormat="false" ht="15" hidden="false" customHeight="true" outlineLevel="0" collapsed="false">
      <c r="A494" s="35" t="str">
        <f aca="false">IF(AND(B494="",C494="",D494="",E494="",F494="",G494="",H494="",J494="",L494="",M494="",N494=""),"",Q494)</f>
        <v/>
      </c>
      <c r="B494" s="36"/>
      <c r="C494" s="36"/>
      <c r="D494" s="36"/>
      <c r="E494" s="36"/>
      <c r="F494" s="36"/>
      <c r="G494" s="36"/>
      <c r="H494" s="36"/>
      <c r="I494" s="1" t="str">
        <f aca="false">IF($A494="","",IFERROR(IF(ISBLANK(INDEX(SprintPlanning[Sprint],MATCH($A494,SprintPlanning[Requirement ID],0))),"To Plan",INDEX(SprintPlanning[Sprint],MATCH($A494,SprintPlanning[Requirement ID],0))),"To Plan"))</f>
        <v/>
      </c>
      <c r="J494" s="36"/>
      <c r="K494" s="1" t="str">
        <f aca="false">IFERROR(IF(ISBLANK(INDEX(Release[Release],MATCH($A494,Release[Requirement ID],0))),"",INDEX(Release[Release],MATCH($A494,Release[Requirement ID],0))),"")</f>
        <v/>
      </c>
      <c r="L494" s="36"/>
      <c r="M494" s="36"/>
      <c r="P494" s="1" t="n">
        <f aca="false">IFERROR(VALUE(MID($A494,5,4)),0)</f>
        <v>0</v>
      </c>
      <c r="Q494" s="1" t="str">
        <f aca="false">IF(B494="","","NEW-"&amp;TEXT(MAX($P$2:$P493,Lists!$N$2)+1,"0000"))</f>
        <v/>
      </c>
    </row>
    <row r="495" customFormat="false" ht="15" hidden="false" customHeight="true" outlineLevel="0" collapsed="false">
      <c r="A495" s="35" t="str">
        <f aca="false">IF(AND(B495="",C495="",D495="",E495="",F495="",G495="",H495="",J495="",L495="",M495="",N495=""),"",Q495)</f>
        <v/>
      </c>
      <c r="B495" s="36"/>
      <c r="C495" s="36"/>
      <c r="D495" s="36"/>
      <c r="E495" s="36"/>
      <c r="F495" s="36"/>
      <c r="G495" s="36"/>
      <c r="H495" s="36"/>
      <c r="I495" s="1" t="str">
        <f aca="false">IF($A495="","",IFERROR(IF(ISBLANK(INDEX(SprintPlanning[Sprint],MATCH($A495,SprintPlanning[Requirement ID],0))),"To Plan",INDEX(SprintPlanning[Sprint],MATCH($A495,SprintPlanning[Requirement ID],0))),"To Plan"))</f>
        <v/>
      </c>
      <c r="J495" s="36"/>
      <c r="K495" s="1" t="str">
        <f aca="false">IFERROR(IF(ISBLANK(INDEX(Release[Release],MATCH($A495,Release[Requirement ID],0))),"",INDEX(Release[Release],MATCH($A495,Release[Requirement ID],0))),"")</f>
        <v/>
      </c>
      <c r="L495" s="36"/>
      <c r="M495" s="36"/>
      <c r="P495" s="1" t="n">
        <f aca="false">IFERROR(VALUE(MID($A495,5,4)),0)</f>
        <v>0</v>
      </c>
      <c r="Q495" s="1" t="str">
        <f aca="false">IF(B495="","","NEW-"&amp;TEXT(MAX($P$2:$P494,Lists!$N$2)+1,"0000"))</f>
        <v/>
      </c>
    </row>
    <row r="496" customFormat="false" ht="15" hidden="false" customHeight="true" outlineLevel="0" collapsed="false">
      <c r="A496" s="35" t="str">
        <f aca="false">IF(AND(B496="",C496="",D496="",E496="",F496="",G496="",H496="",J496="",L496="",M496="",N496=""),"",Q496)</f>
        <v/>
      </c>
      <c r="B496" s="36"/>
      <c r="C496" s="36"/>
      <c r="D496" s="36"/>
      <c r="E496" s="36"/>
      <c r="F496" s="36"/>
      <c r="G496" s="36"/>
      <c r="H496" s="36"/>
      <c r="I496" s="1" t="str">
        <f aca="false">IF($A496="","",IFERROR(IF(ISBLANK(INDEX(SprintPlanning[Sprint],MATCH($A496,SprintPlanning[Requirement ID],0))),"To Plan",INDEX(SprintPlanning[Sprint],MATCH($A496,SprintPlanning[Requirement ID],0))),"To Plan"))</f>
        <v/>
      </c>
      <c r="J496" s="36"/>
      <c r="K496" s="1" t="str">
        <f aca="false">IFERROR(IF(ISBLANK(INDEX(Release[Release],MATCH($A496,Release[Requirement ID],0))),"",INDEX(Release[Release],MATCH($A496,Release[Requirement ID],0))),"")</f>
        <v/>
      </c>
      <c r="L496" s="36"/>
      <c r="M496" s="36"/>
      <c r="P496" s="1" t="n">
        <f aca="false">IFERROR(VALUE(MID($A496,5,4)),0)</f>
        <v>0</v>
      </c>
      <c r="Q496" s="1" t="str">
        <f aca="false">IF(B496="","","NEW-"&amp;TEXT(MAX($P$2:$P495,Lists!$N$2)+1,"0000"))</f>
        <v/>
      </c>
    </row>
    <row r="497" customFormat="false" ht="15" hidden="false" customHeight="true" outlineLevel="0" collapsed="false">
      <c r="A497" s="35" t="str">
        <f aca="false">IF(AND(B497="",C497="",D497="",E497="",F497="",G497="",H497="",J497="",L497="",M497="",N497=""),"",Q497)</f>
        <v/>
      </c>
      <c r="B497" s="36"/>
      <c r="C497" s="36"/>
      <c r="D497" s="36"/>
      <c r="E497" s="36"/>
      <c r="F497" s="36"/>
      <c r="G497" s="36"/>
      <c r="H497" s="36"/>
      <c r="I497" s="1" t="str">
        <f aca="false">IF($A497="","",IFERROR(IF(ISBLANK(INDEX(SprintPlanning[Sprint],MATCH($A497,SprintPlanning[Requirement ID],0))),"To Plan",INDEX(SprintPlanning[Sprint],MATCH($A497,SprintPlanning[Requirement ID],0))),"To Plan"))</f>
        <v/>
      </c>
      <c r="J497" s="36"/>
      <c r="K497" s="1" t="str">
        <f aca="false">IFERROR(IF(ISBLANK(INDEX(Release[Release],MATCH($A497,Release[Requirement ID],0))),"",INDEX(Release[Release],MATCH($A497,Release[Requirement ID],0))),"")</f>
        <v/>
      </c>
      <c r="L497" s="36"/>
      <c r="M497" s="36"/>
      <c r="P497" s="1" t="n">
        <f aca="false">IFERROR(VALUE(MID($A497,5,4)),0)</f>
        <v>0</v>
      </c>
      <c r="Q497" s="1" t="str">
        <f aca="false">IF(B497="","","NEW-"&amp;TEXT(MAX($P$2:$P496,Lists!$N$2)+1,"0000"))</f>
        <v/>
      </c>
    </row>
    <row r="498" customFormat="false" ht="15" hidden="false" customHeight="true" outlineLevel="0" collapsed="false">
      <c r="A498" s="35" t="str">
        <f aca="false">IF(AND(B498="",C498="",D498="",E498="",F498="",G498="",H498="",J498="",L498="",M498="",N498=""),"",Q498)</f>
        <v/>
      </c>
      <c r="B498" s="36"/>
      <c r="C498" s="36"/>
      <c r="D498" s="36"/>
      <c r="E498" s="36"/>
      <c r="F498" s="36"/>
      <c r="G498" s="36"/>
      <c r="H498" s="36"/>
      <c r="I498" s="1" t="str">
        <f aca="false">IF($A498="","",IFERROR(IF(ISBLANK(INDEX(SprintPlanning[Sprint],MATCH($A498,SprintPlanning[Requirement ID],0))),"To Plan",INDEX(SprintPlanning[Sprint],MATCH($A498,SprintPlanning[Requirement ID],0))),"To Plan"))</f>
        <v/>
      </c>
      <c r="J498" s="36"/>
      <c r="K498" s="1" t="str">
        <f aca="false">IFERROR(IF(ISBLANK(INDEX(Release[Release],MATCH($A498,Release[Requirement ID],0))),"",INDEX(Release[Release],MATCH($A498,Release[Requirement ID],0))),"")</f>
        <v/>
      </c>
      <c r="L498" s="36"/>
      <c r="M498" s="36"/>
      <c r="P498" s="1" t="n">
        <f aca="false">IFERROR(VALUE(MID($A498,5,4)),0)</f>
        <v>0</v>
      </c>
      <c r="Q498" s="1" t="str">
        <f aca="false">IF(B498="","","NEW-"&amp;TEXT(MAX($P$2:$P497,Lists!$N$2)+1,"0000"))</f>
        <v/>
      </c>
    </row>
    <row r="499" customFormat="false" ht="15" hidden="false" customHeight="true" outlineLevel="0" collapsed="false">
      <c r="A499" s="35" t="str">
        <f aca="false">IF(AND(B499="",C499="",D499="",E499="",F499="",G499="",H499="",J499="",L499="",M499="",N499=""),"",Q499)</f>
        <v/>
      </c>
      <c r="B499" s="36"/>
      <c r="C499" s="36"/>
      <c r="D499" s="36"/>
      <c r="E499" s="36"/>
      <c r="F499" s="36"/>
      <c r="G499" s="36"/>
      <c r="H499" s="36"/>
      <c r="I499" s="1" t="str">
        <f aca="false">IF($A499="","",IFERROR(IF(ISBLANK(INDEX(SprintPlanning[Sprint],MATCH($A499,SprintPlanning[Requirement ID],0))),"To Plan",INDEX(SprintPlanning[Sprint],MATCH($A499,SprintPlanning[Requirement ID],0))),"To Plan"))</f>
        <v/>
      </c>
      <c r="J499" s="36"/>
      <c r="K499" s="1" t="str">
        <f aca="false">IFERROR(IF(ISBLANK(INDEX(Release[Release],MATCH($A499,Release[Requirement ID],0))),"",INDEX(Release[Release],MATCH($A499,Release[Requirement ID],0))),"")</f>
        <v/>
      </c>
      <c r="L499" s="36"/>
      <c r="M499" s="36"/>
      <c r="P499" s="1" t="n">
        <f aca="false">IFERROR(VALUE(MID($A499,5,4)),0)</f>
        <v>0</v>
      </c>
      <c r="Q499" s="1" t="str">
        <f aca="false">IF(B499="","","NEW-"&amp;TEXT(MAX($P$2:$P498,Lists!$N$2)+1,"0000"))</f>
        <v/>
      </c>
    </row>
    <row r="500" customFormat="false" ht="15" hidden="false" customHeight="true" outlineLevel="0" collapsed="false">
      <c r="A500" s="35" t="str">
        <f aca="false">IF(AND(B500="",C500="",D500="",E500="",F500="",G500="",H500="",J500="",L500="",M500="",N500=""),"",Q500)</f>
        <v/>
      </c>
      <c r="B500" s="36"/>
      <c r="C500" s="36"/>
      <c r="D500" s="36"/>
      <c r="E500" s="36"/>
      <c r="F500" s="36"/>
      <c r="G500" s="36"/>
      <c r="H500" s="36"/>
      <c r="I500" s="1" t="str">
        <f aca="false">IF($A500="","",IFERROR(IF(ISBLANK(INDEX(SprintPlanning[Sprint],MATCH($A500,SprintPlanning[Requirement ID],0))),"To Plan",INDEX(SprintPlanning[Sprint],MATCH($A500,SprintPlanning[Requirement ID],0))),"To Plan"))</f>
        <v/>
      </c>
      <c r="J500" s="36"/>
      <c r="K500" s="1" t="str">
        <f aca="false">IFERROR(IF(ISBLANK(INDEX(Release[Release],MATCH($A500,Release[Requirement ID],0))),"",INDEX(Release[Release],MATCH($A500,Release[Requirement ID],0))),"")</f>
        <v/>
      </c>
      <c r="L500" s="36"/>
      <c r="M500" s="36"/>
      <c r="P500" s="1" t="n">
        <f aca="false">IFERROR(VALUE(MID($A500,5,4)),0)</f>
        <v>0</v>
      </c>
      <c r="Q500" s="1" t="str">
        <f aca="false">IF(B500="","","NEW-"&amp;TEXT(MAX($P$2:$P499,Lists!$N$2)+1,"0000"))</f>
        <v/>
      </c>
    </row>
    <row r="501" customFormat="false" ht="15" hidden="false" customHeight="true" outlineLevel="0" collapsed="false">
      <c r="A501" s="35" t="str">
        <f aca="false">IF(AND(B501="",C501="",D501="",E501="",F501="",G501="",H501="",J501="",L501="",M501="",N501=""),"",Q501)</f>
        <v/>
      </c>
      <c r="B501" s="36"/>
      <c r="C501" s="36"/>
      <c r="D501" s="36"/>
      <c r="E501" s="36"/>
      <c r="F501" s="36"/>
      <c r="G501" s="36"/>
      <c r="H501" s="36"/>
      <c r="I501" s="1" t="str">
        <f aca="false">IF($A501="","",IFERROR(IF(ISBLANK(INDEX(SprintPlanning[Sprint],MATCH($A501,SprintPlanning[Requirement ID],0))),"To Plan",INDEX(SprintPlanning[Sprint],MATCH($A501,SprintPlanning[Requirement ID],0))),"To Plan"))</f>
        <v/>
      </c>
      <c r="J501" s="36"/>
      <c r="K501" s="1" t="str">
        <f aca="false">IFERROR(IF(ISBLANK(INDEX(Release[Release],MATCH($A501,Release[Requirement ID],0))),"",INDEX(Release[Release],MATCH($A501,Release[Requirement ID],0))),"")</f>
        <v/>
      </c>
      <c r="L501" s="36"/>
      <c r="M501" s="36"/>
      <c r="P501" s="1" t="n">
        <f aca="false">IFERROR(VALUE(MID($A501,5,4)),0)</f>
        <v>0</v>
      </c>
      <c r="Q501" s="1" t="str">
        <f aca="false">IF(B501="","","NEW-"&amp;TEXT(MAX($P$2:$P500,Lists!$N$2)+1,"0000"))</f>
        <v/>
      </c>
    </row>
    <row r="502" customFormat="false" ht="15" hidden="false" customHeight="true" outlineLevel="0" collapsed="false">
      <c r="A502" s="35" t="str">
        <f aca="false">IF(AND(B502="",C502="",D502="",E502="",F502="",G502="",H502="",J502="",L502="",M502="",N502=""),"",Q502)</f>
        <v/>
      </c>
      <c r="B502" s="36"/>
      <c r="C502" s="36"/>
      <c r="D502" s="36"/>
      <c r="E502" s="36"/>
      <c r="F502" s="36"/>
      <c r="G502" s="36"/>
      <c r="H502" s="36"/>
      <c r="I502" s="1" t="str">
        <f aca="false">IF($A502="","",IFERROR(IF(ISBLANK(INDEX(SprintPlanning[Sprint],MATCH($A502,SprintPlanning[Requirement ID],0))),"To Plan",INDEX(SprintPlanning[Sprint],MATCH($A502,SprintPlanning[Requirement ID],0))),"To Plan"))</f>
        <v/>
      </c>
      <c r="J502" s="36"/>
      <c r="K502" s="1" t="str">
        <f aca="false">IFERROR(IF(ISBLANK(INDEX(Release[Release],MATCH($A502,Release[Requirement ID],0))),"",INDEX(Release[Release],MATCH($A502,Release[Requirement ID],0))),"")</f>
        <v/>
      </c>
      <c r="L502" s="36"/>
      <c r="M502" s="36"/>
      <c r="P502" s="1" t="n">
        <f aca="false">IFERROR(VALUE(MID($A502,5,4)),0)</f>
        <v>0</v>
      </c>
      <c r="Q502" s="1" t="str">
        <f aca="false">IF(B502="","","NEW-"&amp;TEXT(MAX($P$2:$P501,Lists!$N$2)+1,"0000"))</f>
        <v/>
      </c>
    </row>
    <row r="503" customFormat="false" ht="15" hidden="false" customHeight="true" outlineLevel="0" collapsed="false">
      <c r="A503" s="35" t="str">
        <f aca="false">IF(AND(B503="",C503="",D503="",E503="",F503="",G503="",H503="",J503="",L503="",M503="",N503=""),"",Q503)</f>
        <v/>
      </c>
      <c r="B503" s="36"/>
      <c r="C503" s="36"/>
      <c r="D503" s="36"/>
      <c r="E503" s="36"/>
      <c r="F503" s="36"/>
      <c r="G503" s="36"/>
      <c r="H503" s="36"/>
      <c r="I503" s="1" t="str">
        <f aca="false">IF($A503="","",IFERROR(IF(ISBLANK(INDEX(SprintPlanning[Sprint],MATCH($A503,SprintPlanning[Requirement ID],0))),"To Plan",INDEX(SprintPlanning[Sprint],MATCH($A503,SprintPlanning[Requirement ID],0))),"To Plan"))</f>
        <v/>
      </c>
      <c r="J503" s="36"/>
      <c r="K503" s="1" t="str">
        <f aca="false">IFERROR(IF(ISBLANK(INDEX(Release[Release],MATCH($A503,Release[Requirement ID],0))),"",INDEX(Release[Release],MATCH($A503,Release[Requirement ID],0))),"")</f>
        <v/>
      </c>
      <c r="L503" s="36"/>
      <c r="M503" s="36"/>
      <c r="P503" s="1" t="n">
        <f aca="false">IFERROR(VALUE(MID($A503,5,4)),0)</f>
        <v>0</v>
      </c>
      <c r="Q503" s="1" t="str">
        <f aca="false">IF(B503="","","NEW-"&amp;TEXT(MAX($P$2:$P502,Lists!$N$2)+1,"0000"))</f>
        <v/>
      </c>
    </row>
    <row r="504" customFormat="false" ht="15" hidden="false" customHeight="true" outlineLevel="0" collapsed="false">
      <c r="A504" s="35" t="str">
        <f aca="false">IF(AND(B504="",C504="",D504="",E504="",F504="",G504="",H504="",J504="",L504="",M504="",N504=""),"",Q504)</f>
        <v/>
      </c>
      <c r="B504" s="36"/>
      <c r="C504" s="36"/>
      <c r="D504" s="36"/>
      <c r="E504" s="36"/>
      <c r="F504" s="36"/>
      <c r="G504" s="36"/>
      <c r="H504" s="36"/>
      <c r="I504" s="1" t="str">
        <f aca="false">IF($A504="","",IFERROR(IF(ISBLANK(INDEX(SprintPlanning[Sprint],MATCH($A504,SprintPlanning[Requirement ID],0))),"To Plan",INDEX(SprintPlanning[Sprint],MATCH($A504,SprintPlanning[Requirement ID],0))),"To Plan"))</f>
        <v/>
      </c>
      <c r="J504" s="36"/>
      <c r="K504" s="1" t="str">
        <f aca="false">IFERROR(IF(ISBLANK(INDEX(Release[Release],MATCH($A504,Release[Requirement ID],0))),"",INDEX(Release[Release],MATCH($A504,Release[Requirement ID],0))),"")</f>
        <v/>
      </c>
      <c r="L504" s="36"/>
      <c r="M504" s="36"/>
      <c r="P504" s="1" t="n">
        <f aca="false">IFERROR(VALUE(MID($A504,5,4)),0)</f>
        <v>0</v>
      </c>
      <c r="Q504" s="1" t="str">
        <f aca="false">IF(B504="","","NEW-"&amp;TEXT(MAX($P$2:$P503,Lists!$N$2)+1,"0000"))</f>
        <v/>
      </c>
    </row>
    <row r="505" customFormat="false" ht="15" hidden="false" customHeight="true" outlineLevel="0" collapsed="false">
      <c r="A505" s="35" t="str">
        <f aca="false">IF(AND(B505="",C505="",D505="",E505="",F505="",G505="",H505="",J505="",L505="",M505="",N505=""),"",Q505)</f>
        <v/>
      </c>
      <c r="B505" s="36"/>
      <c r="C505" s="36"/>
      <c r="D505" s="36"/>
      <c r="E505" s="36"/>
      <c r="F505" s="36"/>
      <c r="G505" s="36"/>
      <c r="H505" s="36"/>
      <c r="I505" s="1" t="str">
        <f aca="false">IF($A505="","",IFERROR(IF(ISBLANK(INDEX(SprintPlanning[Sprint],MATCH($A505,SprintPlanning[Requirement ID],0))),"To Plan",INDEX(SprintPlanning[Sprint],MATCH($A505,SprintPlanning[Requirement ID],0))),"To Plan"))</f>
        <v/>
      </c>
      <c r="J505" s="36"/>
      <c r="K505" s="1" t="str">
        <f aca="false">IFERROR(IF(ISBLANK(INDEX(Release[Release],MATCH($A505,Release[Requirement ID],0))),"",INDEX(Release[Release],MATCH($A505,Release[Requirement ID],0))),"")</f>
        <v/>
      </c>
      <c r="L505" s="36"/>
      <c r="M505" s="36"/>
      <c r="P505" s="1" t="n">
        <f aca="false">IFERROR(VALUE(MID($A505,5,4)),0)</f>
        <v>0</v>
      </c>
      <c r="Q505" s="1" t="str">
        <f aca="false">IF(B505="","","NEW-"&amp;TEXT(MAX($P$2:$P504,Lists!$N$2)+1,"0000"))</f>
        <v/>
      </c>
    </row>
    <row r="506" customFormat="false" ht="15" hidden="false" customHeight="true" outlineLevel="0" collapsed="false">
      <c r="A506" s="35" t="str">
        <f aca="false">IF(AND(B506="",C506="",D506="",E506="",F506="",G506="",H506="",J506="",L506="",M506="",N506=""),"",Q506)</f>
        <v/>
      </c>
      <c r="B506" s="36"/>
      <c r="C506" s="36"/>
      <c r="D506" s="36"/>
      <c r="E506" s="36"/>
      <c r="F506" s="36"/>
      <c r="G506" s="36"/>
      <c r="H506" s="36"/>
      <c r="I506" s="1" t="str">
        <f aca="false">IF($A506="","",IFERROR(IF(ISBLANK(INDEX(SprintPlanning[Sprint],MATCH($A506,SprintPlanning[Requirement ID],0))),"To Plan",INDEX(SprintPlanning[Sprint],MATCH($A506,SprintPlanning[Requirement ID],0))),"To Plan"))</f>
        <v/>
      </c>
      <c r="J506" s="36"/>
      <c r="K506" s="1" t="str">
        <f aca="false">IFERROR(IF(ISBLANK(INDEX(Release[Release],MATCH($A506,Release[Requirement ID],0))),"",INDEX(Release[Release],MATCH($A506,Release[Requirement ID],0))),"")</f>
        <v/>
      </c>
      <c r="L506" s="36"/>
      <c r="M506" s="36"/>
      <c r="P506" s="1" t="n">
        <f aca="false">IFERROR(VALUE(MID($A506,5,4)),0)</f>
        <v>0</v>
      </c>
      <c r="Q506" s="1" t="str">
        <f aca="false">IF(B506="","","NEW-"&amp;TEXT(MAX($P$2:$P505,Lists!$N$2)+1,"0000"))</f>
        <v/>
      </c>
    </row>
    <row r="507" customFormat="false" ht="15" hidden="false" customHeight="true" outlineLevel="0" collapsed="false">
      <c r="A507" s="35" t="str">
        <f aca="false">IF(AND(B507="",C507="",D507="",E507="",F507="",G507="",H507="",J507="",L507="",M507="",N507=""),"",Q507)</f>
        <v/>
      </c>
      <c r="B507" s="36"/>
      <c r="C507" s="36"/>
      <c r="D507" s="36"/>
      <c r="E507" s="36"/>
      <c r="F507" s="36"/>
      <c r="G507" s="36"/>
      <c r="H507" s="36"/>
      <c r="I507" s="1" t="str">
        <f aca="false">IF($A507="","",IFERROR(IF(ISBLANK(INDEX(SprintPlanning[Sprint],MATCH($A507,SprintPlanning[Requirement ID],0))),"To Plan",INDEX(SprintPlanning[Sprint],MATCH($A507,SprintPlanning[Requirement ID],0))),"To Plan"))</f>
        <v/>
      </c>
      <c r="J507" s="36"/>
      <c r="K507" s="1" t="str">
        <f aca="false">IFERROR(IF(ISBLANK(INDEX(Release[Release],MATCH($A507,Release[Requirement ID],0))),"",INDEX(Release[Release],MATCH($A507,Release[Requirement ID],0))),"")</f>
        <v/>
      </c>
      <c r="L507" s="36"/>
      <c r="M507" s="36"/>
      <c r="P507" s="1" t="n">
        <f aca="false">IFERROR(VALUE(MID($A507,5,4)),0)</f>
        <v>0</v>
      </c>
      <c r="Q507" s="1" t="str">
        <f aca="false">IF(B507="","","NEW-"&amp;TEXT(MAX($P$2:$P506,Lists!$N$2)+1,"0000"))</f>
        <v/>
      </c>
    </row>
    <row r="508" customFormat="false" ht="15" hidden="false" customHeight="true" outlineLevel="0" collapsed="false">
      <c r="A508" s="35" t="str">
        <f aca="false">IF(AND(B508="",C508="",D508="",E508="",F508="",G508="",H508="",J508="",L508="",M508="",N508=""),"",Q508)</f>
        <v/>
      </c>
      <c r="B508" s="36"/>
      <c r="C508" s="36"/>
      <c r="D508" s="36"/>
      <c r="E508" s="36"/>
      <c r="F508" s="36"/>
      <c r="G508" s="36"/>
      <c r="H508" s="36"/>
      <c r="I508" s="1" t="str">
        <f aca="false">IF($A508="","",IFERROR(IF(ISBLANK(INDEX(SprintPlanning[Sprint],MATCH($A508,SprintPlanning[Requirement ID],0))),"To Plan",INDEX(SprintPlanning[Sprint],MATCH($A508,SprintPlanning[Requirement ID],0))),"To Plan"))</f>
        <v/>
      </c>
      <c r="J508" s="36"/>
      <c r="K508" s="1" t="str">
        <f aca="false">IFERROR(IF(ISBLANK(INDEX(Release[Release],MATCH($A508,Release[Requirement ID],0))),"",INDEX(Release[Release],MATCH($A508,Release[Requirement ID],0))),"")</f>
        <v/>
      </c>
      <c r="L508" s="36"/>
      <c r="M508" s="36"/>
      <c r="P508" s="1" t="n">
        <f aca="false">IFERROR(VALUE(MID($A508,5,4)),0)</f>
        <v>0</v>
      </c>
      <c r="Q508" s="1" t="str">
        <f aca="false">IF(B508="","","NEW-"&amp;TEXT(MAX($P$2:$P507,Lists!$N$2)+1,"0000"))</f>
        <v/>
      </c>
    </row>
    <row r="509" customFormat="false" ht="15" hidden="false" customHeight="true" outlineLevel="0" collapsed="false">
      <c r="A509" s="35" t="str">
        <f aca="false">IF(AND(B509="",C509="",D509="",E509="",F509="",G509="",H509="",J509="",L509="",M509="",N509=""),"",Q509)</f>
        <v/>
      </c>
      <c r="B509" s="36"/>
      <c r="C509" s="36"/>
      <c r="D509" s="36"/>
      <c r="E509" s="36"/>
      <c r="F509" s="36"/>
      <c r="G509" s="36"/>
      <c r="H509" s="36"/>
      <c r="I509" s="1" t="str">
        <f aca="false">IF($A509="","",IFERROR(IF(ISBLANK(INDEX(SprintPlanning[Sprint],MATCH($A509,SprintPlanning[Requirement ID],0))),"To Plan",INDEX(SprintPlanning[Sprint],MATCH($A509,SprintPlanning[Requirement ID],0))),"To Plan"))</f>
        <v/>
      </c>
      <c r="J509" s="36"/>
      <c r="K509" s="1" t="str">
        <f aca="false">IFERROR(IF(ISBLANK(INDEX(Release[Release],MATCH($A509,Release[Requirement ID],0))),"",INDEX(Release[Release],MATCH($A509,Release[Requirement ID],0))),"")</f>
        <v/>
      </c>
      <c r="L509" s="36"/>
      <c r="M509" s="36"/>
      <c r="P509" s="1" t="n">
        <f aca="false">IFERROR(VALUE(MID($A509,5,4)),0)</f>
        <v>0</v>
      </c>
      <c r="Q509" s="1" t="str">
        <f aca="false">IF(B509="","","NEW-"&amp;TEXT(MAX($P$2:$P508,Lists!$N$2)+1,"0000"))</f>
        <v/>
      </c>
    </row>
    <row r="510" customFormat="false" ht="15" hidden="false" customHeight="true" outlineLevel="0" collapsed="false">
      <c r="A510" s="35" t="str">
        <f aca="false">IF(AND(B510="",C510="",D510="",E510="",F510="",G510="",H510="",J510="",L510="",M510="",N510=""),"",Q510)</f>
        <v/>
      </c>
      <c r="B510" s="36"/>
      <c r="C510" s="36"/>
      <c r="D510" s="36"/>
      <c r="E510" s="36"/>
      <c r="F510" s="36"/>
      <c r="G510" s="36"/>
      <c r="H510" s="36"/>
      <c r="I510" s="1" t="str">
        <f aca="false">IF($A510="","",IFERROR(IF(ISBLANK(INDEX(SprintPlanning[Sprint],MATCH($A510,SprintPlanning[Requirement ID],0))),"To Plan",INDEX(SprintPlanning[Sprint],MATCH($A510,SprintPlanning[Requirement ID],0))),"To Plan"))</f>
        <v/>
      </c>
      <c r="J510" s="36"/>
      <c r="K510" s="1" t="str">
        <f aca="false">IFERROR(IF(ISBLANK(INDEX(Release[Release],MATCH($A510,Release[Requirement ID],0))),"",INDEX(Release[Release],MATCH($A510,Release[Requirement ID],0))),"")</f>
        <v/>
      </c>
      <c r="L510" s="36"/>
      <c r="M510" s="36"/>
      <c r="P510" s="1" t="n">
        <f aca="false">IFERROR(VALUE(MID($A510,5,4)),0)</f>
        <v>0</v>
      </c>
      <c r="Q510" s="1" t="str">
        <f aca="false">IF(B510="","","NEW-"&amp;TEXT(MAX($P$2:$P509,Lists!$N$2)+1,"0000"))</f>
        <v/>
      </c>
    </row>
    <row r="511" customFormat="false" ht="15" hidden="false" customHeight="true" outlineLevel="0" collapsed="false">
      <c r="A511" s="35" t="str">
        <f aca="false">IF(AND(B511="",C511="",D511="",E511="",F511="",G511="",H511="",J511="",L511="",M511="",N511=""),"",Q511)</f>
        <v/>
      </c>
      <c r="B511" s="36"/>
      <c r="C511" s="36"/>
      <c r="D511" s="36"/>
      <c r="E511" s="36"/>
      <c r="F511" s="36"/>
      <c r="G511" s="36"/>
      <c r="H511" s="36"/>
      <c r="I511" s="1" t="str">
        <f aca="false">IF($A511="","",IFERROR(IF(ISBLANK(INDEX(SprintPlanning[Sprint],MATCH($A511,SprintPlanning[Requirement ID],0))),"To Plan",INDEX(SprintPlanning[Sprint],MATCH($A511,SprintPlanning[Requirement ID],0))),"To Plan"))</f>
        <v/>
      </c>
      <c r="J511" s="36"/>
      <c r="K511" s="1" t="str">
        <f aca="false">IFERROR(IF(ISBLANK(INDEX(Release[Release],MATCH($A511,Release[Requirement ID],0))),"",INDEX(Release[Release],MATCH($A511,Release[Requirement ID],0))),"")</f>
        <v/>
      </c>
      <c r="L511" s="36"/>
      <c r="M511" s="36"/>
      <c r="P511" s="1" t="n">
        <f aca="false">IFERROR(VALUE(MID($A511,5,4)),0)</f>
        <v>0</v>
      </c>
      <c r="Q511" s="1" t="str">
        <f aca="false">IF(B511="","","NEW-"&amp;TEXT(MAX($P$2:$P510,Lists!$N$2)+1,"0000"))</f>
        <v/>
      </c>
    </row>
    <row r="512" customFormat="false" ht="15" hidden="false" customHeight="true" outlineLevel="0" collapsed="false">
      <c r="A512" s="35" t="str">
        <f aca="false">IF(AND(B512="",C512="",D512="",E512="",F512="",G512="",H512="",J512="",L512="",M512="",N512=""),"",Q512)</f>
        <v/>
      </c>
      <c r="B512" s="36"/>
      <c r="C512" s="36"/>
      <c r="D512" s="36"/>
      <c r="E512" s="36"/>
      <c r="F512" s="36"/>
      <c r="G512" s="36"/>
      <c r="H512" s="36"/>
      <c r="I512" s="1" t="str">
        <f aca="false">IF($A512="","",IFERROR(IF(ISBLANK(INDEX(SprintPlanning[Sprint],MATCH($A512,SprintPlanning[Requirement ID],0))),"To Plan",INDEX(SprintPlanning[Sprint],MATCH($A512,SprintPlanning[Requirement ID],0))),"To Plan"))</f>
        <v/>
      </c>
      <c r="J512" s="36"/>
      <c r="K512" s="1" t="str">
        <f aca="false">IFERROR(IF(ISBLANK(INDEX(Release[Release],MATCH($A512,Release[Requirement ID],0))),"",INDEX(Release[Release],MATCH($A512,Release[Requirement ID],0))),"")</f>
        <v/>
      </c>
      <c r="L512" s="36"/>
      <c r="M512" s="36"/>
      <c r="P512" s="1" t="n">
        <f aca="false">IFERROR(VALUE(MID($A512,5,4)),0)</f>
        <v>0</v>
      </c>
      <c r="Q512" s="1" t="str">
        <f aca="false">IF(B512="","","NEW-"&amp;TEXT(MAX($P$2:$P511,Lists!$N$2)+1,"0000"))</f>
        <v/>
      </c>
    </row>
    <row r="513" customFormat="false" ht="15" hidden="false" customHeight="true" outlineLevel="0" collapsed="false">
      <c r="A513" s="35" t="str">
        <f aca="false">IF(AND(B513="",C513="",D513="",E513="",F513="",G513="",H513="",J513="",L513="",M513="",N513=""),"",Q513)</f>
        <v/>
      </c>
      <c r="B513" s="36"/>
      <c r="C513" s="36"/>
      <c r="D513" s="36"/>
      <c r="E513" s="36"/>
      <c r="F513" s="36"/>
      <c r="G513" s="36"/>
      <c r="H513" s="36"/>
      <c r="I513" s="1" t="str">
        <f aca="false">IF($A513="","",IFERROR(IF(ISBLANK(INDEX(SprintPlanning[Sprint],MATCH($A513,SprintPlanning[Requirement ID],0))),"To Plan",INDEX(SprintPlanning[Sprint],MATCH($A513,SprintPlanning[Requirement ID],0))),"To Plan"))</f>
        <v/>
      </c>
      <c r="J513" s="36"/>
      <c r="K513" s="1" t="str">
        <f aca="false">IFERROR(IF(ISBLANK(INDEX(Release[Release],MATCH($A513,Release[Requirement ID],0))),"",INDEX(Release[Release],MATCH($A513,Release[Requirement ID],0))),"")</f>
        <v/>
      </c>
      <c r="L513" s="36"/>
      <c r="M513" s="36"/>
      <c r="P513" s="1" t="n">
        <f aca="false">IFERROR(VALUE(MID($A513,5,4)),0)</f>
        <v>0</v>
      </c>
      <c r="Q513" s="1" t="str">
        <f aca="false">IF(B513="","","NEW-"&amp;TEXT(MAX($P$2:$P512,Lists!$N$2)+1,"0000"))</f>
        <v/>
      </c>
    </row>
    <row r="514" customFormat="false" ht="15" hidden="false" customHeight="true" outlineLevel="0" collapsed="false">
      <c r="A514" s="35" t="str">
        <f aca="false">IF(AND(B514="",C514="",D514="",E514="",F514="",G514="",H514="",J514="",L514="",M514="",N514=""),"",Q514)</f>
        <v/>
      </c>
      <c r="B514" s="36"/>
      <c r="C514" s="36"/>
      <c r="D514" s="36"/>
      <c r="E514" s="36"/>
      <c r="F514" s="36"/>
      <c r="G514" s="36"/>
      <c r="H514" s="36"/>
      <c r="I514" s="1" t="str">
        <f aca="false">IF($A514="","",IFERROR(IF(ISBLANK(INDEX(SprintPlanning[Sprint],MATCH($A514,SprintPlanning[Requirement ID],0))),"To Plan",INDEX(SprintPlanning[Sprint],MATCH($A514,SprintPlanning[Requirement ID],0))),"To Plan"))</f>
        <v/>
      </c>
      <c r="J514" s="36"/>
      <c r="K514" s="1" t="str">
        <f aca="false">IFERROR(IF(ISBLANK(INDEX(Release[Release],MATCH($A514,Release[Requirement ID],0))),"",INDEX(Release[Release],MATCH($A514,Release[Requirement ID],0))),"")</f>
        <v/>
      </c>
      <c r="L514" s="36"/>
      <c r="M514" s="36"/>
      <c r="P514" s="1" t="n">
        <f aca="false">IFERROR(VALUE(MID($A514,5,4)),0)</f>
        <v>0</v>
      </c>
      <c r="Q514" s="1" t="str">
        <f aca="false">IF(B514="","","NEW-"&amp;TEXT(MAX($P$2:$P513,Lists!$N$2)+1,"0000"))</f>
        <v/>
      </c>
    </row>
    <row r="515" customFormat="false" ht="15" hidden="false" customHeight="true" outlineLevel="0" collapsed="false">
      <c r="A515" s="35" t="str">
        <f aca="false">IF(AND(B515="",C515="",D515="",E515="",F515="",G515="",H515="",J515="",L515="",M515="",N515=""),"",Q515)</f>
        <v/>
      </c>
      <c r="B515" s="36"/>
      <c r="C515" s="36"/>
      <c r="D515" s="36"/>
      <c r="E515" s="36"/>
      <c r="F515" s="36"/>
      <c r="G515" s="36"/>
      <c r="H515" s="36"/>
      <c r="I515" s="1" t="str">
        <f aca="false">IF($A515="","",IFERROR(IF(ISBLANK(INDEX(SprintPlanning[Sprint],MATCH($A515,SprintPlanning[Requirement ID],0))),"To Plan",INDEX(SprintPlanning[Sprint],MATCH($A515,SprintPlanning[Requirement ID],0))),"To Plan"))</f>
        <v/>
      </c>
      <c r="J515" s="36"/>
      <c r="K515" s="1" t="str">
        <f aca="false">IFERROR(IF(ISBLANK(INDEX(Release[Release],MATCH($A515,Release[Requirement ID],0))),"",INDEX(Release[Release],MATCH($A515,Release[Requirement ID],0))),"")</f>
        <v/>
      </c>
      <c r="L515" s="36"/>
      <c r="M515" s="36"/>
      <c r="P515" s="1" t="n">
        <f aca="false">IFERROR(VALUE(MID($A515,5,4)),0)</f>
        <v>0</v>
      </c>
      <c r="Q515" s="1" t="str">
        <f aca="false">IF(B515="","","NEW-"&amp;TEXT(MAX($P$2:$P514,Lists!$N$2)+1,"0000"))</f>
        <v/>
      </c>
    </row>
    <row r="516" customFormat="false" ht="15" hidden="false" customHeight="true" outlineLevel="0" collapsed="false">
      <c r="A516" s="35" t="str">
        <f aca="false">IF(AND(B516="",C516="",D516="",E516="",F516="",G516="",H516="",J516="",L516="",M516="",N516=""),"",Q516)</f>
        <v/>
      </c>
      <c r="B516" s="36"/>
      <c r="C516" s="36"/>
      <c r="D516" s="36"/>
      <c r="E516" s="36"/>
      <c r="F516" s="36"/>
      <c r="G516" s="36"/>
      <c r="H516" s="36"/>
      <c r="I516" s="1" t="str">
        <f aca="false">IF($A516="","",IFERROR(IF(ISBLANK(INDEX(SprintPlanning[Sprint],MATCH($A516,SprintPlanning[Requirement ID],0))),"To Plan",INDEX(SprintPlanning[Sprint],MATCH($A516,SprintPlanning[Requirement ID],0))),"To Plan"))</f>
        <v/>
      </c>
      <c r="J516" s="36"/>
      <c r="K516" s="1" t="str">
        <f aca="false">IFERROR(IF(ISBLANK(INDEX(Release[Release],MATCH($A516,Release[Requirement ID],0))),"",INDEX(Release[Release],MATCH($A516,Release[Requirement ID],0))),"")</f>
        <v/>
      </c>
      <c r="L516" s="36"/>
      <c r="M516" s="36"/>
      <c r="P516" s="1" t="n">
        <f aca="false">IFERROR(VALUE(MID($A516,5,4)),0)</f>
        <v>0</v>
      </c>
      <c r="Q516" s="1" t="str">
        <f aca="false">IF(B516="","","NEW-"&amp;TEXT(MAX($P$2:$P515,Lists!$N$2)+1,"0000"))</f>
        <v/>
      </c>
    </row>
    <row r="517" customFormat="false" ht="15" hidden="false" customHeight="true" outlineLevel="0" collapsed="false">
      <c r="A517" s="35" t="str">
        <f aca="false">IF(AND(B517="",C517="",D517="",E517="",F517="",G517="",H517="",J517="",L517="",M517="",N517=""),"",Q517)</f>
        <v/>
      </c>
      <c r="B517" s="36"/>
      <c r="C517" s="36"/>
      <c r="D517" s="36"/>
      <c r="E517" s="36"/>
      <c r="F517" s="36"/>
      <c r="G517" s="36"/>
      <c r="H517" s="36"/>
      <c r="I517" s="1" t="str">
        <f aca="false">IF($A517="","",IFERROR(IF(ISBLANK(INDEX(SprintPlanning[Sprint],MATCH($A517,SprintPlanning[Requirement ID],0))),"To Plan",INDEX(SprintPlanning[Sprint],MATCH($A517,SprintPlanning[Requirement ID],0))),"To Plan"))</f>
        <v/>
      </c>
      <c r="J517" s="36"/>
      <c r="K517" s="1" t="str">
        <f aca="false">IFERROR(IF(ISBLANK(INDEX(Release[Release],MATCH($A517,Release[Requirement ID],0))),"",INDEX(Release[Release],MATCH($A517,Release[Requirement ID],0))),"")</f>
        <v/>
      </c>
      <c r="L517" s="36"/>
      <c r="M517" s="36"/>
      <c r="P517" s="1" t="n">
        <f aca="false">IFERROR(VALUE(MID($A517,5,4)),0)</f>
        <v>0</v>
      </c>
      <c r="Q517" s="1" t="str">
        <f aca="false">IF(B517="","","NEW-"&amp;TEXT(MAX($P$2:$P516,Lists!$N$2)+1,"0000"))</f>
        <v/>
      </c>
    </row>
    <row r="518" customFormat="false" ht="15" hidden="false" customHeight="true" outlineLevel="0" collapsed="false">
      <c r="A518" s="35" t="str">
        <f aca="false">IF(AND(B518="",C518="",D518="",E518="",F518="",G518="",H518="",J518="",L518="",M518="",N518=""),"",Q518)</f>
        <v/>
      </c>
      <c r="B518" s="36"/>
      <c r="C518" s="36"/>
      <c r="D518" s="36"/>
      <c r="E518" s="36"/>
      <c r="F518" s="36"/>
      <c r="G518" s="36"/>
      <c r="H518" s="36"/>
      <c r="I518" s="1" t="str">
        <f aca="false">IF($A518="","",IFERROR(IF(ISBLANK(INDEX(SprintPlanning[Sprint],MATCH($A518,SprintPlanning[Requirement ID],0))),"To Plan",INDEX(SprintPlanning[Sprint],MATCH($A518,SprintPlanning[Requirement ID],0))),"To Plan"))</f>
        <v/>
      </c>
      <c r="J518" s="36"/>
      <c r="K518" s="1" t="str">
        <f aca="false">IFERROR(IF(ISBLANK(INDEX(Release[Release],MATCH($A518,Release[Requirement ID],0))),"",INDEX(Release[Release],MATCH($A518,Release[Requirement ID],0))),"")</f>
        <v/>
      </c>
      <c r="L518" s="36"/>
      <c r="M518" s="36"/>
      <c r="P518" s="1" t="n">
        <f aca="false">IFERROR(VALUE(MID($A518,5,4)),0)</f>
        <v>0</v>
      </c>
      <c r="Q518" s="1" t="str">
        <f aca="false">IF(B518="","","NEW-"&amp;TEXT(MAX($P$2:$P517,Lists!$N$2)+1,"0000"))</f>
        <v/>
      </c>
    </row>
    <row r="519" customFormat="false" ht="15" hidden="false" customHeight="true" outlineLevel="0" collapsed="false">
      <c r="A519" s="35" t="str">
        <f aca="false">IF(AND(B519="",C519="",D519="",E519="",F519="",G519="",H519="",J519="",L519="",M519="",N519=""),"",Q519)</f>
        <v/>
      </c>
      <c r="B519" s="36"/>
      <c r="C519" s="36"/>
      <c r="D519" s="36"/>
      <c r="E519" s="36"/>
      <c r="F519" s="36"/>
      <c r="G519" s="36"/>
      <c r="H519" s="36"/>
      <c r="I519" s="1" t="str">
        <f aca="false">IF($A519="","",IFERROR(IF(ISBLANK(INDEX(SprintPlanning[Sprint],MATCH($A519,SprintPlanning[Requirement ID],0))),"To Plan",INDEX(SprintPlanning[Sprint],MATCH($A519,SprintPlanning[Requirement ID],0))),"To Plan"))</f>
        <v/>
      </c>
      <c r="J519" s="36"/>
      <c r="K519" s="1" t="str">
        <f aca="false">IFERROR(IF(ISBLANK(INDEX(Release[Release],MATCH($A519,Release[Requirement ID],0))),"",INDEX(Release[Release],MATCH($A519,Release[Requirement ID],0))),"")</f>
        <v/>
      </c>
      <c r="L519" s="36"/>
      <c r="M519" s="36"/>
      <c r="P519" s="1" t="n">
        <f aca="false">IFERROR(VALUE(MID($A519,5,4)),0)</f>
        <v>0</v>
      </c>
      <c r="Q519" s="1" t="str">
        <f aca="false">IF(B519="","","NEW-"&amp;TEXT(MAX($P$2:$P518,Lists!$N$2)+1,"0000"))</f>
        <v/>
      </c>
    </row>
    <row r="520" customFormat="false" ht="15" hidden="false" customHeight="true" outlineLevel="0" collapsed="false">
      <c r="A520" s="35" t="str">
        <f aca="false">IF(AND(B520="",C520="",D520="",E520="",F520="",G520="",H520="",J520="",L520="",M520="",N520=""),"",Q520)</f>
        <v/>
      </c>
      <c r="B520" s="36"/>
      <c r="C520" s="36"/>
      <c r="D520" s="36"/>
      <c r="E520" s="36"/>
      <c r="F520" s="36"/>
      <c r="G520" s="36"/>
      <c r="H520" s="36"/>
      <c r="I520" s="1" t="str">
        <f aca="false">IF($A520="","",IFERROR(IF(ISBLANK(INDEX(SprintPlanning[Sprint],MATCH($A520,SprintPlanning[Requirement ID],0))),"To Plan",INDEX(SprintPlanning[Sprint],MATCH($A520,SprintPlanning[Requirement ID],0))),"To Plan"))</f>
        <v/>
      </c>
      <c r="J520" s="36"/>
      <c r="K520" s="1" t="str">
        <f aca="false">IFERROR(IF(ISBLANK(INDEX(Release[Release],MATCH($A520,Release[Requirement ID],0))),"",INDEX(Release[Release],MATCH($A520,Release[Requirement ID],0))),"")</f>
        <v/>
      </c>
      <c r="L520" s="36"/>
      <c r="M520" s="36"/>
      <c r="P520" s="1" t="n">
        <f aca="false">IFERROR(VALUE(MID($A520,5,4)),0)</f>
        <v>0</v>
      </c>
      <c r="Q520" s="1" t="str">
        <f aca="false">IF(B520="","","NEW-"&amp;TEXT(MAX($P$2:$P519,Lists!$N$2)+1,"0000"))</f>
        <v/>
      </c>
    </row>
    <row r="521" customFormat="false" ht="15" hidden="false" customHeight="true" outlineLevel="0" collapsed="false">
      <c r="A521" s="35" t="str">
        <f aca="false">IF(AND(B521="",C521="",D521="",E521="",F521="",G521="",H521="",J521="",L521="",M521="",N521=""),"",Q521)</f>
        <v/>
      </c>
      <c r="B521" s="36"/>
      <c r="C521" s="36"/>
      <c r="D521" s="36"/>
      <c r="E521" s="36"/>
      <c r="F521" s="36"/>
      <c r="G521" s="36"/>
      <c r="H521" s="36"/>
      <c r="I521" s="1" t="str">
        <f aca="false">IF($A521="","",IFERROR(IF(ISBLANK(INDEX(SprintPlanning[Sprint],MATCH($A521,SprintPlanning[Requirement ID],0))),"To Plan",INDEX(SprintPlanning[Sprint],MATCH($A521,SprintPlanning[Requirement ID],0))),"To Plan"))</f>
        <v/>
      </c>
      <c r="J521" s="36"/>
      <c r="K521" s="1" t="str">
        <f aca="false">IFERROR(IF(ISBLANK(INDEX(Release[Release],MATCH($A521,Release[Requirement ID],0))),"",INDEX(Release[Release],MATCH($A521,Release[Requirement ID],0))),"")</f>
        <v/>
      </c>
      <c r="L521" s="36"/>
      <c r="M521" s="36"/>
      <c r="P521" s="1" t="n">
        <f aca="false">IFERROR(VALUE(MID($A521,5,4)),0)</f>
        <v>0</v>
      </c>
      <c r="Q521" s="1" t="str">
        <f aca="false">IF(B521="","","NEW-"&amp;TEXT(MAX($P$2:$P520,Lists!$N$2)+1,"0000"))</f>
        <v/>
      </c>
    </row>
    <row r="522" customFormat="false" ht="15" hidden="false" customHeight="true" outlineLevel="0" collapsed="false">
      <c r="A522" s="35" t="str">
        <f aca="false">IF(AND(B522="",C522="",D522="",E522="",F522="",G522="",H522="",J522="",L522="",M522="",N522=""),"",Q522)</f>
        <v/>
      </c>
      <c r="B522" s="36"/>
      <c r="C522" s="36"/>
      <c r="D522" s="36"/>
      <c r="E522" s="36"/>
      <c r="F522" s="36"/>
      <c r="G522" s="36"/>
      <c r="H522" s="36"/>
      <c r="I522" s="1" t="str">
        <f aca="false">IF($A522="","",IFERROR(IF(ISBLANK(INDEX(SprintPlanning[Sprint],MATCH($A522,SprintPlanning[Requirement ID],0))),"To Plan",INDEX(SprintPlanning[Sprint],MATCH($A522,SprintPlanning[Requirement ID],0))),"To Plan"))</f>
        <v/>
      </c>
      <c r="J522" s="36"/>
      <c r="K522" s="1" t="str">
        <f aca="false">IFERROR(IF(ISBLANK(INDEX(Release[Release],MATCH($A522,Release[Requirement ID],0))),"",INDEX(Release[Release],MATCH($A522,Release[Requirement ID],0))),"")</f>
        <v/>
      </c>
      <c r="L522" s="36"/>
      <c r="M522" s="36"/>
      <c r="P522" s="1" t="n">
        <f aca="false">IFERROR(VALUE(MID($A522,5,4)),0)</f>
        <v>0</v>
      </c>
      <c r="Q522" s="1" t="str">
        <f aca="false">IF(B522="","","NEW-"&amp;TEXT(MAX($P$2:$P521,Lists!$N$2)+1,"0000"))</f>
        <v/>
      </c>
    </row>
    <row r="523" customFormat="false" ht="15" hidden="false" customHeight="true" outlineLevel="0" collapsed="false">
      <c r="A523" s="35" t="str">
        <f aca="false">IF(AND(B523="",C523="",D523="",E523="",F523="",G523="",H523="",J523="",L523="",M523="",N523=""),"",Q523)</f>
        <v/>
      </c>
      <c r="B523" s="36"/>
      <c r="C523" s="36"/>
      <c r="D523" s="36"/>
      <c r="E523" s="36"/>
      <c r="F523" s="36"/>
      <c r="G523" s="36"/>
      <c r="H523" s="36"/>
      <c r="I523" s="1" t="str">
        <f aca="false">IF($A523="","",IFERROR(IF(ISBLANK(INDEX(SprintPlanning[Sprint],MATCH($A523,SprintPlanning[Requirement ID],0))),"To Plan",INDEX(SprintPlanning[Sprint],MATCH($A523,SprintPlanning[Requirement ID],0))),"To Plan"))</f>
        <v/>
      </c>
      <c r="J523" s="36"/>
      <c r="K523" s="1" t="str">
        <f aca="false">IFERROR(IF(ISBLANK(INDEX(Release[Release],MATCH($A523,Release[Requirement ID],0))),"",INDEX(Release[Release],MATCH($A523,Release[Requirement ID],0))),"")</f>
        <v/>
      </c>
      <c r="L523" s="36"/>
      <c r="M523" s="36"/>
      <c r="P523" s="1" t="n">
        <f aca="false">IFERROR(VALUE(MID($A523,5,4)),0)</f>
        <v>0</v>
      </c>
      <c r="Q523" s="1" t="str">
        <f aca="false">IF(B523="","","NEW-"&amp;TEXT(MAX($P$2:$P522,Lists!$N$2)+1,"0000"))</f>
        <v/>
      </c>
    </row>
    <row r="524" customFormat="false" ht="15" hidden="false" customHeight="true" outlineLevel="0" collapsed="false">
      <c r="A524" s="35" t="str">
        <f aca="false">IF(AND(B524="",C524="",D524="",E524="",F524="",G524="",H524="",J524="",L524="",M524="",N524=""),"",Q524)</f>
        <v/>
      </c>
      <c r="B524" s="36"/>
      <c r="C524" s="36"/>
      <c r="D524" s="36"/>
      <c r="E524" s="36"/>
      <c r="F524" s="36"/>
      <c r="G524" s="36"/>
      <c r="H524" s="36"/>
      <c r="I524" s="1" t="str">
        <f aca="false">IF($A524="","",IFERROR(IF(ISBLANK(INDEX(SprintPlanning[Sprint],MATCH($A524,SprintPlanning[Requirement ID],0))),"To Plan",INDEX(SprintPlanning[Sprint],MATCH($A524,SprintPlanning[Requirement ID],0))),"To Plan"))</f>
        <v/>
      </c>
      <c r="J524" s="36"/>
      <c r="K524" s="1" t="str">
        <f aca="false">IFERROR(IF(ISBLANK(INDEX(Release[Release],MATCH($A524,Release[Requirement ID],0))),"",INDEX(Release[Release],MATCH($A524,Release[Requirement ID],0))),"")</f>
        <v/>
      </c>
      <c r="L524" s="36"/>
      <c r="M524" s="36"/>
      <c r="P524" s="1" t="n">
        <f aca="false">IFERROR(VALUE(MID($A524,5,4)),0)</f>
        <v>0</v>
      </c>
      <c r="Q524" s="1" t="str">
        <f aca="false">IF(B524="","","NEW-"&amp;TEXT(MAX($P$2:$P523,Lists!$N$2)+1,"0000"))</f>
        <v/>
      </c>
    </row>
    <row r="525" customFormat="false" ht="15" hidden="false" customHeight="true" outlineLevel="0" collapsed="false">
      <c r="A525" s="35" t="str">
        <f aca="false">IF(AND(B525="",C525="",D525="",E525="",F525="",G525="",H525="",J525="",L525="",M525="",N525=""),"",Q525)</f>
        <v/>
      </c>
      <c r="B525" s="36"/>
      <c r="C525" s="36"/>
      <c r="D525" s="36"/>
      <c r="E525" s="36"/>
      <c r="F525" s="36"/>
      <c r="G525" s="36"/>
      <c r="H525" s="36"/>
      <c r="I525" s="1" t="str">
        <f aca="false">IF($A525="","",IFERROR(IF(ISBLANK(INDEX(SprintPlanning[Sprint],MATCH($A525,SprintPlanning[Requirement ID],0))),"To Plan",INDEX(SprintPlanning[Sprint],MATCH($A525,SprintPlanning[Requirement ID],0))),"To Plan"))</f>
        <v/>
      </c>
      <c r="J525" s="36"/>
      <c r="K525" s="1" t="str">
        <f aca="false">IFERROR(IF(ISBLANK(INDEX(Release[Release],MATCH($A525,Release[Requirement ID],0))),"",INDEX(Release[Release],MATCH($A525,Release[Requirement ID],0))),"")</f>
        <v/>
      </c>
      <c r="L525" s="36"/>
      <c r="M525" s="36"/>
      <c r="P525" s="1" t="n">
        <f aca="false">IFERROR(VALUE(MID($A525,5,4)),0)</f>
        <v>0</v>
      </c>
      <c r="Q525" s="1" t="str">
        <f aca="false">IF(B525="","","NEW-"&amp;TEXT(MAX($P$2:$P524,Lists!$N$2)+1,"0000"))</f>
        <v/>
      </c>
    </row>
    <row r="526" customFormat="false" ht="15" hidden="false" customHeight="true" outlineLevel="0" collapsed="false">
      <c r="A526" s="35" t="str">
        <f aca="false">IF(AND(B526="",C526="",D526="",E526="",F526="",G526="",H526="",J526="",L526="",M526="",N526=""),"",Q526)</f>
        <v/>
      </c>
      <c r="B526" s="36"/>
      <c r="C526" s="36"/>
      <c r="D526" s="36"/>
      <c r="E526" s="36"/>
      <c r="F526" s="36"/>
      <c r="G526" s="36"/>
      <c r="H526" s="36"/>
      <c r="I526" s="1" t="str">
        <f aca="false">IF($A526="","",IFERROR(IF(ISBLANK(INDEX(SprintPlanning[Sprint],MATCH($A526,SprintPlanning[Requirement ID],0))),"To Plan",INDEX(SprintPlanning[Sprint],MATCH($A526,SprintPlanning[Requirement ID],0))),"To Plan"))</f>
        <v/>
      </c>
      <c r="J526" s="36"/>
      <c r="K526" s="1" t="str">
        <f aca="false">IFERROR(IF(ISBLANK(INDEX(Release[Release],MATCH($A526,Release[Requirement ID],0))),"",INDEX(Release[Release],MATCH($A526,Release[Requirement ID],0))),"")</f>
        <v/>
      </c>
      <c r="L526" s="36"/>
      <c r="M526" s="36"/>
      <c r="P526" s="1" t="n">
        <f aca="false">IFERROR(VALUE(MID($A526,5,4)),0)</f>
        <v>0</v>
      </c>
      <c r="Q526" s="1" t="str">
        <f aca="false">IF(B526="","","NEW-"&amp;TEXT(MAX($P$2:$P525,Lists!$N$2)+1,"0000"))</f>
        <v/>
      </c>
    </row>
    <row r="527" customFormat="false" ht="15" hidden="false" customHeight="true" outlineLevel="0" collapsed="false">
      <c r="A527" s="35" t="str">
        <f aca="false">IF(AND(B527="",C527="",D527="",E527="",F527="",G527="",H527="",J527="",L527="",M527="",N527=""),"",Q527)</f>
        <v/>
      </c>
      <c r="B527" s="36"/>
      <c r="C527" s="36"/>
      <c r="D527" s="36"/>
      <c r="E527" s="36"/>
      <c r="F527" s="36"/>
      <c r="G527" s="36"/>
      <c r="H527" s="36"/>
      <c r="I527" s="1" t="str">
        <f aca="false">IF($A527="","",IFERROR(IF(ISBLANK(INDEX(SprintPlanning[Sprint],MATCH($A527,SprintPlanning[Requirement ID],0))),"To Plan",INDEX(SprintPlanning[Sprint],MATCH($A527,SprintPlanning[Requirement ID],0))),"To Plan"))</f>
        <v/>
      </c>
      <c r="J527" s="36"/>
      <c r="K527" s="1" t="str">
        <f aca="false">IFERROR(IF(ISBLANK(INDEX(Release[Release],MATCH($A527,Release[Requirement ID],0))),"",INDEX(Release[Release],MATCH($A527,Release[Requirement ID],0))),"")</f>
        <v/>
      </c>
      <c r="L527" s="36"/>
      <c r="M527" s="36"/>
      <c r="P527" s="1" t="n">
        <f aca="false">IFERROR(VALUE(MID($A527,5,4)),0)</f>
        <v>0</v>
      </c>
      <c r="Q527" s="1" t="str">
        <f aca="false">IF(B527="","","NEW-"&amp;TEXT(MAX($P$2:$P526,Lists!$N$2)+1,"0000"))</f>
        <v/>
      </c>
    </row>
    <row r="528" customFormat="false" ht="15" hidden="false" customHeight="true" outlineLevel="0" collapsed="false">
      <c r="A528" s="35" t="str">
        <f aca="false">IF(AND(B528="",C528="",D528="",E528="",F528="",G528="",H528="",J528="",L528="",M528="",N528=""),"",Q528)</f>
        <v/>
      </c>
      <c r="B528" s="36"/>
      <c r="C528" s="36"/>
      <c r="D528" s="36"/>
      <c r="E528" s="36"/>
      <c r="F528" s="36"/>
      <c r="G528" s="36"/>
      <c r="H528" s="36"/>
      <c r="I528" s="1" t="str">
        <f aca="false">IF($A528="","",IFERROR(IF(ISBLANK(INDEX(SprintPlanning[Sprint],MATCH($A528,SprintPlanning[Requirement ID],0))),"To Plan",INDEX(SprintPlanning[Sprint],MATCH($A528,SprintPlanning[Requirement ID],0))),"To Plan"))</f>
        <v/>
      </c>
      <c r="J528" s="36"/>
      <c r="K528" s="1" t="str">
        <f aca="false">IFERROR(IF(ISBLANK(INDEX(Release[Release],MATCH($A528,Release[Requirement ID],0))),"",INDEX(Release[Release],MATCH($A528,Release[Requirement ID],0))),"")</f>
        <v/>
      </c>
      <c r="L528" s="36"/>
      <c r="M528" s="36"/>
      <c r="P528" s="1" t="n">
        <f aca="false">IFERROR(VALUE(MID($A528,5,4)),0)</f>
        <v>0</v>
      </c>
      <c r="Q528" s="1" t="str">
        <f aca="false">IF(B528="","","NEW-"&amp;TEXT(MAX($P$2:$P527,Lists!$N$2)+1,"0000"))</f>
        <v/>
      </c>
    </row>
    <row r="529" customFormat="false" ht="15" hidden="false" customHeight="true" outlineLevel="0" collapsed="false">
      <c r="A529" s="35" t="str">
        <f aca="false">IF(AND(B529="",C529="",D529="",E529="",F529="",G529="",H529="",J529="",L529="",M529="",N529=""),"",Q529)</f>
        <v/>
      </c>
      <c r="B529" s="36"/>
      <c r="C529" s="36"/>
      <c r="D529" s="36"/>
      <c r="E529" s="36"/>
      <c r="F529" s="36"/>
      <c r="G529" s="36"/>
      <c r="H529" s="36"/>
      <c r="I529" s="1" t="str">
        <f aca="false">IF($A529="","",IFERROR(IF(ISBLANK(INDEX(SprintPlanning[Sprint],MATCH($A529,SprintPlanning[Requirement ID],0))),"To Plan",INDEX(SprintPlanning[Sprint],MATCH($A529,SprintPlanning[Requirement ID],0))),"To Plan"))</f>
        <v/>
      </c>
      <c r="J529" s="36"/>
      <c r="K529" s="1" t="str">
        <f aca="false">IFERROR(IF(ISBLANK(INDEX(Release[Release],MATCH($A529,Release[Requirement ID],0))),"",INDEX(Release[Release],MATCH($A529,Release[Requirement ID],0))),"")</f>
        <v/>
      </c>
      <c r="L529" s="36"/>
      <c r="M529" s="36"/>
      <c r="P529" s="1" t="n">
        <f aca="false">IFERROR(VALUE(MID($A529,5,4)),0)</f>
        <v>0</v>
      </c>
      <c r="Q529" s="1" t="str">
        <f aca="false">IF(B529="","","NEW-"&amp;TEXT(MAX($P$2:$P528,Lists!$N$2)+1,"0000"))</f>
        <v/>
      </c>
    </row>
    <row r="530" customFormat="false" ht="15" hidden="false" customHeight="true" outlineLevel="0" collapsed="false">
      <c r="A530" s="35" t="str">
        <f aca="false">IF(AND(B530="",C530="",D530="",E530="",F530="",G530="",H530="",J530="",L530="",M530="",N530=""),"",Q530)</f>
        <v/>
      </c>
      <c r="B530" s="36"/>
      <c r="C530" s="36"/>
      <c r="D530" s="36"/>
      <c r="E530" s="36"/>
      <c r="F530" s="36"/>
      <c r="G530" s="36"/>
      <c r="H530" s="36"/>
      <c r="I530" s="1" t="str">
        <f aca="false">IF($A530="","",IFERROR(IF(ISBLANK(INDEX(SprintPlanning[Sprint],MATCH($A530,SprintPlanning[Requirement ID],0))),"To Plan",INDEX(SprintPlanning[Sprint],MATCH($A530,SprintPlanning[Requirement ID],0))),"To Plan"))</f>
        <v/>
      </c>
      <c r="J530" s="36"/>
      <c r="K530" s="1" t="str">
        <f aca="false">IFERROR(IF(ISBLANK(INDEX(Release[Release],MATCH($A530,Release[Requirement ID],0))),"",INDEX(Release[Release],MATCH($A530,Release[Requirement ID],0))),"")</f>
        <v/>
      </c>
      <c r="L530" s="36"/>
      <c r="M530" s="36"/>
      <c r="P530" s="1" t="n">
        <f aca="false">IFERROR(VALUE(MID($A530,5,4)),0)</f>
        <v>0</v>
      </c>
      <c r="Q530" s="1" t="str">
        <f aca="false">IF(B530="","","NEW-"&amp;TEXT(MAX($P$2:$P529,Lists!$N$2)+1,"0000"))</f>
        <v/>
      </c>
    </row>
    <row r="531" customFormat="false" ht="15" hidden="false" customHeight="true" outlineLevel="0" collapsed="false">
      <c r="A531" s="35" t="str">
        <f aca="false">IF(AND(B531="",C531="",D531="",E531="",F531="",G531="",H531="",J531="",L531="",M531="",N531=""),"",Q531)</f>
        <v/>
      </c>
      <c r="B531" s="36"/>
      <c r="C531" s="36"/>
      <c r="D531" s="36"/>
      <c r="E531" s="36"/>
      <c r="F531" s="36"/>
      <c r="G531" s="36"/>
      <c r="H531" s="36"/>
      <c r="I531" s="1" t="str">
        <f aca="false">IF($A531="","",IFERROR(IF(ISBLANK(INDEX(SprintPlanning[Sprint],MATCH($A531,SprintPlanning[Requirement ID],0))),"To Plan",INDEX(SprintPlanning[Sprint],MATCH($A531,SprintPlanning[Requirement ID],0))),"To Plan"))</f>
        <v/>
      </c>
      <c r="J531" s="36"/>
      <c r="K531" s="1" t="str">
        <f aca="false">IFERROR(IF(ISBLANK(INDEX(Release[Release],MATCH($A531,Release[Requirement ID],0))),"",INDEX(Release[Release],MATCH($A531,Release[Requirement ID],0))),"")</f>
        <v/>
      </c>
      <c r="L531" s="36"/>
      <c r="M531" s="36"/>
      <c r="P531" s="1" t="n">
        <f aca="false">IFERROR(VALUE(MID($A531,5,4)),0)</f>
        <v>0</v>
      </c>
      <c r="Q531" s="1" t="str">
        <f aca="false">IF(B531="","","NEW-"&amp;TEXT(MAX($P$2:$P530,Lists!$N$2)+1,"0000"))</f>
        <v/>
      </c>
    </row>
    <row r="532" customFormat="false" ht="15" hidden="false" customHeight="true" outlineLevel="0" collapsed="false">
      <c r="A532" s="35" t="str">
        <f aca="false">IF(AND(B532="",C532="",D532="",E532="",F532="",G532="",H532="",J532="",L532="",M532="",N532=""),"",Q532)</f>
        <v/>
      </c>
      <c r="B532" s="36"/>
      <c r="C532" s="36"/>
      <c r="D532" s="36"/>
      <c r="E532" s="36"/>
      <c r="F532" s="36"/>
      <c r="G532" s="36"/>
      <c r="H532" s="36"/>
      <c r="I532" s="1" t="str">
        <f aca="false">IF($A532="","",IFERROR(IF(ISBLANK(INDEX(SprintPlanning[Sprint],MATCH($A532,SprintPlanning[Requirement ID],0))),"To Plan",INDEX(SprintPlanning[Sprint],MATCH($A532,SprintPlanning[Requirement ID],0))),"To Plan"))</f>
        <v/>
      </c>
      <c r="J532" s="36"/>
      <c r="K532" s="1" t="str">
        <f aca="false">IFERROR(IF(ISBLANK(INDEX(Release[Release],MATCH($A532,Release[Requirement ID],0))),"",INDEX(Release[Release],MATCH($A532,Release[Requirement ID],0))),"")</f>
        <v/>
      </c>
      <c r="L532" s="36"/>
      <c r="M532" s="36"/>
      <c r="P532" s="1" t="n">
        <f aca="false">IFERROR(VALUE(MID($A532,5,4)),0)</f>
        <v>0</v>
      </c>
      <c r="Q532" s="1" t="str">
        <f aca="false">IF(B532="","","NEW-"&amp;TEXT(MAX($P$2:$P531,Lists!$N$2)+1,"0000"))</f>
        <v/>
      </c>
    </row>
    <row r="533" customFormat="false" ht="15" hidden="false" customHeight="true" outlineLevel="0" collapsed="false">
      <c r="A533" s="35" t="str">
        <f aca="false">IF(AND(B533="",C533="",D533="",E533="",F533="",G533="",H533="",J533="",L533="",M533="",N533=""),"",Q533)</f>
        <v/>
      </c>
      <c r="B533" s="36"/>
      <c r="C533" s="36"/>
      <c r="D533" s="36"/>
      <c r="E533" s="36"/>
      <c r="F533" s="36"/>
      <c r="G533" s="36"/>
      <c r="H533" s="36"/>
      <c r="I533" s="1" t="str">
        <f aca="false">IF($A533="","",IFERROR(IF(ISBLANK(INDEX(SprintPlanning[Sprint],MATCH($A533,SprintPlanning[Requirement ID],0))),"To Plan",INDEX(SprintPlanning[Sprint],MATCH($A533,SprintPlanning[Requirement ID],0))),"To Plan"))</f>
        <v/>
      </c>
      <c r="J533" s="36"/>
      <c r="K533" s="1" t="str">
        <f aca="false">IFERROR(IF(ISBLANK(INDEX(Release[Release],MATCH($A533,Release[Requirement ID],0))),"",INDEX(Release[Release],MATCH($A533,Release[Requirement ID],0))),"")</f>
        <v/>
      </c>
      <c r="L533" s="36"/>
      <c r="M533" s="36"/>
      <c r="P533" s="1" t="n">
        <f aca="false">IFERROR(VALUE(MID($A533,5,4)),0)</f>
        <v>0</v>
      </c>
      <c r="Q533" s="1" t="str">
        <f aca="false">IF(B533="","","NEW-"&amp;TEXT(MAX($P$2:$P532,Lists!$N$2)+1,"0000"))</f>
        <v/>
      </c>
    </row>
    <row r="534" customFormat="false" ht="15" hidden="false" customHeight="true" outlineLevel="0" collapsed="false">
      <c r="A534" s="35" t="str">
        <f aca="false">IF(AND(B534="",C534="",D534="",E534="",F534="",G534="",H534="",J534="",L534="",M534="",N534=""),"",Q534)</f>
        <v/>
      </c>
      <c r="B534" s="36"/>
      <c r="C534" s="36"/>
      <c r="D534" s="36"/>
      <c r="E534" s="36"/>
      <c r="F534" s="36"/>
      <c r="G534" s="36"/>
      <c r="H534" s="36"/>
      <c r="I534" s="1" t="str">
        <f aca="false">IF($A534="","",IFERROR(IF(ISBLANK(INDEX(SprintPlanning[Sprint],MATCH($A534,SprintPlanning[Requirement ID],0))),"To Plan",INDEX(SprintPlanning[Sprint],MATCH($A534,SprintPlanning[Requirement ID],0))),"To Plan"))</f>
        <v/>
      </c>
      <c r="J534" s="36"/>
      <c r="K534" s="1" t="str">
        <f aca="false">IFERROR(IF(ISBLANK(INDEX(Release[Release],MATCH($A534,Release[Requirement ID],0))),"",INDEX(Release[Release],MATCH($A534,Release[Requirement ID],0))),"")</f>
        <v/>
      </c>
      <c r="L534" s="36"/>
      <c r="M534" s="36"/>
      <c r="P534" s="1" t="n">
        <f aca="false">IFERROR(VALUE(MID($A534,5,4)),0)</f>
        <v>0</v>
      </c>
      <c r="Q534" s="1" t="str">
        <f aca="false">IF(B534="","","NEW-"&amp;TEXT(MAX($P$2:$P533,Lists!$N$2)+1,"0000"))</f>
        <v/>
      </c>
    </row>
    <row r="535" customFormat="false" ht="15" hidden="false" customHeight="true" outlineLevel="0" collapsed="false">
      <c r="A535" s="35" t="str">
        <f aca="false">IF(AND(B535="",C535="",D535="",E535="",F535="",G535="",H535="",J535="",L535="",M535="",N535=""),"",Q535)</f>
        <v/>
      </c>
      <c r="B535" s="36"/>
      <c r="C535" s="36"/>
      <c r="D535" s="36"/>
      <c r="E535" s="36"/>
      <c r="F535" s="36"/>
      <c r="G535" s="36"/>
      <c r="H535" s="36"/>
      <c r="I535" s="1" t="str">
        <f aca="false">IF($A535="","",IFERROR(IF(ISBLANK(INDEX(SprintPlanning[Sprint],MATCH($A535,SprintPlanning[Requirement ID],0))),"To Plan",INDEX(SprintPlanning[Sprint],MATCH($A535,SprintPlanning[Requirement ID],0))),"To Plan"))</f>
        <v/>
      </c>
      <c r="J535" s="36"/>
      <c r="K535" s="1" t="str">
        <f aca="false">IFERROR(IF(ISBLANK(INDEX(Release[Release],MATCH($A535,Release[Requirement ID],0))),"",INDEX(Release[Release],MATCH($A535,Release[Requirement ID],0))),"")</f>
        <v/>
      </c>
      <c r="L535" s="36"/>
      <c r="M535" s="36"/>
      <c r="P535" s="1" t="n">
        <f aca="false">IFERROR(VALUE(MID($A535,5,4)),0)</f>
        <v>0</v>
      </c>
      <c r="Q535" s="1" t="str">
        <f aca="false">IF(B535="","","NEW-"&amp;TEXT(MAX($P$2:$P534,Lists!$N$2)+1,"0000"))</f>
        <v/>
      </c>
    </row>
    <row r="536" customFormat="false" ht="15" hidden="false" customHeight="true" outlineLevel="0" collapsed="false">
      <c r="A536" s="35" t="str">
        <f aca="false">IF(AND(B536="",C536="",D536="",E536="",F536="",G536="",H536="",J536="",L536="",M536="",N536=""),"",Q536)</f>
        <v/>
      </c>
      <c r="B536" s="36"/>
      <c r="C536" s="36"/>
      <c r="D536" s="36"/>
      <c r="E536" s="36"/>
      <c r="F536" s="36"/>
      <c r="G536" s="36"/>
      <c r="H536" s="36"/>
      <c r="I536" s="1" t="str">
        <f aca="false">IF($A536="","",IFERROR(IF(ISBLANK(INDEX(SprintPlanning[Sprint],MATCH($A536,SprintPlanning[Requirement ID],0))),"To Plan",INDEX(SprintPlanning[Sprint],MATCH($A536,SprintPlanning[Requirement ID],0))),"To Plan"))</f>
        <v/>
      </c>
      <c r="J536" s="36"/>
      <c r="K536" s="1" t="str">
        <f aca="false">IFERROR(IF(ISBLANK(INDEX(Release[Release],MATCH($A536,Release[Requirement ID],0))),"",INDEX(Release[Release],MATCH($A536,Release[Requirement ID],0))),"")</f>
        <v/>
      </c>
      <c r="L536" s="36"/>
      <c r="M536" s="36"/>
      <c r="P536" s="1" t="n">
        <f aca="false">IFERROR(VALUE(MID($A536,5,4)),0)</f>
        <v>0</v>
      </c>
      <c r="Q536" s="1" t="str">
        <f aca="false">IF(B536="","","NEW-"&amp;TEXT(MAX($P$2:$P535,Lists!$N$2)+1,"0000"))</f>
        <v/>
      </c>
    </row>
    <row r="537" customFormat="false" ht="15" hidden="false" customHeight="true" outlineLevel="0" collapsed="false">
      <c r="A537" s="35" t="str">
        <f aca="false">IF(AND(B537="",C537="",D537="",E537="",F537="",G537="",H537="",J537="",L537="",M537="",N537=""),"",Q537)</f>
        <v/>
      </c>
      <c r="B537" s="36"/>
      <c r="C537" s="36"/>
      <c r="D537" s="36"/>
      <c r="E537" s="36"/>
      <c r="F537" s="36"/>
      <c r="G537" s="36"/>
      <c r="H537" s="36"/>
      <c r="I537" s="1" t="str">
        <f aca="false">IF($A537="","",IFERROR(IF(ISBLANK(INDEX(SprintPlanning[Sprint],MATCH($A537,SprintPlanning[Requirement ID],0))),"To Plan",INDEX(SprintPlanning[Sprint],MATCH($A537,SprintPlanning[Requirement ID],0))),"To Plan"))</f>
        <v/>
      </c>
      <c r="J537" s="36"/>
      <c r="K537" s="1" t="str">
        <f aca="false">IFERROR(IF(ISBLANK(INDEX(Release[Release],MATCH($A537,Release[Requirement ID],0))),"",INDEX(Release[Release],MATCH($A537,Release[Requirement ID],0))),"")</f>
        <v/>
      </c>
      <c r="L537" s="36"/>
      <c r="M537" s="36"/>
      <c r="P537" s="1" t="n">
        <f aca="false">IFERROR(VALUE(MID($A537,5,4)),0)</f>
        <v>0</v>
      </c>
      <c r="Q537" s="1" t="str">
        <f aca="false">IF(B537="","","NEW-"&amp;TEXT(MAX($P$2:$P536,Lists!$N$2)+1,"0000"))</f>
        <v/>
      </c>
    </row>
    <row r="538" customFormat="false" ht="15" hidden="false" customHeight="true" outlineLevel="0" collapsed="false">
      <c r="A538" s="35" t="str">
        <f aca="false">IF(AND(B538="",C538="",D538="",E538="",F538="",G538="",H538="",J538="",L538="",M538="",N538=""),"",Q538)</f>
        <v/>
      </c>
      <c r="B538" s="36"/>
      <c r="C538" s="36"/>
      <c r="D538" s="36"/>
      <c r="E538" s="36"/>
      <c r="F538" s="36"/>
      <c r="G538" s="36"/>
      <c r="H538" s="36"/>
      <c r="I538" s="1" t="str">
        <f aca="false">IF($A538="","",IFERROR(IF(ISBLANK(INDEX(SprintPlanning[Sprint],MATCH($A538,SprintPlanning[Requirement ID],0))),"To Plan",INDEX(SprintPlanning[Sprint],MATCH($A538,SprintPlanning[Requirement ID],0))),"To Plan"))</f>
        <v/>
      </c>
      <c r="J538" s="36"/>
      <c r="K538" s="1" t="str">
        <f aca="false">IFERROR(IF(ISBLANK(INDEX(Release[Release],MATCH($A538,Release[Requirement ID],0))),"",INDEX(Release[Release],MATCH($A538,Release[Requirement ID],0))),"")</f>
        <v/>
      </c>
      <c r="L538" s="36"/>
      <c r="M538" s="36"/>
      <c r="P538" s="1" t="n">
        <f aca="false">IFERROR(VALUE(MID($A538,5,4)),0)</f>
        <v>0</v>
      </c>
      <c r="Q538" s="1" t="str">
        <f aca="false">IF(B538="","","NEW-"&amp;TEXT(MAX($P$2:$P537,Lists!$N$2)+1,"0000"))</f>
        <v/>
      </c>
    </row>
    <row r="539" customFormat="false" ht="15" hidden="false" customHeight="true" outlineLevel="0" collapsed="false">
      <c r="A539" s="35" t="str">
        <f aca="false">IF(AND(B539="",C539="",D539="",E539="",F539="",G539="",H539="",J539="",L539="",M539="",N539=""),"",Q539)</f>
        <v/>
      </c>
      <c r="B539" s="36"/>
      <c r="C539" s="36"/>
      <c r="D539" s="36"/>
      <c r="E539" s="36"/>
      <c r="F539" s="36"/>
      <c r="G539" s="36"/>
      <c r="H539" s="36"/>
      <c r="I539" s="1" t="str">
        <f aca="false">IF($A539="","",IFERROR(IF(ISBLANK(INDEX(SprintPlanning[Sprint],MATCH($A539,SprintPlanning[Requirement ID],0))),"To Plan",INDEX(SprintPlanning[Sprint],MATCH($A539,SprintPlanning[Requirement ID],0))),"To Plan"))</f>
        <v/>
      </c>
      <c r="J539" s="36"/>
      <c r="K539" s="1" t="str">
        <f aca="false">IFERROR(IF(ISBLANK(INDEX(Release[Release],MATCH($A539,Release[Requirement ID],0))),"",INDEX(Release[Release],MATCH($A539,Release[Requirement ID],0))),"")</f>
        <v/>
      </c>
      <c r="L539" s="36"/>
      <c r="M539" s="36"/>
      <c r="P539" s="1" t="n">
        <f aca="false">IFERROR(VALUE(MID($A539,5,4)),0)</f>
        <v>0</v>
      </c>
      <c r="Q539" s="1" t="str">
        <f aca="false">IF(B539="","","NEW-"&amp;TEXT(MAX($P$2:$P538,Lists!$N$2)+1,"0000"))</f>
        <v/>
      </c>
    </row>
    <row r="540" customFormat="false" ht="15" hidden="false" customHeight="true" outlineLevel="0" collapsed="false">
      <c r="A540" s="35" t="str">
        <f aca="false">IF(AND(B540="",C540="",D540="",E540="",F540="",G540="",H540="",J540="",L540="",M540="",N540=""),"",Q540)</f>
        <v/>
      </c>
      <c r="B540" s="36"/>
      <c r="C540" s="36"/>
      <c r="D540" s="36"/>
      <c r="E540" s="36"/>
      <c r="F540" s="36"/>
      <c r="G540" s="36"/>
      <c r="H540" s="36"/>
      <c r="I540" s="1" t="str">
        <f aca="false">IF($A540="","",IFERROR(IF(ISBLANK(INDEX(SprintPlanning[Sprint],MATCH($A540,SprintPlanning[Requirement ID],0))),"To Plan",INDEX(SprintPlanning[Sprint],MATCH($A540,SprintPlanning[Requirement ID],0))),"To Plan"))</f>
        <v/>
      </c>
      <c r="J540" s="36"/>
      <c r="K540" s="1" t="str">
        <f aca="false">IFERROR(IF(ISBLANK(INDEX(Release[Release],MATCH($A540,Release[Requirement ID],0))),"",INDEX(Release[Release],MATCH($A540,Release[Requirement ID],0))),"")</f>
        <v/>
      </c>
      <c r="L540" s="36"/>
      <c r="M540" s="36"/>
      <c r="P540" s="1" t="n">
        <f aca="false">IFERROR(VALUE(MID($A540,5,4)),0)</f>
        <v>0</v>
      </c>
      <c r="Q540" s="1" t="str">
        <f aca="false">IF(B540="","","NEW-"&amp;TEXT(MAX($P$2:$P539,Lists!$N$2)+1,"0000"))</f>
        <v/>
      </c>
    </row>
    <row r="541" customFormat="false" ht="15" hidden="false" customHeight="true" outlineLevel="0" collapsed="false">
      <c r="A541" s="35" t="str">
        <f aca="false">IF(AND(B541="",C541="",D541="",E541="",F541="",G541="",H541="",J541="",L541="",M541="",N541=""),"",Q541)</f>
        <v/>
      </c>
      <c r="B541" s="36"/>
      <c r="C541" s="36"/>
      <c r="D541" s="36"/>
      <c r="E541" s="36"/>
      <c r="F541" s="36"/>
      <c r="G541" s="36"/>
      <c r="H541" s="36"/>
      <c r="I541" s="1" t="str">
        <f aca="false">IF($A541="","",IFERROR(IF(ISBLANK(INDEX(SprintPlanning[Sprint],MATCH($A541,SprintPlanning[Requirement ID],0))),"To Plan",INDEX(SprintPlanning[Sprint],MATCH($A541,SprintPlanning[Requirement ID],0))),"To Plan"))</f>
        <v/>
      </c>
      <c r="J541" s="36"/>
      <c r="K541" s="1" t="str">
        <f aca="false">IFERROR(IF(ISBLANK(INDEX(Release[Release],MATCH($A541,Release[Requirement ID],0))),"",INDEX(Release[Release],MATCH($A541,Release[Requirement ID],0))),"")</f>
        <v/>
      </c>
      <c r="L541" s="36"/>
      <c r="M541" s="36"/>
      <c r="P541" s="1" t="n">
        <f aca="false">IFERROR(VALUE(MID($A541,5,4)),0)</f>
        <v>0</v>
      </c>
      <c r="Q541" s="1" t="str">
        <f aca="false">IF(B541="","","NEW-"&amp;TEXT(MAX($P$2:$P540,Lists!$N$2)+1,"0000"))</f>
        <v/>
      </c>
    </row>
    <row r="542" customFormat="false" ht="15" hidden="false" customHeight="true" outlineLevel="0" collapsed="false">
      <c r="A542" s="35" t="str">
        <f aca="false">IF(AND(B542="",C542="",D542="",E542="",F542="",G542="",H542="",J542="",L542="",M542="",N542=""),"",Q542)</f>
        <v/>
      </c>
      <c r="B542" s="36"/>
      <c r="C542" s="36"/>
      <c r="D542" s="36"/>
      <c r="E542" s="36"/>
      <c r="F542" s="36"/>
      <c r="G542" s="36"/>
      <c r="H542" s="36"/>
      <c r="I542" s="1" t="str">
        <f aca="false">IF($A542="","",IFERROR(IF(ISBLANK(INDEX(SprintPlanning[Sprint],MATCH($A542,SprintPlanning[Requirement ID],0))),"To Plan",INDEX(SprintPlanning[Sprint],MATCH($A542,SprintPlanning[Requirement ID],0))),"To Plan"))</f>
        <v/>
      </c>
      <c r="J542" s="36"/>
      <c r="K542" s="1" t="str">
        <f aca="false">IFERROR(IF(ISBLANK(INDEX(Release[Release],MATCH($A542,Release[Requirement ID],0))),"",INDEX(Release[Release],MATCH($A542,Release[Requirement ID],0))),"")</f>
        <v/>
      </c>
      <c r="L542" s="36"/>
      <c r="M542" s="36"/>
      <c r="P542" s="1" t="n">
        <f aca="false">IFERROR(VALUE(MID($A542,5,4)),0)</f>
        <v>0</v>
      </c>
      <c r="Q542" s="1" t="str">
        <f aca="false">IF(B542="","","NEW-"&amp;TEXT(MAX($P$2:$P541,Lists!$N$2)+1,"0000"))</f>
        <v/>
      </c>
    </row>
    <row r="543" customFormat="false" ht="15" hidden="false" customHeight="true" outlineLevel="0" collapsed="false">
      <c r="A543" s="35" t="str">
        <f aca="false">IF(AND(B543="",C543="",D543="",E543="",F543="",G543="",H543="",J543="",L543="",M543="",N543=""),"",Q543)</f>
        <v/>
      </c>
      <c r="B543" s="36"/>
      <c r="C543" s="36"/>
      <c r="D543" s="36"/>
      <c r="E543" s="36"/>
      <c r="F543" s="36"/>
      <c r="G543" s="36"/>
      <c r="H543" s="36"/>
      <c r="I543" s="1" t="str">
        <f aca="false">IF($A543="","",IFERROR(IF(ISBLANK(INDEX(SprintPlanning[Sprint],MATCH($A543,SprintPlanning[Requirement ID],0))),"To Plan",INDEX(SprintPlanning[Sprint],MATCH($A543,SprintPlanning[Requirement ID],0))),"To Plan"))</f>
        <v/>
      </c>
      <c r="J543" s="36"/>
      <c r="K543" s="1" t="str">
        <f aca="false">IFERROR(IF(ISBLANK(INDEX(Release[Release],MATCH($A543,Release[Requirement ID],0))),"",INDEX(Release[Release],MATCH($A543,Release[Requirement ID],0))),"")</f>
        <v/>
      </c>
      <c r="L543" s="36"/>
      <c r="M543" s="36"/>
      <c r="P543" s="1" t="n">
        <f aca="false">IFERROR(VALUE(MID($A543,5,4)),0)</f>
        <v>0</v>
      </c>
      <c r="Q543" s="1" t="str">
        <f aca="false">IF(B543="","","NEW-"&amp;TEXT(MAX($P$2:$P542,Lists!$N$2)+1,"0000"))</f>
        <v/>
      </c>
    </row>
    <row r="544" customFormat="false" ht="15" hidden="false" customHeight="true" outlineLevel="0" collapsed="false">
      <c r="A544" s="35" t="str">
        <f aca="false">IF(AND(B544="",C544="",D544="",E544="",F544="",G544="",H544="",J544="",L544="",M544="",N544=""),"",Q544)</f>
        <v/>
      </c>
      <c r="B544" s="36"/>
      <c r="C544" s="36"/>
      <c r="D544" s="36"/>
      <c r="E544" s="36"/>
      <c r="F544" s="36"/>
      <c r="G544" s="36"/>
      <c r="H544" s="36"/>
      <c r="I544" s="1" t="str">
        <f aca="false">IF($A544="","",IFERROR(IF(ISBLANK(INDEX(SprintPlanning[Sprint],MATCH($A544,SprintPlanning[Requirement ID],0))),"To Plan",INDEX(SprintPlanning[Sprint],MATCH($A544,SprintPlanning[Requirement ID],0))),"To Plan"))</f>
        <v/>
      </c>
      <c r="J544" s="36"/>
      <c r="K544" s="1" t="str">
        <f aca="false">IFERROR(IF(ISBLANK(INDEX(Release[Release],MATCH($A544,Release[Requirement ID],0))),"",INDEX(Release[Release],MATCH($A544,Release[Requirement ID],0))),"")</f>
        <v/>
      </c>
      <c r="L544" s="36"/>
      <c r="M544" s="36"/>
      <c r="P544" s="1" t="n">
        <f aca="false">IFERROR(VALUE(MID($A544,5,4)),0)</f>
        <v>0</v>
      </c>
      <c r="Q544" s="1" t="str">
        <f aca="false">IF(B544="","","NEW-"&amp;TEXT(MAX($P$2:$P543,Lists!$N$2)+1,"0000"))</f>
        <v/>
      </c>
    </row>
    <row r="545" customFormat="false" ht="15" hidden="false" customHeight="true" outlineLevel="0" collapsed="false">
      <c r="A545" s="35" t="str">
        <f aca="false">IF(AND(B545="",C545="",D545="",E545="",F545="",G545="",H545="",J545="",L545="",M545="",N545=""),"",Q545)</f>
        <v/>
      </c>
      <c r="B545" s="36"/>
      <c r="C545" s="36"/>
      <c r="D545" s="36"/>
      <c r="E545" s="36"/>
      <c r="F545" s="36"/>
      <c r="G545" s="36"/>
      <c r="H545" s="36"/>
      <c r="I545" s="1" t="str">
        <f aca="false">IF($A545="","",IFERROR(IF(ISBLANK(INDEX(SprintPlanning[Sprint],MATCH($A545,SprintPlanning[Requirement ID],0))),"To Plan",INDEX(SprintPlanning[Sprint],MATCH($A545,SprintPlanning[Requirement ID],0))),"To Plan"))</f>
        <v/>
      </c>
      <c r="J545" s="36"/>
      <c r="K545" s="1" t="str">
        <f aca="false">IFERROR(IF(ISBLANK(INDEX(Release[Release],MATCH($A545,Release[Requirement ID],0))),"",INDEX(Release[Release],MATCH($A545,Release[Requirement ID],0))),"")</f>
        <v/>
      </c>
      <c r="L545" s="36"/>
      <c r="M545" s="36"/>
      <c r="P545" s="1" t="n">
        <f aca="false">IFERROR(VALUE(MID($A545,5,4)),0)</f>
        <v>0</v>
      </c>
      <c r="Q545" s="1" t="str">
        <f aca="false">IF(B545="","","NEW-"&amp;TEXT(MAX($P$2:$P544,Lists!$N$2)+1,"0000"))</f>
        <v/>
      </c>
    </row>
    <row r="546" customFormat="false" ht="15" hidden="false" customHeight="true" outlineLevel="0" collapsed="false">
      <c r="A546" s="35" t="str">
        <f aca="false">IF(AND(B546="",C546="",D546="",E546="",F546="",G546="",H546="",J546="",L546="",M546="",N546=""),"",Q546)</f>
        <v/>
      </c>
      <c r="B546" s="36"/>
      <c r="C546" s="36"/>
      <c r="D546" s="36"/>
      <c r="E546" s="36"/>
      <c r="F546" s="36"/>
      <c r="G546" s="36"/>
      <c r="H546" s="36"/>
      <c r="I546" s="1" t="str">
        <f aca="false">IF($A546="","",IFERROR(IF(ISBLANK(INDEX(SprintPlanning[Sprint],MATCH($A546,SprintPlanning[Requirement ID],0))),"To Plan",INDEX(SprintPlanning[Sprint],MATCH($A546,SprintPlanning[Requirement ID],0))),"To Plan"))</f>
        <v/>
      </c>
      <c r="J546" s="36"/>
      <c r="K546" s="1" t="str">
        <f aca="false">IFERROR(IF(ISBLANK(INDEX(Release[Release],MATCH($A546,Release[Requirement ID],0))),"",INDEX(Release[Release],MATCH($A546,Release[Requirement ID],0))),"")</f>
        <v/>
      </c>
      <c r="L546" s="36"/>
      <c r="M546" s="36"/>
      <c r="P546" s="1" t="n">
        <f aca="false">IFERROR(VALUE(MID($A546,5,4)),0)</f>
        <v>0</v>
      </c>
      <c r="Q546" s="1" t="str">
        <f aca="false">IF(B546="","","NEW-"&amp;TEXT(MAX($P$2:$P545,Lists!$N$2)+1,"0000"))</f>
        <v/>
      </c>
    </row>
    <row r="547" customFormat="false" ht="15" hidden="false" customHeight="true" outlineLevel="0" collapsed="false">
      <c r="A547" s="35" t="str">
        <f aca="false">IF(AND(B547="",C547="",D547="",E547="",F547="",G547="",H547="",J547="",L547="",M547="",N547=""),"",Q547)</f>
        <v/>
      </c>
      <c r="B547" s="36"/>
      <c r="C547" s="36"/>
      <c r="D547" s="36"/>
      <c r="E547" s="36"/>
      <c r="F547" s="36"/>
      <c r="G547" s="36"/>
      <c r="H547" s="36"/>
      <c r="I547" s="1" t="str">
        <f aca="false">IF($A547="","",IFERROR(IF(ISBLANK(INDEX(SprintPlanning[Sprint],MATCH($A547,SprintPlanning[Requirement ID],0))),"To Plan",INDEX(SprintPlanning[Sprint],MATCH($A547,SprintPlanning[Requirement ID],0))),"To Plan"))</f>
        <v/>
      </c>
      <c r="J547" s="36"/>
      <c r="K547" s="1" t="str">
        <f aca="false">IFERROR(IF(ISBLANK(INDEX(Release[Release],MATCH($A547,Release[Requirement ID],0))),"",INDEX(Release[Release],MATCH($A547,Release[Requirement ID],0))),"")</f>
        <v/>
      </c>
      <c r="L547" s="36"/>
      <c r="M547" s="36"/>
      <c r="P547" s="1" t="n">
        <f aca="false">IFERROR(VALUE(MID($A547,5,4)),0)</f>
        <v>0</v>
      </c>
      <c r="Q547" s="1" t="str">
        <f aca="false">IF(B547="","","NEW-"&amp;TEXT(MAX($P$2:$P546,Lists!$N$2)+1,"0000"))</f>
        <v/>
      </c>
    </row>
    <row r="548" customFormat="false" ht="15" hidden="false" customHeight="true" outlineLevel="0" collapsed="false">
      <c r="A548" s="35" t="str">
        <f aca="false">IF(AND(B548="",C548="",D548="",E548="",F548="",G548="",H548="",J548="",L548="",M548="",N548=""),"",Q548)</f>
        <v/>
      </c>
      <c r="B548" s="36"/>
      <c r="C548" s="36"/>
      <c r="D548" s="36"/>
      <c r="E548" s="36"/>
      <c r="F548" s="36"/>
      <c r="G548" s="36"/>
      <c r="H548" s="36"/>
      <c r="I548" s="1" t="str">
        <f aca="false">IF($A548="","",IFERROR(IF(ISBLANK(INDEX(SprintPlanning[Sprint],MATCH($A548,SprintPlanning[Requirement ID],0))),"To Plan",INDEX(SprintPlanning[Sprint],MATCH($A548,SprintPlanning[Requirement ID],0))),"To Plan"))</f>
        <v/>
      </c>
      <c r="J548" s="36"/>
      <c r="K548" s="1" t="str">
        <f aca="false">IFERROR(IF(ISBLANK(INDEX(Release[Release],MATCH($A548,Release[Requirement ID],0))),"",INDEX(Release[Release],MATCH($A548,Release[Requirement ID],0))),"")</f>
        <v/>
      </c>
      <c r="L548" s="36"/>
      <c r="M548" s="36"/>
      <c r="P548" s="1" t="n">
        <f aca="false">IFERROR(VALUE(MID($A548,5,4)),0)</f>
        <v>0</v>
      </c>
      <c r="Q548" s="1" t="str">
        <f aca="false">IF(B548="","","NEW-"&amp;TEXT(MAX($P$2:$P547,Lists!$N$2)+1,"0000"))</f>
        <v/>
      </c>
    </row>
    <row r="549" customFormat="false" ht="15" hidden="false" customHeight="true" outlineLevel="0" collapsed="false">
      <c r="A549" s="35" t="str">
        <f aca="false">IF(AND(B549="",C549="",D549="",E549="",F549="",G549="",H549="",J549="",L549="",M549="",N549=""),"",Q549)</f>
        <v/>
      </c>
      <c r="B549" s="36"/>
      <c r="C549" s="36"/>
      <c r="D549" s="36"/>
      <c r="E549" s="36"/>
      <c r="F549" s="36"/>
      <c r="G549" s="36"/>
      <c r="H549" s="36"/>
      <c r="I549" s="1" t="str">
        <f aca="false">IF($A549="","",IFERROR(IF(ISBLANK(INDEX(SprintPlanning[Sprint],MATCH($A549,SprintPlanning[Requirement ID],0))),"To Plan",INDEX(SprintPlanning[Sprint],MATCH($A549,SprintPlanning[Requirement ID],0))),"To Plan"))</f>
        <v/>
      </c>
      <c r="J549" s="36"/>
      <c r="K549" s="1" t="str">
        <f aca="false">IFERROR(IF(ISBLANK(INDEX(Release[Release],MATCH($A549,Release[Requirement ID],0))),"",INDEX(Release[Release],MATCH($A549,Release[Requirement ID],0))),"")</f>
        <v/>
      </c>
      <c r="L549" s="36"/>
      <c r="M549" s="36"/>
      <c r="P549" s="1" t="n">
        <f aca="false">IFERROR(VALUE(MID($A549,5,4)),0)</f>
        <v>0</v>
      </c>
      <c r="Q549" s="1" t="str">
        <f aca="false">IF(B549="","","NEW-"&amp;TEXT(MAX($P$2:$P548,Lists!$N$2)+1,"0000"))</f>
        <v/>
      </c>
    </row>
    <row r="550" customFormat="false" ht="15" hidden="false" customHeight="true" outlineLevel="0" collapsed="false">
      <c r="A550" s="35" t="str">
        <f aca="false">IF(AND(B550="",C550="",D550="",E550="",F550="",G550="",H550="",J550="",L550="",M550="",N550=""),"",Q550)</f>
        <v/>
      </c>
      <c r="B550" s="36"/>
      <c r="C550" s="36"/>
      <c r="D550" s="36"/>
      <c r="E550" s="36"/>
      <c r="F550" s="36"/>
      <c r="G550" s="36"/>
      <c r="H550" s="36"/>
      <c r="I550" s="1" t="str">
        <f aca="false">IF($A550="","",IFERROR(IF(ISBLANK(INDEX(SprintPlanning[Sprint],MATCH($A550,SprintPlanning[Requirement ID],0))),"To Plan",INDEX(SprintPlanning[Sprint],MATCH($A550,SprintPlanning[Requirement ID],0))),"To Plan"))</f>
        <v/>
      </c>
      <c r="J550" s="36"/>
      <c r="K550" s="1" t="str">
        <f aca="false">IFERROR(IF(ISBLANK(INDEX(Release[Release],MATCH($A550,Release[Requirement ID],0))),"",INDEX(Release[Release],MATCH($A550,Release[Requirement ID],0))),"")</f>
        <v/>
      </c>
      <c r="L550" s="36"/>
      <c r="M550" s="36"/>
      <c r="P550" s="1" t="n">
        <f aca="false">IFERROR(VALUE(MID($A550,5,4)),0)</f>
        <v>0</v>
      </c>
      <c r="Q550" s="1" t="str">
        <f aca="false">IF(B550="","","NEW-"&amp;TEXT(MAX($P$2:$P549,Lists!$N$2)+1,"0000"))</f>
        <v/>
      </c>
    </row>
    <row r="551" customFormat="false" ht="15" hidden="false" customHeight="true" outlineLevel="0" collapsed="false">
      <c r="A551" s="35" t="str">
        <f aca="false">IF(AND(B551="",C551="",D551="",E551="",F551="",G551="",H551="",J551="",L551="",M551="",N551=""),"",Q551)</f>
        <v/>
      </c>
      <c r="B551" s="36"/>
      <c r="C551" s="36"/>
      <c r="D551" s="36"/>
      <c r="E551" s="36"/>
      <c r="F551" s="36"/>
      <c r="G551" s="36"/>
      <c r="H551" s="36"/>
      <c r="I551" s="1" t="str">
        <f aca="false">IF($A551="","",IFERROR(IF(ISBLANK(INDEX(SprintPlanning[Sprint],MATCH($A551,SprintPlanning[Requirement ID],0))),"To Plan",INDEX(SprintPlanning[Sprint],MATCH($A551,SprintPlanning[Requirement ID],0))),"To Plan"))</f>
        <v/>
      </c>
      <c r="J551" s="36"/>
      <c r="K551" s="1" t="str">
        <f aca="false">IFERROR(IF(ISBLANK(INDEX(Release[Release],MATCH($A551,Release[Requirement ID],0))),"",INDEX(Release[Release],MATCH($A551,Release[Requirement ID],0))),"")</f>
        <v/>
      </c>
      <c r="L551" s="36"/>
      <c r="M551" s="36"/>
      <c r="P551" s="1" t="n">
        <f aca="false">IFERROR(VALUE(MID($A551,5,4)),0)</f>
        <v>0</v>
      </c>
      <c r="Q551" s="1" t="str">
        <f aca="false">IF(B551="","","NEW-"&amp;TEXT(MAX($P$2:$P550,Lists!$N$2)+1,"0000"))</f>
        <v/>
      </c>
    </row>
    <row r="552" customFormat="false" ht="15" hidden="false" customHeight="true" outlineLevel="0" collapsed="false">
      <c r="A552" s="35" t="str">
        <f aca="false">IF(AND(B552="",C552="",D552="",E552="",F552="",G552="",H552="",J552="",L552="",M552="",N552=""),"",Q552)</f>
        <v/>
      </c>
      <c r="B552" s="36"/>
      <c r="C552" s="36"/>
      <c r="D552" s="36"/>
      <c r="E552" s="36"/>
      <c r="F552" s="36"/>
      <c r="G552" s="36"/>
      <c r="H552" s="36"/>
      <c r="I552" s="1" t="str">
        <f aca="false">IF($A552="","",IFERROR(IF(ISBLANK(INDEX(SprintPlanning[Sprint],MATCH($A552,SprintPlanning[Requirement ID],0))),"To Plan",INDEX(SprintPlanning[Sprint],MATCH($A552,SprintPlanning[Requirement ID],0))),"To Plan"))</f>
        <v/>
      </c>
      <c r="J552" s="36"/>
      <c r="K552" s="1" t="str">
        <f aca="false">IFERROR(IF(ISBLANK(INDEX(Release[Release],MATCH($A552,Release[Requirement ID],0))),"",INDEX(Release[Release],MATCH($A552,Release[Requirement ID],0))),"")</f>
        <v/>
      </c>
      <c r="L552" s="36"/>
      <c r="M552" s="36"/>
      <c r="P552" s="1" t="n">
        <f aca="false">IFERROR(VALUE(MID($A552,5,4)),0)</f>
        <v>0</v>
      </c>
      <c r="Q552" s="1" t="str">
        <f aca="false">IF(B552="","","NEW-"&amp;TEXT(MAX($P$2:$P551,Lists!$N$2)+1,"0000"))</f>
        <v/>
      </c>
    </row>
    <row r="553" customFormat="false" ht="15" hidden="false" customHeight="true" outlineLevel="0" collapsed="false">
      <c r="A553" s="35" t="str">
        <f aca="false">IF(AND(B553="",C553="",D553="",E553="",F553="",G553="",H553="",J553="",L553="",M553="",N553=""),"",Q553)</f>
        <v/>
      </c>
      <c r="B553" s="36"/>
      <c r="C553" s="36"/>
      <c r="D553" s="36"/>
      <c r="E553" s="36"/>
      <c r="F553" s="36"/>
      <c r="G553" s="36"/>
      <c r="H553" s="36"/>
      <c r="I553" s="1" t="str">
        <f aca="false">IF($A553="","",IFERROR(IF(ISBLANK(INDEX(SprintPlanning[Sprint],MATCH($A553,SprintPlanning[Requirement ID],0))),"To Plan",INDEX(SprintPlanning[Sprint],MATCH($A553,SprintPlanning[Requirement ID],0))),"To Plan"))</f>
        <v/>
      </c>
      <c r="J553" s="36"/>
      <c r="K553" s="1" t="str">
        <f aca="false">IFERROR(IF(ISBLANK(INDEX(Release[Release],MATCH($A553,Release[Requirement ID],0))),"",INDEX(Release[Release],MATCH($A553,Release[Requirement ID],0))),"")</f>
        <v/>
      </c>
      <c r="L553" s="36"/>
      <c r="M553" s="36"/>
      <c r="P553" s="1" t="n">
        <f aca="false">IFERROR(VALUE(MID($A553,5,4)),0)</f>
        <v>0</v>
      </c>
      <c r="Q553" s="1" t="str">
        <f aca="false">IF(B553="","","NEW-"&amp;TEXT(MAX($P$2:$P552,Lists!$N$2)+1,"0000"))</f>
        <v/>
      </c>
    </row>
    <row r="554" customFormat="false" ht="15" hidden="false" customHeight="true" outlineLevel="0" collapsed="false">
      <c r="A554" s="35" t="str">
        <f aca="false">IF(AND(B554="",C554="",D554="",E554="",F554="",G554="",H554="",J554="",L554="",M554="",N554=""),"",Q554)</f>
        <v/>
      </c>
      <c r="B554" s="36"/>
      <c r="C554" s="36"/>
      <c r="D554" s="36"/>
      <c r="E554" s="36"/>
      <c r="F554" s="36"/>
      <c r="G554" s="36"/>
      <c r="H554" s="36"/>
      <c r="I554" s="1" t="str">
        <f aca="false">IF($A554="","",IFERROR(IF(ISBLANK(INDEX(SprintPlanning[Sprint],MATCH($A554,SprintPlanning[Requirement ID],0))),"To Plan",INDEX(SprintPlanning[Sprint],MATCH($A554,SprintPlanning[Requirement ID],0))),"To Plan"))</f>
        <v/>
      </c>
      <c r="J554" s="36"/>
      <c r="K554" s="1" t="str">
        <f aca="false">IFERROR(IF(ISBLANK(INDEX(Release[Release],MATCH($A554,Release[Requirement ID],0))),"",INDEX(Release[Release],MATCH($A554,Release[Requirement ID],0))),"")</f>
        <v/>
      </c>
      <c r="L554" s="36"/>
      <c r="M554" s="36"/>
      <c r="P554" s="1" t="n">
        <f aca="false">IFERROR(VALUE(MID($A554,5,4)),0)</f>
        <v>0</v>
      </c>
      <c r="Q554" s="1" t="str">
        <f aca="false">IF(B554="","","NEW-"&amp;TEXT(MAX($P$2:$P553,Lists!$N$2)+1,"0000"))</f>
        <v/>
      </c>
    </row>
    <row r="555" customFormat="false" ht="15" hidden="false" customHeight="true" outlineLevel="0" collapsed="false">
      <c r="A555" s="35" t="str">
        <f aca="false">IF(AND(B555="",C555="",D555="",E555="",F555="",G555="",H555="",J555="",L555="",M555="",N555=""),"",Q555)</f>
        <v/>
      </c>
      <c r="B555" s="36"/>
      <c r="C555" s="36"/>
      <c r="D555" s="36"/>
      <c r="E555" s="36"/>
      <c r="F555" s="36"/>
      <c r="G555" s="36"/>
      <c r="H555" s="36"/>
      <c r="I555" s="1" t="str">
        <f aca="false">IF($A555="","",IFERROR(IF(ISBLANK(INDEX(SprintPlanning[Sprint],MATCH($A555,SprintPlanning[Requirement ID],0))),"To Plan",INDEX(SprintPlanning[Sprint],MATCH($A555,SprintPlanning[Requirement ID],0))),"To Plan"))</f>
        <v/>
      </c>
      <c r="J555" s="36"/>
      <c r="K555" s="1" t="str">
        <f aca="false">IFERROR(IF(ISBLANK(INDEX(Release[Release],MATCH($A555,Release[Requirement ID],0))),"",INDEX(Release[Release],MATCH($A555,Release[Requirement ID],0))),"")</f>
        <v/>
      </c>
      <c r="L555" s="36"/>
      <c r="M555" s="36"/>
      <c r="P555" s="1" t="n">
        <f aca="false">IFERROR(VALUE(MID($A555,5,4)),0)</f>
        <v>0</v>
      </c>
      <c r="Q555" s="1" t="str">
        <f aca="false">IF(B555="","","NEW-"&amp;TEXT(MAX($P$2:$P554,Lists!$N$2)+1,"0000"))</f>
        <v/>
      </c>
    </row>
    <row r="556" customFormat="false" ht="15" hidden="false" customHeight="true" outlineLevel="0" collapsed="false">
      <c r="A556" s="35" t="str">
        <f aca="false">IF(AND(B556="",C556="",D556="",E556="",F556="",G556="",H556="",J556="",L556="",M556="",N556=""),"",Q556)</f>
        <v/>
      </c>
      <c r="B556" s="36"/>
      <c r="C556" s="36"/>
      <c r="D556" s="36"/>
      <c r="E556" s="36"/>
      <c r="F556" s="36"/>
      <c r="G556" s="36"/>
      <c r="H556" s="36"/>
      <c r="I556" s="1" t="str">
        <f aca="false">IF($A556="","",IFERROR(IF(ISBLANK(INDEX(SprintPlanning[Sprint],MATCH($A556,SprintPlanning[Requirement ID],0))),"To Plan",INDEX(SprintPlanning[Sprint],MATCH($A556,SprintPlanning[Requirement ID],0))),"To Plan"))</f>
        <v/>
      </c>
      <c r="J556" s="36"/>
      <c r="K556" s="1" t="str">
        <f aca="false">IFERROR(IF(ISBLANK(INDEX(Release[Release],MATCH($A556,Release[Requirement ID],0))),"",INDEX(Release[Release],MATCH($A556,Release[Requirement ID],0))),"")</f>
        <v/>
      </c>
      <c r="L556" s="36"/>
      <c r="M556" s="36"/>
      <c r="P556" s="1" t="n">
        <f aca="false">IFERROR(VALUE(MID($A556,5,4)),0)</f>
        <v>0</v>
      </c>
      <c r="Q556" s="1" t="str">
        <f aca="false">IF(B556="","","NEW-"&amp;TEXT(MAX($P$2:$P555,Lists!$N$2)+1,"0000"))</f>
        <v/>
      </c>
    </row>
    <row r="557" customFormat="false" ht="15" hidden="false" customHeight="true" outlineLevel="0" collapsed="false">
      <c r="A557" s="35" t="str">
        <f aca="false">IF(AND(B557="",C557="",D557="",E557="",F557="",G557="",H557="",J557="",L557="",M557="",N557=""),"",Q557)</f>
        <v/>
      </c>
      <c r="B557" s="36"/>
      <c r="C557" s="36"/>
      <c r="D557" s="36"/>
      <c r="E557" s="36"/>
      <c r="F557" s="36"/>
      <c r="G557" s="36"/>
      <c r="H557" s="36"/>
      <c r="I557" s="1" t="str">
        <f aca="false">IF($A557="","",IFERROR(IF(ISBLANK(INDEX(SprintPlanning[Sprint],MATCH($A557,SprintPlanning[Requirement ID],0))),"To Plan",INDEX(SprintPlanning[Sprint],MATCH($A557,SprintPlanning[Requirement ID],0))),"To Plan"))</f>
        <v/>
      </c>
      <c r="J557" s="36"/>
      <c r="K557" s="1" t="str">
        <f aca="false">IFERROR(IF(ISBLANK(INDEX(Release[Release],MATCH($A557,Release[Requirement ID],0))),"",INDEX(Release[Release],MATCH($A557,Release[Requirement ID],0))),"")</f>
        <v/>
      </c>
      <c r="L557" s="36"/>
      <c r="M557" s="36"/>
      <c r="P557" s="1" t="n">
        <f aca="false">IFERROR(VALUE(MID($A557,5,4)),0)</f>
        <v>0</v>
      </c>
      <c r="Q557" s="1" t="str">
        <f aca="false">IF(B557="","","NEW-"&amp;TEXT(MAX($P$2:$P556,Lists!$N$2)+1,"0000"))</f>
        <v/>
      </c>
    </row>
    <row r="558" customFormat="false" ht="15" hidden="false" customHeight="true" outlineLevel="0" collapsed="false">
      <c r="A558" s="35" t="str">
        <f aca="false">IF(AND(B558="",C558="",D558="",E558="",F558="",G558="",H558="",J558="",L558="",M558="",N558=""),"",Q558)</f>
        <v/>
      </c>
      <c r="B558" s="36"/>
      <c r="C558" s="36"/>
      <c r="D558" s="36"/>
      <c r="E558" s="36"/>
      <c r="F558" s="36"/>
      <c r="G558" s="36"/>
      <c r="H558" s="36"/>
      <c r="I558" s="1" t="str">
        <f aca="false">IF($A558="","",IFERROR(IF(ISBLANK(INDEX(SprintPlanning[Sprint],MATCH($A558,SprintPlanning[Requirement ID],0))),"To Plan",INDEX(SprintPlanning[Sprint],MATCH($A558,SprintPlanning[Requirement ID],0))),"To Plan"))</f>
        <v/>
      </c>
      <c r="J558" s="36"/>
      <c r="K558" s="1" t="str">
        <f aca="false">IFERROR(IF(ISBLANK(INDEX(Release[Release],MATCH($A558,Release[Requirement ID],0))),"",INDEX(Release[Release],MATCH($A558,Release[Requirement ID],0))),"")</f>
        <v/>
      </c>
      <c r="L558" s="36"/>
      <c r="M558" s="36"/>
      <c r="P558" s="1" t="n">
        <f aca="false">IFERROR(VALUE(MID($A558,5,4)),0)</f>
        <v>0</v>
      </c>
      <c r="Q558" s="1" t="str">
        <f aca="false">IF(B558="","","NEW-"&amp;TEXT(MAX($P$2:$P557,Lists!$N$2)+1,"0000"))</f>
        <v/>
      </c>
    </row>
    <row r="559" customFormat="false" ht="15" hidden="false" customHeight="true" outlineLevel="0" collapsed="false">
      <c r="A559" s="35" t="str">
        <f aca="false">IF(AND(B559="",C559="",D559="",E559="",F559="",G559="",H559="",J559="",L559="",M559="",N559=""),"",Q559)</f>
        <v/>
      </c>
      <c r="B559" s="36"/>
      <c r="C559" s="36"/>
      <c r="D559" s="36"/>
      <c r="E559" s="36"/>
      <c r="F559" s="36"/>
      <c r="G559" s="36"/>
      <c r="H559" s="36"/>
      <c r="I559" s="1" t="str">
        <f aca="false">IF($A559="","",IFERROR(IF(ISBLANK(INDEX(SprintPlanning[Sprint],MATCH($A559,SprintPlanning[Requirement ID],0))),"To Plan",INDEX(SprintPlanning[Sprint],MATCH($A559,SprintPlanning[Requirement ID],0))),"To Plan"))</f>
        <v/>
      </c>
      <c r="J559" s="36"/>
      <c r="K559" s="1" t="str">
        <f aca="false">IFERROR(IF(ISBLANK(INDEX(Release[Release],MATCH($A559,Release[Requirement ID],0))),"",INDEX(Release[Release],MATCH($A559,Release[Requirement ID],0))),"")</f>
        <v/>
      </c>
      <c r="L559" s="36"/>
      <c r="M559" s="36"/>
      <c r="P559" s="1" t="n">
        <f aca="false">IFERROR(VALUE(MID($A559,5,4)),0)</f>
        <v>0</v>
      </c>
      <c r="Q559" s="1" t="str">
        <f aca="false">IF(B559="","","NEW-"&amp;TEXT(MAX($P$2:$P558,Lists!$N$2)+1,"0000"))</f>
        <v/>
      </c>
    </row>
    <row r="560" customFormat="false" ht="15" hidden="false" customHeight="true" outlineLevel="0" collapsed="false">
      <c r="A560" s="35" t="str">
        <f aca="false">IF(AND(B560="",C560="",D560="",E560="",F560="",G560="",H560="",J560="",L560="",M560="",N560=""),"",Q560)</f>
        <v/>
      </c>
      <c r="B560" s="36"/>
      <c r="C560" s="36"/>
      <c r="D560" s="36"/>
      <c r="E560" s="36"/>
      <c r="F560" s="36"/>
      <c r="G560" s="36"/>
      <c r="H560" s="36"/>
      <c r="I560" s="1" t="str">
        <f aca="false">IF($A560="","",IFERROR(IF(ISBLANK(INDEX(SprintPlanning[Sprint],MATCH($A560,SprintPlanning[Requirement ID],0))),"To Plan",INDEX(SprintPlanning[Sprint],MATCH($A560,SprintPlanning[Requirement ID],0))),"To Plan"))</f>
        <v/>
      </c>
      <c r="J560" s="36"/>
      <c r="K560" s="1" t="str">
        <f aca="false">IFERROR(IF(ISBLANK(INDEX(Release[Release],MATCH($A560,Release[Requirement ID],0))),"",INDEX(Release[Release],MATCH($A560,Release[Requirement ID],0))),"")</f>
        <v/>
      </c>
      <c r="L560" s="36"/>
      <c r="M560" s="36"/>
      <c r="P560" s="1" t="n">
        <f aca="false">IFERROR(VALUE(MID($A560,5,4)),0)</f>
        <v>0</v>
      </c>
      <c r="Q560" s="1" t="str">
        <f aca="false">IF(B560="","","NEW-"&amp;TEXT(MAX($P$2:$P559,Lists!$N$2)+1,"0000"))</f>
        <v/>
      </c>
    </row>
    <row r="561" customFormat="false" ht="15" hidden="false" customHeight="true" outlineLevel="0" collapsed="false">
      <c r="A561" s="35" t="str">
        <f aca="false">IF(AND(B561="",C561="",D561="",E561="",F561="",G561="",H561="",J561="",L561="",M561="",N561=""),"",Q561)</f>
        <v/>
      </c>
      <c r="B561" s="36"/>
      <c r="C561" s="36"/>
      <c r="D561" s="36"/>
      <c r="E561" s="36"/>
      <c r="F561" s="36"/>
      <c r="G561" s="36"/>
      <c r="H561" s="36"/>
      <c r="I561" s="1" t="str">
        <f aca="false">IF($A561="","",IFERROR(IF(ISBLANK(INDEX(SprintPlanning[Sprint],MATCH($A561,SprintPlanning[Requirement ID],0))),"To Plan",INDEX(SprintPlanning[Sprint],MATCH($A561,SprintPlanning[Requirement ID],0))),"To Plan"))</f>
        <v/>
      </c>
      <c r="J561" s="36"/>
      <c r="K561" s="1" t="str">
        <f aca="false">IFERROR(IF(ISBLANK(INDEX(Release[Release],MATCH($A561,Release[Requirement ID],0))),"",INDEX(Release[Release],MATCH($A561,Release[Requirement ID],0))),"")</f>
        <v/>
      </c>
      <c r="L561" s="36"/>
      <c r="M561" s="36"/>
      <c r="P561" s="1" t="n">
        <f aca="false">IFERROR(VALUE(MID($A561,5,4)),0)</f>
        <v>0</v>
      </c>
      <c r="Q561" s="1" t="str">
        <f aca="false">IF(B561="","","NEW-"&amp;TEXT(MAX($P$2:$P560,Lists!$N$2)+1,"0000"))</f>
        <v/>
      </c>
    </row>
    <row r="562" customFormat="false" ht="15" hidden="false" customHeight="true" outlineLevel="0" collapsed="false">
      <c r="A562" s="35" t="str">
        <f aca="false">IF(AND(B562="",C562="",D562="",E562="",F562="",G562="",H562="",J562="",L562="",M562="",N562=""),"",Q562)</f>
        <v/>
      </c>
      <c r="B562" s="36"/>
      <c r="C562" s="36"/>
      <c r="D562" s="36"/>
      <c r="E562" s="36"/>
      <c r="F562" s="36"/>
      <c r="G562" s="36"/>
      <c r="H562" s="36"/>
      <c r="I562" s="1" t="str">
        <f aca="false">IF($A562="","",IFERROR(IF(ISBLANK(INDEX(SprintPlanning[Sprint],MATCH($A562,SprintPlanning[Requirement ID],0))),"To Plan",INDEX(SprintPlanning[Sprint],MATCH($A562,SprintPlanning[Requirement ID],0))),"To Plan"))</f>
        <v/>
      </c>
      <c r="J562" s="36"/>
      <c r="K562" s="1" t="str">
        <f aca="false">IFERROR(IF(ISBLANK(INDEX(Release[Release],MATCH($A562,Release[Requirement ID],0))),"",INDEX(Release[Release],MATCH($A562,Release[Requirement ID],0))),"")</f>
        <v/>
      </c>
      <c r="L562" s="36"/>
      <c r="M562" s="36"/>
      <c r="P562" s="1" t="n">
        <f aca="false">IFERROR(VALUE(MID($A562,5,4)),0)</f>
        <v>0</v>
      </c>
      <c r="Q562" s="1" t="str">
        <f aca="false">IF(B562="","","NEW-"&amp;TEXT(MAX($P$2:$P561,Lists!$N$2)+1,"0000"))</f>
        <v/>
      </c>
    </row>
    <row r="563" customFormat="false" ht="15" hidden="false" customHeight="true" outlineLevel="0" collapsed="false">
      <c r="A563" s="35" t="str">
        <f aca="false">IF(AND(B563="",C563="",D563="",E563="",F563="",G563="",H563="",J563="",L563="",M563="",N563=""),"",Q563)</f>
        <v/>
      </c>
      <c r="B563" s="36"/>
      <c r="C563" s="36"/>
      <c r="D563" s="36"/>
      <c r="E563" s="36"/>
      <c r="F563" s="36"/>
      <c r="G563" s="36"/>
      <c r="H563" s="36"/>
      <c r="I563" s="1" t="str">
        <f aca="false">IF($A563="","",IFERROR(IF(ISBLANK(INDEX(SprintPlanning[Sprint],MATCH($A563,SprintPlanning[Requirement ID],0))),"To Plan",INDEX(SprintPlanning[Sprint],MATCH($A563,SprintPlanning[Requirement ID],0))),"To Plan"))</f>
        <v/>
      </c>
      <c r="J563" s="36"/>
      <c r="K563" s="1" t="str">
        <f aca="false">IFERROR(IF(ISBLANK(INDEX(Release[Release],MATCH($A563,Release[Requirement ID],0))),"",INDEX(Release[Release],MATCH($A563,Release[Requirement ID],0))),"")</f>
        <v/>
      </c>
      <c r="L563" s="36"/>
      <c r="M563" s="36"/>
      <c r="P563" s="1" t="n">
        <f aca="false">IFERROR(VALUE(MID($A563,5,4)),0)</f>
        <v>0</v>
      </c>
      <c r="Q563" s="1" t="str">
        <f aca="false">IF(B563="","","NEW-"&amp;TEXT(MAX($P$2:$P562,Lists!$N$2)+1,"0000"))</f>
        <v/>
      </c>
    </row>
    <row r="564" customFormat="false" ht="15" hidden="false" customHeight="true" outlineLevel="0" collapsed="false">
      <c r="A564" s="35" t="str">
        <f aca="false">IF(AND(B564="",C564="",D564="",E564="",F564="",G564="",H564="",J564="",L564="",M564="",N564=""),"",Q564)</f>
        <v/>
      </c>
      <c r="B564" s="36"/>
      <c r="C564" s="36"/>
      <c r="D564" s="36"/>
      <c r="E564" s="36"/>
      <c r="F564" s="36"/>
      <c r="G564" s="36"/>
      <c r="H564" s="36"/>
      <c r="I564" s="1" t="str">
        <f aca="false">IF($A564="","",IFERROR(IF(ISBLANK(INDEX(SprintPlanning[Sprint],MATCH($A564,SprintPlanning[Requirement ID],0))),"To Plan",INDEX(SprintPlanning[Sprint],MATCH($A564,SprintPlanning[Requirement ID],0))),"To Plan"))</f>
        <v/>
      </c>
      <c r="J564" s="36"/>
      <c r="K564" s="1" t="str">
        <f aca="false">IFERROR(IF(ISBLANK(INDEX(Release[Release],MATCH($A564,Release[Requirement ID],0))),"",INDEX(Release[Release],MATCH($A564,Release[Requirement ID],0))),"")</f>
        <v/>
      </c>
      <c r="L564" s="36"/>
      <c r="M564" s="36"/>
      <c r="P564" s="1" t="n">
        <f aca="false">IFERROR(VALUE(MID($A564,5,4)),0)</f>
        <v>0</v>
      </c>
      <c r="Q564" s="1" t="str">
        <f aca="false">IF(B564="","","NEW-"&amp;TEXT(MAX($P$2:$P563,Lists!$N$2)+1,"0000"))</f>
        <v/>
      </c>
    </row>
    <row r="565" customFormat="false" ht="15" hidden="false" customHeight="true" outlineLevel="0" collapsed="false">
      <c r="A565" s="35" t="str">
        <f aca="false">IF(AND(B565="",C565="",D565="",E565="",F565="",G565="",H565="",J565="",L565="",M565="",N565=""),"",Q565)</f>
        <v/>
      </c>
      <c r="B565" s="36"/>
      <c r="C565" s="36"/>
      <c r="D565" s="36"/>
      <c r="E565" s="36"/>
      <c r="F565" s="36"/>
      <c r="G565" s="36"/>
      <c r="H565" s="36"/>
      <c r="I565" s="1" t="str">
        <f aca="false">IF($A565="","",IFERROR(IF(ISBLANK(INDEX(SprintPlanning[Sprint],MATCH($A565,SprintPlanning[Requirement ID],0))),"To Plan",INDEX(SprintPlanning[Sprint],MATCH($A565,SprintPlanning[Requirement ID],0))),"To Plan"))</f>
        <v/>
      </c>
      <c r="J565" s="36"/>
      <c r="K565" s="1" t="str">
        <f aca="false">IFERROR(IF(ISBLANK(INDEX(Release[Release],MATCH($A565,Release[Requirement ID],0))),"",INDEX(Release[Release],MATCH($A565,Release[Requirement ID],0))),"")</f>
        <v/>
      </c>
      <c r="L565" s="36"/>
      <c r="M565" s="36"/>
      <c r="P565" s="1" t="n">
        <f aca="false">IFERROR(VALUE(MID($A565,5,4)),0)</f>
        <v>0</v>
      </c>
      <c r="Q565" s="1" t="str">
        <f aca="false">IF(B565="","","NEW-"&amp;TEXT(MAX($P$2:$P564,Lists!$N$2)+1,"0000"))</f>
        <v/>
      </c>
    </row>
    <row r="566" customFormat="false" ht="15" hidden="false" customHeight="true" outlineLevel="0" collapsed="false">
      <c r="A566" s="35" t="str">
        <f aca="false">IF(AND(B566="",C566="",D566="",E566="",F566="",G566="",H566="",J566="",L566="",M566="",N566=""),"",Q566)</f>
        <v/>
      </c>
      <c r="B566" s="36"/>
      <c r="C566" s="36"/>
      <c r="D566" s="36"/>
      <c r="E566" s="36"/>
      <c r="F566" s="36"/>
      <c r="G566" s="36"/>
      <c r="H566" s="36"/>
      <c r="I566" s="1" t="str">
        <f aca="false">IF($A566="","",IFERROR(IF(ISBLANK(INDEX(SprintPlanning[Sprint],MATCH($A566,SprintPlanning[Requirement ID],0))),"To Plan",INDEX(SprintPlanning[Sprint],MATCH($A566,SprintPlanning[Requirement ID],0))),"To Plan"))</f>
        <v/>
      </c>
      <c r="J566" s="36"/>
      <c r="K566" s="1" t="str">
        <f aca="false">IFERROR(IF(ISBLANK(INDEX(Release[Release],MATCH($A566,Release[Requirement ID],0))),"",INDEX(Release[Release],MATCH($A566,Release[Requirement ID],0))),"")</f>
        <v/>
      </c>
      <c r="L566" s="36"/>
      <c r="M566" s="36"/>
      <c r="P566" s="1" t="n">
        <f aca="false">IFERROR(VALUE(MID($A566,5,4)),0)</f>
        <v>0</v>
      </c>
      <c r="Q566" s="1" t="str">
        <f aca="false">IF(B566="","","NEW-"&amp;TEXT(MAX($P$2:$P565,Lists!$N$2)+1,"0000"))</f>
        <v/>
      </c>
    </row>
    <row r="567" customFormat="false" ht="15" hidden="false" customHeight="true" outlineLevel="0" collapsed="false">
      <c r="A567" s="35" t="str">
        <f aca="false">IF(AND(B567="",C567="",D567="",E567="",F567="",G567="",H567="",J567="",L567="",M567="",N567=""),"",Q567)</f>
        <v/>
      </c>
      <c r="B567" s="36"/>
      <c r="C567" s="36"/>
      <c r="D567" s="36"/>
      <c r="E567" s="36"/>
      <c r="F567" s="36"/>
      <c r="G567" s="36"/>
      <c r="H567" s="36"/>
      <c r="I567" s="1" t="str">
        <f aca="false">IF($A567="","",IFERROR(IF(ISBLANK(INDEX(SprintPlanning[Sprint],MATCH($A567,SprintPlanning[Requirement ID],0))),"To Plan",INDEX(SprintPlanning[Sprint],MATCH($A567,SprintPlanning[Requirement ID],0))),"To Plan"))</f>
        <v/>
      </c>
      <c r="J567" s="36"/>
      <c r="K567" s="1" t="str">
        <f aca="false">IFERROR(IF(ISBLANK(INDEX(Release[Release],MATCH($A567,Release[Requirement ID],0))),"",INDEX(Release[Release],MATCH($A567,Release[Requirement ID],0))),"")</f>
        <v/>
      </c>
      <c r="L567" s="36"/>
      <c r="M567" s="36"/>
      <c r="P567" s="1" t="n">
        <f aca="false">IFERROR(VALUE(MID($A567,5,4)),0)</f>
        <v>0</v>
      </c>
      <c r="Q567" s="1" t="str">
        <f aca="false">IF(B567="","","NEW-"&amp;TEXT(MAX($P$2:$P566,Lists!$N$2)+1,"0000"))</f>
        <v/>
      </c>
    </row>
    <row r="568" customFormat="false" ht="15" hidden="false" customHeight="true" outlineLevel="0" collapsed="false">
      <c r="A568" s="35" t="str">
        <f aca="false">IF(AND(B568="",C568="",D568="",E568="",F568="",G568="",H568="",J568="",L568="",M568="",N568=""),"",Q568)</f>
        <v/>
      </c>
      <c r="B568" s="36"/>
      <c r="C568" s="36"/>
      <c r="D568" s="36"/>
      <c r="E568" s="36"/>
      <c r="F568" s="36"/>
      <c r="G568" s="36"/>
      <c r="H568" s="36"/>
      <c r="I568" s="1" t="str">
        <f aca="false">IF($A568="","",IFERROR(IF(ISBLANK(INDEX(SprintPlanning[Sprint],MATCH($A568,SprintPlanning[Requirement ID],0))),"To Plan",INDEX(SprintPlanning[Sprint],MATCH($A568,SprintPlanning[Requirement ID],0))),"To Plan"))</f>
        <v/>
      </c>
      <c r="J568" s="36"/>
      <c r="K568" s="1" t="str">
        <f aca="false">IFERROR(IF(ISBLANK(INDEX(Release[Release],MATCH($A568,Release[Requirement ID],0))),"",INDEX(Release[Release],MATCH($A568,Release[Requirement ID],0))),"")</f>
        <v/>
      </c>
      <c r="L568" s="36"/>
      <c r="M568" s="36"/>
      <c r="P568" s="1" t="n">
        <f aca="false">IFERROR(VALUE(MID($A568,5,4)),0)</f>
        <v>0</v>
      </c>
      <c r="Q568" s="1" t="str">
        <f aca="false">IF(B568="","","NEW-"&amp;TEXT(MAX($P$2:$P567,Lists!$N$2)+1,"0000"))</f>
        <v/>
      </c>
    </row>
    <row r="569" customFormat="false" ht="15" hidden="false" customHeight="true" outlineLevel="0" collapsed="false">
      <c r="A569" s="35" t="str">
        <f aca="false">IF(AND(B569="",C569="",D569="",E569="",F569="",G569="",H569="",J569="",L569="",M569="",N569=""),"",Q569)</f>
        <v/>
      </c>
      <c r="B569" s="36"/>
      <c r="C569" s="36"/>
      <c r="D569" s="36"/>
      <c r="E569" s="36"/>
      <c r="F569" s="36"/>
      <c r="G569" s="36"/>
      <c r="H569" s="36"/>
      <c r="I569" s="1" t="str">
        <f aca="false">IF($A569="","",IFERROR(IF(ISBLANK(INDEX(SprintPlanning[Sprint],MATCH($A569,SprintPlanning[Requirement ID],0))),"To Plan",INDEX(SprintPlanning[Sprint],MATCH($A569,SprintPlanning[Requirement ID],0))),"To Plan"))</f>
        <v/>
      </c>
      <c r="J569" s="36"/>
      <c r="K569" s="1" t="str">
        <f aca="false">IFERROR(IF(ISBLANK(INDEX(Release[Release],MATCH($A569,Release[Requirement ID],0))),"",INDEX(Release[Release],MATCH($A569,Release[Requirement ID],0))),"")</f>
        <v/>
      </c>
      <c r="L569" s="36"/>
      <c r="M569" s="36"/>
      <c r="P569" s="1" t="n">
        <f aca="false">IFERROR(VALUE(MID($A569,5,4)),0)</f>
        <v>0</v>
      </c>
      <c r="Q569" s="1" t="str">
        <f aca="false">IF(B569="","","NEW-"&amp;TEXT(MAX($P$2:$P568,Lists!$N$2)+1,"0000"))</f>
        <v/>
      </c>
    </row>
    <row r="570" customFormat="false" ht="15" hidden="false" customHeight="true" outlineLevel="0" collapsed="false">
      <c r="A570" s="35" t="str">
        <f aca="false">IF(AND(B570="",C570="",D570="",E570="",F570="",G570="",H570="",J570="",L570="",M570="",N570=""),"",Q570)</f>
        <v/>
      </c>
      <c r="B570" s="36"/>
      <c r="C570" s="36"/>
      <c r="D570" s="36"/>
      <c r="E570" s="36"/>
      <c r="F570" s="36"/>
      <c r="G570" s="36"/>
      <c r="H570" s="36"/>
      <c r="I570" s="1" t="str">
        <f aca="false">IF($A570="","",IFERROR(IF(ISBLANK(INDEX(SprintPlanning[Sprint],MATCH($A570,SprintPlanning[Requirement ID],0))),"To Plan",INDEX(SprintPlanning[Sprint],MATCH($A570,SprintPlanning[Requirement ID],0))),"To Plan"))</f>
        <v/>
      </c>
      <c r="J570" s="36"/>
      <c r="K570" s="1" t="str">
        <f aca="false">IFERROR(IF(ISBLANK(INDEX(Release[Release],MATCH($A570,Release[Requirement ID],0))),"",INDEX(Release[Release],MATCH($A570,Release[Requirement ID],0))),"")</f>
        <v/>
      </c>
      <c r="L570" s="36"/>
      <c r="M570" s="36"/>
      <c r="P570" s="1" t="n">
        <f aca="false">IFERROR(VALUE(MID($A570,5,4)),0)</f>
        <v>0</v>
      </c>
      <c r="Q570" s="1" t="str">
        <f aca="false">IF(B570="","","NEW-"&amp;TEXT(MAX($P$2:$P569,Lists!$N$2)+1,"0000"))</f>
        <v/>
      </c>
    </row>
    <row r="571" customFormat="false" ht="15" hidden="false" customHeight="true" outlineLevel="0" collapsed="false">
      <c r="A571" s="35" t="str">
        <f aca="false">IF(AND(B571="",C571="",D571="",E571="",F571="",G571="",H571="",J571="",L571="",M571="",N571=""),"",Q571)</f>
        <v/>
      </c>
      <c r="B571" s="36"/>
      <c r="C571" s="36"/>
      <c r="D571" s="36"/>
      <c r="E571" s="36"/>
      <c r="F571" s="36"/>
      <c r="G571" s="36"/>
      <c r="H571" s="36"/>
      <c r="I571" s="1" t="str">
        <f aca="false">IF($A571="","",IFERROR(IF(ISBLANK(INDEX(SprintPlanning[Sprint],MATCH($A571,SprintPlanning[Requirement ID],0))),"To Plan",INDEX(SprintPlanning[Sprint],MATCH($A571,SprintPlanning[Requirement ID],0))),"To Plan"))</f>
        <v/>
      </c>
      <c r="J571" s="36"/>
      <c r="K571" s="1" t="str">
        <f aca="false">IFERROR(IF(ISBLANK(INDEX(Release[Release],MATCH($A571,Release[Requirement ID],0))),"",INDEX(Release[Release],MATCH($A571,Release[Requirement ID],0))),"")</f>
        <v/>
      </c>
      <c r="L571" s="36"/>
      <c r="M571" s="36"/>
      <c r="P571" s="1" t="n">
        <f aca="false">IFERROR(VALUE(MID($A571,5,4)),0)</f>
        <v>0</v>
      </c>
      <c r="Q571" s="1" t="str">
        <f aca="false">IF(B571="","","NEW-"&amp;TEXT(MAX($P$2:$P570,Lists!$N$2)+1,"0000"))</f>
        <v/>
      </c>
    </row>
    <row r="572" customFormat="false" ht="15" hidden="false" customHeight="true" outlineLevel="0" collapsed="false">
      <c r="A572" s="35" t="str">
        <f aca="false">IF(AND(B572="",C572="",D572="",E572="",F572="",G572="",H572="",J572="",L572="",M572="",N572=""),"",Q572)</f>
        <v/>
      </c>
      <c r="B572" s="36"/>
      <c r="C572" s="36"/>
      <c r="D572" s="36"/>
      <c r="E572" s="36"/>
      <c r="F572" s="36"/>
      <c r="G572" s="36"/>
      <c r="H572" s="36"/>
      <c r="I572" s="1" t="str">
        <f aca="false">IF($A572="","",IFERROR(IF(ISBLANK(INDEX(SprintPlanning[Sprint],MATCH($A572,SprintPlanning[Requirement ID],0))),"To Plan",INDEX(SprintPlanning[Sprint],MATCH($A572,SprintPlanning[Requirement ID],0))),"To Plan"))</f>
        <v/>
      </c>
      <c r="J572" s="36"/>
      <c r="K572" s="1" t="str">
        <f aca="false">IFERROR(IF(ISBLANK(INDEX(Release[Release],MATCH($A572,Release[Requirement ID],0))),"",INDEX(Release[Release],MATCH($A572,Release[Requirement ID],0))),"")</f>
        <v/>
      </c>
      <c r="L572" s="36"/>
      <c r="M572" s="36"/>
      <c r="P572" s="1" t="n">
        <f aca="false">IFERROR(VALUE(MID($A572,5,4)),0)</f>
        <v>0</v>
      </c>
      <c r="Q572" s="1" t="str">
        <f aca="false">IF(B572="","","NEW-"&amp;TEXT(MAX($P$2:$P571,Lists!$N$2)+1,"0000"))</f>
        <v/>
      </c>
    </row>
    <row r="573" customFormat="false" ht="15" hidden="false" customHeight="true" outlineLevel="0" collapsed="false">
      <c r="A573" s="35" t="str">
        <f aca="false">IF(AND(B573="",C573="",D573="",E573="",F573="",G573="",H573="",J573="",L573="",M573="",N573=""),"",Q573)</f>
        <v/>
      </c>
      <c r="B573" s="36"/>
      <c r="C573" s="36"/>
      <c r="D573" s="36"/>
      <c r="E573" s="36"/>
      <c r="F573" s="36"/>
      <c r="G573" s="36"/>
      <c r="H573" s="36"/>
      <c r="I573" s="1" t="str">
        <f aca="false">IF($A573="","",IFERROR(IF(ISBLANK(INDEX(SprintPlanning[Sprint],MATCH($A573,SprintPlanning[Requirement ID],0))),"To Plan",INDEX(SprintPlanning[Sprint],MATCH($A573,SprintPlanning[Requirement ID],0))),"To Plan"))</f>
        <v/>
      </c>
      <c r="J573" s="36"/>
      <c r="K573" s="1" t="str">
        <f aca="false">IFERROR(IF(ISBLANK(INDEX(Release[Release],MATCH($A573,Release[Requirement ID],0))),"",INDEX(Release[Release],MATCH($A573,Release[Requirement ID],0))),"")</f>
        <v/>
      </c>
      <c r="L573" s="36"/>
      <c r="M573" s="36"/>
      <c r="P573" s="1" t="n">
        <f aca="false">IFERROR(VALUE(MID($A573,5,4)),0)</f>
        <v>0</v>
      </c>
      <c r="Q573" s="1" t="str">
        <f aca="false">IF(B573="","","NEW-"&amp;TEXT(MAX($P$2:$P572,Lists!$N$2)+1,"0000"))</f>
        <v/>
      </c>
    </row>
    <row r="574" customFormat="false" ht="15" hidden="false" customHeight="true" outlineLevel="0" collapsed="false">
      <c r="A574" s="35" t="str">
        <f aca="false">IF(AND(B574="",C574="",D574="",E574="",F574="",G574="",H574="",J574="",L574="",M574="",N574=""),"",Q574)</f>
        <v/>
      </c>
      <c r="B574" s="36"/>
      <c r="C574" s="36"/>
      <c r="D574" s="36"/>
      <c r="E574" s="36"/>
      <c r="F574" s="36"/>
      <c r="G574" s="36"/>
      <c r="H574" s="36"/>
      <c r="I574" s="1" t="str">
        <f aca="false">IF($A574="","",IFERROR(IF(ISBLANK(INDEX(SprintPlanning[Sprint],MATCH($A574,SprintPlanning[Requirement ID],0))),"To Plan",INDEX(SprintPlanning[Sprint],MATCH($A574,SprintPlanning[Requirement ID],0))),"To Plan"))</f>
        <v/>
      </c>
      <c r="J574" s="36"/>
      <c r="K574" s="1" t="str">
        <f aca="false">IFERROR(IF(ISBLANK(INDEX(Release[Release],MATCH($A574,Release[Requirement ID],0))),"",INDEX(Release[Release],MATCH($A574,Release[Requirement ID],0))),"")</f>
        <v/>
      </c>
      <c r="L574" s="36"/>
      <c r="M574" s="36"/>
      <c r="P574" s="1" t="n">
        <f aca="false">IFERROR(VALUE(MID($A574,5,4)),0)</f>
        <v>0</v>
      </c>
      <c r="Q574" s="1" t="str">
        <f aca="false">IF(B574="","","NEW-"&amp;TEXT(MAX($P$2:$P573,Lists!$N$2)+1,"0000"))</f>
        <v/>
      </c>
    </row>
    <row r="575" customFormat="false" ht="15" hidden="false" customHeight="true" outlineLevel="0" collapsed="false">
      <c r="A575" s="35" t="str">
        <f aca="false">IF(AND(B575="",C575="",D575="",E575="",F575="",G575="",H575="",J575="",L575="",M575="",N575=""),"",Q575)</f>
        <v/>
      </c>
      <c r="B575" s="36"/>
      <c r="C575" s="36"/>
      <c r="D575" s="36"/>
      <c r="E575" s="36"/>
      <c r="F575" s="36"/>
      <c r="G575" s="36"/>
      <c r="H575" s="36"/>
      <c r="I575" s="1" t="str">
        <f aca="false">IF($A575="","",IFERROR(IF(ISBLANK(INDEX(SprintPlanning[Sprint],MATCH($A575,SprintPlanning[Requirement ID],0))),"To Plan",INDEX(SprintPlanning[Sprint],MATCH($A575,SprintPlanning[Requirement ID],0))),"To Plan"))</f>
        <v/>
      </c>
      <c r="J575" s="36"/>
      <c r="K575" s="1" t="str">
        <f aca="false">IFERROR(IF(ISBLANK(INDEX(Release[Release],MATCH($A575,Release[Requirement ID],0))),"",INDEX(Release[Release],MATCH($A575,Release[Requirement ID],0))),"")</f>
        <v/>
      </c>
      <c r="L575" s="36"/>
      <c r="M575" s="36"/>
      <c r="P575" s="1" t="n">
        <f aca="false">IFERROR(VALUE(MID($A575,5,4)),0)</f>
        <v>0</v>
      </c>
      <c r="Q575" s="1" t="str">
        <f aca="false">IF(B575="","","NEW-"&amp;TEXT(MAX($P$2:$P574,Lists!$N$2)+1,"0000"))</f>
        <v/>
      </c>
    </row>
    <row r="576" customFormat="false" ht="15" hidden="false" customHeight="true" outlineLevel="0" collapsed="false">
      <c r="A576" s="35" t="str">
        <f aca="false">IF(AND(B576="",C576="",D576="",E576="",F576="",G576="",H576="",J576="",L576="",M576="",N576=""),"",Q576)</f>
        <v/>
      </c>
      <c r="B576" s="36"/>
      <c r="C576" s="36"/>
      <c r="D576" s="36"/>
      <c r="E576" s="36"/>
      <c r="F576" s="36"/>
      <c r="G576" s="36"/>
      <c r="H576" s="36"/>
      <c r="I576" s="1" t="str">
        <f aca="false">IF($A576="","",IFERROR(IF(ISBLANK(INDEX(SprintPlanning[Sprint],MATCH($A576,SprintPlanning[Requirement ID],0))),"To Plan",INDEX(SprintPlanning[Sprint],MATCH($A576,SprintPlanning[Requirement ID],0))),"To Plan"))</f>
        <v/>
      </c>
      <c r="J576" s="36"/>
      <c r="K576" s="1" t="str">
        <f aca="false">IFERROR(IF(ISBLANK(INDEX(Release[Release],MATCH($A576,Release[Requirement ID],0))),"",INDEX(Release[Release],MATCH($A576,Release[Requirement ID],0))),"")</f>
        <v/>
      </c>
      <c r="L576" s="36"/>
      <c r="M576" s="36"/>
      <c r="P576" s="1" t="n">
        <f aca="false">IFERROR(VALUE(MID($A576,5,4)),0)</f>
        <v>0</v>
      </c>
      <c r="Q576" s="1" t="str">
        <f aca="false">IF(B576="","","NEW-"&amp;TEXT(MAX($P$2:$P575,Lists!$N$2)+1,"0000"))</f>
        <v/>
      </c>
    </row>
    <row r="577" customFormat="false" ht="15" hidden="false" customHeight="true" outlineLevel="0" collapsed="false">
      <c r="A577" s="35" t="str">
        <f aca="false">IF(AND(B577="",C577="",D577="",E577="",F577="",G577="",H577="",J577="",L577="",M577="",N577=""),"",Q577)</f>
        <v/>
      </c>
      <c r="B577" s="36"/>
      <c r="C577" s="36"/>
      <c r="D577" s="36"/>
      <c r="E577" s="36"/>
      <c r="F577" s="36"/>
      <c r="G577" s="36"/>
      <c r="H577" s="36"/>
      <c r="I577" s="1" t="str">
        <f aca="false">IF($A577="","",IFERROR(IF(ISBLANK(INDEX(SprintPlanning[Sprint],MATCH($A577,SprintPlanning[Requirement ID],0))),"To Plan",INDEX(SprintPlanning[Sprint],MATCH($A577,SprintPlanning[Requirement ID],0))),"To Plan"))</f>
        <v/>
      </c>
      <c r="J577" s="36"/>
      <c r="K577" s="1" t="str">
        <f aca="false">IFERROR(IF(ISBLANK(INDEX(Release[Release],MATCH($A577,Release[Requirement ID],0))),"",INDEX(Release[Release],MATCH($A577,Release[Requirement ID],0))),"")</f>
        <v/>
      </c>
      <c r="L577" s="36"/>
      <c r="M577" s="36"/>
      <c r="P577" s="1" t="n">
        <f aca="false">IFERROR(VALUE(MID($A577,5,4)),0)</f>
        <v>0</v>
      </c>
      <c r="Q577" s="1" t="str">
        <f aca="false">IF(B577="","","NEW-"&amp;TEXT(MAX($P$2:$P576,Lists!$N$2)+1,"0000"))</f>
        <v/>
      </c>
    </row>
    <row r="578" customFormat="false" ht="15" hidden="false" customHeight="true" outlineLevel="0" collapsed="false">
      <c r="A578" s="35" t="str">
        <f aca="false">IF(AND(B578="",C578="",D578="",E578="",F578="",G578="",H578="",J578="",L578="",M578="",N578=""),"",Q578)</f>
        <v/>
      </c>
      <c r="B578" s="36"/>
      <c r="C578" s="36"/>
      <c r="D578" s="36"/>
      <c r="E578" s="36"/>
      <c r="F578" s="36"/>
      <c r="G578" s="36"/>
      <c r="H578" s="36"/>
      <c r="I578" s="1" t="str">
        <f aca="false">IF($A578="","",IFERROR(IF(ISBLANK(INDEX(SprintPlanning[Sprint],MATCH($A578,SprintPlanning[Requirement ID],0))),"To Plan",INDEX(SprintPlanning[Sprint],MATCH($A578,SprintPlanning[Requirement ID],0))),"To Plan"))</f>
        <v/>
      </c>
      <c r="J578" s="36"/>
      <c r="K578" s="1" t="str">
        <f aca="false">IFERROR(IF(ISBLANK(INDEX(Release[Release],MATCH($A578,Release[Requirement ID],0))),"",INDEX(Release[Release],MATCH($A578,Release[Requirement ID],0))),"")</f>
        <v/>
      </c>
      <c r="L578" s="36"/>
      <c r="M578" s="36"/>
      <c r="P578" s="1" t="n">
        <f aca="false">IFERROR(VALUE(MID($A578,5,4)),0)</f>
        <v>0</v>
      </c>
      <c r="Q578" s="1" t="str">
        <f aca="false">IF(B578="","","NEW-"&amp;TEXT(MAX($P$2:$P577,Lists!$N$2)+1,"0000"))</f>
        <v/>
      </c>
    </row>
    <row r="579" customFormat="false" ht="15" hidden="false" customHeight="true" outlineLevel="0" collapsed="false">
      <c r="A579" s="35" t="str">
        <f aca="false">IF(AND(B579="",C579="",D579="",E579="",F579="",G579="",H579="",J579="",L579="",M579="",N579=""),"",Q579)</f>
        <v/>
      </c>
      <c r="B579" s="36"/>
      <c r="C579" s="36"/>
      <c r="D579" s="36"/>
      <c r="E579" s="36"/>
      <c r="F579" s="36"/>
      <c r="G579" s="36"/>
      <c r="H579" s="36"/>
      <c r="I579" s="1" t="str">
        <f aca="false">IF($A579="","",IFERROR(IF(ISBLANK(INDEX(SprintPlanning[Sprint],MATCH($A579,SprintPlanning[Requirement ID],0))),"To Plan",INDEX(SprintPlanning[Sprint],MATCH($A579,SprintPlanning[Requirement ID],0))),"To Plan"))</f>
        <v/>
      </c>
      <c r="J579" s="36"/>
      <c r="K579" s="1" t="str">
        <f aca="false">IFERROR(IF(ISBLANK(INDEX(Release[Release],MATCH($A579,Release[Requirement ID],0))),"",INDEX(Release[Release],MATCH($A579,Release[Requirement ID],0))),"")</f>
        <v/>
      </c>
      <c r="L579" s="36"/>
      <c r="M579" s="36"/>
      <c r="P579" s="1" t="n">
        <f aca="false">IFERROR(VALUE(MID($A579,5,4)),0)</f>
        <v>0</v>
      </c>
      <c r="Q579" s="1" t="str">
        <f aca="false">IF(B579="","","NEW-"&amp;TEXT(MAX($P$2:$P578,Lists!$N$2)+1,"0000"))</f>
        <v/>
      </c>
    </row>
    <row r="580" customFormat="false" ht="15" hidden="false" customHeight="true" outlineLevel="0" collapsed="false">
      <c r="A580" s="35" t="str">
        <f aca="false">IF(AND(B580="",C580="",D580="",E580="",F580="",G580="",H580="",J580="",L580="",M580="",N580=""),"",Q580)</f>
        <v/>
      </c>
      <c r="B580" s="36"/>
      <c r="C580" s="36"/>
      <c r="D580" s="36"/>
      <c r="E580" s="36"/>
      <c r="F580" s="36"/>
      <c r="G580" s="36"/>
      <c r="H580" s="36"/>
      <c r="I580" s="1" t="str">
        <f aca="false">IF($A580="","",IFERROR(IF(ISBLANK(INDEX(SprintPlanning[Sprint],MATCH($A580,SprintPlanning[Requirement ID],0))),"To Plan",INDEX(SprintPlanning[Sprint],MATCH($A580,SprintPlanning[Requirement ID],0))),"To Plan"))</f>
        <v/>
      </c>
      <c r="J580" s="36"/>
      <c r="K580" s="1" t="str">
        <f aca="false">IFERROR(IF(ISBLANK(INDEX(Release[Release],MATCH($A580,Release[Requirement ID],0))),"",INDEX(Release[Release],MATCH($A580,Release[Requirement ID],0))),"")</f>
        <v/>
      </c>
      <c r="L580" s="36"/>
      <c r="M580" s="36"/>
      <c r="P580" s="1" t="n">
        <f aca="false">IFERROR(VALUE(MID($A580,5,4)),0)</f>
        <v>0</v>
      </c>
      <c r="Q580" s="1" t="str">
        <f aca="false">IF(B580="","","NEW-"&amp;TEXT(MAX($P$2:$P579,Lists!$N$2)+1,"0000"))</f>
        <v/>
      </c>
    </row>
    <row r="581" customFormat="false" ht="15" hidden="false" customHeight="true" outlineLevel="0" collapsed="false">
      <c r="A581" s="35" t="str">
        <f aca="false">IF(AND(B581="",C581="",D581="",E581="",F581="",G581="",H581="",J581="",L581="",M581="",N581=""),"",Q581)</f>
        <v/>
      </c>
      <c r="B581" s="36"/>
      <c r="C581" s="36"/>
      <c r="D581" s="36"/>
      <c r="E581" s="36"/>
      <c r="F581" s="36"/>
      <c r="G581" s="36"/>
      <c r="H581" s="36"/>
      <c r="I581" s="1" t="str">
        <f aca="false">IF($A581="","",IFERROR(IF(ISBLANK(INDEX(SprintPlanning[Sprint],MATCH($A581,SprintPlanning[Requirement ID],0))),"To Plan",INDEX(SprintPlanning[Sprint],MATCH($A581,SprintPlanning[Requirement ID],0))),"To Plan"))</f>
        <v/>
      </c>
      <c r="J581" s="36"/>
      <c r="K581" s="1" t="str">
        <f aca="false">IFERROR(IF(ISBLANK(INDEX(Release[Release],MATCH($A581,Release[Requirement ID],0))),"",INDEX(Release[Release],MATCH($A581,Release[Requirement ID],0))),"")</f>
        <v/>
      </c>
      <c r="L581" s="36"/>
      <c r="M581" s="36"/>
      <c r="P581" s="1" t="n">
        <f aca="false">IFERROR(VALUE(MID($A581,5,4)),0)</f>
        <v>0</v>
      </c>
      <c r="Q581" s="1" t="str">
        <f aca="false">IF(B581="","","NEW-"&amp;TEXT(MAX($P$2:$P580,Lists!$N$2)+1,"0000"))</f>
        <v/>
      </c>
    </row>
    <row r="582" customFormat="false" ht="15" hidden="false" customHeight="true" outlineLevel="0" collapsed="false">
      <c r="A582" s="35" t="str">
        <f aca="false">IF(AND(B582="",C582="",D582="",E582="",F582="",G582="",H582="",J582="",L582="",M582="",N582=""),"",Q582)</f>
        <v/>
      </c>
      <c r="B582" s="36"/>
      <c r="C582" s="36"/>
      <c r="D582" s="36"/>
      <c r="E582" s="36"/>
      <c r="F582" s="36"/>
      <c r="G582" s="36"/>
      <c r="H582" s="36"/>
      <c r="I582" s="1" t="str">
        <f aca="false">IF($A582="","",IFERROR(IF(ISBLANK(INDEX(SprintPlanning[Sprint],MATCH($A582,SprintPlanning[Requirement ID],0))),"To Plan",INDEX(SprintPlanning[Sprint],MATCH($A582,SprintPlanning[Requirement ID],0))),"To Plan"))</f>
        <v/>
      </c>
      <c r="J582" s="36"/>
      <c r="K582" s="1" t="str">
        <f aca="false">IFERROR(IF(ISBLANK(INDEX(Release[Release],MATCH($A582,Release[Requirement ID],0))),"",INDEX(Release[Release],MATCH($A582,Release[Requirement ID],0))),"")</f>
        <v/>
      </c>
      <c r="L582" s="36"/>
      <c r="M582" s="36"/>
      <c r="P582" s="1" t="n">
        <f aca="false">IFERROR(VALUE(MID($A582,5,4)),0)</f>
        <v>0</v>
      </c>
      <c r="Q582" s="1" t="str">
        <f aca="false">IF(B582="","","NEW-"&amp;TEXT(MAX($P$2:$P581,Lists!$N$2)+1,"0000"))</f>
        <v/>
      </c>
    </row>
    <row r="583" customFormat="false" ht="15" hidden="false" customHeight="true" outlineLevel="0" collapsed="false">
      <c r="A583" s="35" t="str">
        <f aca="false">IF(AND(B583="",C583="",D583="",E583="",F583="",G583="",H583="",J583="",L583="",M583="",N583=""),"",Q583)</f>
        <v/>
      </c>
      <c r="B583" s="36"/>
      <c r="C583" s="36"/>
      <c r="D583" s="36"/>
      <c r="E583" s="36"/>
      <c r="F583" s="36"/>
      <c r="G583" s="36"/>
      <c r="H583" s="36"/>
      <c r="I583" s="1" t="str">
        <f aca="false">IF($A583="","",IFERROR(IF(ISBLANK(INDEX(SprintPlanning[Sprint],MATCH($A583,SprintPlanning[Requirement ID],0))),"To Plan",INDEX(SprintPlanning[Sprint],MATCH($A583,SprintPlanning[Requirement ID],0))),"To Plan"))</f>
        <v/>
      </c>
      <c r="J583" s="36"/>
      <c r="K583" s="1" t="str">
        <f aca="false">IFERROR(IF(ISBLANK(INDEX(Release[Release],MATCH($A583,Release[Requirement ID],0))),"",INDEX(Release[Release],MATCH($A583,Release[Requirement ID],0))),"")</f>
        <v/>
      </c>
      <c r="L583" s="36"/>
      <c r="M583" s="36"/>
      <c r="P583" s="1" t="n">
        <f aca="false">IFERROR(VALUE(MID($A583,5,4)),0)</f>
        <v>0</v>
      </c>
      <c r="Q583" s="1" t="str">
        <f aca="false">IF(B583="","","NEW-"&amp;TEXT(MAX($P$2:$P582,Lists!$N$2)+1,"0000"))</f>
        <v/>
      </c>
    </row>
    <row r="584" customFormat="false" ht="15" hidden="false" customHeight="true" outlineLevel="0" collapsed="false">
      <c r="A584" s="35" t="str">
        <f aca="false">IF(AND(B584="",C584="",D584="",E584="",F584="",G584="",H584="",J584="",L584="",M584="",N584=""),"",Q584)</f>
        <v/>
      </c>
      <c r="B584" s="36"/>
      <c r="C584" s="36"/>
      <c r="D584" s="36"/>
      <c r="E584" s="36"/>
      <c r="F584" s="36"/>
      <c r="G584" s="36"/>
      <c r="H584" s="36"/>
      <c r="I584" s="1" t="str">
        <f aca="false">IF($A584="","",IFERROR(IF(ISBLANK(INDEX(SprintPlanning[Sprint],MATCH($A584,SprintPlanning[Requirement ID],0))),"To Plan",INDEX(SprintPlanning[Sprint],MATCH($A584,SprintPlanning[Requirement ID],0))),"To Plan"))</f>
        <v/>
      </c>
      <c r="J584" s="36"/>
      <c r="K584" s="1" t="str">
        <f aca="false">IFERROR(IF(ISBLANK(INDEX(Release[Release],MATCH($A584,Release[Requirement ID],0))),"",INDEX(Release[Release],MATCH($A584,Release[Requirement ID],0))),"")</f>
        <v/>
      </c>
      <c r="L584" s="36"/>
      <c r="M584" s="36"/>
      <c r="P584" s="1" t="n">
        <f aca="false">IFERROR(VALUE(MID($A584,5,4)),0)</f>
        <v>0</v>
      </c>
      <c r="Q584" s="1" t="str">
        <f aca="false">IF(B584="","","NEW-"&amp;TEXT(MAX($P$2:$P583,Lists!$N$2)+1,"0000"))</f>
        <v/>
      </c>
    </row>
    <row r="585" customFormat="false" ht="15" hidden="false" customHeight="true" outlineLevel="0" collapsed="false">
      <c r="A585" s="35" t="str">
        <f aca="false">IF(AND(B585="",C585="",D585="",E585="",F585="",G585="",H585="",J585="",L585="",M585="",N585=""),"",Q585)</f>
        <v/>
      </c>
      <c r="B585" s="36"/>
      <c r="C585" s="36"/>
      <c r="D585" s="36"/>
      <c r="E585" s="36"/>
      <c r="F585" s="36"/>
      <c r="G585" s="36"/>
      <c r="H585" s="36"/>
      <c r="I585" s="1" t="str">
        <f aca="false">IF($A585="","",IFERROR(IF(ISBLANK(INDEX(SprintPlanning[Sprint],MATCH($A585,SprintPlanning[Requirement ID],0))),"To Plan",INDEX(SprintPlanning[Sprint],MATCH($A585,SprintPlanning[Requirement ID],0))),"To Plan"))</f>
        <v/>
      </c>
      <c r="J585" s="36"/>
      <c r="K585" s="1" t="str">
        <f aca="false">IFERROR(IF(ISBLANK(INDEX(Release[Release],MATCH($A585,Release[Requirement ID],0))),"",INDEX(Release[Release],MATCH($A585,Release[Requirement ID],0))),"")</f>
        <v/>
      </c>
      <c r="L585" s="36"/>
      <c r="M585" s="36"/>
      <c r="P585" s="1" t="n">
        <f aca="false">IFERROR(VALUE(MID($A585,5,4)),0)</f>
        <v>0</v>
      </c>
      <c r="Q585" s="1" t="str">
        <f aca="false">IF(B585="","","NEW-"&amp;TEXT(MAX($P$2:$P584,Lists!$N$2)+1,"0000"))</f>
        <v/>
      </c>
    </row>
    <row r="586" customFormat="false" ht="15" hidden="false" customHeight="true" outlineLevel="0" collapsed="false">
      <c r="A586" s="35" t="str">
        <f aca="false">IF(AND(B586="",C586="",D586="",E586="",F586="",G586="",H586="",J586="",L586="",M586="",N586=""),"",Q586)</f>
        <v/>
      </c>
      <c r="B586" s="36"/>
      <c r="C586" s="36"/>
      <c r="D586" s="36"/>
      <c r="E586" s="36"/>
      <c r="F586" s="36"/>
      <c r="G586" s="36"/>
      <c r="H586" s="36"/>
      <c r="I586" s="1" t="str">
        <f aca="false">IF($A586="","",IFERROR(IF(ISBLANK(INDEX(SprintPlanning[Sprint],MATCH($A586,SprintPlanning[Requirement ID],0))),"To Plan",INDEX(SprintPlanning[Sprint],MATCH($A586,SprintPlanning[Requirement ID],0))),"To Plan"))</f>
        <v/>
      </c>
      <c r="J586" s="36"/>
      <c r="K586" s="1" t="str">
        <f aca="false">IFERROR(IF(ISBLANK(INDEX(Release[Release],MATCH($A586,Release[Requirement ID],0))),"",INDEX(Release[Release],MATCH($A586,Release[Requirement ID],0))),"")</f>
        <v/>
      </c>
      <c r="L586" s="36"/>
      <c r="M586" s="36"/>
      <c r="P586" s="1" t="n">
        <f aca="false">IFERROR(VALUE(MID($A586,5,4)),0)</f>
        <v>0</v>
      </c>
      <c r="Q586" s="1" t="str">
        <f aca="false">IF(B586="","","NEW-"&amp;TEXT(MAX($P$2:$P585,Lists!$N$2)+1,"0000"))</f>
        <v/>
      </c>
    </row>
    <row r="587" customFormat="false" ht="15" hidden="false" customHeight="true" outlineLevel="0" collapsed="false">
      <c r="A587" s="35" t="str">
        <f aca="false">IF(AND(B587="",C587="",D587="",E587="",F587="",G587="",H587="",J587="",L587="",M587="",N587=""),"",Q587)</f>
        <v/>
      </c>
      <c r="B587" s="36"/>
      <c r="C587" s="36"/>
      <c r="D587" s="36"/>
      <c r="E587" s="36"/>
      <c r="F587" s="36"/>
      <c r="G587" s="36"/>
      <c r="H587" s="36"/>
      <c r="I587" s="1" t="str">
        <f aca="false">IF($A587="","",IFERROR(IF(ISBLANK(INDEX(SprintPlanning[Sprint],MATCH($A587,SprintPlanning[Requirement ID],0))),"To Plan",INDEX(SprintPlanning[Sprint],MATCH($A587,SprintPlanning[Requirement ID],0))),"To Plan"))</f>
        <v/>
      </c>
      <c r="J587" s="36"/>
      <c r="K587" s="1" t="str">
        <f aca="false">IFERROR(IF(ISBLANK(INDEX(Release[Release],MATCH($A587,Release[Requirement ID],0))),"",INDEX(Release[Release],MATCH($A587,Release[Requirement ID],0))),"")</f>
        <v/>
      </c>
      <c r="L587" s="36"/>
      <c r="M587" s="36"/>
      <c r="P587" s="1" t="n">
        <f aca="false">IFERROR(VALUE(MID($A587,5,4)),0)</f>
        <v>0</v>
      </c>
      <c r="Q587" s="1" t="str">
        <f aca="false">IF(B587="","","NEW-"&amp;TEXT(MAX($P$2:$P586,Lists!$N$2)+1,"0000"))</f>
        <v/>
      </c>
    </row>
    <row r="588" customFormat="false" ht="15" hidden="false" customHeight="true" outlineLevel="0" collapsed="false">
      <c r="A588" s="35" t="str">
        <f aca="false">IF(AND(B588="",C588="",D588="",E588="",F588="",G588="",H588="",J588="",L588="",M588="",N588=""),"",Q588)</f>
        <v/>
      </c>
      <c r="B588" s="36"/>
      <c r="C588" s="36"/>
      <c r="D588" s="36"/>
      <c r="E588" s="36"/>
      <c r="F588" s="36"/>
      <c r="G588" s="36"/>
      <c r="H588" s="36"/>
      <c r="I588" s="1" t="str">
        <f aca="false">IF($A588="","",IFERROR(IF(ISBLANK(INDEX(SprintPlanning[Sprint],MATCH($A588,SprintPlanning[Requirement ID],0))),"To Plan",INDEX(SprintPlanning[Sprint],MATCH($A588,SprintPlanning[Requirement ID],0))),"To Plan"))</f>
        <v/>
      </c>
      <c r="J588" s="36"/>
      <c r="K588" s="1" t="str">
        <f aca="false">IFERROR(IF(ISBLANK(INDEX(Release[Release],MATCH($A588,Release[Requirement ID],0))),"",INDEX(Release[Release],MATCH($A588,Release[Requirement ID],0))),"")</f>
        <v/>
      </c>
      <c r="L588" s="36"/>
      <c r="M588" s="36"/>
      <c r="P588" s="1" t="n">
        <f aca="false">IFERROR(VALUE(MID($A588,5,4)),0)</f>
        <v>0</v>
      </c>
      <c r="Q588" s="1" t="str">
        <f aca="false">IF(B588="","","NEW-"&amp;TEXT(MAX($P$2:$P587,Lists!$N$2)+1,"0000"))</f>
        <v/>
      </c>
    </row>
    <row r="589" customFormat="false" ht="15" hidden="false" customHeight="true" outlineLevel="0" collapsed="false">
      <c r="A589" s="35" t="str">
        <f aca="false">IF(AND(B589="",C589="",D589="",E589="",F589="",G589="",H589="",J589="",L589="",M589="",N589=""),"",Q589)</f>
        <v/>
      </c>
      <c r="B589" s="36"/>
      <c r="C589" s="36"/>
      <c r="D589" s="36"/>
      <c r="E589" s="36"/>
      <c r="F589" s="36"/>
      <c r="G589" s="36"/>
      <c r="H589" s="36"/>
      <c r="I589" s="1" t="str">
        <f aca="false">IF($A589="","",IFERROR(IF(ISBLANK(INDEX(SprintPlanning[Sprint],MATCH($A589,SprintPlanning[Requirement ID],0))),"To Plan",INDEX(SprintPlanning[Sprint],MATCH($A589,SprintPlanning[Requirement ID],0))),"To Plan"))</f>
        <v/>
      </c>
      <c r="J589" s="36"/>
      <c r="K589" s="1" t="str">
        <f aca="false">IFERROR(IF(ISBLANK(INDEX(Release[Release],MATCH($A589,Release[Requirement ID],0))),"",INDEX(Release[Release],MATCH($A589,Release[Requirement ID],0))),"")</f>
        <v/>
      </c>
      <c r="L589" s="36"/>
      <c r="M589" s="36"/>
      <c r="P589" s="1" t="n">
        <f aca="false">IFERROR(VALUE(MID($A589,5,4)),0)</f>
        <v>0</v>
      </c>
      <c r="Q589" s="1" t="str">
        <f aca="false">IF(B589="","","NEW-"&amp;TEXT(MAX($P$2:$P588,Lists!$N$2)+1,"0000"))</f>
        <v/>
      </c>
    </row>
    <row r="590" customFormat="false" ht="15" hidden="false" customHeight="true" outlineLevel="0" collapsed="false">
      <c r="A590" s="35" t="str">
        <f aca="false">IF(AND(B590="",C590="",D590="",E590="",F590="",G590="",H590="",J590="",L590="",M590="",N590=""),"",Q590)</f>
        <v/>
      </c>
      <c r="B590" s="36"/>
      <c r="C590" s="36"/>
      <c r="D590" s="36"/>
      <c r="E590" s="36"/>
      <c r="F590" s="36"/>
      <c r="G590" s="36"/>
      <c r="H590" s="36"/>
      <c r="I590" s="1" t="str">
        <f aca="false">IF($A590="","",IFERROR(IF(ISBLANK(INDEX(SprintPlanning[Sprint],MATCH($A590,SprintPlanning[Requirement ID],0))),"To Plan",INDEX(SprintPlanning[Sprint],MATCH($A590,SprintPlanning[Requirement ID],0))),"To Plan"))</f>
        <v/>
      </c>
      <c r="J590" s="36"/>
      <c r="K590" s="1" t="str">
        <f aca="false">IFERROR(IF(ISBLANK(INDEX(Release[Release],MATCH($A590,Release[Requirement ID],0))),"",INDEX(Release[Release],MATCH($A590,Release[Requirement ID],0))),"")</f>
        <v/>
      </c>
      <c r="L590" s="36"/>
      <c r="M590" s="36"/>
      <c r="P590" s="1" t="n">
        <f aca="false">IFERROR(VALUE(MID($A590,5,4)),0)</f>
        <v>0</v>
      </c>
      <c r="Q590" s="1" t="str">
        <f aca="false">IF(B590="","","NEW-"&amp;TEXT(MAX($P$2:$P589,Lists!$N$2)+1,"0000"))</f>
        <v/>
      </c>
    </row>
    <row r="591" customFormat="false" ht="15" hidden="false" customHeight="true" outlineLevel="0" collapsed="false">
      <c r="A591" s="35" t="str">
        <f aca="false">IF(AND(B591="",C591="",D591="",E591="",F591="",G591="",H591="",J591="",L591="",M591="",N591=""),"",Q591)</f>
        <v/>
      </c>
      <c r="B591" s="36"/>
      <c r="C591" s="36"/>
      <c r="D591" s="36"/>
      <c r="E591" s="36"/>
      <c r="F591" s="36"/>
      <c r="G591" s="36"/>
      <c r="H591" s="36"/>
      <c r="I591" s="1" t="str">
        <f aca="false">IF($A591="","",IFERROR(IF(ISBLANK(INDEX(SprintPlanning[Sprint],MATCH($A591,SprintPlanning[Requirement ID],0))),"To Plan",INDEX(SprintPlanning[Sprint],MATCH($A591,SprintPlanning[Requirement ID],0))),"To Plan"))</f>
        <v/>
      </c>
      <c r="J591" s="36"/>
      <c r="K591" s="1" t="str">
        <f aca="false">IFERROR(IF(ISBLANK(INDEX(Release[Release],MATCH($A591,Release[Requirement ID],0))),"",INDEX(Release[Release],MATCH($A591,Release[Requirement ID],0))),"")</f>
        <v/>
      </c>
      <c r="L591" s="36"/>
      <c r="M591" s="36"/>
      <c r="P591" s="1" t="n">
        <f aca="false">IFERROR(VALUE(MID($A591,5,4)),0)</f>
        <v>0</v>
      </c>
      <c r="Q591" s="1" t="str">
        <f aca="false">IF(B591="","","NEW-"&amp;TEXT(MAX($P$2:$P590,Lists!$N$2)+1,"0000"))</f>
        <v/>
      </c>
    </row>
    <row r="592" customFormat="false" ht="15" hidden="false" customHeight="true" outlineLevel="0" collapsed="false">
      <c r="A592" s="35" t="str">
        <f aca="false">IF(AND(B592="",C592="",D592="",E592="",F592="",G592="",H592="",J592="",L592="",M592="",N592=""),"",Q592)</f>
        <v/>
      </c>
      <c r="B592" s="36"/>
      <c r="C592" s="36"/>
      <c r="D592" s="36"/>
      <c r="E592" s="36"/>
      <c r="F592" s="36"/>
      <c r="G592" s="36"/>
      <c r="H592" s="36"/>
      <c r="I592" s="1" t="str">
        <f aca="false">IF($A592="","",IFERROR(IF(ISBLANK(INDEX(SprintPlanning[Sprint],MATCH($A592,SprintPlanning[Requirement ID],0))),"To Plan",INDEX(SprintPlanning[Sprint],MATCH($A592,SprintPlanning[Requirement ID],0))),"To Plan"))</f>
        <v/>
      </c>
      <c r="J592" s="36"/>
      <c r="K592" s="1" t="str">
        <f aca="false">IFERROR(IF(ISBLANK(INDEX(Release[Release],MATCH($A592,Release[Requirement ID],0))),"",INDEX(Release[Release],MATCH($A592,Release[Requirement ID],0))),"")</f>
        <v/>
      </c>
      <c r="L592" s="36"/>
      <c r="M592" s="36"/>
      <c r="P592" s="1" t="n">
        <f aca="false">IFERROR(VALUE(MID($A592,5,4)),0)</f>
        <v>0</v>
      </c>
      <c r="Q592" s="1" t="str">
        <f aca="false">IF(B592="","","NEW-"&amp;TEXT(MAX($P$2:$P591,Lists!$N$2)+1,"0000"))</f>
        <v/>
      </c>
    </row>
    <row r="593" customFormat="false" ht="15" hidden="false" customHeight="true" outlineLevel="0" collapsed="false">
      <c r="A593" s="35" t="str">
        <f aca="false">IF(AND(B593="",C593="",D593="",E593="",F593="",G593="",H593="",J593="",L593="",M593="",N593=""),"",Q593)</f>
        <v/>
      </c>
      <c r="B593" s="36"/>
      <c r="C593" s="36"/>
      <c r="D593" s="36"/>
      <c r="E593" s="36"/>
      <c r="F593" s="36"/>
      <c r="G593" s="36"/>
      <c r="H593" s="36"/>
      <c r="I593" s="1" t="str">
        <f aca="false">IF($A593="","",IFERROR(IF(ISBLANK(INDEX(SprintPlanning[Sprint],MATCH($A593,SprintPlanning[Requirement ID],0))),"To Plan",INDEX(SprintPlanning[Sprint],MATCH($A593,SprintPlanning[Requirement ID],0))),"To Plan"))</f>
        <v/>
      </c>
      <c r="J593" s="36"/>
      <c r="K593" s="1" t="str">
        <f aca="false">IFERROR(IF(ISBLANK(INDEX(Release[Release],MATCH($A593,Release[Requirement ID],0))),"",INDEX(Release[Release],MATCH($A593,Release[Requirement ID],0))),"")</f>
        <v/>
      </c>
      <c r="L593" s="36"/>
      <c r="M593" s="36"/>
      <c r="P593" s="1" t="n">
        <f aca="false">IFERROR(VALUE(MID($A593,5,4)),0)</f>
        <v>0</v>
      </c>
      <c r="Q593" s="1" t="str">
        <f aca="false">IF(B593="","","NEW-"&amp;TEXT(MAX($P$2:$P592,Lists!$N$2)+1,"0000"))</f>
        <v/>
      </c>
    </row>
    <row r="594" customFormat="false" ht="15" hidden="false" customHeight="true" outlineLevel="0" collapsed="false">
      <c r="A594" s="35" t="str">
        <f aca="false">IF(AND(B594="",C594="",D594="",E594="",F594="",G594="",H594="",J594="",L594="",M594="",N594=""),"",Q594)</f>
        <v/>
      </c>
      <c r="B594" s="36"/>
      <c r="C594" s="36"/>
      <c r="D594" s="36"/>
      <c r="E594" s="36"/>
      <c r="F594" s="36"/>
      <c r="G594" s="36"/>
      <c r="H594" s="36"/>
      <c r="I594" s="1" t="str">
        <f aca="false">IF($A594="","",IFERROR(IF(ISBLANK(INDEX(SprintPlanning[Sprint],MATCH($A594,SprintPlanning[Requirement ID],0))),"To Plan",INDEX(SprintPlanning[Sprint],MATCH($A594,SprintPlanning[Requirement ID],0))),"To Plan"))</f>
        <v/>
      </c>
      <c r="J594" s="36"/>
      <c r="K594" s="1" t="str">
        <f aca="false">IFERROR(IF(ISBLANK(INDEX(Release[Release],MATCH($A594,Release[Requirement ID],0))),"",INDEX(Release[Release],MATCH($A594,Release[Requirement ID],0))),"")</f>
        <v/>
      </c>
      <c r="L594" s="36"/>
      <c r="M594" s="36"/>
      <c r="P594" s="1" t="n">
        <f aca="false">IFERROR(VALUE(MID($A594,5,4)),0)</f>
        <v>0</v>
      </c>
      <c r="Q594" s="1" t="str">
        <f aca="false">IF(B594="","","NEW-"&amp;TEXT(MAX($P$2:$P593,Lists!$N$2)+1,"0000"))</f>
        <v/>
      </c>
    </row>
    <row r="595" customFormat="false" ht="15" hidden="false" customHeight="true" outlineLevel="0" collapsed="false">
      <c r="A595" s="35" t="str">
        <f aca="false">IF(AND(B595="",C595="",D595="",E595="",F595="",G595="",H595="",J595="",L595="",M595="",N595=""),"",Q595)</f>
        <v/>
      </c>
      <c r="B595" s="36"/>
      <c r="C595" s="36"/>
      <c r="D595" s="36"/>
      <c r="E595" s="36"/>
      <c r="F595" s="36"/>
      <c r="G595" s="36"/>
      <c r="H595" s="36"/>
      <c r="I595" s="1" t="str">
        <f aca="false">IF($A595="","",IFERROR(IF(ISBLANK(INDEX(SprintPlanning[Sprint],MATCH($A595,SprintPlanning[Requirement ID],0))),"To Plan",INDEX(SprintPlanning[Sprint],MATCH($A595,SprintPlanning[Requirement ID],0))),"To Plan"))</f>
        <v/>
      </c>
      <c r="J595" s="36"/>
      <c r="K595" s="1" t="str">
        <f aca="false">IFERROR(IF(ISBLANK(INDEX(Release[Release],MATCH($A595,Release[Requirement ID],0))),"",INDEX(Release[Release],MATCH($A595,Release[Requirement ID],0))),"")</f>
        <v/>
      </c>
      <c r="L595" s="36"/>
      <c r="M595" s="36"/>
      <c r="P595" s="1" t="n">
        <f aca="false">IFERROR(VALUE(MID($A595,5,4)),0)</f>
        <v>0</v>
      </c>
      <c r="Q595" s="1" t="str">
        <f aca="false">IF(B595="","","NEW-"&amp;TEXT(MAX($P$2:$P594,Lists!$N$2)+1,"0000"))</f>
        <v/>
      </c>
    </row>
    <row r="596" customFormat="false" ht="15" hidden="false" customHeight="true" outlineLevel="0" collapsed="false">
      <c r="A596" s="35" t="str">
        <f aca="false">IF(AND(B596="",C596="",D596="",E596="",F596="",G596="",H596="",J596="",L596="",M596="",N596=""),"",Q596)</f>
        <v/>
      </c>
      <c r="B596" s="36"/>
      <c r="C596" s="36"/>
      <c r="D596" s="36"/>
      <c r="E596" s="36"/>
      <c r="F596" s="36"/>
      <c r="G596" s="36"/>
      <c r="H596" s="36"/>
      <c r="I596" s="1" t="str">
        <f aca="false">IF($A596="","",IFERROR(IF(ISBLANK(INDEX(SprintPlanning[Sprint],MATCH($A596,SprintPlanning[Requirement ID],0))),"To Plan",INDEX(SprintPlanning[Sprint],MATCH($A596,SprintPlanning[Requirement ID],0))),"To Plan"))</f>
        <v/>
      </c>
      <c r="J596" s="36"/>
      <c r="K596" s="1" t="str">
        <f aca="false">IFERROR(IF(ISBLANK(INDEX(Release[Release],MATCH($A596,Release[Requirement ID],0))),"",INDEX(Release[Release],MATCH($A596,Release[Requirement ID],0))),"")</f>
        <v/>
      </c>
      <c r="L596" s="36"/>
      <c r="M596" s="36"/>
      <c r="P596" s="1" t="n">
        <f aca="false">IFERROR(VALUE(MID($A596,5,4)),0)</f>
        <v>0</v>
      </c>
      <c r="Q596" s="1" t="str">
        <f aca="false">IF(B596="","","NEW-"&amp;TEXT(MAX($P$2:$P595,Lists!$N$2)+1,"0000"))</f>
        <v/>
      </c>
    </row>
    <row r="597" customFormat="false" ht="15" hidden="false" customHeight="true" outlineLevel="0" collapsed="false">
      <c r="A597" s="35" t="str">
        <f aca="false">IF(AND(B597="",C597="",D597="",E597="",F597="",G597="",H597="",J597="",L597="",M597="",N597=""),"",Q597)</f>
        <v/>
      </c>
      <c r="B597" s="36"/>
      <c r="C597" s="36"/>
      <c r="D597" s="36"/>
      <c r="E597" s="36"/>
      <c r="F597" s="36"/>
      <c r="G597" s="36"/>
      <c r="H597" s="36"/>
      <c r="I597" s="1" t="str">
        <f aca="false">IF($A597="","",IFERROR(IF(ISBLANK(INDEX(SprintPlanning[Sprint],MATCH($A597,SprintPlanning[Requirement ID],0))),"To Plan",INDEX(SprintPlanning[Sprint],MATCH($A597,SprintPlanning[Requirement ID],0))),"To Plan"))</f>
        <v/>
      </c>
      <c r="J597" s="36"/>
      <c r="K597" s="1" t="str">
        <f aca="false">IFERROR(IF(ISBLANK(INDEX(Release[Release],MATCH($A597,Release[Requirement ID],0))),"",INDEX(Release[Release],MATCH($A597,Release[Requirement ID],0))),"")</f>
        <v/>
      </c>
      <c r="L597" s="36"/>
      <c r="M597" s="36"/>
      <c r="P597" s="1" t="n">
        <f aca="false">IFERROR(VALUE(MID($A597,5,4)),0)</f>
        <v>0</v>
      </c>
      <c r="Q597" s="1" t="str">
        <f aca="false">IF(B597="","","NEW-"&amp;TEXT(MAX($P$2:$P596,Lists!$N$2)+1,"0000"))</f>
        <v/>
      </c>
    </row>
    <row r="598" customFormat="false" ht="15" hidden="false" customHeight="true" outlineLevel="0" collapsed="false">
      <c r="A598" s="35" t="str">
        <f aca="false">IF(AND(B598="",C598="",D598="",E598="",F598="",G598="",H598="",J598="",L598="",M598="",N598=""),"",Q598)</f>
        <v/>
      </c>
      <c r="B598" s="36"/>
      <c r="C598" s="36"/>
      <c r="D598" s="36"/>
      <c r="E598" s="36"/>
      <c r="F598" s="36"/>
      <c r="G598" s="36"/>
      <c r="H598" s="36"/>
      <c r="I598" s="1" t="str">
        <f aca="false">IF($A598="","",IFERROR(IF(ISBLANK(INDEX(SprintPlanning[Sprint],MATCH($A598,SprintPlanning[Requirement ID],0))),"To Plan",INDEX(SprintPlanning[Sprint],MATCH($A598,SprintPlanning[Requirement ID],0))),"To Plan"))</f>
        <v/>
      </c>
      <c r="J598" s="36"/>
      <c r="K598" s="1" t="str">
        <f aca="false">IFERROR(IF(ISBLANK(INDEX(Release[Release],MATCH($A598,Release[Requirement ID],0))),"",INDEX(Release[Release],MATCH($A598,Release[Requirement ID],0))),"")</f>
        <v/>
      </c>
      <c r="L598" s="36"/>
      <c r="M598" s="36"/>
      <c r="P598" s="1" t="n">
        <f aca="false">IFERROR(VALUE(MID($A598,5,4)),0)</f>
        <v>0</v>
      </c>
      <c r="Q598" s="1" t="str">
        <f aca="false">IF(B598="","","NEW-"&amp;TEXT(MAX($P$2:$P597,Lists!$N$2)+1,"0000"))</f>
        <v/>
      </c>
    </row>
    <row r="599" customFormat="false" ht="15" hidden="false" customHeight="true" outlineLevel="0" collapsed="false">
      <c r="A599" s="35" t="str">
        <f aca="false">IF(AND(B599="",C599="",D599="",E599="",F599="",G599="",H599="",J599="",L599="",M599="",N599=""),"",Q599)</f>
        <v/>
      </c>
      <c r="B599" s="36"/>
      <c r="C599" s="36"/>
      <c r="D599" s="36"/>
      <c r="E599" s="36"/>
      <c r="F599" s="36"/>
      <c r="G599" s="36"/>
      <c r="H599" s="36"/>
      <c r="I599" s="1" t="str">
        <f aca="false">IF($A599="","",IFERROR(IF(ISBLANK(INDEX(SprintPlanning[Sprint],MATCH($A599,SprintPlanning[Requirement ID],0))),"To Plan",INDEX(SprintPlanning[Sprint],MATCH($A599,SprintPlanning[Requirement ID],0))),"To Plan"))</f>
        <v/>
      </c>
      <c r="J599" s="36"/>
      <c r="K599" s="1" t="str">
        <f aca="false">IFERROR(IF(ISBLANK(INDEX(Release[Release],MATCH($A599,Release[Requirement ID],0))),"",INDEX(Release[Release],MATCH($A599,Release[Requirement ID],0))),"")</f>
        <v/>
      </c>
      <c r="L599" s="36"/>
      <c r="M599" s="36"/>
      <c r="P599" s="1" t="n">
        <f aca="false">IFERROR(VALUE(MID($A599,5,4)),0)</f>
        <v>0</v>
      </c>
      <c r="Q599" s="1" t="str">
        <f aca="false">IF(B599="","","NEW-"&amp;TEXT(MAX($P$2:$P598,Lists!$N$2)+1,"0000"))</f>
        <v/>
      </c>
    </row>
    <row r="600" customFormat="false" ht="15" hidden="false" customHeight="true" outlineLevel="0" collapsed="false">
      <c r="A600" s="35" t="str">
        <f aca="false">IF(AND(B600="",C600="",D600="",E600="",F600="",G600="",H600="",J600="",L600="",M600="",N600=""),"",Q600)</f>
        <v/>
      </c>
      <c r="B600" s="36"/>
      <c r="C600" s="36"/>
      <c r="D600" s="36"/>
      <c r="E600" s="36"/>
      <c r="F600" s="36"/>
      <c r="G600" s="36"/>
      <c r="H600" s="36"/>
      <c r="I600" s="1" t="str">
        <f aca="false">IF($A600="","",IFERROR(IF(ISBLANK(INDEX(SprintPlanning[Sprint],MATCH($A600,SprintPlanning[Requirement ID],0))),"To Plan",INDEX(SprintPlanning[Sprint],MATCH($A600,SprintPlanning[Requirement ID],0))),"To Plan"))</f>
        <v/>
      </c>
      <c r="J600" s="36"/>
      <c r="K600" s="1" t="str">
        <f aca="false">IFERROR(IF(ISBLANK(INDEX(Release[Release],MATCH($A600,Release[Requirement ID],0))),"",INDEX(Release[Release],MATCH($A600,Release[Requirement ID],0))),"")</f>
        <v/>
      </c>
      <c r="L600" s="36"/>
      <c r="M600" s="36"/>
      <c r="P600" s="1" t="n">
        <f aca="false">IFERROR(VALUE(MID($A600,5,4)),0)</f>
        <v>0</v>
      </c>
      <c r="Q600" s="1" t="str">
        <f aca="false">IF(B600="","","NEW-"&amp;TEXT(MAX($P$2:$P599,Lists!$N$2)+1,"0000"))</f>
        <v/>
      </c>
    </row>
    <row r="601" customFormat="false" ht="15" hidden="false" customHeight="true" outlineLevel="0" collapsed="false">
      <c r="A601" s="35" t="str">
        <f aca="false">IF(AND(B601="",C601="",D601="",E601="",F601="",G601="",H601="",J601="",L601="",M601="",N601=""),"",Q601)</f>
        <v/>
      </c>
      <c r="B601" s="36"/>
      <c r="C601" s="36"/>
      <c r="D601" s="36"/>
      <c r="E601" s="36"/>
      <c r="F601" s="36"/>
      <c r="G601" s="36"/>
      <c r="H601" s="36"/>
      <c r="I601" s="1" t="str">
        <f aca="false">IF($A601="","",IFERROR(IF(ISBLANK(INDEX(SprintPlanning[Sprint],MATCH($A601,SprintPlanning[Requirement ID],0))),"To Plan",INDEX(SprintPlanning[Sprint],MATCH($A601,SprintPlanning[Requirement ID],0))),"To Plan"))</f>
        <v/>
      </c>
      <c r="J601" s="36"/>
      <c r="K601" s="1" t="str">
        <f aca="false">IFERROR(IF(ISBLANK(INDEX(Release[Release],MATCH($A601,Release[Requirement ID],0))),"",INDEX(Release[Release],MATCH($A601,Release[Requirement ID],0))),"")</f>
        <v/>
      </c>
      <c r="L601" s="36"/>
      <c r="M601" s="36"/>
      <c r="P601" s="1" t="n">
        <f aca="false">IFERROR(VALUE(MID($A601,5,4)),0)</f>
        <v>0</v>
      </c>
      <c r="Q601" s="1" t="str">
        <f aca="false">IF(B601="","","NEW-"&amp;TEXT(MAX($P$2:$P600,Lists!$N$2)+1,"0000"))</f>
        <v/>
      </c>
    </row>
    <row r="602" customFormat="false" ht="15" hidden="false" customHeight="true" outlineLevel="0" collapsed="false">
      <c r="A602" s="35" t="str">
        <f aca="false">IF(AND(B602="",C602="",D602="",E602="",F602="",G602="",H602="",J602="",L602="",M602="",N602=""),"",Q602)</f>
        <v/>
      </c>
      <c r="B602" s="36"/>
      <c r="C602" s="36"/>
      <c r="D602" s="36"/>
      <c r="E602" s="36"/>
      <c r="F602" s="36"/>
      <c r="G602" s="36"/>
      <c r="H602" s="36"/>
      <c r="I602" s="1" t="str">
        <f aca="false">IF($A602="","",IFERROR(IF(ISBLANK(INDEX(SprintPlanning[Sprint],MATCH($A602,SprintPlanning[Requirement ID],0))),"To Plan",INDEX(SprintPlanning[Sprint],MATCH($A602,SprintPlanning[Requirement ID],0))),"To Plan"))</f>
        <v/>
      </c>
      <c r="J602" s="36"/>
      <c r="K602" s="1" t="str">
        <f aca="false">IFERROR(IF(ISBLANK(INDEX(Release[Release],MATCH($A602,Release[Requirement ID],0))),"",INDEX(Release[Release],MATCH($A602,Release[Requirement ID],0))),"")</f>
        <v/>
      </c>
      <c r="L602" s="36"/>
      <c r="M602" s="36"/>
      <c r="P602" s="1" t="n">
        <f aca="false">IFERROR(VALUE(MID($A602,5,4)),0)</f>
        <v>0</v>
      </c>
      <c r="Q602" s="1" t="str">
        <f aca="false">IF(B602="","","NEW-"&amp;TEXT(MAX($P$2:$P601,Lists!$N$2)+1,"0000"))</f>
        <v/>
      </c>
    </row>
    <row r="603" customFormat="false" ht="15" hidden="false" customHeight="true" outlineLevel="0" collapsed="false">
      <c r="A603" s="35" t="str">
        <f aca="false">IF(AND(B603="",C603="",D603="",E603="",F603="",G603="",H603="",J603="",L603="",M603="",N603=""),"",Q603)</f>
        <v/>
      </c>
      <c r="B603" s="36"/>
      <c r="C603" s="36"/>
      <c r="D603" s="36"/>
      <c r="E603" s="36"/>
      <c r="F603" s="36"/>
      <c r="G603" s="36"/>
      <c r="H603" s="36"/>
      <c r="I603" s="1" t="str">
        <f aca="false">IF($A603="","",IFERROR(IF(ISBLANK(INDEX(SprintPlanning[Sprint],MATCH($A603,SprintPlanning[Requirement ID],0))),"To Plan",INDEX(SprintPlanning[Sprint],MATCH($A603,SprintPlanning[Requirement ID],0))),"To Plan"))</f>
        <v/>
      </c>
      <c r="J603" s="36"/>
      <c r="K603" s="1" t="str">
        <f aca="false">IFERROR(IF(ISBLANK(INDEX(Release[Release],MATCH($A603,Release[Requirement ID],0))),"",INDEX(Release[Release],MATCH($A603,Release[Requirement ID],0))),"")</f>
        <v/>
      </c>
      <c r="L603" s="36"/>
      <c r="M603" s="36"/>
      <c r="P603" s="1" t="n">
        <f aca="false">IFERROR(VALUE(MID($A603,5,4)),0)</f>
        <v>0</v>
      </c>
      <c r="Q603" s="1" t="str">
        <f aca="false">IF(B603="","","NEW-"&amp;TEXT(MAX($P$2:$P602,Lists!$N$2)+1,"0000"))</f>
        <v/>
      </c>
    </row>
    <row r="604" customFormat="false" ht="15" hidden="false" customHeight="true" outlineLevel="0" collapsed="false">
      <c r="A604" s="35" t="str">
        <f aca="false">IF(AND(B604="",C604="",D604="",E604="",F604="",G604="",H604="",J604="",L604="",M604="",N604=""),"",Q604)</f>
        <v/>
      </c>
      <c r="B604" s="36"/>
      <c r="C604" s="36"/>
      <c r="D604" s="36"/>
      <c r="E604" s="36"/>
      <c r="F604" s="36"/>
      <c r="G604" s="36"/>
      <c r="H604" s="36"/>
      <c r="I604" s="1" t="str">
        <f aca="false">IF($A604="","",IFERROR(IF(ISBLANK(INDEX(SprintPlanning[Sprint],MATCH($A604,SprintPlanning[Requirement ID],0))),"To Plan",INDEX(SprintPlanning[Sprint],MATCH($A604,SprintPlanning[Requirement ID],0))),"To Plan"))</f>
        <v/>
      </c>
      <c r="J604" s="36"/>
      <c r="K604" s="1" t="str">
        <f aca="false">IFERROR(IF(ISBLANK(INDEX(Release[Release],MATCH($A604,Release[Requirement ID],0))),"",INDEX(Release[Release],MATCH($A604,Release[Requirement ID],0))),"")</f>
        <v/>
      </c>
      <c r="L604" s="36"/>
      <c r="M604" s="36"/>
      <c r="P604" s="1" t="n">
        <f aca="false">IFERROR(VALUE(MID($A604,5,4)),0)</f>
        <v>0</v>
      </c>
      <c r="Q604" s="1" t="str">
        <f aca="false">IF(B604="","","NEW-"&amp;TEXT(MAX($P$2:$P603,Lists!$N$2)+1,"0000"))</f>
        <v/>
      </c>
    </row>
    <row r="605" customFormat="false" ht="15" hidden="false" customHeight="true" outlineLevel="0" collapsed="false">
      <c r="A605" s="35" t="str">
        <f aca="false">IF(AND(B605="",C605="",D605="",E605="",F605="",G605="",H605="",J605="",L605="",M605="",N605=""),"",Q605)</f>
        <v/>
      </c>
      <c r="B605" s="36"/>
      <c r="C605" s="36"/>
      <c r="D605" s="36"/>
      <c r="E605" s="36"/>
      <c r="F605" s="36"/>
      <c r="G605" s="36"/>
      <c r="H605" s="36"/>
      <c r="I605" s="1" t="str">
        <f aca="false">IF($A605="","",IFERROR(IF(ISBLANK(INDEX(SprintPlanning[Sprint],MATCH($A605,SprintPlanning[Requirement ID],0))),"To Plan",INDEX(SprintPlanning[Sprint],MATCH($A605,SprintPlanning[Requirement ID],0))),"To Plan"))</f>
        <v/>
      </c>
      <c r="J605" s="36"/>
      <c r="K605" s="1" t="str">
        <f aca="false">IFERROR(IF(ISBLANK(INDEX(Release[Release],MATCH($A605,Release[Requirement ID],0))),"",INDEX(Release[Release],MATCH($A605,Release[Requirement ID],0))),"")</f>
        <v/>
      </c>
      <c r="L605" s="36"/>
      <c r="M605" s="36"/>
      <c r="P605" s="1" t="n">
        <f aca="false">IFERROR(VALUE(MID($A605,5,4)),0)</f>
        <v>0</v>
      </c>
      <c r="Q605" s="1" t="str">
        <f aca="false">IF(B605="","","NEW-"&amp;TEXT(MAX($P$2:$P604,Lists!$N$2)+1,"0000"))</f>
        <v/>
      </c>
    </row>
    <row r="606" customFormat="false" ht="15" hidden="false" customHeight="true" outlineLevel="0" collapsed="false">
      <c r="A606" s="35" t="str">
        <f aca="false">IF(AND(B606="",C606="",D606="",E606="",F606="",G606="",H606="",J606="",L606="",M606="",N606=""),"",Q606)</f>
        <v/>
      </c>
      <c r="B606" s="36"/>
      <c r="C606" s="36"/>
      <c r="D606" s="36"/>
      <c r="E606" s="36"/>
      <c r="F606" s="36"/>
      <c r="G606" s="36"/>
      <c r="H606" s="36"/>
      <c r="I606" s="1" t="str">
        <f aca="false">IF($A606="","",IFERROR(IF(ISBLANK(INDEX(SprintPlanning[Sprint],MATCH($A606,SprintPlanning[Requirement ID],0))),"To Plan",INDEX(SprintPlanning[Sprint],MATCH($A606,SprintPlanning[Requirement ID],0))),"To Plan"))</f>
        <v/>
      </c>
      <c r="J606" s="36"/>
      <c r="K606" s="1" t="str">
        <f aca="false">IFERROR(IF(ISBLANK(INDEX(Release[Release],MATCH($A606,Release[Requirement ID],0))),"",INDEX(Release[Release],MATCH($A606,Release[Requirement ID],0))),"")</f>
        <v/>
      </c>
      <c r="L606" s="36"/>
      <c r="M606" s="36"/>
      <c r="P606" s="1" t="n">
        <f aca="false">IFERROR(VALUE(MID($A606,5,4)),0)</f>
        <v>0</v>
      </c>
      <c r="Q606" s="1" t="str">
        <f aca="false">IF(B606="","","NEW-"&amp;TEXT(MAX($P$2:$P605,Lists!$N$2)+1,"0000"))</f>
        <v/>
      </c>
    </row>
    <row r="607" customFormat="false" ht="15" hidden="false" customHeight="true" outlineLevel="0" collapsed="false">
      <c r="A607" s="35" t="str">
        <f aca="false">IF(AND(B607="",C607="",D607="",E607="",F607="",G607="",H607="",J607="",L607="",M607="",N607=""),"",Q607)</f>
        <v/>
      </c>
      <c r="B607" s="36"/>
      <c r="C607" s="36"/>
      <c r="D607" s="36"/>
      <c r="E607" s="36"/>
      <c r="F607" s="36"/>
      <c r="G607" s="36"/>
      <c r="H607" s="36"/>
      <c r="I607" s="1" t="str">
        <f aca="false">IF($A607="","",IFERROR(IF(ISBLANK(INDEX(SprintPlanning[Sprint],MATCH($A607,SprintPlanning[Requirement ID],0))),"To Plan",INDEX(SprintPlanning[Sprint],MATCH($A607,SprintPlanning[Requirement ID],0))),"To Plan"))</f>
        <v/>
      </c>
      <c r="J607" s="36"/>
      <c r="K607" s="1" t="str">
        <f aca="false">IFERROR(IF(ISBLANK(INDEX(Release[Release],MATCH($A607,Release[Requirement ID],0))),"",INDEX(Release[Release],MATCH($A607,Release[Requirement ID],0))),"")</f>
        <v/>
      </c>
      <c r="L607" s="36"/>
      <c r="M607" s="36"/>
      <c r="P607" s="1" t="n">
        <f aca="false">IFERROR(VALUE(MID($A607,5,4)),0)</f>
        <v>0</v>
      </c>
      <c r="Q607" s="1" t="str">
        <f aca="false">IF(B607="","","NEW-"&amp;TEXT(MAX($P$2:$P606,Lists!$N$2)+1,"0000"))</f>
        <v/>
      </c>
    </row>
    <row r="608" customFormat="false" ht="15" hidden="false" customHeight="true" outlineLevel="0" collapsed="false">
      <c r="A608" s="35" t="str">
        <f aca="false">IF(AND(B608="",C608="",D608="",E608="",F608="",G608="",H608="",J608="",L608="",M608="",N608=""),"",Q608)</f>
        <v/>
      </c>
      <c r="B608" s="36"/>
      <c r="C608" s="36"/>
      <c r="D608" s="36"/>
      <c r="E608" s="36"/>
      <c r="F608" s="36"/>
      <c r="G608" s="36"/>
      <c r="H608" s="36"/>
      <c r="I608" s="1" t="str">
        <f aca="false">IF($A608="","",IFERROR(IF(ISBLANK(INDEX(SprintPlanning[Sprint],MATCH($A608,SprintPlanning[Requirement ID],0))),"To Plan",INDEX(SprintPlanning[Sprint],MATCH($A608,SprintPlanning[Requirement ID],0))),"To Plan"))</f>
        <v/>
      </c>
      <c r="J608" s="36"/>
      <c r="K608" s="1" t="str">
        <f aca="false">IFERROR(IF(ISBLANK(INDEX(Release[Release],MATCH($A608,Release[Requirement ID],0))),"",INDEX(Release[Release],MATCH($A608,Release[Requirement ID],0))),"")</f>
        <v/>
      </c>
      <c r="L608" s="36"/>
      <c r="M608" s="36"/>
      <c r="P608" s="1" t="n">
        <f aca="false">IFERROR(VALUE(MID($A608,5,4)),0)</f>
        <v>0</v>
      </c>
      <c r="Q608" s="1" t="str">
        <f aca="false">IF(B608="","","NEW-"&amp;TEXT(MAX($P$2:$P607,Lists!$N$2)+1,"0000"))</f>
        <v/>
      </c>
    </row>
    <row r="609" customFormat="false" ht="15" hidden="false" customHeight="true" outlineLevel="0" collapsed="false">
      <c r="A609" s="35" t="str">
        <f aca="false">IF(AND(B609="",C609="",D609="",E609="",F609="",G609="",H609="",J609="",L609="",M609="",N609=""),"",Q609)</f>
        <v/>
      </c>
      <c r="B609" s="36"/>
      <c r="C609" s="36"/>
      <c r="D609" s="36"/>
      <c r="E609" s="36"/>
      <c r="F609" s="36"/>
      <c r="G609" s="36"/>
      <c r="H609" s="36"/>
      <c r="I609" s="1" t="str">
        <f aca="false">IF($A609="","",IFERROR(IF(ISBLANK(INDEX(SprintPlanning[Sprint],MATCH($A609,SprintPlanning[Requirement ID],0))),"To Plan",INDEX(SprintPlanning[Sprint],MATCH($A609,SprintPlanning[Requirement ID],0))),"To Plan"))</f>
        <v/>
      </c>
      <c r="J609" s="36"/>
      <c r="K609" s="1" t="str">
        <f aca="false">IFERROR(IF(ISBLANK(INDEX(Release[Release],MATCH($A609,Release[Requirement ID],0))),"",INDEX(Release[Release],MATCH($A609,Release[Requirement ID],0))),"")</f>
        <v/>
      </c>
      <c r="L609" s="36"/>
      <c r="M609" s="36"/>
      <c r="P609" s="1" t="n">
        <f aca="false">IFERROR(VALUE(MID($A609,5,4)),0)</f>
        <v>0</v>
      </c>
      <c r="Q609" s="1" t="str">
        <f aca="false">IF(B609="","","NEW-"&amp;TEXT(MAX($P$2:$P608,Lists!$N$2)+1,"0000"))</f>
        <v/>
      </c>
    </row>
    <row r="610" customFormat="false" ht="15" hidden="false" customHeight="true" outlineLevel="0" collapsed="false">
      <c r="A610" s="35" t="str">
        <f aca="false">IF(AND(B610="",C610="",D610="",E610="",F610="",G610="",H610="",J610="",L610="",M610="",N610=""),"",Q610)</f>
        <v/>
      </c>
      <c r="B610" s="36"/>
      <c r="C610" s="36"/>
      <c r="D610" s="36"/>
      <c r="E610" s="36"/>
      <c r="F610" s="36"/>
      <c r="G610" s="36"/>
      <c r="H610" s="36"/>
      <c r="I610" s="1" t="str">
        <f aca="false">IF($A610="","",IFERROR(IF(ISBLANK(INDEX(SprintPlanning[Sprint],MATCH($A610,SprintPlanning[Requirement ID],0))),"To Plan",INDEX(SprintPlanning[Sprint],MATCH($A610,SprintPlanning[Requirement ID],0))),"To Plan"))</f>
        <v/>
      </c>
      <c r="J610" s="36"/>
      <c r="K610" s="1" t="str">
        <f aca="false">IFERROR(IF(ISBLANK(INDEX(Release[Release],MATCH($A610,Release[Requirement ID],0))),"",INDEX(Release[Release],MATCH($A610,Release[Requirement ID],0))),"")</f>
        <v/>
      </c>
      <c r="L610" s="36"/>
      <c r="M610" s="36"/>
      <c r="P610" s="1" t="n">
        <f aca="false">IFERROR(VALUE(MID($A610,5,4)),0)</f>
        <v>0</v>
      </c>
      <c r="Q610" s="1" t="str">
        <f aca="false">IF(B610="","","NEW-"&amp;TEXT(MAX($P$2:$P609,Lists!$N$2)+1,"0000"))</f>
        <v/>
      </c>
    </row>
    <row r="611" customFormat="false" ht="15" hidden="false" customHeight="true" outlineLevel="0" collapsed="false">
      <c r="A611" s="35" t="str">
        <f aca="false">IF(AND(B611="",C611="",D611="",E611="",F611="",G611="",H611="",J611="",L611="",M611="",N611=""),"",Q611)</f>
        <v/>
      </c>
      <c r="B611" s="36"/>
      <c r="C611" s="36"/>
      <c r="D611" s="36"/>
      <c r="E611" s="36"/>
      <c r="F611" s="36"/>
      <c r="G611" s="36"/>
      <c r="H611" s="36"/>
      <c r="I611" s="1" t="str">
        <f aca="false">IF($A611="","",IFERROR(IF(ISBLANK(INDEX(SprintPlanning[Sprint],MATCH($A611,SprintPlanning[Requirement ID],0))),"To Plan",INDEX(SprintPlanning[Sprint],MATCH($A611,SprintPlanning[Requirement ID],0))),"To Plan"))</f>
        <v/>
      </c>
      <c r="J611" s="36"/>
      <c r="K611" s="1" t="str">
        <f aca="false">IFERROR(IF(ISBLANK(INDEX(Release[Release],MATCH($A611,Release[Requirement ID],0))),"",INDEX(Release[Release],MATCH($A611,Release[Requirement ID],0))),"")</f>
        <v/>
      </c>
      <c r="L611" s="36"/>
      <c r="M611" s="36"/>
      <c r="P611" s="1" t="n">
        <f aca="false">IFERROR(VALUE(MID($A611,5,4)),0)</f>
        <v>0</v>
      </c>
      <c r="Q611" s="1" t="str">
        <f aca="false">IF(B611="","","NEW-"&amp;TEXT(MAX($P$2:$P610,Lists!$N$2)+1,"0000"))</f>
        <v/>
      </c>
    </row>
    <row r="612" customFormat="false" ht="15" hidden="false" customHeight="true" outlineLevel="0" collapsed="false">
      <c r="A612" s="35" t="str">
        <f aca="false">IF(AND(B612="",C612="",D612="",E612="",F612="",G612="",H612="",J612="",L612="",M612="",N612=""),"",Q612)</f>
        <v/>
      </c>
      <c r="B612" s="36"/>
      <c r="C612" s="36"/>
      <c r="D612" s="36"/>
      <c r="E612" s="36"/>
      <c r="F612" s="36"/>
      <c r="G612" s="36"/>
      <c r="H612" s="36"/>
      <c r="I612" s="1" t="str">
        <f aca="false">IF($A612="","",IFERROR(IF(ISBLANK(INDEX(SprintPlanning[Sprint],MATCH($A612,SprintPlanning[Requirement ID],0))),"To Plan",INDEX(SprintPlanning[Sprint],MATCH($A612,SprintPlanning[Requirement ID],0))),"To Plan"))</f>
        <v/>
      </c>
      <c r="J612" s="36"/>
      <c r="K612" s="1" t="str">
        <f aca="false">IFERROR(IF(ISBLANK(INDEX(Release[Release],MATCH($A612,Release[Requirement ID],0))),"",INDEX(Release[Release],MATCH($A612,Release[Requirement ID],0))),"")</f>
        <v/>
      </c>
      <c r="L612" s="36"/>
      <c r="M612" s="36"/>
      <c r="P612" s="1" t="n">
        <f aca="false">IFERROR(VALUE(MID($A612,5,4)),0)</f>
        <v>0</v>
      </c>
      <c r="Q612" s="1" t="str">
        <f aca="false">IF(B612="","","NEW-"&amp;TEXT(MAX($P$2:$P611,Lists!$N$2)+1,"0000"))</f>
        <v/>
      </c>
    </row>
    <row r="613" customFormat="false" ht="15" hidden="false" customHeight="true" outlineLevel="0" collapsed="false">
      <c r="A613" s="35" t="str">
        <f aca="false">IF(AND(B613="",C613="",D613="",E613="",F613="",G613="",H613="",J613="",L613="",M613="",N613=""),"",Q613)</f>
        <v/>
      </c>
      <c r="B613" s="36"/>
      <c r="C613" s="36"/>
      <c r="D613" s="36"/>
      <c r="E613" s="36"/>
      <c r="F613" s="36"/>
      <c r="G613" s="36"/>
      <c r="H613" s="36"/>
      <c r="I613" s="1" t="str">
        <f aca="false">IF($A613="","",IFERROR(IF(ISBLANK(INDEX(SprintPlanning[Sprint],MATCH($A613,SprintPlanning[Requirement ID],0))),"To Plan",INDEX(SprintPlanning[Sprint],MATCH($A613,SprintPlanning[Requirement ID],0))),"To Plan"))</f>
        <v/>
      </c>
      <c r="J613" s="36"/>
      <c r="K613" s="1" t="str">
        <f aca="false">IFERROR(IF(ISBLANK(INDEX(Release[Release],MATCH($A613,Release[Requirement ID],0))),"",INDEX(Release[Release],MATCH($A613,Release[Requirement ID],0))),"")</f>
        <v/>
      </c>
      <c r="L613" s="36"/>
      <c r="M613" s="36"/>
      <c r="P613" s="1" t="n">
        <f aca="false">IFERROR(VALUE(MID($A613,5,4)),0)</f>
        <v>0</v>
      </c>
      <c r="Q613" s="1" t="str">
        <f aca="false">IF(B613="","","NEW-"&amp;TEXT(MAX($P$2:$P612,Lists!$N$2)+1,"0000"))</f>
        <v/>
      </c>
    </row>
    <row r="614" customFormat="false" ht="15" hidden="false" customHeight="true" outlineLevel="0" collapsed="false">
      <c r="A614" s="35" t="str">
        <f aca="false">IF(AND(B614="",C614="",D614="",E614="",F614="",G614="",H614="",J614="",L614="",M614="",N614=""),"",Q614)</f>
        <v/>
      </c>
      <c r="B614" s="36"/>
      <c r="C614" s="36"/>
      <c r="D614" s="36"/>
      <c r="E614" s="36"/>
      <c r="F614" s="36"/>
      <c r="G614" s="36"/>
      <c r="H614" s="36"/>
      <c r="I614" s="1" t="str">
        <f aca="false">IF($A614="","",IFERROR(IF(ISBLANK(INDEX(SprintPlanning[Sprint],MATCH($A614,SprintPlanning[Requirement ID],0))),"To Plan",INDEX(SprintPlanning[Sprint],MATCH($A614,SprintPlanning[Requirement ID],0))),"To Plan"))</f>
        <v/>
      </c>
      <c r="J614" s="36"/>
      <c r="K614" s="1" t="str">
        <f aca="false">IFERROR(IF(ISBLANK(INDEX(Release[Release],MATCH($A614,Release[Requirement ID],0))),"",INDEX(Release[Release],MATCH($A614,Release[Requirement ID],0))),"")</f>
        <v/>
      </c>
      <c r="L614" s="36"/>
      <c r="M614" s="36"/>
      <c r="P614" s="1" t="n">
        <f aca="false">IFERROR(VALUE(MID($A614,5,4)),0)</f>
        <v>0</v>
      </c>
      <c r="Q614" s="1" t="str">
        <f aca="false">IF(B614="","","NEW-"&amp;TEXT(MAX($P$2:$P613,Lists!$N$2)+1,"0000"))</f>
        <v/>
      </c>
    </row>
    <row r="615" customFormat="false" ht="15" hidden="false" customHeight="true" outlineLevel="0" collapsed="false">
      <c r="A615" s="35" t="str">
        <f aca="false">IF(AND(B615="",C615="",D615="",E615="",F615="",G615="",H615="",J615="",L615="",M615="",N615=""),"",Q615)</f>
        <v/>
      </c>
      <c r="B615" s="36"/>
      <c r="C615" s="36"/>
      <c r="D615" s="36"/>
      <c r="E615" s="36"/>
      <c r="F615" s="36"/>
      <c r="G615" s="36"/>
      <c r="H615" s="36"/>
      <c r="I615" s="1" t="str">
        <f aca="false">IF($A615="","",IFERROR(IF(ISBLANK(INDEX(SprintPlanning[Sprint],MATCH($A615,SprintPlanning[Requirement ID],0))),"To Plan",INDEX(SprintPlanning[Sprint],MATCH($A615,SprintPlanning[Requirement ID],0))),"To Plan"))</f>
        <v/>
      </c>
      <c r="J615" s="36"/>
      <c r="K615" s="1" t="str">
        <f aca="false">IFERROR(IF(ISBLANK(INDEX(Release[Release],MATCH($A615,Release[Requirement ID],0))),"",INDEX(Release[Release],MATCH($A615,Release[Requirement ID],0))),"")</f>
        <v/>
      </c>
      <c r="L615" s="36"/>
      <c r="M615" s="36"/>
      <c r="P615" s="1" t="n">
        <f aca="false">IFERROR(VALUE(MID($A615,5,4)),0)</f>
        <v>0</v>
      </c>
      <c r="Q615" s="1" t="str">
        <f aca="false">IF(B615="","","NEW-"&amp;TEXT(MAX($P$2:$P614,Lists!$N$2)+1,"0000"))</f>
        <v/>
      </c>
    </row>
    <row r="616" customFormat="false" ht="15" hidden="false" customHeight="true" outlineLevel="0" collapsed="false">
      <c r="A616" s="35" t="str">
        <f aca="false">IF(AND(B616="",C616="",D616="",E616="",F616="",G616="",H616="",J616="",L616="",M616="",N616=""),"",Q616)</f>
        <v/>
      </c>
      <c r="B616" s="36"/>
      <c r="C616" s="36"/>
      <c r="D616" s="36"/>
      <c r="E616" s="36"/>
      <c r="F616" s="36"/>
      <c r="G616" s="36"/>
      <c r="H616" s="36"/>
      <c r="I616" s="1" t="str">
        <f aca="false">IF($A616="","",IFERROR(IF(ISBLANK(INDEX(SprintPlanning[Sprint],MATCH($A616,SprintPlanning[Requirement ID],0))),"To Plan",INDEX(SprintPlanning[Sprint],MATCH($A616,SprintPlanning[Requirement ID],0))),"To Plan"))</f>
        <v/>
      </c>
      <c r="J616" s="36"/>
      <c r="K616" s="1" t="str">
        <f aca="false">IFERROR(IF(ISBLANK(INDEX(Release[Release],MATCH($A616,Release[Requirement ID],0))),"",INDEX(Release[Release],MATCH($A616,Release[Requirement ID],0))),"")</f>
        <v/>
      </c>
      <c r="L616" s="36"/>
      <c r="M616" s="36"/>
      <c r="P616" s="1" t="n">
        <f aca="false">IFERROR(VALUE(MID($A616,5,4)),0)</f>
        <v>0</v>
      </c>
      <c r="Q616" s="1" t="str">
        <f aca="false">IF(B616="","","NEW-"&amp;TEXT(MAX($P$2:$P615,Lists!$N$2)+1,"0000"))</f>
        <v/>
      </c>
    </row>
    <row r="617" customFormat="false" ht="15" hidden="false" customHeight="true" outlineLevel="0" collapsed="false">
      <c r="A617" s="35" t="str">
        <f aca="false">IF(AND(B617="",C617="",D617="",E617="",F617="",G617="",H617="",J617="",L617="",M617="",N617=""),"",Q617)</f>
        <v/>
      </c>
      <c r="B617" s="36"/>
      <c r="C617" s="36"/>
      <c r="D617" s="36"/>
      <c r="E617" s="36"/>
      <c r="F617" s="36"/>
      <c r="G617" s="36"/>
      <c r="H617" s="36"/>
      <c r="I617" s="1" t="str">
        <f aca="false">IF($A617="","",IFERROR(IF(ISBLANK(INDEX(SprintPlanning[Sprint],MATCH($A617,SprintPlanning[Requirement ID],0))),"To Plan",INDEX(SprintPlanning[Sprint],MATCH($A617,SprintPlanning[Requirement ID],0))),"To Plan"))</f>
        <v/>
      </c>
      <c r="J617" s="36"/>
      <c r="K617" s="1" t="str">
        <f aca="false">IFERROR(IF(ISBLANK(INDEX(Release[Release],MATCH($A617,Release[Requirement ID],0))),"",INDEX(Release[Release],MATCH($A617,Release[Requirement ID],0))),"")</f>
        <v/>
      </c>
      <c r="L617" s="36"/>
      <c r="M617" s="36"/>
      <c r="P617" s="1" t="n">
        <f aca="false">IFERROR(VALUE(MID($A617,5,4)),0)</f>
        <v>0</v>
      </c>
      <c r="Q617" s="1" t="str">
        <f aca="false">IF(B617="","","NEW-"&amp;TEXT(MAX($P$2:$P616,Lists!$N$2)+1,"0000"))</f>
        <v/>
      </c>
    </row>
    <row r="618" customFormat="false" ht="15" hidden="false" customHeight="true" outlineLevel="0" collapsed="false">
      <c r="A618" s="35" t="str">
        <f aca="false">IF(AND(B618="",C618="",D618="",E618="",F618="",G618="",H618="",J618="",L618="",M618="",N618=""),"",Q618)</f>
        <v/>
      </c>
      <c r="B618" s="36"/>
      <c r="C618" s="36"/>
      <c r="D618" s="36"/>
      <c r="E618" s="36"/>
      <c r="F618" s="36"/>
      <c r="G618" s="36"/>
      <c r="H618" s="36"/>
      <c r="I618" s="1" t="str">
        <f aca="false">IF($A618="","",IFERROR(IF(ISBLANK(INDEX(SprintPlanning[Sprint],MATCH($A618,SprintPlanning[Requirement ID],0))),"To Plan",INDEX(SprintPlanning[Sprint],MATCH($A618,SprintPlanning[Requirement ID],0))),"To Plan"))</f>
        <v/>
      </c>
      <c r="J618" s="36"/>
      <c r="K618" s="1" t="str">
        <f aca="false">IFERROR(IF(ISBLANK(INDEX(Release[Release],MATCH($A618,Release[Requirement ID],0))),"",INDEX(Release[Release],MATCH($A618,Release[Requirement ID],0))),"")</f>
        <v/>
      </c>
      <c r="L618" s="36"/>
      <c r="M618" s="36"/>
      <c r="P618" s="1" t="n">
        <f aca="false">IFERROR(VALUE(MID($A618,5,4)),0)</f>
        <v>0</v>
      </c>
      <c r="Q618" s="1" t="str">
        <f aca="false">IF(B618="","","NEW-"&amp;TEXT(MAX($P$2:$P617,Lists!$N$2)+1,"0000"))</f>
        <v/>
      </c>
    </row>
    <row r="619" customFormat="false" ht="15" hidden="false" customHeight="true" outlineLevel="0" collapsed="false">
      <c r="A619" s="35" t="str">
        <f aca="false">IF(AND(B619="",C619="",D619="",E619="",F619="",G619="",H619="",J619="",L619="",M619="",N619=""),"",Q619)</f>
        <v/>
      </c>
      <c r="B619" s="36"/>
      <c r="C619" s="36"/>
      <c r="D619" s="36"/>
      <c r="E619" s="36"/>
      <c r="F619" s="36"/>
      <c r="G619" s="36"/>
      <c r="H619" s="36"/>
      <c r="I619" s="1" t="str">
        <f aca="false">IF($A619="","",IFERROR(IF(ISBLANK(INDEX(SprintPlanning[Sprint],MATCH($A619,SprintPlanning[Requirement ID],0))),"To Plan",INDEX(SprintPlanning[Sprint],MATCH($A619,SprintPlanning[Requirement ID],0))),"To Plan"))</f>
        <v/>
      </c>
      <c r="J619" s="36"/>
      <c r="K619" s="1" t="str">
        <f aca="false">IFERROR(IF(ISBLANK(INDEX(Release[Release],MATCH($A619,Release[Requirement ID],0))),"",INDEX(Release[Release],MATCH($A619,Release[Requirement ID],0))),"")</f>
        <v/>
      </c>
      <c r="L619" s="36"/>
      <c r="M619" s="36"/>
      <c r="P619" s="1" t="n">
        <f aca="false">IFERROR(VALUE(MID($A619,5,4)),0)</f>
        <v>0</v>
      </c>
      <c r="Q619" s="1" t="str">
        <f aca="false">IF(B619="","","NEW-"&amp;TEXT(MAX($P$2:$P618,Lists!$N$2)+1,"0000"))</f>
        <v/>
      </c>
    </row>
    <row r="620" customFormat="false" ht="15" hidden="false" customHeight="true" outlineLevel="0" collapsed="false">
      <c r="A620" s="35" t="str">
        <f aca="false">IF(AND(B620="",C620="",D620="",E620="",F620="",G620="",H620="",J620="",L620="",M620="",N620=""),"",Q620)</f>
        <v/>
      </c>
      <c r="B620" s="36"/>
      <c r="C620" s="36"/>
      <c r="D620" s="36"/>
      <c r="E620" s="36"/>
      <c r="F620" s="36"/>
      <c r="G620" s="36"/>
      <c r="H620" s="36"/>
      <c r="I620" s="1" t="str">
        <f aca="false">IF($A620="","",IFERROR(IF(ISBLANK(INDEX(SprintPlanning[Sprint],MATCH($A620,SprintPlanning[Requirement ID],0))),"To Plan",INDEX(SprintPlanning[Sprint],MATCH($A620,SprintPlanning[Requirement ID],0))),"To Plan"))</f>
        <v/>
      </c>
      <c r="J620" s="36"/>
      <c r="K620" s="1" t="str">
        <f aca="false">IFERROR(IF(ISBLANK(INDEX(Release[Release],MATCH($A620,Release[Requirement ID],0))),"",INDEX(Release[Release],MATCH($A620,Release[Requirement ID],0))),"")</f>
        <v/>
      </c>
      <c r="L620" s="36"/>
      <c r="M620" s="36"/>
      <c r="P620" s="1" t="n">
        <f aca="false">IFERROR(VALUE(MID($A620,5,4)),0)</f>
        <v>0</v>
      </c>
      <c r="Q620" s="1" t="str">
        <f aca="false">IF(B620="","","NEW-"&amp;TEXT(MAX($P$2:$P619,Lists!$N$2)+1,"0000"))</f>
        <v/>
      </c>
    </row>
    <row r="621" customFormat="false" ht="15" hidden="false" customHeight="true" outlineLevel="0" collapsed="false">
      <c r="A621" s="35" t="str">
        <f aca="false">IF(AND(B621="",C621="",D621="",E621="",F621="",G621="",H621="",J621="",L621="",M621="",N621=""),"",Q621)</f>
        <v/>
      </c>
      <c r="B621" s="36"/>
      <c r="C621" s="36"/>
      <c r="D621" s="36"/>
      <c r="E621" s="36"/>
      <c r="F621" s="36"/>
      <c r="G621" s="36"/>
      <c r="H621" s="36"/>
      <c r="I621" s="1" t="str">
        <f aca="false">IF($A621="","",IFERROR(IF(ISBLANK(INDEX(SprintPlanning[Sprint],MATCH($A621,SprintPlanning[Requirement ID],0))),"To Plan",INDEX(SprintPlanning[Sprint],MATCH($A621,SprintPlanning[Requirement ID],0))),"To Plan"))</f>
        <v/>
      </c>
      <c r="J621" s="36"/>
      <c r="K621" s="1" t="str">
        <f aca="false">IFERROR(IF(ISBLANK(INDEX(Release[Release],MATCH($A621,Release[Requirement ID],0))),"",INDEX(Release[Release],MATCH($A621,Release[Requirement ID],0))),"")</f>
        <v/>
      </c>
      <c r="L621" s="36"/>
      <c r="M621" s="36"/>
      <c r="P621" s="1" t="n">
        <f aca="false">IFERROR(VALUE(MID($A621,5,4)),0)</f>
        <v>0</v>
      </c>
      <c r="Q621" s="1" t="str">
        <f aca="false">IF(B621="","","NEW-"&amp;TEXT(MAX($P$2:$P620,Lists!$N$2)+1,"0000"))</f>
        <v/>
      </c>
    </row>
    <row r="622" customFormat="false" ht="15" hidden="false" customHeight="true" outlineLevel="0" collapsed="false">
      <c r="A622" s="35" t="str">
        <f aca="false">IF(AND(B622="",C622="",D622="",E622="",F622="",G622="",H622="",J622="",L622="",M622="",N622=""),"",Q622)</f>
        <v/>
      </c>
      <c r="B622" s="36"/>
      <c r="C622" s="36"/>
      <c r="D622" s="36"/>
      <c r="E622" s="36"/>
      <c r="F622" s="36"/>
      <c r="G622" s="36"/>
      <c r="H622" s="36"/>
      <c r="I622" s="1" t="str">
        <f aca="false">IF($A622="","",IFERROR(IF(ISBLANK(INDEX(SprintPlanning[Sprint],MATCH($A622,SprintPlanning[Requirement ID],0))),"To Plan",INDEX(SprintPlanning[Sprint],MATCH($A622,SprintPlanning[Requirement ID],0))),"To Plan"))</f>
        <v/>
      </c>
      <c r="J622" s="36"/>
      <c r="K622" s="1" t="str">
        <f aca="false">IFERROR(IF(ISBLANK(INDEX(Release[Release],MATCH($A622,Release[Requirement ID],0))),"",INDEX(Release[Release],MATCH($A622,Release[Requirement ID],0))),"")</f>
        <v/>
      </c>
      <c r="L622" s="36"/>
      <c r="M622" s="36"/>
      <c r="P622" s="1" t="n">
        <f aca="false">IFERROR(VALUE(MID($A622,5,4)),0)</f>
        <v>0</v>
      </c>
      <c r="Q622" s="1" t="str">
        <f aca="false">IF(B622="","","NEW-"&amp;TEXT(MAX($P$2:$P621,Lists!$N$2)+1,"0000"))</f>
        <v/>
      </c>
    </row>
    <row r="623" customFormat="false" ht="15" hidden="false" customHeight="true" outlineLevel="0" collapsed="false">
      <c r="A623" s="35" t="str">
        <f aca="false">IF(AND(B623="",C623="",D623="",E623="",F623="",G623="",H623="",J623="",L623="",M623="",N623=""),"",Q623)</f>
        <v/>
      </c>
      <c r="B623" s="36"/>
      <c r="C623" s="36"/>
      <c r="D623" s="36"/>
      <c r="E623" s="36"/>
      <c r="F623" s="36"/>
      <c r="G623" s="36"/>
      <c r="H623" s="36"/>
      <c r="I623" s="1" t="str">
        <f aca="false">IF($A623="","",IFERROR(IF(ISBLANK(INDEX(SprintPlanning[Sprint],MATCH($A623,SprintPlanning[Requirement ID],0))),"To Plan",INDEX(SprintPlanning[Sprint],MATCH($A623,SprintPlanning[Requirement ID],0))),"To Plan"))</f>
        <v/>
      </c>
      <c r="J623" s="36"/>
      <c r="K623" s="1" t="str">
        <f aca="false">IFERROR(IF(ISBLANK(INDEX(Release[Release],MATCH($A623,Release[Requirement ID],0))),"",INDEX(Release[Release],MATCH($A623,Release[Requirement ID],0))),"")</f>
        <v/>
      </c>
      <c r="L623" s="36"/>
      <c r="M623" s="36"/>
      <c r="P623" s="1" t="n">
        <f aca="false">IFERROR(VALUE(MID($A623,5,4)),0)</f>
        <v>0</v>
      </c>
      <c r="Q623" s="1" t="str">
        <f aca="false">IF(B623="","","NEW-"&amp;TEXT(MAX($P$2:$P622,Lists!$N$2)+1,"0000"))</f>
        <v/>
      </c>
    </row>
    <row r="624" customFormat="false" ht="15" hidden="false" customHeight="true" outlineLevel="0" collapsed="false">
      <c r="A624" s="35" t="str">
        <f aca="false">IF(AND(B624="",C624="",D624="",E624="",F624="",G624="",H624="",J624="",L624="",M624="",N624=""),"",Q624)</f>
        <v/>
      </c>
      <c r="B624" s="36"/>
      <c r="C624" s="36"/>
      <c r="D624" s="36"/>
      <c r="E624" s="36"/>
      <c r="F624" s="36"/>
      <c r="G624" s="36"/>
      <c r="H624" s="36"/>
      <c r="I624" s="1" t="str">
        <f aca="false">IF($A624="","",IFERROR(IF(ISBLANK(INDEX(SprintPlanning[Sprint],MATCH($A624,SprintPlanning[Requirement ID],0))),"To Plan",INDEX(SprintPlanning[Sprint],MATCH($A624,SprintPlanning[Requirement ID],0))),"To Plan"))</f>
        <v/>
      </c>
      <c r="J624" s="36"/>
      <c r="K624" s="1" t="str">
        <f aca="false">IFERROR(IF(ISBLANK(INDEX(Release[Release],MATCH($A624,Release[Requirement ID],0))),"",INDEX(Release[Release],MATCH($A624,Release[Requirement ID],0))),"")</f>
        <v/>
      </c>
      <c r="L624" s="36"/>
      <c r="M624" s="36"/>
      <c r="P624" s="1" t="n">
        <f aca="false">IFERROR(VALUE(MID($A624,5,4)),0)</f>
        <v>0</v>
      </c>
      <c r="Q624" s="1" t="str">
        <f aca="false">IF(B624="","","NEW-"&amp;TEXT(MAX($P$2:$P623,Lists!$N$2)+1,"0000"))</f>
        <v/>
      </c>
    </row>
    <row r="625" customFormat="false" ht="15" hidden="false" customHeight="true" outlineLevel="0" collapsed="false">
      <c r="A625" s="35" t="str">
        <f aca="false">IF(AND(B625="",C625="",D625="",E625="",F625="",G625="",H625="",J625="",L625="",M625="",N625=""),"",Q625)</f>
        <v/>
      </c>
      <c r="B625" s="36"/>
      <c r="C625" s="36"/>
      <c r="D625" s="36"/>
      <c r="E625" s="36"/>
      <c r="F625" s="36"/>
      <c r="G625" s="36"/>
      <c r="H625" s="36"/>
      <c r="I625" s="1" t="str">
        <f aca="false">IF($A625="","",IFERROR(IF(ISBLANK(INDEX(SprintPlanning[Sprint],MATCH($A625,SprintPlanning[Requirement ID],0))),"To Plan",INDEX(SprintPlanning[Sprint],MATCH($A625,SprintPlanning[Requirement ID],0))),"To Plan"))</f>
        <v/>
      </c>
      <c r="J625" s="36"/>
      <c r="K625" s="1" t="str">
        <f aca="false">IFERROR(IF(ISBLANK(INDEX(Release[Release],MATCH($A625,Release[Requirement ID],0))),"",INDEX(Release[Release],MATCH($A625,Release[Requirement ID],0))),"")</f>
        <v/>
      </c>
      <c r="L625" s="36"/>
      <c r="M625" s="36"/>
      <c r="P625" s="1" t="n">
        <f aca="false">IFERROR(VALUE(MID($A625,5,4)),0)</f>
        <v>0</v>
      </c>
      <c r="Q625" s="1" t="str">
        <f aca="false">IF(B625="","","NEW-"&amp;TEXT(MAX($P$2:$P624,Lists!$N$2)+1,"0000"))</f>
        <v/>
      </c>
    </row>
    <row r="626" customFormat="false" ht="15" hidden="false" customHeight="true" outlineLevel="0" collapsed="false">
      <c r="A626" s="35" t="str">
        <f aca="false">IF(AND(B626="",C626="",D626="",E626="",F626="",G626="",H626="",J626="",L626="",M626="",N626=""),"",Q626)</f>
        <v/>
      </c>
      <c r="B626" s="36"/>
      <c r="C626" s="36"/>
      <c r="D626" s="36"/>
      <c r="E626" s="36"/>
      <c r="F626" s="36"/>
      <c r="G626" s="36"/>
      <c r="H626" s="36"/>
      <c r="I626" s="1" t="str">
        <f aca="false">IF($A626="","",IFERROR(IF(ISBLANK(INDEX(SprintPlanning[Sprint],MATCH($A626,SprintPlanning[Requirement ID],0))),"To Plan",INDEX(SprintPlanning[Sprint],MATCH($A626,SprintPlanning[Requirement ID],0))),"To Plan"))</f>
        <v/>
      </c>
      <c r="J626" s="36"/>
      <c r="K626" s="1" t="str">
        <f aca="false">IFERROR(IF(ISBLANK(INDEX(Release[Release],MATCH($A626,Release[Requirement ID],0))),"",INDEX(Release[Release],MATCH($A626,Release[Requirement ID],0))),"")</f>
        <v/>
      </c>
      <c r="L626" s="36"/>
      <c r="M626" s="36"/>
      <c r="P626" s="1" t="n">
        <f aca="false">IFERROR(VALUE(MID($A626,5,4)),0)</f>
        <v>0</v>
      </c>
      <c r="Q626" s="1" t="str">
        <f aca="false">IF(B626="","","NEW-"&amp;TEXT(MAX($P$2:$P625,Lists!$N$2)+1,"0000"))</f>
        <v/>
      </c>
    </row>
    <row r="627" customFormat="false" ht="15" hidden="false" customHeight="true" outlineLevel="0" collapsed="false">
      <c r="A627" s="35" t="str">
        <f aca="false">IF(AND(B627="",C627="",D627="",E627="",F627="",G627="",H627="",J627="",L627="",M627="",N627=""),"",Q627)</f>
        <v/>
      </c>
      <c r="B627" s="36"/>
      <c r="C627" s="36"/>
      <c r="D627" s="36"/>
      <c r="E627" s="36"/>
      <c r="F627" s="36"/>
      <c r="G627" s="36"/>
      <c r="H627" s="36"/>
      <c r="I627" s="1" t="str">
        <f aca="false">IF($A627="","",IFERROR(IF(ISBLANK(INDEX(SprintPlanning[Sprint],MATCH($A627,SprintPlanning[Requirement ID],0))),"To Plan",INDEX(SprintPlanning[Sprint],MATCH($A627,SprintPlanning[Requirement ID],0))),"To Plan"))</f>
        <v/>
      </c>
      <c r="J627" s="36"/>
      <c r="K627" s="1" t="str">
        <f aca="false">IFERROR(IF(ISBLANK(INDEX(Release[Release],MATCH($A627,Release[Requirement ID],0))),"",INDEX(Release[Release],MATCH($A627,Release[Requirement ID],0))),"")</f>
        <v/>
      </c>
      <c r="L627" s="36"/>
      <c r="M627" s="36"/>
      <c r="P627" s="1" t="n">
        <f aca="false">IFERROR(VALUE(MID($A627,5,4)),0)</f>
        <v>0</v>
      </c>
      <c r="Q627" s="1" t="str">
        <f aca="false">IF(B627="","","NEW-"&amp;TEXT(MAX($P$2:$P626,Lists!$N$2)+1,"0000"))</f>
        <v/>
      </c>
    </row>
    <row r="628" customFormat="false" ht="15" hidden="false" customHeight="true" outlineLevel="0" collapsed="false">
      <c r="A628" s="35" t="str">
        <f aca="false">IF(AND(B628="",C628="",D628="",E628="",F628="",G628="",H628="",J628="",L628="",M628="",N628=""),"",Q628)</f>
        <v/>
      </c>
      <c r="B628" s="36"/>
      <c r="C628" s="36"/>
      <c r="D628" s="36"/>
      <c r="E628" s="36"/>
      <c r="F628" s="36"/>
      <c r="G628" s="36"/>
      <c r="H628" s="36"/>
      <c r="I628" s="1" t="str">
        <f aca="false">IF($A628="","",IFERROR(IF(ISBLANK(INDEX(SprintPlanning[Sprint],MATCH($A628,SprintPlanning[Requirement ID],0))),"To Plan",INDEX(SprintPlanning[Sprint],MATCH($A628,SprintPlanning[Requirement ID],0))),"To Plan"))</f>
        <v/>
      </c>
      <c r="J628" s="36"/>
      <c r="K628" s="1" t="str">
        <f aca="false">IFERROR(IF(ISBLANK(INDEX(Release[Release],MATCH($A628,Release[Requirement ID],0))),"",INDEX(Release[Release],MATCH($A628,Release[Requirement ID],0))),"")</f>
        <v/>
      </c>
      <c r="L628" s="36"/>
      <c r="M628" s="36"/>
      <c r="P628" s="1" t="n">
        <f aca="false">IFERROR(VALUE(MID($A628,5,4)),0)</f>
        <v>0</v>
      </c>
      <c r="Q628" s="1" t="str">
        <f aca="false">IF(B628="","","NEW-"&amp;TEXT(MAX($P$2:$P627,Lists!$N$2)+1,"0000"))</f>
        <v/>
      </c>
    </row>
    <row r="629" customFormat="false" ht="15" hidden="false" customHeight="true" outlineLevel="0" collapsed="false">
      <c r="A629" s="35" t="str">
        <f aca="false">IF(AND(B629="",C629="",D629="",E629="",F629="",G629="",H629="",J629="",L629="",M629="",N629=""),"",Q629)</f>
        <v/>
      </c>
      <c r="B629" s="36"/>
      <c r="C629" s="36"/>
      <c r="D629" s="36"/>
      <c r="E629" s="36"/>
      <c r="F629" s="36"/>
      <c r="G629" s="36"/>
      <c r="H629" s="36"/>
      <c r="I629" s="1" t="str">
        <f aca="false">IF($A629="","",IFERROR(IF(ISBLANK(INDEX(SprintPlanning[Sprint],MATCH($A629,SprintPlanning[Requirement ID],0))),"To Plan",INDEX(SprintPlanning[Sprint],MATCH($A629,SprintPlanning[Requirement ID],0))),"To Plan"))</f>
        <v/>
      </c>
      <c r="J629" s="36"/>
      <c r="K629" s="1" t="str">
        <f aca="false">IFERROR(IF(ISBLANK(INDEX(Release[Release],MATCH($A629,Release[Requirement ID],0))),"",INDEX(Release[Release],MATCH($A629,Release[Requirement ID],0))),"")</f>
        <v/>
      </c>
      <c r="L629" s="36"/>
      <c r="M629" s="36"/>
      <c r="P629" s="1" t="n">
        <f aca="false">IFERROR(VALUE(MID($A629,5,4)),0)</f>
        <v>0</v>
      </c>
      <c r="Q629" s="1" t="str">
        <f aca="false">IF(B629="","","NEW-"&amp;TEXT(MAX($P$2:$P628,Lists!$N$2)+1,"0000"))</f>
        <v/>
      </c>
    </row>
    <row r="630" customFormat="false" ht="15" hidden="false" customHeight="true" outlineLevel="0" collapsed="false">
      <c r="A630" s="35" t="str">
        <f aca="false">IF(AND(B630="",C630="",D630="",E630="",F630="",G630="",H630="",J630="",L630="",M630="",N630=""),"",Q630)</f>
        <v/>
      </c>
      <c r="B630" s="36"/>
      <c r="C630" s="36"/>
      <c r="D630" s="36"/>
      <c r="E630" s="36"/>
      <c r="F630" s="36"/>
      <c r="G630" s="36"/>
      <c r="H630" s="36"/>
      <c r="I630" s="1" t="str">
        <f aca="false">IF($A630="","",IFERROR(IF(ISBLANK(INDEX(SprintPlanning[Sprint],MATCH($A630,SprintPlanning[Requirement ID],0))),"To Plan",INDEX(SprintPlanning[Sprint],MATCH($A630,SprintPlanning[Requirement ID],0))),"To Plan"))</f>
        <v/>
      </c>
      <c r="J630" s="36"/>
      <c r="K630" s="1" t="str">
        <f aca="false">IFERROR(IF(ISBLANK(INDEX(Release[Release],MATCH($A630,Release[Requirement ID],0))),"",INDEX(Release[Release],MATCH($A630,Release[Requirement ID],0))),"")</f>
        <v/>
      </c>
      <c r="L630" s="36"/>
      <c r="M630" s="36"/>
      <c r="P630" s="1" t="n">
        <f aca="false">IFERROR(VALUE(MID($A630,5,4)),0)</f>
        <v>0</v>
      </c>
      <c r="Q630" s="1" t="str">
        <f aca="false">IF(B630="","","NEW-"&amp;TEXT(MAX($P$2:$P629,Lists!$N$2)+1,"0000"))</f>
        <v/>
      </c>
    </row>
    <row r="631" customFormat="false" ht="15" hidden="false" customHeight="true" outlineLevel="0" collapsed="false">
      <c r="A631" s="35" t="str">
        <f aca="false">IF(AND(B631="",C631="",D631="",E631="",F631="",G631="",H631="",J631="",L631="",M631="",N631=""),"",Q631)</f>
        <v/>
      </c>
      <c r="B631" s="36"/>
      <c r="C631" s="36"/>
      <c r="D631" s="36"/>
      <c r="E631" s="36"/>
      <c r="F631" s="36"/>
      <c r="G631" s="36"/>
      <c r="H631" s="36"/>
      <c r="I631" s="1" t="str">
        <f aca="false">IF($A631="","",IFERROR(IF(ISBLANK(INDEX(SprintPlanning[Sprint],MATCH($A631,SprintPlanning[Requirement ID],0))),"To Plan",INDEX(SprintPlanning[Sprint],MATCH($A631,SprintPlanning[Requirement ID],0))),"To Plan"))</f>
        <v/>
      </c>
      <c r="J631" s="36"/>
      <c r="K631" s="1" t="str">
        <f aca="false">IFERROR(IF(ISBLANK(INDEX(Release[Release],MATCH($A631,Release[Requirement ID],0))),"",INDEX(Release[Release],MATCH($A631,Release[Requirement ID],0))),"")</f>
        <v/>
      </c>
      <c r="L631" s="36"/>
      <c r="M631" s="36"/>
      <c r="P631" s="1" t="n">
        <f aca="false">IFERROR(VALUE(MID($A631,5,4)),0)</f>
        <v>0</v>
      </c>
      <c r="Q631" s="1" t="str">
        <f aca="false">IF(B631="","","NEW-"&amp;TEXT(MAX($P$2:$P630,Lists!$N$2)+1,"0000"))</f>
        <v/>
      </c>
    </row>
    <row r="632" customFormat="false" ht="15" hidden="false" customHeight="true" outlineLevel="0" collapsed="false">
      <c r="A632" s="35" t="str">
        <f aca="false">IF(AND(B632="",C632="",D632="",E632="",F632="",G632="",H632="",J632="",L632="",M632="",N632=""),"",Q632)</f>
        <v/>
      </c>
      <c r="B632" s="36"/>
      <c r="C632" s="36"/>
      <c r="D632" s="36"/>
      <c r="E632" s="36"/>
      <c r="F632" s="36"/>
      <c r="G632" s="36"/>
      <c r="H632" s="36"/>
      <c r="I632" s="1" t="str">
        <f aca="false">IF($A632="","",IFERROR(IF(ISBLANK(INDEX(SprintPlanning[Sprint],MATCH($A632,SprintPlanning[Requirement ID],0))),"To Plan",INDEX(SprintPlanning[Sprint],MATCH($A632,SprintPlanning[Requirement ID],0))),"To Plan"))</f>
        <v/>
      </c>
      <c r="J632" s="36"/>
      <c r="K632" s="1" t="str">
        <f aca="false">IFERROR(IF(ISBLANK(INDEX(Release[Release],MATCH($A632,Release[Requirement ID],0))),"",INDEX(Release[Release],MATCH($A632,Release[Requirement ID],0))),"")</f>
        <v/>
      </c>
      <c r="L632" s="36"/>
      <c r="M632" s="36"/>
      <c r="P632" s="1" t="n">
        <f aca="false">IFERROR(VALUE(MID($A632,5,4)),0)</f>
        <v>0</v>
      </c>
      <c r="Q632" s="1" t="str">
        <f aca="false">IF(B632="","","NEW-"&amp;TEXT(MAX($P$2:$P631,Lists!$N$2)+1,"0000"))</f>
        <v/>
      </c>
    </row>
    <row r="633" customFormat="false" ht="15" hidden="false" customHeight="true" outlineLevel="0" collapsed="false">
      <c r="A633" s="35" t="str">
        <f aca="false">IF(AND(B633="",C633="",D633="",E633="",F633="",G633="",H633="",J633="",L633="",M633="",N633=""),"",Q633)</f>
        <v/>
      </c>
      <c r="B633" s="36"/>
      <c r="C633" s="36"/>
      <c r="D633" s="36"/>
      <c r="E633" s="36"/>
      <c r="F633" s="36"/>
      <c r="G633" s="36"/>
      <c r="H633" s="36"/>
      <c r="I633" s="1" t="str">
        <f aca="false">IF($A633="","",IFERROR(IF(ISBLANK(INDEX(SprintPlanning[Sprint],MATCH($A633,SprintPlanning[Requirement ID],0))),"To Plan",INDEX(SprintPlanning[Sprint],MATCH($A633,SprintPlanning[Requirement ID],0))),"To Plan"))</f>
        <v/>
      </c>
      <c r="J633" s="36"/>
      <c r="K633" s="1" t="str">
        <f aca="false">IFERROR(IF(ISBLANK(INDEX(Release[Release],MATCH($A633,Release[Requirement ID],0))),"",INDEX(Release[Release],MATCH($A633,Release[Requirement ID],0))),"")</f>
        <v/>
      </c>
      <c r="L633" s="36"/>
      <c r="M633" s="36"/>
      <c r="P633" s="1" t="n">
        <f aca="false">IFERROR(VALUE(MID($A633,5,4)),0)</f>
        <v>0</v>
      </c>
      <c r="Q633" s="1" t="str">
        <f aca="false">IF(B633="","","NEW-"&amp;TEXT(MAX($P$2:$P632,Lists!$N$2)+1,"0000"))</f>
        <v/>
      </c>
    </row>
    <row r="634" customFormat="false" ht="15" hidden="false" customHeight="true" outlineLevel="0" collapsed="false">
      <c r="A634" s="35" t="str">
        <f aca="false">IF(AND(B634="",C634="",D634="",E634="",F634="",G634="",H634="",J634="",L634="",M634="",N634=""),"",Q634)</f>
        <v/>
      </c>
      <c r="B634" s="36"/>
      <c r="C634" s="36"/>
      <c r="D634" s="36"/>
      <c r="E634" s="36"/>
      <c r="F634" s="36"/>
      <c r="G634" s="36"/>
      <c r="H634" s="36"/>
      <c r="I634" s="1" t="str">
        <f aca="false">IF($A634="","",IFERROR(IF(ISBLANK(INDEX(SprintPlanning[Sprint],MATCH($A634,SprintPlanning[Requirement ID],0))),"To Plan",INDEX(SprintPlanning[Sprint],MATCH($A634,SprintPlanning[Requirement ID],0))),"To Plan"))</f>
        <v/>
      </c>
      <c r="J634" s="36"/>
      <c r="K634" s="1" t="str">
        <f aca="false">IFERROR(IF(ISBLANK(INDEX(Release[Release],MATCH($A634,Release[Requirement ID],0))),"",INDEX(Release[Release],MATCH($A634,Release[Requirement ID],0))),"")</f>
        <v/>
      </c>
      <c r="L634" s="36"/>
      <c r="M634" s="36"/>
      <c r="P634" s="1" t="n">
        <f aca="false">IFERROR(VALUE(MID($A634,5,4)),0)</f>
        <v>0</v>
      </c>
      <c r="Q634" s="1" t="str">
        <f aca="false">IF(B634="","","NEW-"&amp;TEXT(MAX($P$2:$P633,Lists!$N$2)+1,"0000"))</f>
        <v/>
      </c>
    </row>
    <row r="635" customFormat="false" ht="15" hidden="false" customHeight="true" outlineLevel="0" collapsed="false">
      <c r="A635" s="35" t="str">
        <f aca="false">IF(AND(B635="",C635="",D635="",E635="",F635="",G635="",H635="",J635="",L635="",M635="",N635=""),"",Q635)</f>
        <v/>
      </c>
      <c r="B635" s="36"/>
      <c r="C635" s="36"/>
      <c r="D635" s="36"/>
      <c r="E635" s="36"/>
      <c r="F635" s="36"/>
      <c r="G635" s="36"/>
      <c r="H635" s="36"/>
      <c r="I635" s="1" t="str">
        <f aca="false">IF($A635="","",IFERROR(IF(ISBLANK(INDEX(SprintPlanning[Sprint],MATCH($A635,SprintPlanning[Requirement ID],0))),"To Plan",INDEX(SprintPlanning[Sprint],MATCH($A635,SprintPlanning[Requirement ID],0))),"To Plan"))</f>
        <v/>
      </c>
      <c r="J635" s="36"/>
      <c r="K635" s="1" t="str">
        <f aca="false">IFERROR(IF(ISBLANK(INDEX(Release[Release],MATCH($A635,Release[Requirement ID],0))),"",INDEX(Release[Release],MATCH($A635,Release[Requirement ID],0))),"")</f>
        <v/>
      </c>
      <c r="L635" s="36"/>
      <c r="M635" s="36"/>
      <c r="P635" s="1" t="n">
        <f aca="false">IFERROR(VALUE(MID($A635,5,4)),0)</f>
        <v>0</v>
      </c>
      <c r="Q635" s="1" t="str">
        <f aca="false">IF(B635="","","NEW-"&amp;TEXT(MAX($P$2:$P634,Lists!$N$2)+1,"0000"))</f>
        <v/>
      </c>
    </row>
    <row r="636" customFormat="false" ht="15" hidden="false" customHeight="true" outlineLevel="0" collapsed="false">
      <c r="A636" s="35" t="str">
        <f aca="false">IF(AND(B636="",C636="",D636="",E636="",F636="",G636="",H636="",J636="",L636="",M636="",N636=""),"",Q636)</f>
        <v/>
      </c>
      <c r="B636" s="36"/>
      <c r="C636" s="36"/>
      <c r="D636" s="36"/>
      <c r="E636" s="36"/>
      <c r="F636" s="36"/>
      <c r="G636" s="36"/>
      <c r="H636" s="36"/>
      <c r="I636" s="1" t="str">
        <f aca="false">IF($A636="","",IFERROR(IF(ISBLANK(INDEX(SprintPlanning[Sprint],MATCH($A636,SprintPlanning[Requirement ID],0))),"To Plan",INDEX(SprintPlanning[Sprint],MATCH($A636,SprintPlanning[Requirement ID],0))),"To Plan"))</f>
        <v/>
      </c>
      <c r="J636" s="36"/>
      <c r="K636" s="1" t="str">
        <f aca="false">IFERROR(IF(ISBLANK(INDEX(Release[Release],MATCH($A636,Release[Requirement ID],0))),"",INDEX(Release[Release],MATCH($A636,Release[Requirement ID],0))),"")</f>
        <v/>
      </c>
      <c r="L636" s="36"/>
      <c r="M636" s="36"/>
      <c r="P636" s="1" t="n">
        <f aca="false">IFERROR(VALUE(MID($A636,5,4)),0)</f>
        <v>0</v>
      </c>
      <c r="Q636" s="1" t="str">
        <f aca="false">IF(B636="","","NEW-"&amp;TEXT(MAX($P$2:$P635,Lists!$N$2)+1,"0000"))</f>
        <v/>
      </c>
    </row>
    <row r="637" customFormat="false" ht="15" hidden="false" customHeight="true" outlineLevel="0" collapsed="false">
      <c r="A637" s="35" t="str">
        <f aca="false">IF(AND(B637="",C637="",D637="",E637="",F637="",G637="",H637="",J637="",L637="",M637="",N637=""),"",Q637)</f>
        <v/>
      </c>
      <c r="B637" s="36"/>
      <c r="C637" s="36"/>
      <c r="D637" s="36"/>
      <c r="E637" s="36"/>
      <c r="F637" s="36"/>
      <c r="G637" s="36"/>
      <c r="H637" s="36"/>
      <c r="I637" s="1" t="str">
        <f aca="false">IF($A637="","",IFERROR(IF(ISBLANK(INDEX(SprintPlanning[Sprint],MATCH($A637,SprintPlanning[Requirement ID],0))),"To Plan",INDEX(SprintPlanning[Sprint],MATCH($A637,SprintPlanning[Requirement ID],0))),"To Plan"))</f>
        <v/>
      </c>
      <c r="J637" s="36"/>
      <c r="K637" s="1" t="str">
        <f aca="false">IFERROR(IF(ISBLANK(INDEX(Release[Release],MATCH($A637,Release[Requirement ID],0))),"",INDEX(Release[Release],MATCH($A637,Release[Requirement ID],0))),"")</f>
        <v/>
      </c>
      <c r="L637" s="36"/>
      <c r="M637" s="36"/>
      <c r="P637" s="1" t="n">
        <f aca="false">IFERROR(VALUE(MID($A637,5,4)),0)</f>
        <v>0</v>
      </c>
      <c r="Q637" s="1" t="str">
        <f aca="false">IF(B637="","","NEW-"&amp;TEXT(MAX($P$2:$P636,Lists!$N$2)+1,"0000"))</f>
        <v/>
      </c>
    </row>
    <row r="638" customFormat="false" ht="15" hidden="false" customHeight="true" outlineLevel="0" collapsed="false">
      <c r="A638" s="35" t="str">
        <f aca="false">IF(AND(B638="",C638="",D638="",E638="",F638="",G638="",H638="",J638="",L638="",M638="",N638=""),"",Q638)</f>
        <v/>
      </c>
      <c r="B638" s="36"/>
      <c r="C638" s="36"/>
      <c r="D638" s="36"/>
      <c r="E638" s="36"/>
      <c r="F638" s="36"/>
      <c r="G638" s="36"/>
      <c r="H638" s="36"/>
      <c r="I638" s="1" t="str">
        <f aca="false">IF($A638="","",IFERROR(IF(ISBLANK(INDEX(SprintPlanning[Sprint],MATCH($A638,SprintPlanning[Requirement ID],0))),"To Plan",INDEX(SprintPlanning[Sprint],MATCH($A638,SprintPlanning[Requirement ID],0))),"To Plan"))</f>
        <v/>
      </c>
      <c r="J638" s="36"/>
      <c r="K638" s="1" t="str">
        <f aca="false">IFERROR(IF(ISBLANK(INDEX(Release[Release],MATCH($A638,Release[Requirement ID],0))),"",INDEX(Release[Release],MATCH($A638,Release[Requirement ID],0))),"")</f>
        <v/>
      </c>
      <c r="L638" s="36"/>
      <c r="M638" s="36"/>
      <c r="P638" s="1" t="n">
        <f aca="false">IFERROR(VALUE(MID($A638,5,4)),0)</f>
        <v>0</v>
      </c>
      <c r="Q638" s="1" t="str">
        <f aca="false">IF(B638="","","NEW-"&amp;TEXT(MAX($P$2:$P637,Lists!$N$2)+1,"0000"))</f>
        <v/>
      </c>
    </row>
    <row r="639" customFormat="false" ht="15" hidden="false" customHeight="true" outlineLevel="0" collapsed="false">
      <c r="A639" s="35" t="str">
        <f aca="false">IF(AND(B639="",C639="",D639="",E639="",F639="",G639="",H639="",J639="",L639="",M639="",N639=""),"",Q639)</f>
        <v/>
      </c>
      <c r="B639" s="36"/>
      <c r="C639" s="36"/>
      <c r="D639" s="36"/>
      <c r="E639" s="36"/>
      <c r="F639" s="36"/>
      <c r="G639" s="36"/>
      <c r="H639" s="36"/>
      <c r="I639" s="1" t="str">
        <f aca="false">IF($A639="","",IFERROR(IF(ISBLANK(INDEX(SprintPlanning[Sprint],MATCH($A639,SprintPlanning[Requirement ID],0))),"To Plan",INDEX(SprintPlanning[Sprint],MATCH($A639,SprintPlanning[Requirement ID],0))),"To Plan"))</f>
        <v/>
      </c>
      <c r="J639" s="36"/>
      <c r="K639" s="1" t="str">
        <f aca="false">IFERROR(IF(ISBLANK(INDEX(Release[Release],MATCH($A639,Release[Requirement ID],0))),"",INDEX(Release[Release],MATCH($A639,Release[Requirement ID],0))),"")</f>
        <v/>
      </c>
      <c r="L639" s="36"/>
      <c r="M639" s="36"/>
      <c r="P639" s="1" t="n">
        <f aca="false">IFERROR(VALUE(MID($A639,5,4)),0)</f>
        <v>0</v>
      </c>
      <c r="Q639" s="1" t="str">
        <f aca="false">IF(B639="","","NEW-"&amp;TEXT(MAX($P$2:$P638,Lists!$N$2)+1,"0000"))</f>
        <v/>
      </c>
    </row>
    <row r="640" customFormat="false" ht="15" hidden="false" customHeight="true" outlineLevel="0" collapsed="false">
      <c r="A640" s="35" t="str">
        <f aca="false">IF(AND(B640="",C640="",D640="",E640="",F640="",G640="",H640="",J640="",L640="",M640="",N640=""),"",Q640)</f>
        <v/>
      </c>
      <c r="B640" s="36"/>
      <c r="C640" s="36"/>
      <c r="D640" s="36"/>
      <c r="E640" s="36"/>
      <c r="F640" s="36"/>
      <c r="G640" s="36"/>
      <c r="H640" s="36"/>
      <c r="I640" s="1" t="str">
        <f aca="false">IF($A640="","",IFERROR(IF(ISBLANK(INDEX(SprintPlanning[Sprint],MATCH($A640,SprintPlanning[Requirement ID],0))),"To Plan",INDEX(SprintPlanning[Sprint],MATCH($A640,SprintPlanning[Requirement ID],0))),"To Plan"))</f>
        <v/>
      </c>
      <c r="J640" s="36"/>
      <c r="K640" s="1" t="str">
        <f aca="false">IFERROR(IF(ISBLANK(INDEX(Release[Release],MATCH($A640,Release[Requirement ID],0))),"",INDEX(Release[Release],MATCH($A640,Release[Requirement ID],0))),"")</f>
        <v/>
      </c>
      <c r="L640" s="36"/>
      <c r="M640" s="36"/>
      <c r="P640" s="1" t="n">
        <f aca="false">IFERROR(VALUE(MID($A640,5,4)),0)</f>
        <v>0</v>
      </c>
      <c r="Q640" s="1" t="str">
        <f aca="false">IF(B640="","","NEW-"&amp;TEXT(MAX($P$2:$P639,Lists!$N$2)+1,"0000"))</f>
        <v/>
      </c>
    </row>
    <row r="641" customFormat="false" ht="15" hidden="false" customHeight="true" outlineLevel="0" collapsed="false">
      <c r="A641" s="35" t="str">
        <f aca="false">IF(AND(B641="",C641="",D641="",E641="",F641="",G641="",H641="",J641="",L641="",M641="",N641=""),"",Q641)</f>
        <v/>
      </c>
      <c r="B641" s="36"/>
      <c r="C641" s="36"/>
      <c r="D641" s="36"/>
      <c r="E641" s="36"/>
      <c r="F641" s="36"/>
      <c r="G641" s="36"/>
      <c r="H641" s="36"/>
      <c r="I641" s="1" t="str">
        <f aca="false">IF($A641="","",IFERROR(IF(ISBLANK(INDEX(SprintPlanning[Sprint],MATCH($A641,SprintPlanning[Requirement ID],0))),"To Plan",INDEX(SprintPlanning[Sprint],MATCH($A641,SprintPlanning[Requirement ID],0))),"To Plan"))</f>
        <v/>
      </c>
      <c r="J641" s="36"/>
      <c r="K641" s="1" t="str">
        <f aca="false">IFERROR(IF(ISBLANK(INDEX(Release[Release],MATCH($A641,Release[Requirement ID],0))),"",INDEX(Release[Release],MATCH($A641,Release[Requirement ID],0))),"")</f>
        <v/>
      </c>
      <c r="L641" s="36"/>
      <c r="M641" s="36"/>
      <c r="P641" s="1" t="n">
        <f aca="false">IFERROR(VALUE(MID($A641,5,4)),0)</f>
        <v>0</v>
      </c>
      <c r="Q641" s="1" t="str">
        <f aca="false">IF(B641="","","NEW-"&amp;TEXT(MAX($P$2:$P640,Lists!$N$2)+1,"0000"))</f>
        <v/>
      </c>
    </row>
    <row r="642" customFormat="false" ht="15" hidden="false" customHeight="true" outlineLevel="0" collapsed="false">
      <c r="A642" s="35" t="str">
        <f aca="false">IF(AND(B642="",C642="",D642="",E642="",F642="",G642="",H642="",J642="",L642="",M642="",N642=""),"",Q642)</f>
        <v/>
      </c>
      <c r="B642" s="36"/>
      <c r="C642" s="36"/>
      <c r="D642" s="36"/>
      <c r="E642" s="36"/>
      <c r="F642" s="36"/>
      <c r="G642" s="36"/>
      <c r="H642" s="36"/>
      <c r="I642" s="1" t="str">
        <f aca="false">IF($A642="","",IFERROR(IF(ISBLANK(INDEX(SprintPlanning[Sprint],MATCH($A642,SprintPlanning[Requirement ID],0))),"To Plan",INDEX(SprintPlanning[Sprint],MATCH($A642,SprintPlanning[Requirement ID],0))),"To Plan"))</f>
        <v/>
      </c>
      <c r="J642" s="36"/>
      <c r="K642" s="1" t="str">
        <f aca="false">IFERROR(IF(ISBLANK(INDEX(Release[Release],MATCH($A642,Release[Requirement ID],0))),"",INDEX(Release[Release],MATCH($A642,Release[Requirement ID],0))),"")</f>
        <v/>
      </c>
      <c r="L642" s="36"/>
      <c r="M642" s="36"/>
      <c r="P642" s="1" t="n">
        <f aca="false">IFERROR(VALUE(MID($A642,5,4)),0)</f>
        <v>0</v>
      </c>
      <c r="Q642" s="1" t="str">
        <f aca="false">IF(B642="","","NEW-"&amp;TEXT(MAX($P$2:$P641,Lists!$N$2)+1,"0000"))</f>
        <v/>
      </c>
    </row>
    <row r="643" customFormat="false" ht="15" hidden="false" customHeight="true" outlineLevel="0" collapsed="false">
      <c r="A643" s="35" t="str">
        <f aca="false">IF(AND(B643="",C643="",D643="",E643="",F643="",G643="",H643="",J643="",L643="",M643="",N643=""),"",Q643)</f>
        <v/>
      </c>
      <c r="B643" s="36"/>
      <c r="C643" s="36"/>
      <c r="D643" s="36"/>
      <c r="E643" s="36"/>
      <c r="F643" s="36"/>
      <c r="G643" s="36"/>
      <c r="H643" s="36"/>
      <c r="I643" s="1" t="str">
        <f aca="false">IF($A643="","",IFERROR(IF(ISBLANK(INDEX(SprintPlanning[Sprint],MATCH($A643,SprintPlanning[Requirement ID],0))),"To Plan",INDEX(SprintPlanning[Sprint],MATCH($A643,SprintPlanning[Requirement ID],0))),"To Plan"))</f>
        <v/>
      </c>
      <c r="J643" s="36"/>
      <c r="K643" s="1" t="str">
        <f aca="false">IFERROR(IF(ISBLANK(INDEX(Release[Release],MATCH($A643,Release[Requirement ID],0))),"",INDEX(Release[Release],MATCH($A643,Release[Requirement ID],0))),"")</f>
        <v/>
      </c>
      <c r="L643" s="36"/>
      <c r="M643" s="36"/>
      <c r="P643" s="1" t="n">
        <f aca="false">IFERROR(VALUE(MID($A643,5,4)),0)</f>
        <v>0</v>
      </c>
      <c r="Q643" s="1" t="str">
        <f aca="false">IF(B643="","","NEW-"&amp;TEXT(MAX($P$2:$P642,Lists!$N$2)+1,"0000"))</f>
        <v/>
      </c>
    </row>
    <row r="644" customFormat="false" ht="15" hidden="false" customHeight="true" outlineLevel="0" collapsed="false">
      <c r="A644" s="35" t="str">
        <f aca="false">IF(AND(B644="",C644="",D644="",E644="",F644="",G644="",H644="",J644="",L644="",M644="",N644=""),"",Q644)</f>
        <v/>
      </c>
      <c r="B644" s="36"/>
      <c r="C644" s="36"/>
      <c r="D644" s="36"/>
      <c r="E644" s="36"/>
      <c r="F644" s="36"/>
      <c r="G644" s="36"/>
      <c r="H644" s="36"/>
      <c r="I644" s="1" t="str">
        <f aca="false">IF($A644="","",IFERROR(IF(ISBLANK(INDEX(SprintPlanning[Sprint],MATCH($A644,SprintPlanning[Requirement ID],0))),"To Plan",INDEX(SprintPlanning[Sprint],MATCH($A644,SprintPlanning[Requirement ID],0))),"To Plan"))</f>
        <v/>
      </c>
      <c r="J644" s="36"/>
      <c r="K644" s="1" t="str">
        <f aca="false">IFERROR(IF(ISBLANK(INDEX(Release[Release],MATCH($A644,Release[Requirement ID],0))),"",INDEX(Release[Release],MATCH($A644,Release[Requirement ID],0))),"")</f>
        <v/>
      </c>
      <c r="L644" s="36"/>
      <c r="M644" s="36"/>
      <c r="P644" s="1" t="n">
        <f aca="false">IFERROR(VALUE(MID($A644,5,4)),0)</f>
        <v>0</v>
      </c>
      <c r="Q644" s="1" t="str">
        <f aca="false">IF(B644="","","NEW-"&amp;TEXT(MAX($P$2:$P643,Lists!$N$2)+1,"0000"))</f>
        <v/>
      </c>
    </row>
    <row r="645" customFormat="false" ht="15" hidden="false" customHeight="true" outlineLevel="0" collapsed="false">
      <c r="A645" s="35" t="str">
        <f aca="false">IF(AND(B645="",C645="",D645="",E645="",F645="",G645="",H645="",J645="",L645="",M645="",N645=""),"",Q645)</f>
        <v/>
      </c>
      <c r="B645" s="36"/>
      <c r="C645" s="36"/>
      <c r="D645" s="36"/>
      <c r="E645" s="36"/>
      <c r="F645" s="36"/>
      <c r="G645" s="36"/>
      <c r="H645" s="36"/>
      <c r="I645" s="1" t="str">
        <f aca="false">IF($A645="","",IFERROR(IF(ISBLANK(INDEX(SprintPlanning[Sprint],MATCH($A645,SprintPlanning[Requirement ID],0))),"To Plan",INDEX(SprintPlanning[Sprint],MATCH($A645,SprintPlanning[Requirement ID],0))),"To Plan"))</f>
        <v/>
      </c>
      <c r="J645" s="36"/>
      <c r="K645" s="1" t="str">
        <f aca="false">IFERROR(IF(ISBLANK(INDEX(Release[Release],MATCH($A645,Release[Requirement ID],0))),"",INDEX(Release[Release],MATCH($A645,Release[Requirement ID],0))),"")</f>
        <v/>
      </c>
      <c r="L645" s="36"/>
      <c r="M645" s="36"/>
      <c r="P645" s="1" t="n">
        <f aca="false">IFERROR(VALUE(MID($A645,5,4)),0)</f>
        <v>0</v>
      </c>
      <c r="Q645" s="1" t="str">
        <f aca="false">IF(B645="","","NEW-"&amp;TEXT(MAX($P$2:$P644,Lists!$N$2)+1,"0000"))</f>
        <v/>
      </c>
    </row>
    <row r="646" customFormat="false" ht="15" hidden="false" customHeight="true" outlineLevel="0" collapsed="false">
      <c r="A646" s="35" t="str">
        <f aca="false">IF(AND(B646="",C646="",D646="",E646="",F646="",G646="",H646="",J646="",L646="",M646="",N646=""),"",Q646)</f>
        <v/>
      </c>
      <c r="B646" s="36"/>
      <c r="C646" s="36"/>
      <c r="D646" s="36"/>
      <c r="E646" s="36"/>
      <c r="F646" s="36"/>
      <c r="G646" s="36"/>
      <c r="H646" s="36"/>
      <c r="I646" s="1" t="str">
        <f aca="false">IF($A646="","",IFERROR(IF(ISBLANK(INDEX(SprintPlanning[Sprint],MATCH($A646,SprintPlanning[Requirement ID],0))),"To Plan",INDEX(SprintPlanning[Sprint],MATCH($A646,SprintPlanning[Requirement ID],0))),"To Plan"))</f>
        <v/>
      </c>
      <c r="J646" s="36"/>
      <c r="K646" s="1" t="str">
        <f aca="false">IFERROR(IF(ISBLANK(INDEX(Release[Release],MATCH($A646,Release[Requirement ID],0))),"",INDEX(Release[Release],MATCH($A646,Release[Requirement ID],0))),"")</f>
        <v/>
      </c>
      <c r="L646" s="36"/>
      <c r="M646" s="36"/>
      <c r="P646" s="1" t="n">
        <f aca="false">IFERROR(VALUE(MID($A646,5,4)),0)</f>
        <v>0</v>
      </c>
      <c r="Q646" s="1" t="str">
        <f aca="false">IF(B646="","","NEW-"&amp;TEXT(MAX($P$2:$P645,Lists!$N$2)+1,"0000"))</f>
        <v/>
      </c>
    </row>
    <row r="647" customFormat="false" ht="15" hidden="false" customHeight="true" outlineLevel="0" collapsed="false">
      <c r="A647" s="35" t="str">
        <f aca="false">IF(AND(B647="",C647="",D647="",E647="",F647="",G647="",H647="",J647="",L647="",M647="",N647=""),"",Q647)</f>
        <v/>
      </c>
      <c r="B647" s="36"/>
      <c r="C647" s="36"/>
      <c r="D647" s="36"/>
      <c r="E647" s="36"/>
      <c r="F647" s="36"/>
      <c r="G647" s="36"/>
      <c r="H647" s="36"/>
      <c r="I647" s="1" t="str">
        <f aca="false">IF($A647="","",IFERROR(IF(ISBLANK(INDEX(SprintPlanning[Sprint],MATCH($A647,SprintPlanning[Requirement ID],0))),"To Plan",INDEX(SprintPlanning[Sprint],MATCH($A647,SprintPlanning[Requirement ID],0))),"To Plan"))</f>
        <v/>
      </c>
      <c r="J647" s="36"/>
      <c r="K647" s="1" t="str">
        <f aca="false">IFERROR(IF(ISBLANK(INDEX(Release[Release],MATCH($A647,Release[Requirement ID],0))),"",INDEX(Release[Release],MATCH($A647,Release[Requirement ID],0))),"")</f>
        <v/>
      </c>
      <c r="L647" s="36"/>
      <c r="M647" s="36"/>
      <c r="P647" s="1" t="n">
        <f aca="false">IFERROR(VALUE(MID($A647,5,4)),0)</f>
        <v>0</v>
      </c>
      <c r="Q647" s="1" t="str">
        <f aca="false">IF(B647="","","NEW-"&amp;TEXT(MAX($P$2:$P646,Lists!$N$2)+1,"0000"))</f>
        <v/>
      </c>
    </row>
    <row r="648" customFormat="false" ht="15" hidden="false" customHeight="true" outlineLevel="0" collapsed="false">
      <c r="A648" s="35" t="str">
        <f aca="false">IF(AND(B648="",C648="",D648="",E648="",F648="",G648="",H648="",J648="",L648="",M648="",N648=""),"",Q648)</f>
        <v/>
      </c>
      <c r="B648" s="36"/>
      <c r="C648" s="36"/>
      <c r="D648" s="36"/>
      <c r="E648" s="36"/>
      <c r="F648" s="36"/>
      <c r="G648" s="36"/>
      <c r="H648" s="36"/>
      <c r="I648" s="1" t="str">
        <f aca="false">IF($A648="","",IFERROR(IF(ISBLANK(INDEX(SprintPlanning[Sprint],MATCH($A648,SprintPlanning[Requirement ID],0))),"To Plan",INDEX(SprintPlanning[Sprint],MATCH($A648,SprintPlanning[Requirement ID],0))),"To Plan"))</f>
        <v/>
      </c>
      <c r="J648" s="36"/>
      <c r="K648" s="1" t="str">
        <f aca="false">IFERROR(IF(ISBLANK(INDEX(Release[Release],MATCH($A648,Release[Requirement ID],0))),"",INDEX(Release[Release],MATCH($A648,Release[Requirement ID],0))),"")</f>
        <v/>
      </c>
      <c r="L648" s="36"/>
      <c r="M648" s="36"/>
      <c r="P648" s="1" t="n">
        <f aca="false">IFERROR(VALUE(MID($A648,5,4)),0)</f>
        <v>0</v>
      </c>
      <c r="Q648" s="1" t="str">
        <f aca="false">IF(B648="","","NEW-"&amp;TEXT(MAX($P$2:$P647,Lists!$N$2)+1,"0000"))</f>
        <v/>
      </c>
    </row>
    <row r="649" customFormat="false" ht="15" hidden="false" customHeight="true" outlineLevel="0" collapsed="false">
      <c r="A649" s="35" t="str">
        <f aca="false">IF(AND(B649="",C649="",D649="",E649="",F649="",G649="",H649="",J649="",L649="",M649="",N649=""),"",Q649)</f>
        <v/>
      </c>
      <c r="B649" s="36"/>
      <c r="C649" s="36"/>
      <c r="D649" s="36"/>
      <c r="E649" s="36"/>
      <c r="F649" s="36"/>
      <c r="G649" s="36"/>
      <c r="H649" s="36"/>
      <c r="I649" s="1" t="str">
        <f aca="false">IF($A649="","",IFERROR(IF(ISBLANK(INDEX(SprintPlanning[Sprint],MATCH($A649,SprintPlanning[Requirement ID],0))),"To Plan",INDEX(SprintPlanning[Sprint],MATCH($A649,SprintPlanning[Requirement ID],0))),"To Plan"))</f>
        <v/>
      </c>
      <c r="J649" s="36"/>
      <c r="K649" s="1" t="str">
        <f aca="false">IFERROR(IF(ISBLANK(INDEX(Release[Release],MATCH($A649,Release[Requirement ID],0))),"",INDEX(Release[Release],MATCH($A649,Release[Requirement ID],0))),"")</f>
        <v/>
      </c>
      <c r="L649" s="36"/>
      <c r="M649" s="36"/>
      <c r="P649" s="1" t="n">
        <f aca="false">IFERROR(VALUE(MID($A649,5,4)),0)</f>
        <v>0</v>
      </c>
      <c r="Q649" s="1" t="str">
        <f aca="false">IF(B649="","","NEW-"&amp;TEXT(MAX($P$2:$P648,Lists!$N$2)+1,"0000"))</f>
        <v/>
      </c>
    </row>
    <row r="650" customFormat="false" ht="15" hidden="false" customHeight="true" outlineLevel="0" collapsed="false">
      <c r="A650" s="35" t="str">
        <f aca="false">IF(AND(B650="",C650="",D650="",E650="",F650="",G650="",H650="",J650="",L650="",M650="",N650=""),"",Q650)</f>
        <v/>
      </c>
      <c r="B650" s="36"/>
      <c r="C650" s="36"/>
      <c r="D650" s="36"/>
      <c r="E650" s="36"/>
      <c r="F650" s="36"/>
      <c r="G650" s="36"/>
      <c r="H650" s="36"/>
      <c r="I650" s="1" t="str">
        <f aca="false">IF($A650="","",IFERROR(IF(ISBLANK(INDEX(SprintPlanning[Sprint],MATCH($A650,SprintPlanning[Requirement ID],0))),"To Plan",INDEX(SprintPlanning[Sprint],MATCH($A650,SprintPlanning[Requirement ID],0))),"To Plan"))</f>
        <v/>
      </c>
      <c r="J650" s="36"/>
      <c r="K650" s="1" t="str">
        <f aca="false">IFERROR(IF(ISBLANK(INDEX(Release[Release],MATCH($A650,Release[Requirement ID],0))),"",INDEX(Release[Release],MATCH($A650,Release[Requirement ID],0))),"")</f>
        <v/>
      </c>
      <c r="L650" s="36"/>
      <c r="M650" s="36"/>
      <c r="P650" s="1" t="n">
        <f aca="false">IFERROR(VALUE(MID($A650,5,4)),0)</f>
        <v>0</v>
      </c>
      <c r="Q650" s="1" t="str">
        <f aca="false">IF(B650="","","NEW-"&amp;TEXT(MAX($P$2:$P649,Lists!$N$2)+1,"0000"))</f>
        <v/>
      </c>
    </row>
    <row r="651" customFormat="false" ht="15" hidden="false" customHeight="true" outlineLevel="0" collapsed="false">
      <c r="A651" s="35" t="str">
        <f aca="false">IF(AND(B651="",C651="",D651="",E651="",F651="",G651="",H651="",J651="",L651="",M651="",N651=""),"",Q651)</f>
        <v/>
      </c>
      <c r="B651" s="36"/>
      <c r="C651" s="36"/>
      <c r="D651" s="36"/>
      <c r="E651" s="36"/>
      <c r="F651" s="36"/>
      <c r="G651" s="36"/>
      <c r="H651" s="36"/>
      <c r="I651" s="1" t="str">
        <f aca="false">IF($A651="","",IFERROR(IF(ISBLANK(INDEX(SprintPlanning[Sprint],MATCH($A651,SprintPlanning[Requirement ID],0))),"To Plan",INDEX(SprintPlanning[Sprint],MATCH($A651,SprintPlanning[Requirement ID],0))),"To Plan"))</f>
        <v/>
      </c>
      <c r="J651" s="36"/>
      <c r="K651" s="1" t="str">
        <f aca="false">IFERROR(IF(ISBLANK(INDEX(Release[Release],MATCH($A651,Release[Requirement ID],0))),"",INDEX(Release[Release],MATCH($A651,Release[Requirement ID],0))),"")</f>
        <v/>
      </c>
      <c r="L651" s="36"/>
      <c r="M651" s="36"/>
      <c r="P651" s="1" t="n">
        <f aca="false">IFERROR(VALUE(MID($A651,5,4)),0)</f>
        <v>0</v>
      </c>
      <c r="Q651" s="1" t="str">
        <f aca="false">IF(B651="","","NEW-"&amp;TEXT(MAX($P$2:$P650,Lists!$N$2)+1,"0000"))</f>
        <v/>
      </c>
    </row>
    <row r="652" customFormat="false" ht="15" hidden="false" customHeight="true" outlineLevel="0" collapsed="false">
      <c r="A652" s="35" t="str">
        <f aca="false">IF(AND(B652="",C652="",D652="",E652="",F652="",G652="",H652="",J652="",L652="",M652="",N652=""),"",Q652)</f>
        <v/>
      </c>
      <c r="B652" s="36"/>
      <c r="C652" s="36"/>
      <c r="D652" s="36"/>
      <c r="E652" s="36"/>
      <c r="F652" s="36"/>
      <c r="G652" s="36"/>
      <c r="H652" s="36"/>
      <c r="I652" s="1" t="str">
        <f aca="false">IF($A652="","",IFERROR(IF(ISBLANK(INDEX(SprintPlanning[Sprint],MATCH($A652,SprintPlanning[Requirement ID],0))),"To Plan",INDEX(SprintPlanning[Sprint],MATCH($A652,SprintPlanning[Requirement ID],0))),"To Plan"))</f>
        <v/>
      </c>
      <c r="J652" s="36"/>
      <c r="K652" s="1" t="str">
        <f aca="false">IFERROR(IF(ISBLANK(INDEX(Release[Release],MATCH($A652,Release[Requirement ID],0))),"",INDEX(Release[Release],MATCH($A652,Release[Requirement ID],0))),"")</f>
        <v/>
      </c>
      <c r="L652" s="36"/>
      <c r="M652" s="36"/>
      <c r="P652" s="1" t="n">
        <f aca="false">IFERROR(VALUE(MID($A652,5,4)),0)</f>
        <v>0</v>
      </c>
      <c r="Q652" s="1" t="str">
        <f aca="false">IF(B652="","","NEW-"&amp;TEXT(MAX($P$2:$P651,Lists!$N$2)+1,"0000"))</f>
        <v/>
      </c>
    </row>
    <row r="653" customFormat="false" ht="15" hidden="false" customHeight="true" outlineLevel="0" collapsed="false">
      <c r="A653" s="35" t="str">
        <f aca="false">IF(AND(B653="",C653="",D653="",E653="",F653="",G653="",H653="",J653="",L653="",M653="",N653=""),"",Q653)</f>
        <v/>
      </c>
      <c r="B653" s="36"/>
      <c r="C653" s="36"/>
      <c r="D653" s="36"/>
      <c r="E653" s="36"/>
      <c r="F653" s="36"/>
      <c r="G653" s="36"/>
      <c r="H653" s="36"/>
      <c r="I653" s="1" t="str">
        <f aca="false">IF($A653="","",IFERROR(IF(ISBLANK(INDEX(SprintPlanning[Sprint],MATCH($A653,SprintPlanning[Requirement ID],0))),"To Plan",INDEX(SprintPlanning[Sprint],MATCH($A653,SprintPlanning[Requirement ID],0))),"To Plan"))</f>
        <v/>
      </c>
      <c r="J653" s="36"/>
      <c r="K653" s="1" t="str">
        <f aca="false">IFERROR(IF(ISBLANK(INDEX(Release[Release],MATCH($A653,Release[Requirement ID],0))),"",INDEX(Release[Release],MATCH($A653,Release[Requirement ID],0))),"")</f>
        <v/>
      </c>
      <c r="L653" s="36"/>
      <c r="M653" s="36"/>
      <c r="P653" s="1" t="n">
        <f aca="false">IFERROR(VALUE(MID($A653,5,4)),0)</f>
        <v>0</v>
      </c>
      <c r="Q653" s="1" t="str">
        <f aca="false">IF(B653="","","NEW-"&amp;TEXT(MAX($P$2:$P652,Lists!$N$2)+1,"0000"))</f>
        <v/>
      </c>
    </row>
    <row r="654" customFormat="false" ht="15" hidden="false" customHeight="true" outlineLevel="0" collapsed="false">
      <c r="A654" s="35" t="str">
        <f aca="false">IF(AND(B654="",C654="",D654="",E654="",F654="",G654="",H654="",J654="",L654="",M654="",N654=""),"",Q654)</f>
        <v/>
      </c>
      <c r="B654" s="36"/>
      <c r="C654" s="36"/>
      <c r="D654" s="36"/>
      <c r="E654" s="36"/>
      <c r="F654" s="36"/>
      <c r="G654" s="36"/>
      <c r="H654" s="36"/>
      <c r="I654" s="1" t="str">
        <f aca="false">IF($A654="","",IFERROR(IF(ISBLANK(INDEX(SprintPlanning[Sprint],MATCH($A654,SprintPlanning[Requirement ID],0))),"To Plan",INDEX(SprintPlanning[Sprint],MATCH($A654,SprintPlanning[Requirement ID],0))),"To Plan"))</f>
        <v/>
      </c>
      <c r="J654" s="36"/>
      <c r="K654" s="1" t="str">
        <f aca="false">IFERROR(IF(ISBLANK(INDEX(Release[Release],MATCH($A654,Release[Requirement ID],0))),"",INDEX(Release[Release],MATCH($A654,Release[Requirement ID],0))),"")</f>
        <v/>
      </c>
      <c r="L654" s="36"/>
      <c r="M654" s="36"/>
      <c r="P654" s="1" t="n">
        <f aca="false">IFERROR(VALUE(MID($A654,5,4)),0)</f>
        <v>0</v>
      </c>
      <c r="Q654" s="1" t="str">
        <f aca="false">IF(B654="","","NEW-"&amp;TEXT(MAX($P$2:$P653,Lists!$N$2)+1,"0000"))</f>
        <v/>
      </c>
    </row>
    <row r="655" customFormat="false" ht="15" hidden="false" customHeight="true" outlineLevel="0" collapsed="false">
      <c r="A655" s="35" t="str">
        <f aca="false">IF(AND(B655="",C655="",D655="",E655="",F655="",G655="",H655="",J655="",L655="",M655="",N655=""),"",Q655)</f>
        <v/>
      </c>
      <c r="B655" s="36"/>
      <c r="C655" s="36"/>
      <c r="D655" s="36"/>
      <c r="E655" s="36"/>
      <c r="F655" s="36"/>
      <c r="G655" s="36"/>
      <c r="H655" s="36"/>
      <c r="I655" s="1" t="str">
        <f aca="false">IF($A655="","",IFERROR(IF(ISBLANK(INDEX(SprintPlanning[Sprint],MATCH($A655,SprintPlanning[Requirement ID],0))),"To Plan",INDEX(SprintPlanning[Sprint],MATCH($A655,SprintPlanning[Requirement ID],0))),"To Plan"))</f>
        <v/>
      </c>
      <c r="J655" s="36"/>
      <c r="K655" s="1" t="str">
        <f aca="false">IFERROR(IF(ISBLANK(INDEX(Release[Release],MATCH($A655,Release[Requirement ID],0))),"",INDEX(Release[Release],MATCH($A655,Release[Requirement ID],0))),"")</f>
        <v/>
      </c>
      <c r="L655" s="36"/>
      <c r="M655" s="36"/>
      <c r="P655" s="1" t="n">
        <f aca="false">IFERROR(VALUE(MID($A655,5,4)),0)</f>
        <v>0</v>
      </c>
      <c r="Q655" s="1" t="str">
        <f aca="false">IF(B655="","","NEW-"&amp;TEXT(MAX($P$2:$P654,Lists!$N$2)+1,"0000"))</f>
        <v/>
      </c>
    </row>
    <row r="656" customFormat="false" ht="15" hidden="false" customHeight="true" outlineLevel="0" collapsed="false">
      <c r="A656" s="35" t="str">
        <f aca="false">IF(AND(B656="",C656="",D656="",E656="",F656="",G656="",H656="",J656="",L656="",M656="",N656=""),"",Q656)</f>
        <v/>
      </c>
      <c r="B656" s="36"/>
      <c r="C656" s="36"/>
      <c r="D656" s="36"/>
      <c r="E656" s="36"/>
      <c r="F656" s="36"/>
      <c r="G656" s="36"/>
      <c r="H656" s="36"/>
      <c r="I656" s="1" t="str">
        <f aca="false">IF($A656="","",IFERROR(IF(ISBLANK(INDEX(SprintPlanning[Sprint],MATCH($A656,SprintPlanning[Requirement ID],0))),"To Plan",INDEX(SprintPlanning[Sprint],MATCH($A656,SprintPlanning[Requirement ID],0))),"To Plan"))</f>
        <v/>
      </c>
      <c r="J656" s="36"/>
      <c r="K656" s="1" t="str">
        <f aca="false">IFERROR(IF(ISBLANK(INDEX(Release[Release],MATCH($A656,Release[Requirement ID],0))),"",INDEX(Release[Release],MATCH($A656,Release[Requirement ID],0))),"")</f>
        <v/>
      </c>
      <c r="L656" s="36"/>
      <c r="M656" s="36"/>
      <c r="P656" s="1" t="n">
        <f aca="false">IFERROR(VALUE(MID($A656,5,4)),0)</f>
        <v>0</v>
      </c>
      <c r="Q656" s="1" t="str">
        <f aca="false">IF(B656="","","NEW-"&amp;TEXT(MAX($P$2:$P655,Lists!$N$2)+1,"0000"))</f>
        <v/>
      </c>
    </row>
    <row r="657" customFormat="false" ht="15" hidden="false" customHeight="true" outlineLevel="0" collapsed="false">
      <c r="A657" s="35" t="str">
        <f aca="false">IF(AND(B657="",C657="",D657="",E657="",F657="",G657="",H657="",J657="",L657="",M657="",N657=""),"",Q657)</f>
        <v/>
      </c>
      <c r="B657" s="36"/>
      <c r="C657" s="36"/>
      <c r="D657" s="36"/>
      <c r="E657" s="36"/>
      <c r="F657" s="36"/>
      <c r="G657" s="36"/>
      <c r="H657" s="36"/>
      <c r="I657" s="1" t="str">
        <f aca="false">IF($A657="","",IFERROR(IF(ISBLANK(INDEX(SprintPlanning[Sprint],MATCH($A657,SprintPlanning[Requirement ID],0))),"To Plan",INDEX(SprintPlanning[Sprint],MATCH($A657,SprintPlanning[Requirement ID],0))),"To Plan"))</f>
        <v/>
      </c>
      <c r="J657" s="36"/>
      <c r="K657" s="1" t="str">
        <f aca="false">IFERROR(IF(ISBLANK(INDEX(Release[Release],MATCH($A657,Release[Requirement ID],0))),"",INDEX(Release[Release],MATCH($A657,Release[Requirement ID],0))),"")</f>
        <v/>
      </c>
      <c r="L657" s="36"/>
      <c r="M657" s="36"/>
      <c r="P657" s="1" t="n">
        <f aca="false">IFERROR(VALUE(MID($A657,5,4)),0)</f>
        <v>0</v>
      </c>
      <c r="Q657" s="1" t="str">
        <f aca="false">IF(B657="","","NEW-"&amp;TEXT(MAX($P$2:$P656,Lists!$N$2)+1,"0000"))</f>
        <v/>
      </c>
    </row>
    <row r="658" customFormat="false" ht="15" hidden="false" customHeight="true" outlineLevel="0" collapsed="false">
      <c r="A658" s="35" t="str">
        <f aca="false">IF(AND(B658="",C658="",D658="",E658="",F658="",G658="",H658="",J658="",L658="",M658="",N658=""),"",Q658)</f>
        <v/>
      </c>
      <c r="B658" s="36"/>
      <c r="C658" s="36"/>
      <c r="D658" s="36"/>
      <c r="E658" s="36"/>
      <c r="F658" s="36"/>
      <c r="G658" s="36"/>
      <c r="H658" s="36"/>
      <c r="I658" s="1" t="str">
        <f aca="false">IF($A658="","",IFERROR(IF(ISBLANK(INDEX(SprintPlanning[Sprint],MATCH($A658,SprintPlanning[Requirement ID],0))),"To Plan",INDEX(SprintPlanning[Sprint],MATCH($A658,SprintPlanning[Requirement ID],0))),"To Plan"))</f>
        <v/>
      </c>
      <c r="J658" s="36"/>
      <c r="K658" s="1" t="str">
        <f aca="false">IFERROR(IF(ISBLANK(INDEX(Release[Release],MATCH($A658,Release[Requirement ID],0))),"",INDEX(Release[Release],MATCH($A658,Release[Requirement ID],0))),"")</f>
        <v/>
      </c>
      <c r="L658" s="36"/>
      <c r="M658" s="36"/>
      <c r="P658" s="1" t="n">
        <f aca="false">IFERROR(VALUE(MID($A658,5,4)),0)</f>
        <v>0</v>
      </c>
      <c r="Q658" s="1" t="str">
        <f aca="false">IF(B658="","","NEW-"&amp;TEXT(MAX($P$2:$P657,Lists!$N$2)+1,"0000"))</f>
        <v/>
      </c>
    </row>
    <row r="659" customFormat="false" ht="15" hidden="false" customHeight="true" outlineLevel="0" collapsed="false">
      <c r="A659" s="35" t="str">
        <f aca="false">IF(AND(B659="",C659="",D659="",E659="",F659="",G659="",H659="",J659="",L659="",M659="",N659=""),"",Q659)</f>
        <v/>
      </c>
      <c r="B659" s="36"/>
      <c r="C659" s="36"/>
      <c r="D659" s="36"/>
      <c r="E659" s="36"/>
      <c r="F659" s="36"/>
      <c r="G659" s="36"/>
      <c r="H659" s="36"/>
      <c r="I659" s="1" t="str">
        <f aca="false">IF($A659="","",IFERROR(IF(ISBLANK(INDEX(SprintPlanning[Sprint],MATCH($A659,SprintPlanning[Requirement ID],0))),"To Plan",INDEX(SprintPlanning[Sprint],MATCH($A659,SprintPlanning[Requirement ID],0))),"To Plan"))</f>
        <v/>
      </c>
      <c r="J659" s="36"/>
      <c r="K659" s="1" t="str">
        <f aca="false">IFERROR(IF(ISBLANK(INDEX(Release[Release],MATCH($A659,Release[Requirement ID],0))),"",INDEX(Release[Release],MATCH($A659,Release[Requirement ID],0))),"")</f>
        <v/>
      </c>
      <c r="L659" s="36"/>
      <c r="M659" s="36"/>
      <c r="P659" s="1" t="n">
        <f aca="false">IFERROR(VALUE(MID($A659,5,4)),0)</f>
        <v>0</v>
      </c>
      <c r="Q659" s="1" t="str">
        <f aca="false">IF(B659="","","NEW-"&amp;TEXT(MAX($P$2:$P658,Lists!$N$2)+1,"0000"))</f>
        <v/>
      </c>
    </row>
    <row r="660" customFormat="false" ht="15" hidden="false" customHeight="true" outlineLevel="0" collapsed="false">
      <c r="A660" s="35" t="str">
        <f aca="false">IF(AND(B660="",C660="",D660="",E660="",F660="",G660="",H660="",J660="",L660="",M660="",N660=""),"",Q660)</f>
        <v/>
      </c>
      <c r="B660" s="36"/>
      <c r="C660" s="36"/>
      <c r="D660" s="36"/>
      <c r="E660" s="36"/>
      <c r="F660" s="36"/>
      <c r="G660" s="36"/>
      <c r="H660" s="36"/>
      <c r="I660" s="1" t="str">
        <f aca="false">IF($A660="","",IFERROR(IF(ISBLANK(INDEX(SprintPlanning[Sprint],MATCH($A660,SprintPlanning[Requirement ID],0))),"To Plan",INDEX(SprintPlanning[Sprint],MATCH($A660,SprintPlanning[Requirement ID],0))),"To Plan"))</f>
        <v/>
      </c>
      <c r="J660" s="36"/>
      <c r="K660" s="1" t="str">
        <f aca="false">IFERROR(IF(ISBLANK(INDEX(Release[Release],MATCH($A660,Release[Requirement ID],0))),"",INDEX(Release[Release],MATCH($A660,Release[Requirement ID],0))),"")</f>
        <v/>
      </c>
      <c r="L660" s="36"/>
      <c r="M660" s="36"/>
      <c r="P660" s="1" t="n">
        <f aca="false">IFERROR(VALUE(MID($A660,5,4)),0)</f>
        <v>0</v>
      </c>
      <c r="Q660" s="1" t="str">
        <f aca="false">IF(B660="","","NEW-"&amp;TEXT(MAX($P$2:$P659,Lists!$N$2)+1,"0000"))</f>
        <v/>
      </c>
    </row>
    <row r="661" customFormat="false" ht="15" hidden="false" customHeight="true" outlineLevel="0" collapsed="false">
      <c r="A661" s="35" t="str">
        <f aca="false">IF(AND(B661="",C661="",D661="",E661="",F661="",G661="",H661="",J661="",L661="",M661="",N661=""),"",Q661)</f>
        <v/>
      </c>
      <c r="B661" s="36"/>
      <c r="C661" s="36"/>
      <c r="D661" s="36"/>
      <c r="E661" s="36"/>
      <c r="F661" s="36"/>
      <c r="G661" s="36"/>
      <c r="H661" s="36"/>
      <c r="I661" s="1" t="str">
        <f aca="false">IF($A661="","",IFERROR(IF(ISBLANK(INDEX(SprintPlanning[Sprint],MATCH($A661,SprintPlanning[Requirement ID],0))),"To Plan",INDEX(SprintPlanning[Sprint],MATCH($A661,SprintPlanning[Requirement ID],0))),"To Plan"))</f>
        <v/>
      </c>
      <c r="J661" s="36"/>
      <c r="K661" s="1" t="str">
        <f aca="false">IFERROR(IF(ISBLANK(INDEX(Release[Release],MATCH($A661,Release[Requirement ID],0))),"",INDEX(Release[Release],MATCH($A661,Release[Requirement ID],0))),"")</f>
        <v/>
      </c>
      <c r="L661" s="36"/>
      <c r="M661" s="36"/>
      <c r="P661" s="1" t="n">
        <f aca="false">IFERROR(VALUE(MID($A661,5,4)),0)</f>
        <v>0</v>
      </c>
      <c r="Q661" s="1" t="str">
        <f aca="false">IF(B661="","","NEW-"&amp;TEXT(MAX($P$2:$P660,Lists!$N$2)+1,"0000"))</f>
        <v/>
      </c>
    </row>
    <row r="662" customFormat="false" ht="15" hidden="false" customHeight="true" outlineLevel="0" collapsed="false">
      <c r="A662" s="35" t="str">
        <f aca="false">IF(AND(B662="",C662="",D662="",E662="",F662="",G662="",H662="",J662="",L662="",M662="",N662=""),"",Q662)</f>
        <v/>
      </c>
      <c r="B662" s="36"/>
      <c r="C662" s="36"/>
      <c r="D662" s="36"/>
      <c r="E662" s="36"/>
      <c r="F662" s="36"/>
      <c r="G662" s="36"/>
      <c r="H662" s="36"/>
      <c r="I662" s="1" t="str">
        <f aca="false">IF($A662="","",IFERROR(IF(ISBLANK(INDEX(SprintPlanning[Sprint],MATCH($A662,SprintPlanning[Requirement ID],0))),"To Plan",INDEX(SprintPlanning[Sprint],MATCH($A662,SprintPlanning[Requirement ID],0))),"To Plan"))</f>
        <v/>
      </c>
      <c r="J662" s="36"/>
      <c r="K662" s="1" t="str">
        <f aca="false">IFERROR(IF(ISBLANK(INDEX(Release[Release],MATCH($A662,Release[Requirement ID],0))),"",INDEX(Release[Release],MATCH($A662,Release[Requirement ID],0))),"")</f>
        <v/>
      </c>
      <c r="L662" s="36"/>
      <c r="M662" s="36"/>
      <c r="P662" s="1" t="n">
        <f aca="false">IFERROR(VALUE(MID($A662,5,4)),0)</f>
        <v>0</v>
      </c>
      <c r="Q662" s="1" t="str">
        <f aca="false">IF(B662="","","NEW-"&amp;TEXT(MAX($P$2:$P661,Lists!$N$2)+1,"0000"))</f>
        <v/>
      </c>
    </row>
    <row r="663" customFormat="false" ht="15" hidden="false" customHeight="true" outlineLevel="0" collapsed="false">
      <c r="A663" s="35" t="str">
        <f aca="false">IF(AND(B663="",C663="",D663="",E663="",F663="",G663="",H663="",J663="",L663="",M663="",N663=""),"",Q663)</f>
        <v/>
      </c>
      <c r="B663" s="36"/>
      <c r="C663" s="36"/>
      <c r="D663" s="36"/>
      <c r="E663" s="36"/>
      <c r="F663" s="36"/>
      <c r="G663" s="36"/>
      <c r="H663" s="36"/>
      <c r="I663" s="1" t="str">
        <f aca="false">IF($A663="","",IFERROR(IF(ISBLANK(INDEX(SprintPlanning[Sprint],MATCH($A663,SprintPlanning[Requirement ID],0))),"To Plan",INDEX(SprintPlanning[Sprint],MATCH($A663,SprintPlanning[Requirement ID],0))),"To Plan"))</f>
        <v/>
      </c>
      <c r="J663" s="36"/>
      <c r="K663" s="1" t="str">
        <f aca="false">IFERROR(IF(ISBLANK(INDEX(Release[Release],MATCH($A663,Release[Requirement ID],0))),"",INDEX(Release[Release],MATCH($A663,Release[Requirement ID],0))),"")</f>
        <v/>
      </c>
      <c r="L663" s="36"/>
      <c r="M663" s="36"/>
      <c r="P663" s="1" t="n">
        <f aca="false">IFERROR(VALUE(MID($A663,5,4)),0)</f>
        <v>0</v>
      </c>
      <c r="Q663" s="1" t="str">
        <f aca="false">IF(B663="","","NEW-"&amp;TEXT(MAX($P$2:$P662,Lists!$N$2)+1,"0000"))</f>
        <v/>
      </c>
    </row>
    <row r="664" customFormat="false" ht="15" hidden="false" customHeight="true" outlineLevel="0" collapsed="false">
      <c r="A664" s="35" t="str">
        <f aca="false">IF(AND(B664="",C664="",D664="",E664="",F664="",G664="",H664="",J664="",L664="",M664="",N664=""),"",Q664)</f>
        <v/>
      </c>
      <c r="B664" s="36"/>
      <c r="C664" s="36"/>
      <c r="D664" s="36"/>
      <c r="E664" s="36"/>
      <c r="F664" s="36"/>
      <c r="G664" s="36"/>
      <c r="H664" s="36"/>
      <c r="I664" s="1" t="str">
        <f aca="false">IF($A664="","",IFERROR(IF(ISBLANK(INDEX(SprintPlanning[Sprint],MATCH($A664,SprintPlanning[Requirement ID],0))),"To Plan",INDEX(SprintPlanning[Sprint],MATCH($A664,SprintPlanning[Requirement ID],0))),"To Plan"))</f>
        <v/>
      </c>
      <c r="J664" s="36"/>
      <c r="K664" s="1" t="str">
        <f aca="false">IFERROR(IF(ISBLANK(INDEX(Release[Release],MATCH($A664,Release[Requirement ID],0))),"",INDEX(Release[Release],MATCH($A664,Release[Requirement ID],0))),"")</f>
        <v/>
      </c>
      <c r="L664" s="36"/>
      <c r="M664" s="36"/>
      <c r="P664" s="1" t="n">
        <f aca="false">IFERROR(VALUE(MID($A664,5,4)),0)</f>
        <v>0</v>
      </c>
      <c r="Q664" s="1" t="str">
        <f aca="false">IF(B664="","","NEW-"&amp;TEXT(MAX($P$2:$P663,Lists!$N$2)+1,"0000"))</f>
        <v/>
      </c>
    </row>
    <row r="665" customFormat="false" ht="15" hidden="false" customHeight="true" outlineLevel="0" collapsed="false">
      <c r="A665" s="35" t="str">
        <f aca="false">IF(AND(B665="",C665="",D665="",E665="",F665="",G665="",H665="",J665="",L665="",M665="",N665=""),"",Q665)</f>
        <v/>
      </c>
      <c r="B665" s="36"/>
      <c r="C665" s="36"/>
      <c r="D665" s="36"/>
      <c r="E665" s="36"/>
      <c r="F665" s="36"/>
      <c r="G665" s="36"/>
      <c r="H665" s="36"/>
      <c r="I665" s="1" t="str">
        <f aca="false">IF($A665="","",IFERROR(IF(ISBLANK(INDEX(SprintPlanning[Sprint],MATCH($A665,SprintPlanning[Requirement ID],0))),"To Plan",INDEX(SprintPlanning[Sprint],MATCH($A665,SprintPlanning[Requirement ID],0))),"To Plan"))</f>
        <v/>
      </c>
      <c r="J665" s="36"/>
      <c r="K665" s="1" t="str">
        <f aca="false">IFERROR(IF(ISBLANK(INDEX(Release[Release],MATCH($A665,Release[Requirement ID],0))),"",INDEX(Release[Release],MATCH($A665,Release[Requirement ID],0))),"")</f>
        <v/>
      </c>
      <c r="L665" s="36"/>
      <c r="M665" s="36"/>
      <c r="P665" s="1" t="n">
        <f aca="false">IFERROR(VALUE(MID($A665,5,4)),0)</f>
        <v>0</v>
      </c>
      <c r="Q665" s="1" t="str">
        <f aca="false">IF(B665="","","NEW-"&amp;TEXT(MAX($P$2:$P664,Lists!$N$2)+1,"0000"))</f>
        <v/>
      </c>
    </row>
    <row r="666" customFormat="false" ht="15" hidden="false" customHeight="true" outlineLevel="0" collapsed="false">
      <c r="A666" s="35" t="str">
        <f aca="false">IF(AND(B666="",C666="",D666="",E666="",F666="",G666="",H666="",J666="",L666="",M666="",N666=""),"",Q666)</f>
        <v/>
      </c>
      <c r="B666" s="36"/>
      <c r="C666" s="36"/>
      <c r="D666" s="36"/>
      <c r="E666" s="36"/>
      <c r="F666" s="36"/>
      <c r="G666" s="36"/>
      <c r="H666" s="36"/>
      <c r="I666" s="1" t="str">
        <f aca="false">IF($A666="","",IFERROR(IF(ISBLANK(INDEX(SprintPlanning[Sprint],MATCH($A666,SprintPlanning[Requirement ID],0))),"To Plan",INDEX(SprintPlanning[Sprint],MATCH($A666,SprintPlanning[Requirement ID],0))),"To Plan"))</f>
        <v/>
      </c>
      <c r="J666" s="36"/>
      <c r="K666" s="1" t="str">
        <f aca="false">IFERROR(IF(ISBLANK(INDEX(Release[Release],MATCH($A666,Release[Requirement ID],0))),"",INDEX(Release[Release],MATCH($A666,Release[Requirement ID],0))),"")</f>
        <v/>
      </c>
      <c r="L666" s="36"/>
      <c r="M666" s="36"/>
      <c r="P666" s="1" t="n">
        <f aca="false">IFERROR(VALUE(MID($A666,5,4)),0)</f>
        <v>0</v>
      </c>
      <c r="Q666" s="1" t="str">
        <f aca="false">IF(B666="","","NEW-"&amp;TEXT(MAX($P$2:$P665,Lists!$N$2)+1,"0000"))</f>
        <v/>
      </c>
    </row>
    <row r="667" customFormat="false" ht="15" hidden="false" customHeight="true" outlineLevel="0" collapsed="false">
      <c r="A667" s="35" t="str">
        <f aca="false">IF(AND(B667="",C667="",D667="",E667="",F667="",G667="",H667="",J667="",L667="",M667="",N667=""),"",Q667)</f>
        <v/>
      </c>
      <c r="B667" s="36"/>
      <c r="C667" s="36"/>
      <c r="D667" s="36"/>
      <c r="E667" s="36"/>
      <c r="F667" s="36"/>
      <c r="G667" s="36"/>
      <c r="H667" s="36"/>
      <c r="I667" s="1" t="str">
        <f aca="false">IF($A667="","",IFERROR(IF(ISBLANK(INDEX(SprintPlanning[Sprint],MATCH($A667,SprintPlanning[Requirement ID],0))),"To Plan",INDEX(SprintPlanning[Sprint],MATCH($A667,SprintPlanning[Requirement ID],0))),"To Plan"))</f>
        <v/>
      </c>
      <c r="J667" s="36"/>
      <c r="K667" s="1" t="str">
        <f aca="false">IFERROR(IF(ISBLANK(INDEX(Release[Release],MATCH($A667,Release[Requirement ID],0))),"",INDEX(Release[Release],MATCH($A667,Release[Requirement ID],0))),"")</f>
        <v/>
      </c>
      <c r="L667" s="36"/>
      <c r="M667" s="36"/>
      <c r="P667" s="1" t="n">
        <f aca="false">IFERROR(VALUE(MID($A667,5,4)),0)</f>
        <v>0</v>
      </c>
      <c r="Q667" s="1" t="str">
        <f aca="false">IF(B667="","","NEW-"&amp;TEXT(MAX($P$2:$P666,Lists!$N$2)+1,"0000"))</f>
        <v/>
      </c>
    </row>
    <row r="668" customFormat="false" ht="15" hidden="false" customHeight="true" outlineLevel="0" collapsed="false">
      <c r="A668" s="35" t="str">
        <f aca="false">IF(AND(B668="",C668="",D668="",E668="",F668="",G668="",H668="",J668="",L668="",M668="",N668=""),"",Q668)</f>
        <v/>
      </c>
      <c r="B668" s="36"/>
      <c r="C668" s="36"/>
      <c r="D668" s="36"/>
      <c r="E668" s="36"/>
      <c r="F668" s="36"/>
      <c r="G668" s="36"/>
      <c r="H668" s="36"/>
      <c r="I668" s="1" t="str">
        <f aca="false">IF($A668="","",IFERROR(IF(ISBLANK(INDEX(SprintPlanning[Sprint],MATCH($A668,SprintPlanning[Requirement ID],0))),"To Plan",INDEX(SprintPlanning[Sprint],MATCH($A668,SprintPlanning[Requirement ID],0))),"To Plan"))</f>
        <v/>
      </c>
      <c r="J668" s="36"/>
      <c r="K668" s="1" t="str">
        <f aca="false">IFERROR(IF(ISBLANK(INDEX(Release[Release],MATCH($A668,Release[Requirement ID],0))),"",INDEX(Release[Release],MATCH($A668,Release[Requirement ID],0))),"")</f>
        <v/>
      </c>
      <c r="L668" s="36"/>
      <c r="M668" s="36"/>
      <c r="P668" s="1" t="n">
        <f aca="false">IFERROR(VALUE(MID($A668,5,4)),0)</f>
        <v>0</v>
      </c>
      <c r="Q668" s="1" t="str">
        <f aca="false">IF(B668="","","NEW-"&amp;TEXT(MAX($P$2:$P667,Lists!$N$2)+1,"0000"))</f>
        <v/>
      </c>
    </row>
    <row r="669" customFormat="false" ht="15" hidden="false" customHeight="true" outlineLevel="0" collapsed="false">
      <c r="A669" s="35" t="str">
        <f aca="false">IF(AND(B669="",C669="",D669="",E669="",F669="",G669="",H669="",J669="",L669="",M669="",N669=""),"",Q669)</f>
        <v/>
      </c>
      <c r="B669" s="36"/>
      <c r="C669" s="36"/>
      <c r="D669" s="36"/>
      <c r="E669" s="36"/>
      <c r="F669" s="36"/>
      <c r="G669" s="36"/>
      <c r="H669" s="36"/>
      <c r="I669" s="1" t="str">
        <f aca="false">IF($A669="","",IFERROR(IF(ISBLANK(INDEX(SprintPlanning[Sprint],MATCH($A669,SprintPlanning[Requirement ID],0))),"To Plan",INDEX(SprintPlanning[Sprint],MATCH($A669,SprintPlanning[Requirement ID],0))),"To Plan"))</f>
        <v/>
      </c>
      <c r="J669" s="36"/>
      <c r="K669" s="1" t="str">
        <f aca="false">IFERROR(IF(ISBLANK(INDEX(Release[Release],MATCH($A669,Release[Requirement ID],0))),"",INDEX(Release[Release],MATCH($A669,Release[Requirement ID],0))),"")</f>
        <v/>
      </c>
      <c r="L669" s="36"/>
      <c r="M669" s="36"/>
      <c r="P669" s="1" t="n">
        <f aca="false">IFERROR(VALUE(MID($A669,5,4)),0)</f>
        <v>0</v>
      </c>
      <c r="Q669" s="1" t="str">
        <f aca="false">IF(B669="","","NEW-"&amp;TEXT(MAX($P$2:$P668,Lists!$N$2)+1,"0000"))</f>
        <v/>
      </c>
    </row>
    <row r="670" customFormat="false" ht="15" hidden="false" customHeight="true" outlineLevel="0" collapsed="false">
      <c r="A670" s="35" t="str">
        <f aca="false">IF(AND(B670="",C670="",D670="",E670="",F670="",G670="",H670="",J670="",L670="",M670="",N670=""),"",Q670)</f>
        <v/>
      </c>
      <c r="B670" s="36"/>
      <c r="C670" s="36"/>
      <c r="D670" s="36"/>
      <c r="E670" s="36"/>
      <c r="F670" s="36"/>
      <c r="G670" s="36"/>
      <c r="H670" s="36"/>
      <c r="I670" s="1" t="str">
        <f aca="false">IF($A670="","",IFERROR(IF(ISBLANK(INDEX(SprintPlanning[Sprint],MATCH($A670,SprintPlanning[Requirement ID],0))),"To Plan",INDEX(SprintPlanning[Sprint],MATCH($A670,SprintPlanning[Requirement ID],0))),"To Plan"))</f>
        <v/>
      </c>
      <c r="J670" s="36"/>
      <c r="K670" s="1" t="str">
        <f aca="false">IFERROR(IF(ISBLANK(INDEX(Release[Release],MATCH($A670,Release[Requirement ID],0))),"",INDEX(Release[Release],MATCH($A670,Release[Requirement ID],0))),"")</f>
        <v/>
      </c>
      <c r="L670" s="36"/>
      <c r="M670" s="36"/>
      <c r="P670" s="1" t="n">
        <f aca="false">IFERROR(VALUE(MID($A670,5,4)),0)</f>
        <v>0</v>
      </c>
      <c r="Q670" s="1" t="str">
        <f aca="false">IF(B670="","","NEW-"&amp;TEXT(MAX($P$2:$P669,Lists!$N$2)+1,"0000"))</f>
        <v/>
      </c>
    </row>
    <row r="671" customFormat="false" ht="15" hidden="false" customHeight="true" outlineLevel="0" collapsed="false">
      <c r="A671" s="35" t="str">
        <f aca="false">IF(AND(B671="",C671="",D671="",E671="",F671="",G671="",H671="",J671="",L671="",M671="",N671=""),"",Q671)</f>
        <v/>
      </c>
      <c r="B671" s="36"/>
      <c r="C671" s="36"/>
      <c r="D671" s="36"/>
      <c r="E671" s="36"/>
      <c r="F671" s="36"/>
      <c r="G671" s="36"/>
      <c r="H671" s="36"/>
      <c r="I671" s="1" t="str">
        <f aca="false">IF($A671="","",IFERROR(IF(ISBLANK(INDEX(SprintPlanning[Sprint],MATCH($A671,SprintPlanning[Requirement ID],0))),"To Plan",INDEX(SprintPlanning[Sprint],MATCH($A671,SprintPlanning[Requirement ID],0))),"To Plan"))</f>
        <v/>
      </c>
      <c r="J671" s="36"/>
      <c r="K671" s="1" t="str">
        <f aca="false">IFERROR(IF(ISBLANK(INDEX(Release[Release],MATCH($A671,Release[Requirement ID],0))),"",INDEX(Release[Release],MATCH($A671,Release[Requirement ID],0))),"")</f>
        <v/>
      </c>
      <c r="L671" s="36"/>
      <c r="M671" s="36"/>
      <c r="P671" s="1" t="n">
        <f aca="false">IFERROR(VALUE(MID($A671,5,4)),0)</f>
        <v>0</v>
      </c>
      <c r="Q671" s="1" t="str">
        <f aca="false">IF(B671="","","NEW-"&amp;TEXT(MAX($P$2:$P670,Lists!$N$2)+1,"0000"))</f>
        <v/>
      </c>
    </row>
    <row r="672" customFormat="false" ht="15" hidden="false" customHeight="true" outlineLevel="0" collapsed="false">
      <c r="A672" s="35" t="str">
        <f aca="false">IF(AND(B672="",C672="",D672="",E672="",F672="",G672="",H672="",J672="",L672="",M672="",N672=""),"",Q672)</f>
        <v/>
      </c>
      <c r="B672" s="36"/>
      <c r="C672" s="36"/>
      <c r="D672" s="36"/>
      <c r="E672" s="36"/>
      <c r="F672" s="36"/>
      <c r="G672" s="36"/>
      <c r="H672" s="36"/>
      <c r="I672" s="1" t="str">
        <f aca="false">IF($A672="","",IFERROR(IF(ISBLANK(INDEX(SprintPlanning[Sprint],MATCH($A672,SprintPlanning[Requirement ID],0))),"To Plan",INDEX(SprintPlanning[Sprint],MATCH($A672,SprintPlanning[Requirement ID],0))),"To Plan"))</f>
        <v/>
      </c>
      <c r="J672" s="36"/>
      <c r="K672" s="1" t="str">
        <f aca="false">IFERROR(IF(ISBLANK(INDEX(Release[Release],MATCH($A672,Release[Requirement ID],0))),"",INDEX(Release[Release],MATCH($A672,Release[Requirement ID],0))),"")</f>
        <v/>
      </c>
      <c r="L672" s="36"/>
      <c r="M672" s="36"/>
      <c r="P672" s="1" t="n">
        <f aca="false">IFERROR(VALUE(MID($A672,5,4)),0)</f>
        <v>0</v>
      </c>
      <c r="Q672" s="1" t="str">
        <f aca="false">IF(B672="","","NEW-"&amp;TEXT(MAX($P$2:$P671,Lists!$N$2)+1,"0000"))</f>
        <v/>
      </c>
    </row>
    <row r="673" customFormat="false" ht="15" hidden="false" customHeight="true" outlineLevel="0" collapsed="false">
      <c r="A673" s="35" t="str">
        <f aca="false">IF(AND(B673="",C673="",D673="",E673="",F673="",G673="",H673="",J673="",L673="",M673="",N673=""),"",Q673)</f>
        <v/>
      </c>
      <c r="B673" s="36"/>
      <c r="C673" s="36"/>
      <c r="D673" s="36"/>
      <c r="E673" s="36"/>
      <c r="F673" s="36"/>
      <c r="G673" s="36"/>
      <c r="H673" s="36"/>
      <c r="I673" s="1" t="str">
        <f aca="false">IF($A673="","",IFERROR(IF(ISBLANK(INDEX(SprintPlanning[Sprint],MATCH($A673,SprintPlanning[Requirement ID],0))),"To Plan",INDEX(SprintPlanning[Sprint],MATCH($A673,SprintPlanning[Requirement ID],0))),"To Plan"))</f>
        <v/>
      </c>
      <c r="J673" s="36"/>
      <c r="K673" s="1" t="str">
        <f aca="false">IFERROR(IF(ISBLANK(INDEX(Release[Release],MATCH($A673,Release[Requirement ID],0))),"",INDEX(Release[Release],MATCH($A673,Release[Requirement ID],0))),"")</f>
        <v/>
      </c>
      <c r="L673" s="36"/>
      <c r="M673" s="36"/>
      <c r="P673" s="1" t="n">
        <f aca="false">IFERROR(VALUE(MID($A673,5,4)),0)</f>
        <v>0</v>
      </c>
      <c r="Q673" s="1" t="str">
        <f aca="false">IF(B673="","","NEW-"&amp;TEXT(MAX($P$2:$P672,Lists!$N$2)+1,"0000"))</f>
        <v/>
      </c>
    </row>
    <row r="674" customFormat="false" ht="15" hidden="false" customHeight="true" outlineLevel="0" collapsed="false">
      <c r="A674" s="35" t="str">
        <f aca="false">IF(AND(B674="",C674="",D674="",E674="",F674="",G674="",H674="",J674="",L674="",M674="",N674=""),"",Q674)</f>
        <v/>
      </c>
      <c r="B674" s="36"/>
      <c r="C674" s="36"/>
      <c r="D674" s="36"/>
      <c r="E674" s="36"/>
      <c r="F674" s="36"/>
      <c r="G674" s="36"/>
      <c r="H674" s="36"/>
      <c r="I674" s="1" t="str">
        <f aca="false">IF($A674="","",IFERROR(IF(ISBLANK(INDEX(SprintPlanning[Sprint],MATCH($A674,SprintPlanning[Requirement ID],0))),"To Plan",INDEX(SprintPlanning[Sprint],MATCH($A674,SprintPlanning[Requirement ID],0))),"To Plan"))</f>
        <v/>
      </c>
      <c r="J674" s="36"/>
      <c r="K674" s="1" t="str">
        <f aca="false">IFERROR(IF(ISBLANK(INDEX(Release[Release],MATCH($A674,Release[Requirement ID],0))),"",INDEX(Release[Release],MATCH($A674,Release[Requirement ID],0))),"")</f>
        <v/>
      </c>
      <c r="L674" s="36"/>
      <c r="M674" s="36"/>
      <c r="P674" s="1" t="n">
        <f aca="false">IFERROR(VALUE(MID($A674,5,4)),0)</f>
        <v>0</v>
      </c>
      <c r="Q674" s="1" t="str">
        <f aca="false">IF(B674="","","NEW-"&amp;TEXT(MAX($P$2:$P673,Lists!$N$2)+1,"0000"))</f>
        <v/>
      </c>
    </row>
    <row r="675" customFormat="false" ht="15" hidden="false" customHeight="true" outlineLevel="0" collapsed="false">
      <c r="A675" s="35" t="str">
        <f aca="false">IF(AND(B675="",C675="",D675="",E675="",F675="",G675="",H675="",J675="",L675="",M675="",N675=""),"",Q675)</f>
        <v/>
      </c>
      <c r="B675" s="36"/>
      <c r="C675" s="36"/>
      <c r="D675" s="36"/>
      <c r="E675" s="36"/>
      <c r="F675" s="36"/>
      <c r="G675" s="36"/>
      <c r="H675" s="36"/>
      <c r="I675" s="1" t="str">
        <f aca="false">IF($A675="","",IFERROR(IF(ISBLANK(INDEX(SprintPlanning[Sprint],MATCH($A675,SprintPlanning[Requirement ID],0))),"To Plan",INDEX(SprintPlanning[Sprint],MATCH($A675,SprintPlanning[Requirement ID],0))),"To Plan"))</f>
        <v/>
      </c>
      <c r="J675" s="36"/>
      <c r="K675" s="1" t="str">
        <f aca="false">IFERROR(IF(ISBLANK(INDEX(Release[Release],MATCH($A675,Release[Requirement ID],0))),"",INDEX(Release[Release],MATCH($A675,Release[Requirement ID],0))),"")</f>
        <v/>
      </c>
      <c r="L675" s="36"/>
      <c r="M675" s="36"/>
      <c r="P675" s="1" t="n">
        <f aca="false">IFERROR(VALUE(MID($A675,5,4)),0)</f>
        <v>0</v>
      </c>
      <c r="Q675" s="1" t="str">
        <f aca="false">IF(B675="","","NEW-"&amp;TEXT(MAX($P$2:$P674,Lists!$N$2)+1,"0000"))</f>
        <v/>
      </c>
    </row>
    <row r="676" customFormat="false" ht="15" hidden="false" customHeight="true" outlineLevel="0" collapsed="false">
      <c r="A676" s="35" t="str">
        <f aca="false">IF(AND(B676="",C676="",D676="",E676="",F676="",G676="",H676="",J676="",L676="",M676="",N676=""),"",Q676)</f>
        <v/>
      </c>
      <c r="B676" s="36"/>
      <c r="C676" s="36"/>
      <c r="D676" s="36"/>
      <c r="E676" s="36"/>
      <c r="F676" s="36"/>
      <c r="G676" s="36"/>
      <c r="H676" s="36"/>
      <c r="I676" s="1" t="str">
        <f aca="false">IF($A676="","",IFERROR(IF(ISBLANK(INDEX(SprintPlanning[Sprint],MATCH($A676,SprintPlanning[Requirement ID],0))),"To Plan",INDEX(SprintPlanning[Sprint],MATCH($A676,SprintPlanning[Requirement ID],0))),"To Plan"))</f>
        <v/>
      </c>
      <c r="J676" s="36"/>
      <c r="K676" s="1" t="str">
        <f aca="false">IFERROR(IF(ISBLANK(INDEX(Release[Release],MATCH($A676,Release[Requirement ID],0))),"",INDEX(Release[Release],MATCH($A676,Release[Requirement ID],0))),"")</f>
        <v/>
      </c>
      <c r="L676" s="36"/>
      <c r="M676" s="36"/>
      <c r="P676" s="1" t="n">
        <f aca="false">IFERROR(VALUE(MID($A676,5,4)),0)</f>
        <v>0</v>
      </c>
      <c r="Q676" s="1" t="str">
        <f aca="false">IF(B676="","","NEW-"&amp;TEXT(MAX($P$2:$P675,Lists!$N$2)+1,"0000"))</f>
        <v/>
      </c>
    </row>
    <row r="677" customFormat="false" ht="15" hidden="false" customHeight="true" outlineLevel="0" collapsed="false">
      <c r="A677" s="35" t="str">
        <f aca="false">IF(AND(B677="",C677="",D677="",E677="",F677="",G677="",H677="",J677="",L677="",M677="",N677=""),"",Q677)</f>
        <v/>
      </c>
      <c r="B677" s="36"/>
      <c r="C677" s="36"/>
      <c r="D677" s="36"/>
      <c r="E677" s="36"/>
      <c r="F677" s="36"/>
      <c r="G677" s="36"/>
      <c r="H677" s="36"/>
      <c r="I677" s="1" t="str">
        <f aca="false">IF($A677="","",IFERROR(IF(ISBLANK(INDEX(SprintPlanning[Sprint],MATCH($A677,SprintPlanning[Requirement ID],0))),"To Plan",INDEX(SprintPlanning[Sprint],MATCH($A677,SprintPlanning[Requirement ID],0))),"To Plan"))</f>
        <v/>
      </c>
      <c r="J677" s="36"/>
      <c r="K677" s="1" t="str">
        <f aca="false">IFERROR(IF(ISBLANK(INDEX(Release[Release],MATCH($A677,Release[Requirement ID],0))),"",INDEX(Release[Release],MATCH($A677,Release[Requirement ID],0))),"")</f>
        <v/>
      </c>
      <c r="L677" s="36"/>
      <c r="M677" s="36"/>
      <c r="P677" s="1" t="n">
        <f aca="false">IFERROR(VALUE(MID($A677,5,4)),0)</f>
        <v>0</v>
      </c>
      <c r="Q677" s="1" t="str">
        <f aca="false">IF(B677="","","NEW-"&amp;TEXT(MAX($P$2:$P676,Lists!$N$2)+1,"0000"))</f>
        <v/>
      </c>
    </row>
    <row r="678" customFormat="false" ht="15" hidden="false" customHeight="true" outlineLevel="0" collapsed="false">
      <c r="A678" s="35" t="str">
        <f aca="false">IF(AND(B678="",C678="",D678="",E678="",F678="",G678="",H678="",J678="",L678="",M678="",N678=""),"",Q678)</f>
        <v/>
      </c>
      <c r="B678" s="36"/>
      <c r="C678" s="36"/>
      <c r="D678" s="36"/>
      <c r="E678" s="36"/>
      <c r="F678" s="36"/>
      <c r="G678" s="36"/>
      <c r="H678" s="36"/>
      <c r="I678" s="1" t="str">
        <f aca="false">IF($A678="","",IFERROR(IF(ISBLANK(INDEX(SprintPlanning[Sprint],MATCH($A678,SprintPlanning[Requirement ID],0))),"To Plan",INDEX(SprintPlanning[Sprint],MATCH($A678,SprintPlanning[Requirement ID],0))),"To Plan"))</f>
        <v/>
      </c>
      <c r="J678" s="36"/>
      <c r="K678" s="1" t="str">
        <f aca="false">IFERROR(IF(ISBLANK(INDEX(Release[Release],MATCH($A678,Release[Requirement ID],0))),"",INDEX(Release[Release],MATCH($A678,Release[Requirement ID],0))),"")</f>
        <v/>
      </c>
      <c r="L678" s="36"/>
      <c r="M678" s="36"/>
      <c r="P678" s="1" t="n">
        <f aca="false">IFERROR(VALUE(MID($A678,5,4)),0)</f>
        <v>0</v>
      </c>
      <c r="Q678" s="1" t="str">
        <f aca="false">IF(B678="","","NEW-"&amp;TEXT(MAX($P$2:$P677,Lists!$N$2)+1,"0000"))</f>
        <v/>
      </c>
    </row>
    <row r="679" customFormat="false" ht="15" hidden="false" customHeight="true" outlineLevel="0" collapsed="false">
      <c r="A679" s="35" t="str">
        <f aca="false">IF(AND(B679="",C679="",D679="",E679="",F679="",G679="",H679="",J679="",L679="",M679="",N679=""),"",Q679)</f>
        <v/>
      </c>
      <c r="B679" s="36"/>
      <c r="C679" s="36"/>
      <c r="D679" s="36"/>
      <c r="E679" s="36"/>
      <c r="F679" s="36"/>
      <c r="G679" s="36"/>
      <c r="H679" s="36"/>
      <c r="I679" s="1" t="str">
        <f aca="false">IF($A679="","",IFERROR(IF(ISBLANK(INDEX(SprintPlanning[Sprint],MATCH($A679,SprintPlanning[Requirement ID],0))),"To Plan",INDEX(SprintPlanning[Sprint],MATCH($A679,SprintPlanning[Requirement ID],0))),"To Plan"))</f>
        <v/>
      </c>
      <c r="J679" s="36"/>
      <c r="K679" s="1" t="str">
        <f aca="false">IFERROR(IF(ISBLANK(INDEX(Release[Release],MATCH($A679,Release[Requirement ID],0))),"",INDEX(Release[Release],MATCH($A679,Release[Requirement ID],0))),"")</f>
        <v/>
      </c>
      <c r="L679" s="36"/>
      <c r="M679" s="36"/>
      <c r="P679" s="1" t="n">
        <f aca="false">IFERROR(VALUE(MID($A679,5,4)),0)</f>
        <v>0</v>
      </c>
      <c r="Q679" s="1" t="str">
        <f aca="false">IF(B679="","","NEW-"&amp;TEXT(MAX($P$2:$P678,Lists!$N$2)+1,"0000"))</f>
        <v/>
      </c>
    </row>
    <row r="680" customFormat="false" ht="15" hidden="false" customHeight="true" outlineLevel="0" collapsed="false">
      <c r="A680" s="35" t="str">
        <f aca="false">IF(AND(B680="",C680="",D680="",E680="",F680="",G680="",H680="",J680="",L680="",M680="",N680=""),"",Q680)</f>
        <v/>
      </c>
      <c r="B680" s="36"/>
      <c r="C680" s="36"/>
      <c r="D680" s="36"/>
      <c r="E680" s="36"/>
      <c r="F680" s="36"/>
      <c r="G680" s="36"/>
      <c r="H680" s="36"/>
      <c r="I680" s="1" t="str">
        <f aca="false">IF($A680="","",IFERROR(IF(ISBLANK(INDEX(SprintPlanning[Sprint],MATCH($A680,SprintPlanning[Requirement ID],0))),"To Plan",INDEX(SprintPlanning[Sprint],MATCH($A680,SprintPlanning[Requirement ID],0))),"To Plan"))</f>
        <v/>
      </c>
      <c r="J680" s="36"/>
      <c r="K680" s="1" t="str">
        <f aca="false">IFERROR(IF(ISBLANK(INDEX(Release[Release],MATCH($A680,Release[Requirement ID],0))),"",INDEX(Release[Release],MATCH($A680,Release[Requirement ID],0))),"")</f>
        <v/>
      </c>
      <c r="L680" s="36"/>
      <c r="M680" s="36"/>
      <c r="P680" s="1" t="n">
        <f aca="false">IFERROR(VALUE(MID($A680,5,4)),0)</f>
        <v>0</v>
      </c>
      <c r="Q680" s="1" t="str">
        <f aca="false">IF(B680="","","NEW-"&amp;TEXT(MAX($P$2:$P679,Lists!$N$2)+1,"0000"))</f>
        <v/>
      </c>
    </row>
    <row r="681" customFormat="false" ht="15" hidden="false" customHeight="true" outlineLevel="0" collapsed="false">
      <c r="A681" s="35" t="str">
        <f aca="false">IF(AND(B681="",C681="",D681="",E681="",F681="",G681="",H681="",J681="",L681="",M681="",N681=""),"",Q681)</f>
        <v/>
      </c>
      <c r="B681" s="36"/>
      <c r="C681" s="36"/>
      <c r="D681" s="36"/>
      <c r="E681" s="36"/>
      <c r="F681" s="36"/>
      <c r="G681" s="36"/>
      <c r="H681" s="36"/>
      <c r="I681" s="1" t="str">
        <f aca="false">IF($A681="","",IFERROR(IF(ISBLANK(INDEX(SprintPlanning[Sprint],MATCH($A681,SprintPlanning[Requirement ID],0))),"To Plan",INDEX(SprintPlanning[Sprint],MATCH($A681,SprintPlanning[Requirement ID],0))),"To Plan"))</f>
        <v/>
      </c>
      <c r="J681" s="36"/>
      <c r="K681" s="1" t="str">
        <f aca="false">IFERROR(IF(ISBLANK(INDEX(Release[Release],MATCH($A681,Release[Requirement ID],0))),"",INDEX(Release[Release],MATCH($A681,Release[Requirement ID],0))),"")</f>
        <v/>
      </c>
      <c r="L681" s="36"/>
      <c r="M681" s="36"/>
      <c r="P681" s="1" t="n">
        <f aca="false">IFERROR(VALUE(MID($A681,5,4)),0)</f>
        <v>0</v>
      </c>
      <c r="Q681" s="1" t="str">
        <f aca="false">IF(B681="","","NEW-"&amp;TEXT(MAX($P$2:$P680,Lists!$N$2)+1,"0000"))</f>
        <v/>
      </c>
    </row>
    <row r="682" customFormat="false" ht="15" hidden="false" customHeight="true" outlineLevel="0" collapsed="false">
      <c r="A682" s="35" t="str">
        <f aca="false">IF(AND(B682="",C682="",D682="",E682="",F682="",G682="",H682="",J682="",L682="",M682="",N682=""),"",Q682)</f>
        <v/>
      </c>
      <c r="B682" s="36"/>
      <c r="C682" s="36"/>
      <c r="D682" s="36"/>
      <c r="E682" s="36"/>
      <c r="F682" s="36"/>
      <c r="G682" s="36"/>
      <c r="H682" s="36"/>
      <c r="I682" s="1" t="str">
        <f aca="false">IF($A682="","",IFERROR(IF(ISBLANK(INDEX(SprintPlanning[Sprint],MATCH($A682,SprintPlanning[Requirement ID],0))),"To Plan",INDEX(SprintPlanning[Sprint],MATCH($A682,SprintPlanning[Requirement ID],0))),"To Plan"))</f>
        <v/>
      </c>
      <c r="J682" s="36"/>
      <c r="K682" s="1" t="str">
        <f aca="false">IFERROR(IF(ISBLANK(INDEX(Release[Release],MATCH($A682,Release[Requirement ID],0))),"",INDEX(Release[Release],MATCH($A682,Release[Requirement ID],0))),"")</f>
        <v/>
      </c>
      <c r="L682" s="36"/>
      <c r="M682" s="36"/>
      <c r="P682" s="1" t="n">
        <f aca="false">IFERROR(VALUE(MID($A682,5,4)),0)</f>
        <v>0</v>
      </c>
      <c r="Q682" s="1" t="str">
        <f aca="false">IF(B682="","","NEW-"&amp;TEXT(MAX($P$2:$P681,Lists!$N$2)+1,"0000"))</f>
        <v/>
      </c>
    </row>
    <row r="683" customFormat="false" ht="15" hidden="false" customHeight="true" outlineLevel="0" collapsed="false">
      <c r="A683" s="35" t="str">
        <f aca="false">IF(AND(B683="",C683="",D683="",E683="",F683="",G683="",H683="",J683="",L683="",M683="",N683=""),"",Q683)</f>
        <v/>
      </c>
      <c r="B683" s="36"/>
      <c r="C683" s="36"/>
      <c r="D683" s="36"/>
      <c r="E683" s="36"/>
      <c r="F683" s="36"/>
      <c r="G683" s="36"/>
      <c r="H683" s="36"/>
      <c r="I683" s="1" t="str">
        <f aca="false">IF($A683="","",IFERROR(IF(ISBLANK(INDEX(SprintPlanning[Sprint],MATCH($A683,SprintPlanning[Requirement ID],0))),"To Plan",INDEX(SprintPlanning[Sprint],MATCH($A683,SprintPlanning[Requirement ID],0))),"To Plan"))</f>
        <v/>
      </c>
      <c r="J683" s="36"/>
      <c r="K683" s="1" t="str">
        <f aca="false">IFERROR(IF(ISBLANK(INDEX(Release[Release],MATCH($A683,Release[Requirement ID],0))),"",INDEX(Release[Release],MATCH($A683,Release[Requirement ID],0))),"")</f>
        <v/>
      </c>
      <c r="L683" s="36"/>
      <c r="M683" s="36"/>
      <c r="P683" s="1" t="n">
        <f aca="false">IFERROR(VALUE(MID($A683,5,4)),0)</f>
        <v>0</v>
      </c>
      <c r="Q683" s="1" t="str">
        <f aca="false">IF(B683="","","NEW-"&amp;TEXT(MAX($P$2:$P682,Lists!$N$2)+1,"0000"))</f>
        <v/>
      </c>
    </row>
    <row r="684" customFormat="false" ht="15" hidden="false" customHeight="true" outlineLevel="0" collapsed="false">
      <c r="A684" s="35" t="str">
        <f aca="false">IF(AND(B684="",C684="",D684="",E684="",F684="",G684="",H684="",J684="",L684="",M684="",N684=""),"",Q684)</f>
        <v/>
      </c>
      <c r="B684" s="36"/>
      <c r="C684" s="36"/>
      <c r="D684" s="36"/>
      <c r="E684" s="36"/>
      <c r="F684" s="36"/>
      <c r="G684" s="36"/>
      <c r="H684" s="36"/>
      <c r="I684" s="1" t="str">
        <f aca="false">IF($A684="","",IFERROR(IF(ISBLANK(INDEX(SprintPlanning[Sprint],MATCH($A684,SprintPlanning[Requirement ID],0))),"To Plan",INDEX(SprintPlanning[Sprint],MATCH($A684,SprintPlanning[Requirement ID],0))),"To Plan"))</f>
        <v/>
      </c>
      <c r="J684" s="36"/>
      <c r="K684" s="1" t="str">
        <f aca="false">IFERROR(IF(ISBLANK(INDEX(Release[Release],MATCH($A684,Release[Requirement ID],0))),"",INDEX(Release[Release],MATCH($A684,Release[Requirement ID],0))),"")</f>
        <v/>
      </c>
      <c r="L684" s="36"/>
      <c r="M684" s="36"/>
      <c r="P684" s="1" t="n">
        <f aca="false">IFERROR(VALUE(MID($A684,5,4)),0)</f>
        <v>0</v>
      </c>
      <c r="Q684" s="1" t="str">
        <f aca="false">IF(B684="","","NEW-"&amp;TEXT(MAX($P$2:$P683,Lists!$N$2)+1,"0000"))</f>
        <v/>
      </c>
    </row>
    <row r="685" customFormat="false" ht="15" hidden="false" customHeight="true" outlineLevel="0" collapsed="false">
      <c r="A685" s="35" t="str">
        <f aca="false">IF(AND(B685="",C685="",D685="",E685="",F685="",G685="",H685="",J685="",L685="",M685="",N685=""),"",Q685)</f>
        <v/>
      </c>
      <c r="B685" s="36"/>
      <c r="C685" s="36"/>
      <c r="D685" s="36"/>
      <c r="E685" s="36"/>
      <c r="F685" s="36"/>
      <c r="G685" s="36"/>
      <c r="H685" s="36"/>
      <c r="I685" s="1" t="str">
        <f aca="false">IF($A685="","",IFERROR(IF(ISBLANK(INDEX(SprintPlanning[Sprint],MATCH($A685,SprintPlanning[Requirement ID],0))),"To Plan",INDEX(SprintPlanning[Sprint],MATCH($A685,SprintPlanning[Requirement ID],0))),"To Plan"))</f>
        <v/>
      </c>
      <c r="J685" s="36"/>
      <c r="K685" s="1" t="str">
        <f aca="false">IFERROR(IF(ISBLANK(INDEX(Release[Release],MATCH($A685,Release[Requirement ID],0))),"",INDEX(Release[Release],MATCH($A685,Release[Requirement ID],0))),"")</f>
        <v/>
      </c>
      <c r="L685" s="36"/>
      <c r="M685" s="36"/>
      <c r="P685" s="1" t="n">
        <f aca="false">IFERROR(VALUE(MID($A685,5,4)),0)</f>
        <v>0</v>
      </c>
      <c r="Q685" s="1" t="str">
        <f aca="false">IF(B685="","","NEW-"&amp;TEXT(MAX($P$2:$P684,Lists!$N$2)+1,"0000"))</f>
        <v/>
      </c>
    </row>
    <row r="686" customFormat="false" ht="15" hidden="false" customHeight="true" outlineLevel="0" collapsed="false">
      <c r="A686" s="35" t="str">
        <f aca="false">IF(AND(B686="",C686="",D686="",E686="",F686="",G686="",H686="",J686="",L686="",M686="",N686=""),"",Q686)</f>
        <v/>
      </c>
      <c r="B686" s="36"/>
      <c r="C686" s="36"/>
      <c r="D686" s="36"/>
      <c r="E686" s="36"/>
      <c r="F686" s="36"/>
      <c r="G686" s="36"/>
      <c r="H686" s="36"/>
      <c r="I686" s="1" t="str">
        <f aca="false">IF($A686="","",IFERROR(IF(ISBLANK(INDEX(SprintPlanning[Sprint],MATCH($A686,SprintPlanning[Requirement ID],0))),"To Plan",INDEX(SprintPlanning[Sprint],MATCH($A686,SprintPlanning[Requirement ID],0))),"To Plan"))</f>
        <v/>
      </c>
      <c r="J686" s="36"/>
      <c r="K686" s="1" t="str">
        <f aca="false">IFERROR(IF(ISBLANK(INDEX(Release[Release],MATCH($A686,Release[Requirement ID],0))),"",INDEX(Release[Release],MATCH($A686,Release[Requirement ID],0))),"")</f>
        <v/>
      </c>
      <c r="L686" s="36"/>
      <c r="M686" s="36"/>
      <c r="P686" s="1" t="n">
        <f aca="false">IFERROR(VALUE(MID($A686,5,4)),0)</f>
        <v>0</v>
      </c>
      <c r="Q686" s="1" t="str">
        <f aca="false">IF(B686="","","NEW-"&amp;TEXT(MAX($P$2:$P685,Lists!$N$2)+1,"0000"))</f>
        <v/>
      </c>
    </row>
    <row r="687" customFormat="false" ht="15" hidden="false" customHeight="true" outlineLevel="0" collapsed="false">
      <c r="A687" s="35" t="str">
        <f aca="false">IF(AND(B687="",C687="",D687="",E687="",F687="",G687="",H687="",J687="",L687="",M687="",N687=""),"",Q687)</f>
        <v/>
      </c>
      <c r="B687" s="36"/>
      <c r="C687" s="36"/>
      <c r="D687" s="36"/>
      <c r="E687" s="36"/>
      <c r="F687" s="36"/>
      <c r="G687" s="36"/>
      <c r="H687" s="36"/>
      <c r="I687" s="1" t="str">
        <f aca="false">IF($A687="","",IFERROR(IF(ISBLANK(INDEX(SprintPlanning[Sprint],MATCH($A687,SprintPlanning[Requirement ID],0))),"To Plan",INDEX(SprintPlanning[Sprint],MATCH($A687,SprintPlanning[Requirement ID],0))),"To Plan"))</f>
        <v/>
      </c>
      <c r="J687" s="36"/>
      <c r="K687" s="1" t="str">
        <f aca="false">IFERROR(IF(ISBLANK(INDEX(Release[Release],MATCH($A687,Release[Requirement ID],0))),"",INDEX(Release[Release],MATCH($A687,Release[Requirement ID],0))),"")</f>
        <v/>
      </c>
      <c r="L687" s="36"/>
      <c r="M687" s="36"/>
      <c r="P687" s="1" t="n">
        <f aca="false">IFERROR(VALUE(MID($A687,5,4)),0)</f>
        <v>0</v>
      </c>
      <c r="Q687" s="1" t="str">
        <f aca="false">IF(B687="","","NEW-"&amp;TEXT(MAX($P$2:$P686,Lists!$N$2)+1,"0000"))</f>
        <v/>
      </c>
    </row>
    <row r="688" customFormat="false" ht="15" hidden="false" customHeight="true" outlineLevel="0" collapsed="false">
      <c r="A688" s="35" t="str">
        <f aca="false">IF(AND(B688="",C688="",D688="",E688="",F688="",G688="",H688="",J688="",L688="",M688="",N688=""),"",Q688)</f>
        <v/>
      </c>
      <c r="B688" s="36"/>
      <c r="C688" s="36"/>
      <c r="D688" s="36"/>
      <c r="E688" s="36"/>
      <c r="F688" s="36"/>
      <c r="G688" s="36"/>
      <c r="H688" s="36"/>
      <c r="I688" s="1" t="str">
        <f aca="false">IF($A688="","",IFERROR(IF(ISBLANK(INDEX(SprintPlanning[Sprint],MATCH($A688,SprintPlanning[Requirement ID],0))),"To Plan",INDEX(SprintPlanning[Sprint],MATCH($A688,SprintPlanning[Requirement ID],0))),"To Plan"))</f>
        <v/>
      </c>
      <c r="J688" s="36"/>
      <c r="K688" s="1" t="str">
        <f aca="false">IFERROR(IF(ISBLANK(INDEX(Release[Release],MATCH($A688,Release[Requirement ID],0))),"",INDEX(Release[Release],MATCH($A688,Release[Requirement ID],0))),"")</f>
        <v/>
      </c>
      <c r="L688" s="36"/>
      <c r="M688" s="36"/>
      <c r="P688" s="1" t="n">
        <f aca="false">IFERROR(VALUE(MID($A688,5,4)),0)</f>
        <v>0</v>
      </c>
      <c r="Q688" s="1" t="str">
        <f aca="false">IF(B688="","","NEW-"&amp;TEXT(MAX($P$2:$P687,Lists!$N$2)+1,"0000"))</f>
        <v/>
      </c>
    </row>
    <row r="689" customFormat="false" ht="15" hidden="false" customHeight="true" outlineLevel="0" collapsed="false">
      <c r="A689" s="35" t="str">
        <f aca="false">IF(AND(B689="",C689="",D689="",E689="",F689="",G689="",H689="",J689="",L689="",M689="",N689=""),"",Q689)</f>
        <v/>
      </c>
      <c r="B689" s="36"/>
      <c r="C689" s="36"/>
      <c r="D689" s="36"/>
      <c r="E689" s="36"/>
      <c r="F689" s="36"/>
      <c r="G689" s="36"/>
      <c r="H689" s="36"/>
      <c r="I689" s="1" t="str">
        <f aca="false">IF($A689="","",IFERROR(IF(ISBLANK(INDEX(SprintPlanning[Sprint],MATCH($A689,SprintPlanning[Requirement ID],0))),"To Plan",INDEX(SprintPlanning[Sprint],MATCH($A689,SprintPlanning[Requirement ID],0))),"To Plan"))</f>
        <v/>
      </c>
      <c r="J689" s="36"/>
      <c r="K689" s="1" t="str">
        <f aca="false">IFERROR(IF(ISBLANK(INDEX(Release[Release],MATCH($A689,Release[Requirement ID],0))),"",INDEX(Release[Release],MATCH($A689,Release[Requirement ID],0))),"")</f>
        <v/>
      </c>
      <c r="L689" s="36"/>
      <c r="M689" s="36"/>
      <c r="P689" s="1" t="n">
        <f aca="false">IFERROR(VALUE(MID($A689,5,4)),0)</f>
        <v>0</v>
      </c>
      <c r="Q689" s="1" t="str">
        <f aca="false">IF(B689="","","NEW-"&amp;TEXT(MAX($P$2:$P688,Lists!$N$2)+1,"0000"))</f>
        <v/>
      </c>
    </row>
    <row r="690" customFormat="false" ht="15" hidden="false" customHeight="true" outlineLevel="0" collapsed="false">
      <c r="A690" s="35" t="str">
        <f aca="false">IF(AND(B690="",C690="",D690="",E690="",F690="",G690="",H690="",J690="",L690="",M690="",N690=""),"",Q690)</f>
        <v/>
      </c>
      <c r="B690" s="36"/>
      <c r="C690" s="36"/>
      <c r="D690" s="36"/>
      <c r="E690" s="36"/>
      <c r="F690" s="36"/>
      <c r="G690" s="36"/>
      <c r="H690" s="36"/>
      <c r="I690" s="1" t="str">
        <f aca="false">IF($A690="","",IFERROR(IF(ISBLANK(INDEX(SprintPlanning[Sprint],MATCH($A690,SprintPlanning[Requirement ID],0))),"To Plan",INDEX(SprintPlanning[Sprint],MATCH($A690,SprintPlanning[Requirement ID],0))),"To Plan"))</f>
        <v/>
      </c>
      <c r="J690" s="36"/>
      <c r="K690" s="1" t="str">
        <f aca="false">IFERROR(IF(ISBLANK(INDEX(Release[Release],MATCH($A690,Release[Requirement ID],0))),"",INDEX(Release[Release],MATCH($A690,Release[Requirement ID],0))),"")</f>
        <v/>
      </c>
      <c r="L690" s="36"/>
      <c r="M690" s="36"/>
      <c r="P690" s="1" t="n">
        <f aca="false">IFERROR(VALUE(MID($A690,5,4)),0)</f>
        <v>0</v>
      </c>
      <c r="Q690" s="1" t="str">
        <f aca="false">IF(B690="","","NEW-"&amp;TEXT(MAX($P$2:$P689,Lists!$N$2)+1,"0000"))</f>
        <v/>
      </c>
    </row>
    <row r="691" customFormat="false" ht="15" hidden="false" customHeight="true" outlineLevel="0" collapsed="false">
      <c r="A691" s="35" t="str">
        <f aca="false">IF(AND(B691="",C691="",D691="",E691="",F691="",G691="",H691="",J691="",L691="",M691="",N691=""),"",Q691)</f>
        <v/>
      </c>
      <c r="B691" s="36"/>
      <c r="C691" s="36"/>
      <c r="D691" s="36"/>
      <c r="E691" s="36"/>
      <c r="F691" s="36"/>
      <c r="G691" s="36"/>
      <c r="H691" s="36"/>
      <c r="I691" s="1" t="str">
        <f aca="false">IF($A691="","",IFERROR(IF(ISBLANK(INDEX(SprintPlanning[Sprint],MATCH($A691,SprintPlanning[Requirement ID],0))),"To Plan",INDEX(SprintPlanning[Sprint],MATCH($A691,SprintPlanning[Requirement ID],0))),"To Plan"))</f>
        <v/>
      </c>
      <c r="J691" s="36"/>
      <c r="K691" s="1" t="str">
        <f aca="false">IFERROR(IF(ISBLANK(INDEX(Release[Release],MATCH($A691,Release[Requirement ID],0))),"",INDEX(Release[Release],MATCH($A691,Release[Requirement ID],0))),"")</f>
        <v/>
      </c>
      <c r="L691" s="36"/>
      <c r="M691" s="36"/>
      <c r="P691" s="1" t="n">
        <f aca="false">IFERROR(VALUE(MID($A691,5,4)),0)</f>
        <v>0</v>
      </c>
      <c r="Q691" s="1" t="str">
        <f aca="false">IF(B691="","","NEW-"&amp;TEXT(MAX($P$2:$P690,Lists!$N$2)+1,"0000"))</f>
        <v/>
      </c>
    </row>
    <row r="692" customFormat="false" ht="15" hidden="false" customHeight="true" outlineLevel="0" collapsed="false">
      <c r="A692" s="35" t="str">
        <f aca="false">IF(AND(B692="",C692="",D692="",E692="",F692="",G692="",H692="",J692="",L692="",M692="",N692=""),"",Q692)</f>
        <v/>
      </c>
      <c r="B692" s="36"/>
      <c r="C692" s="36"/>
      <c r="D692" s="36"/>
      <c r="E692" s="36"/>
      <c r="F692" s="36"/>
      <c r="G692" s="36"/>
      <c r="H692" s="36"/>
      <c r="I692" s="1" t="str">
        <f aca="false">IF($A692="","",IFERROR(IF(ISBLANK(INDEX(SprintPlanning[Sprint],MATCH($A692,SprintPlanning[Requirement ID],0))),"To Plan",INDEX(SprintPlanning[Sprint],MATCH($A692,SprintPlanning[Requirement ID],0))),"To Plan"))</f>
        <v/>
      </c>
      <c r="J692" s="36"/>
      <c r="K692" s="1" t="str">
        <f aca="false">IFERROR(IF(ISBLANK(INDEX(Release[Release],MATCH($A692,Release[Requirement ID],0))),"",INDEX(Release[Release],MATCH($A692,Release[Requirement ID],0))),"")</f>
        <v/>
      </c>
      <c r="L692" s="36"/>
      <c r="M692" s="36"/>
      <c r="P692" s="1" t="n">
        <f aca="false">IFERROR(VALUE(MID($A692,5,4)),0)</f>
        <v>0</v>
      </c>
      <c r="Q692" s="1" t="str">
        <f aca="false">IF(B692="","","NEW-"&amp;TEXT(MAX($P$2:$P691,Lists!$N$2)+1,"0000"))</f>
        <v/>
      </c>
    </row>
    <row r="693" customFormat="false" ht="15" hidden="false" customHeight="true" outlineLevel="0" collapsed="false">
      <c r="A693" s="35" t="str">
        <f aca="false">IF(AND(B693="",C693="",D693="",E693="",F693="",G693="",H693="",J693="",L693="",M693="",N693=""),"",Q693)</f>
        <v/>
      </c>
      <c r="B693" s="36"/>
      <c r="C693" s="36"/>
      <c r="D693" s="36"/>
      <c r="E693" s="36"/>
      <c r="F693" s="36"/>
      <c r="G693" s="36"/>
      <c r="H693" s="36"/>
      <c r="I693" s="1" t="str">
        <f aca="false">IF($A693="","",IFERROR(IF(ISBLANK(INDEX(SprintPlanning[Sprint],MATCH($A693,SprintPlanning[Requirement ID],0))),"To Plan",INDEX(SprintPlanning[Sprint],MATCH($A693,SprintPlanning[Requirement ID],0))),"To Plan"))</f>
        <v/>
      </c>
      <c r="J693" s="36"/>
      <c r="K693" s="1" t="str">
        <f aca="false">IFERROR(IF(ISBLANK(INDEX(Release[Release],MATCH($A693,Release[Requirement ID],0))),"",INDEX(Release[Release],MATCH($A693,Release[Requirement ID],0))),"")</f>
        <v/>
      </c>
      <c r="L693" s="36"/>
      <c r="M693" s="36"/>
      <c r="P693" s="1" t="n">
        <f aca="false">IFERROR(VALUE(MID($A693,5,4)),0)</f>
        <v>0</v>
      </c>
      <c r="Q693" s="1" t="str">
        <f aca="false">IF(B693="","","NEW-"&amp;TEXT(MAX($P$2:$P692,Lists!$N$2)+1,"0000"))</f>
        <v/>
      </c>
    </row>
    <row r="694" customFormat="false" ht="15" hidden="false" customHeight="true" outlineLevel="0" collapsed="false">
      <c r="A694" s="35" t="str">
        <f aca="false">IF(AND(B694="",C694="",D694="",E694="",F694="",G694="",H694="",J694="",L694="",M694="",N694=""),"",Q694)</f>
        <v/>
      </c>
      <c r="B694" s="36"/>
      <c r="C694" s="36"/>
      <c r="D694" s="36"/>
      <c r="E694" s="36"/>
      <c r="F694" s="36"/>
      <c r="G694" s="36"/>
      <c r="H694" s="36"/>
      <c r="I694" s="1" t="str">
        <f aca="false">IF($A694="","",IFERROR(IF(ISBLANK(INDEX(SprintPlanning[Sprint],MATCH($A694,SprintPlanning[Requirement ID],0))),"To Plan",INDEX(SprintPlanning[Sprint],MATCH($A694,SprintPlanning[Requirement ID],0))),"To Plan"))</f>
        <v/>
      </c>
      <c r="J694" s="36"/>
      <c r="K694" s="1" t="str">
        <f aca="false">IFERROR(IF(ISBLANK(INDEX(Release[Release],MATCH($A694,Release[Requirement ID],0))),"",INDEX(Release[Release],MATCH($A694,Release[Requirement ID],0))),"")</f>
        <v/>
      </c>
      <c r="L694" s="36"/>
      <c r="M694" s="36"/>
      <c r="P694" s="1" t="n">
        <f aca="false">IFERROR(VALUE(MID($A694,5,4)),0)</f>
        <v>0</v>
      </c>
      <c r="Q694" s="1" t="str">
        <f aca="false">IF(B694="","","NEW-"&amp;TEXT(MAX($P$2:$P693,Lists!$N$2)+1,"0000"))</f>
        <v/>
      </c>
    </row>
    <row r="695" customFormat="false" ht="15" hidden="false" customHeight="true" outlineLevel="0" collapsed="false">
      <c r="A695" s="35" t="str">
        <f aca="false">IF(AND(B695="",C695="",D695="",E695="",F695="",G695="",H695="",J695="",L695="",M695="",N695=""),"",Q695)</f>
        <v/>
      </c>
      <c r="B695" s="36"/>
      <c r="C695" s="36"/>
      <c r="D695" s="36"/>
      <c r="E695" s="36"/>
      <c r="F695" s="36"/>
      <c r="G695" s="36"/>
      <c r="H695" s="36"/>
      <c r="I695" s="1" t="str">
        <f aca="false">IF($A695="","",IFERROR(IF(ISBLANK(INDEX(SprintPlanning[Sprint],MATCH($A695,SprintPlanning[Requirement ID],0))),"To Plan",INDEX(SprintPlanning[Sprint],MATCH($A695,SprintPlanning[Requirement ID],0))),"To Plan"))</f>
        <v/>
      </c>
      <c r="J695" s="36"/>
      <c r="K695" s="1" t="str">
        <f aca="false">IFERROR(IF(ISBLANK(INDEX(Release[Release],MATCH($A695,Release[Requirement ID],0))),"",INDEX(Release[Release],MATCH($A695,Release[Requirement ID],0))),"")</f>
        <v/>
      </c>
      <c r="L695" s="36"/>
      <c r="M695" s="36"/>
      <c r="P695" s="1" t="n">
        <f aca="false">IFERROR(VALUE(MID($A695,5,4)),0)</f>
        <v>0</v>
      </c>
      <c r="Q695" s="1" t="str">
        <f aca="false">IF(B695="","","NEW-"&amp;TEXT(MAX($P$2:$P694,Lists!$N$2)+1,"0000"))</f>
        <v/>
      </c>
    </row>
    <row r="696" customFormat="false" ht="15" hidden="false" customHeight="true" outlineLevel="0" collapsed="false">
      <c r="A696" s="35" t="str">
        <f aca="false">IF(AND(B696="",C696="",D696="",E696="",F696="",G696="",H696="",J696="",L696="",M696="",N696=""),"",Q696)</f>
        <v/>
      </c>
      <c r="B696" s="36"/>
      <c r="C696" s="36"/>
      <c r="D696" s="36"/>
      <c r="E696" s="36"/>
      <c r="F696" s="36"/>
      <c r="G696" s="36"/>
      <c r="H696" s="36"/>
      <c r="I696" s="1" t="str">
        <f aca="false">IF($A696="","",IFERROR(IF(ISBLANK(INDEX(SprintPlanning[Sprint],MATCH($A696,SprintPlanning[Requirement ID],0))),"To Plan",INDEX(SprintPlanning[Sprint],MATCH($A696,SprintPlanning[Requirement ID],0))),"To Plan"))</f>
        <v/>
      </c>
      <c r="J696" s="36"/>
      <c r="K696" s="1" t="str">
        <f aca="false">IFERROR(IF(ISBLANK(INDEX(Release[Release],MATCH($A696,Release[Requirement ID],0))),"",INDEX(Release[Release],MATCH($A696,Release[Requirement ID],0))),"")</f>
        <v/>
      </c>
      <c r="L696" s="36"/>
      <c r="M696" s="36"/>
      <c r="P696" s="1" t="n">
        <f aca="false">IFERROR(VALUE(MID($A696,5,4)),0)</f>
        <v>0</v>
      </c>
      <c r="Q696" s="1" t="str">
        <f aca="false">IF(B696="","","NEW-"&amp;TEXT(MAX($P$2:$P695,Lists!$N$2)+1,"0000"))</f>
        <v/>
      </c>
    </row>
    <row r="697" customFormat="false" ht="15" hidden="false" customHeight="true" outlineLevel="0" collapsed="false">
      <c r="A697" s="35" t="str">
        <f aca="false">IF(AND(B697="",C697="",D697="",E697="",F697="",G697="",H697="",J697="",L697="",M697="",N697=""),"",Q697)</f>
        <v/>
      </c>
      <c r="B697" s="36"/>
      <c r="C697" s="36"/>
      <c r="D697" s="36"/>
      <c r="E697" s="36"/>
      <c r="F697" s="36"/>
      <c r="G697" s="36"/>
      <c r="H697" s="36"/>
      <c r="I697" s="1" t="str">
        <f aca="false">IF($A697="","",IFERROR(IF(ISBLANK(INDEX(SprintPlanning[Sprint],MATCH($A697,SprintPlanning[Requirement ID],0))),"To Plan",INDEX(SprintPlanning[Sprint],MATCH($A697,SprintPlanning[Requirement ID],0))),"To Plan"))</f>
        <v/>
      </c>
      <c r="J697" s="36"/>
      <c r="K697" s="1" t="str">
        <f aca="false">IFERROR(IF(ISBLANK(INDEX(Release[Release],MATCH($A697,Release[Requirement ID],0))),"",INDEX(Release[Release],MATCH($A697,Release[Requirement ID],0))),"")</f>
        <v/>
      </c>
      <c r="L697" s="36"/>
      <c r="M697" s="36"/>
      <c r="P697" s="1" t="n">
        <f aca="false">IFERROR(VALUE(MID($A697,5,4)),0)</f>
        <v>0</v>
      </c>
      <c r="Q697" s="1" t="str">
        <f aca="false">IF(B697="","","NEW-"&amp;TEXT(MAX($P$2:$P696,Lists!$N$2)+1,"0000"))</f>
        <v/>
      </c>
    </row>
    <row r="698" customFormat="false" ht="15" hidden="false" customHeight="true" outlineLevel="0" collapsed="false">
      <c r="A698" s="35" t="str">
        <f aca="false">IF(AND(B698="",C698="",D698="",E698="",F698="",G698="",H698="",J698="",L698="",M698="",N698=""),"",Q698)</f>
        <v/>
      </c>
      <c r="B698" s="36"/>
      <c r="C698" s="36"/>
      <c r="D698" s="36"/>
      <c r="E698" s="36"/>
      <c r="F698" s="36"/>
      <c r="G698" s="36"/>
      <c r="H698" s="36"/>
      <c r="I698" s="1" t="str">
        <f aca="false">IF($A698="","",IFERROR(IF(ISBLANK(INDEX(SprintPlanning[Sprint],MATCH($A698,SprintPlanning[Requirement ID],0))),"To Plan",INDEX(SprintPlanning[Sprint],MATCH($A698,SprintPlanning[Requirement ID],0))),"To Plan"))</f>
        <v/>
      </c>
      <c r="J698" s="36"/>
      <c r="K698" s="1" t="str">
        <f aca="false">IFERROR(IF(ISBLANK(INDEX(Release[Release],MATCH($A698,Release[Requirement ID],0))),"",INDEX(Release[Release],MATCH($A698,Release[Requirement ID],0))),"")</f>
        <v/>
      </c>
      <c r="L698" s="36"/>
      <c r="M698" s="36"/>
      <c r="P698" s="1" t="n">
        <f aca="false">IFERROR(VALUE(MID($A698,5,4)),0)</f>
        <v>0</v>
      </c>
      <c r="Q698" s="1" t="str">
        <f aca="false">IF(B698="","","NEW-"&amp;TEXT(MAX($P$2:$P697,Lists!$N$2)+1,"0000"))</f>
        <v/>
      </c>
    </row>
    <row r="699" customFormat="false" ht="15" hidden="false" customHeight="true" outlineLevel="0" collapsed="false">
      <c r="A699" s="35" t="str">
        <f aca="false">IF(AND(B699="",C699="",D699="",E699="",F699="",G699="",H699="",J699="",L699="",M699="",N699=""),"",Q699)</f>
        <v/>
      </c>
      <c r="B699" s="36"/>
      <c r="C699" s="36"/>
      <c r="D699" s="36"/>
      <c r="E699" s="36"/>
      <c r="F699" s="36"/>
      <c r="G699" s="36"/>
      <c r="H699" s="36"/>
      <c r="I699" s="1" t="str">
        <f aca="false">IF($A699="","",IFERROR(IF(ISBLANK(INDEX(SprintPlanning[Sprint],MATCH($A699,SprintPlanning[Requirement ID],0))),"To Plan",INDEX(SprintPlanning[Sprint],MATCH($A699,SprintPlanning[Requirement ID],0))),"To Plan"))</f>
        <v/>
      </c>
      <c r="J699" s="36"/>
      <c r="K699" s="1" t="str">
        <f aca="false">IFERROR(IF(ISBLANK(INDEX(Release[Release],MATCH($A699,Release[Requirement ID],0))),"",INDEX(Release[Release],MATCH($A699,Release[Requirement ID],0))),"")</f>
        <v/>
      </c>
      <c r="L699" s="36"/>
      <c r="M699" s="36"/>
      <c r="P699" s="1" t="n">
        <f aca="false">IFERROR(VALUE(MID($A699,5,4)),0)</f>
        <v>0</v>
      </c>
      <c r="Q699" s="1" t="str">
        <f aca="false">IF(B699="","","NEW-"&amp;TEXT(MAX($P$2:$P698,Lists!$N$2)+1,"0000"))</f>
        <v/>
      </c>
    </row>
    <row r="700" customFormat="false" ht="15" hidden="false" customHeight="true" outlineLevel="0" collapsed="false">
      <c r="A700" s="35" t="str">
        <f aca="false">IF(AND(B700="",C700="",D700="",E700="",F700="",G700="",H700="",J700="",L700="",M700="",N700=""),"",Q700)</f>
        <v/>
      </c>
      <c r="B700" s="36"/>
      <c r="C700" s="36"/>
      <c r="D700" s="36"/>
      <c r="E700" s="36"/>
      <c r="F700" s="36"/>
      <c r="G700" s="36"/>
      <c r="H700" s="36"/>
      <c r="I700" s="1" t="str">
        <f aca="false">IF($A700="","",IFERROR(IF(ISBLANK(INDEX(SprintPlanning[Sprint],MATCH($A700,SprintPlanning[Requirement ID],0))),"To Plan",INDEX(SprintPlanning[Sprint],MATCH($A700,SprintPlanning[Requirement ID],0))),"To Plan"))</f>
        <v/>
      </c>
      <c r="J700" s="36"/>
      <c r="K700" s="1" t="str">
        <f aca="false">IFERROR(IF(ISBLANK(INDEX(Release[Release],MATCH($A700,Release[Requirement ID],0))),"",INDEX(Release[Release],MATCH($A700,Release[Requirement ID],0))),"")</f>
        <v/>
      </c>
      <c r="L700" s="36"/>
      <c r="M700" s="36"/>
      <c r="P700" s="1" t="n">
        <f aca="false">IFERROR(VALUE(MID($A700,5,4)),0)</f>
        <v>0</v>
      </c>
      <c r="Q700" s="1" t="str">
        <f aca="false">IF(B700="","","NEW-"&amp;TEXT(MAX($P$2:$P699,Lists!$N$2)+1,"0000"))</f>
        <v/>
      </c>
    </row>
    <row r="701" customFormat="false" ht="15" hidden="false" customHeight="true" outlineLevel="0" collapsed="false">
      <c r="A701" s="35" t="str">
        <f aca="false">IF(AND(B701="",C701="",D701="",E701="",F701="",G701="",H701="",J701="",L701="",M701="",N701=""),"",Q701)</f>
        <v/>
      </c>
      <c r="B701" s="36"/>
      <c r="C701" s="36"/>
      <c r="D701" s="36"/>
      <c r="E701" s="36"/>
      <c r="F701" s="36"/>
      <c r="G701" s="36"/>
      <c r="H701" s="36"/>
      <c r="I701" s="1" t="str">
        <f aca="false">IF($A701="","",IFERROR(IF(ISBLANK(INDEX(SprintPlanning[Sprint],MATCH($A701,SprintPlanning[Requirement ID],0))),"To Plan",INDEX(SprintPlanning[Sprint],MATCH($A701,SprintPlanning[Requirement ID],0))),"To Plan"))</f>
        <v/>
      </c>
      <c r="J701" s="36"/>
      <c r="K701" s="1" t="str">
        <f aca="false">IFERROR(IF(ISBLANK(INDEX(Release[Release],MATCH($A701,Release[Requirement ID],0))),"",INDEX(Release[Release],MATCH($A701,Release[Requirement ID],0))),"")</f>
        <v/>
      </c>
      <c r="L701" s="36"/>
      <c r="M701" s="36"/>
      <c r="P701" s="1" t="n">
        <f aca="false">IFERROR(VALUE(MID($A701,5,4)),0)</f>
        <v>0</v>
      </c>
      <c r="Q701" s="1" t="str">
        <f aca="false">IF(B701="","","NEW-"&amp;TEXT(MAX($P$2:$P700,Lists!$N$2)+1,"0000"))</f>
        <v/>
      </c>
    </row>
    <row r="702" customFormat="false" ht="15" hidden="false" customHeight="true" outlineLevel="0" collapsed="false">
      <c r="A702" s="35" t="str">
        <f aca="false">IF(AND(B702="",C702="",D702="",E702="",F702="",G702="",H702="",J702="",L702="",M702="",N702=""),"",Q702)</f>
        <v/>
      </c>
      <c r="B702" s="36"/>
      <c r="C702" s="36"/>
      <c r="D702" s="36"/>
      <c r="E702" s="36"/>
      <c r="F702" s="36"/>
      <c r="G702" s="36"/>
      <c r="H702" s="36"/>
      <c r="I702" s="1" t="str">
        <f aca="false">IF($A702="","",IFERROR(IF(ISBLANK(INDEX(SprintPlanning[Sprint],MATCH($A702,SprintPlanning[Requirement ID],0))),"To Plan",INDEX(SprintPlanning[Sprint],MATCH($A702,SprintPlanning[Requirement ID],0))),"To Plan"))</f>
        <v/>
      </c>
      <c r="J702" s="36"/>
      <c r="K702" s="1" t="str">
        <f aca="false">IFERROR(IF(ISBLANK(INDEX(Release[Release],MATCH($A702,Release[Requirement ID],0))),"",INDEX(Release[Release],MATCH($A702,Release[Requirement ID],0))),"")</f>
        <v/>
      </c>
      <c r="L702" s="36"/>
      <c r="M702" s="36"/>
      <c r="P702" s="1" t="n">
        <f aca="false">IFERROR(VALUE(MID($A702,5,4)),0)</f>
        <v>0</v>
      </c>
      <c r="Q702" s="1" t="str">
        <f aca="false">IF(B702="","","NEW-"&amp;TEXT(MAX($P$2:$P701,Lists!$N$2)+1,"0000"))</f>
        <v/>
      </c>
    </row>
    <row r="703" customFormat="false" ht="15" hidden="false" customHeight="true" outlineLevel="0" collapsed="false">
      <c r="A703" s="35" t="str">
        <f aca="false">IF(AND(B703="",C703="",D703="",E703="",F703="",G703="",H703="",J703="",L703="",M703="",N703=""),"",Q703)</f>
        <v/>
      </c>
      <c r="B703" s="36"/>
      <c r="C703" s="36"/>
      <c r="D703" s="36"/>
      <c r="E703" s="36"/>
      <c r="F703" s="36"/>
      <c r="G703" s="36"/>
      <c r="H703" s="36"/>
      <c r="I703" s="1" t="str">
        <f aca="false">IF($A703="","",IFERROR(IF(ISBLANK(INDEX(SprintPlanning[Sprint],MATCH($A703,SprintPlanning[Requirement ID],0))),"To Plan",INDEX(SprintPlanning[Sprint],MATCH($A703,SprintPlanning[Requirement ID],0))),"To Plan"))</f>
        <v/>
      </c>
      <c r="J703" s="36"/>
      <c r="K703" s="1" t="str">
        <f aca="false">IFERROR(IF(ISBLANK(INDEX(Release[Release],MATCH($A703,Release[Requirement ID],0))),"",INDEX(Release[Release],MATCH($A703,Release[Requirement ID],0))),"")</f>
        <v/>
      </c>
      <c r="L703" s="36"/>
      <c r="M703" s="36"/>
      <c r="P703" s="1" t="n">
        <f aca="false">IFERROR(VALUE(MID($A703,5,4)),0)</f>
        <v>0</v>
      </c>
      <c r="Q703" s="1" t="str">
        <f aca="false">IF(B703="","","NEW-"&amp;TEXT(MAX($P$2:$P702,Lists!$N$2)+1,"0000"))</f>
        <v/>
      </c>
    </row>
    <row r="704" customFormat="false" ht="15" hidden="false" customHeight="true" outlineLevel="0" collapsed="false">
      <c r="A704" s="35" t="str">
        <f aca="false">IF(AND(B704="",C704="",D704="",E704="",F704="",G704="",H704="",J704="",L704="",M704="",N704=""),"",Q704)</f>
        <v/>
      </c>
      <c r="B704" s="36"/>
      <c r="C704" s="36"/>
      <c r="D704" s="36"/>
      <c r="E704" s="36"/>
      <c r="F704" s="36"/>
      <c r="G704" s="36"/>
      <c r="H704" s="36"/>
      <c r="I704" s="1" t="str">
        <f aca="false">IF($A704="","",IFERROR(IF(ISBLANK(INDEX(SprintPlanning[Sprint],MATCH($A704,SprintPlanning[Requirement ID],0))),"To Plan",INDEX(SprintPlanning[Sprint],MATCH($A704,SprintPlanning[Requirement ID],0))),"To Plan"))</f>
        <v/>
      </c>
      <c r="J704" s="36"/>
      <c r="K704" s="1" t="str">
        <f aca="false">IFERROR(IF(ISBLANK(INDEX(Release[Release],MATCH($A704,Release[Requirement ID],0))),"",INDEX(Release[Release],MATCH($A704,Release[Requirement ID],0))),"")</f>
        <v/>
      </c>
      <c r="L704" s="36"/>
      <c r="M704" s="36"/>
      <c r="P704" s="1" t="n">
        <f aca="false">IFERROR(VALUE(MID($A704,5,4)),0)</f>
        <v>0</v>
      </c>
      <c r="Q704" s="1" t="str">
        <f aca="false">IF(B704="","","NEW-"&amp;TEXT(MAX($P$2:$P703,Lists!$N$2)+1,"0000"))</f>
        <v/>
      </c>
    </row>
    <row r="705" customFormat="false" ht="15" hidden="false" customHeight="true" outlineLevel="0" collapsed="false">
      <c r="A705" s="35" t="str">
        <f aca="false">IF(AND(B705="",C705="",D705="",E705="",F705="",G705="",H705="",J705="",L705="",M705="",N705=""),"",Q705)</f>
        <v/>
      </c>
      <c r="B705" s="36"/>
      <c r="C705" s="36"/>
      <c r="D705" s="36"/>
      <c r="E705" s="36"/>
      <c r="F705" s="36"/>
      <c r="G705" s="36"/>
      <c r="H705" s="36"/>
      <c r="I705" s="1" t="str">
        <f aca="false">IF($A705="","",IFERROR(IF(ISBLANK(INDEX(SprintPlanning[Sprint],MATCH($A705,SprintPlanning[Requirement ID],0))),"To Plan",INDEX(SprintPlanning[Sprint],MATCH($A705,SprintPlanning[Requirement ID],0))),"To Plan"))</f>
        <v/>
      </c>
      <c r="J705" s="36"/>
      <c r="K705" s="1" t="str">
        <f aca="false">IFERROR(IF(ISBLANK(INDEX(Release[Release],MATCH($A705,Release[Requirement ID],0))),"",INDEX(Release[Release],MATCH($A705,Release[Requirement ID],0))),"")</f>
        <v/>
      </c>
      <c r="L705" s="36"/>
      <c r="M705" s="36"/>
      <c r="P705" s="1" t="n">
        <f aca="false">IFERROR(VALUE(MID($A705,5,4)),0)</f>
        <v>0</v>
      </c>
      <c r="Q705" s="1" t="str">
        <f aca="false">IF(B705="","","NEW-"&amp;TEXT(MAX($P$2:$P704,Lists!$N$2)+1,"0000"))</f>
        <v/>
      </c>
    </row>
    <row r="706" customFormat="false" ht="15" hidden="false" customHeight="true" outlineLevel="0" collapsed="false">
      <c r="A706" s="35" t="str">
        <f aca="false">IF(AND(B706="",C706="",D706="",E706="",F706="",G706="",H706="",J706="",L706="",M706="",N706=""),"",Q706)</f>
        <v/>
      </c>
      <c r="B706" s="36"/>
      <c r="C706" s="36"/>
      <c r="D706" s="36"/>
      <c r="E706" s="36"/>
      <c r="F706" s="36"/>
      <c r="G706" s="36"/>
      <c r="H706" s="36"/>
      <c r="I706" s="1" t="str">
        <f aca="false">IF($A706="","",IFERROR(IF(ISBLANK(INDEX(SprintPlanning[Sprint],MATCH($A706,SprintPlanning[Requirement ID],0))),"To Plan",INDEX(SprintPlanning[Sprint],MATCH($A706,SprintPlanning[Requirement ID],0))),"To Plan"))</f>
        <v/>
      </c>
      <c r="J706" s="36"/>
      <c r="K706" s="1" t="str">
        <f aca="false">IFERROR(IF(ISBLANK(INDEX(Release[Release],MATCH($A706,Release[Requirement ID],0))),"",INDEX(Release[Release],MATCH($A706,Release[Requirement ID],0))),"")</f>
        <v/>
      </c>
      <c r="L706" s="36"/>
      <c r="M706" s="36"/>
      <c r="P706" s="1" t="n">
        <f aca="false">IFERROR(VALUE(MID($A706,5,4)),0)</f>
        <v>0</v>
      </c>
      <c r="Q706" s="1" t="str">
        <f aca="false">IF(B706="","","NEW-"&amp;TEXT(MAX($P$2:$P705,Lists!$N$2)+1,"0000"))</f>
        <v/>
      </c>
    </row>
    <row r="707" customFormat="false" ht="15" hidden="false" customHeight="true" outlineLevel="0" collapsed="false">
      <c r="A707" s="35" t="str">
        <f aca="false">IF(AND(B707="",C707="",D707="",E707="",F707="",G707="",H707="",J707="",L707="",M707="",N707=""),"",Q707)</f>
        <v/>
      </c>
      <c r="B707" s="36"/>
      <c r="C707" s="36"/>
      <c r="D707" s="36"/>
      <c r="E707" s="36"/>
      <c r="F707" s="36"/>
      <c r="G707" s="36"/>
      <c r="H707" s="36"/>
      <c r="I707" s="1" t="str">
        <f aca="false">IF($A707="","",IFERROR(IF(ISBLANK(INDEX(SprintPlanning[Sprint],MATCH($A707,SprintPlanning[Requirement ID],0))),"To Plan",INDEX(SprintPlanning[Sprint],MATCH($A707,SprintPlanning[Requirement ID],0))),"To Plan"))</f>
        <v/>
      </c>
      <c r="J707" s="36"/>
      <c r="K707" s="1" t="str">
        <f aca="false">IFERROR(IF(ISBLANK(INDEX(Release[Release],MATCH($A707,Release[Requirement ID],0))),"",INDEX(Release[Release],MATCH($A707,Release[Requirement ID],0))),"")</f>
        <v/>
      </c>
      <c r="L707" s="36"/>
      <c r="M707" s="36"/>
      <c r="P707" s="1" t="n">
        <f aca="false">IFERROR(VALUE(MID($A707,5,4)),0)</f>
        <v>0</v>
      </c>
      <c r="Q707" s="1" t="str">
        <f aca="false">IF(B707="","","NEW-"&amp;TEXT(MAX($P$2:$P706,Lists!$N$2)+1,"0000"))</f>
        <v/>
      </c>
    </row>
    <row r="708" customFormat="false" ht="15" hidden="false" customHeight="true" outlineLevel="0" collapsed="false">
      <c r="A708" s="35" t="str">
        <f aca="false">IF(AND(B708="",C708="",D708="",E708="",F708="",G708="",H708="",J708="",L708="",M708="",N708=""),"",Q708)</f>
        <v/>
      </c>
      <c r="B708" s="36"/>
      <c r="C708" s="36"/>
      <c r="D708" s="36"/>
      <c r="E708" s="36"/>
      <c r="F708" s="36"/>
      <c r="G708" s="36"/>
      <c r="H708" s="36"/>
      <c r="I708" s="1" t="str">
        <f aca="false">IF($A708="","",IFERROR(IF(ISBLANK(INDEX(SprintPlanning[Sprint],MATCH($A708,SprintPlanning[Requirement ID],0))),"To Plan",INDEX(SprintPlanning[Sprint],MATCH($A708,SprintPlanning[Requirement ID],0))),"To Plan"))</f>
        <v/>
      </c>
      <c r="J708" s="36"/>
      <c r="K708" s="1" t="str">
        <f aca="false">IFERROR(IF(ISBLANK(INDEX(Release[Release],MATCH($A708,Release[Requirement ID],0))),"",INDEX(Release[Release],MATCH($A708,Release[Requirement ID],0))),"")</f>
        <v/>
      </c>
      <c r="L708" s="36"/>
      <c r="M708" s="36"/>
      <c r="P708" s="1" t="n">
        <f aca="false">IFERROR(VALUE(MID($A708,5,4)),0)</f>
        <v>0</v>
      </c>
      <c r="Q708" s="1" t="str">
        <f aca="false">IF(B708="","","NEW-"&amp;TEXT(MAX($P$2:$P707,Lists!$N$2)+1,"0000"))</f>
        <v/>
      </c>
    </row>
    <row r="709" customFormat="false" ht="15" hidden="false" customHeight="true" outlineLevel="0" collapsed="false">
      <c r="A709" s="35" t="str">
        <f aca="false">IF(AND(B709="",C709="",D709="",E709="",F709="",G709="",H709="",J709="",L709="",M709="",N709=""),"",Q709)</f>
        <v/>
      </c>
      <c r="B709" s="36"/>
      <c r="C709" s="36"/>
      <c r="D709" s="36"/>
      <c r="E709" s="36"/>
      <c r="F709" s="36"/>
      <c r="G709" s="36"/>
      <c r="H709" s="36"/>
      <c r="I709" s="1" t="str">
        <f aca="false">IF($A709="","",IFERROR(IF(ISBLANK(INDEX(SprintPlanning[Sprint],MATCH($A709,SprintPlanning[Requirement ID],0))),"To Plan",INDEX(SprintPlanning[Sprint],MATCH($A709,SprintPlanning[Requirement ID],0))),"To Plan"))</f>
        <v/>
      </c>
      <c r="J709" s="36"/>
      <c r="K709" s="1" t="str">
        <f aca="false">IFERROR(IF(ISBLANK(INDEX(Release[Release],MATCH($A709,Release[Requirement ID],0))),"",INDEX(Release[Release],MATCH($A709,Release[Requirement ID],0))),"")</f>
        <v/>
      </c>
      <c r="L709" s="36"/>
      <c r="M709" s="36"/>
      <c r="P709" s="1" t="n">
        <f aca="false">IFERROR(VALUE(MID($A709,5,4)),0)</f>
        <v>0</v>
      </c>
      <c r="Q709" s="1" t="str">
        <f aca="false">IF(B709="","","NEW-"&amp;TEXT(MAX($P$2:$P708,Lists!$N$2)+1,"0000"))</f>
        <v/>
      </c>
    </row>
    <row r="710" customFormat="false" ht="15" hidden="false" customHeight="true" outlineLevel="0" collapsed="false">
      <c r="A710" s="35" t="str">
        <f aca="false">IF(AND(B710="",C710="",D710="",E710="",F710="",G710="",H710="",J710="",L710="",M710="",N710=""),"",Q710)</f>
        <v/>
      </c>
      <c r="B710" s="36"/>
      <c r="C710" s="36"/>
      <c r="D710" s="36"/>
      <c r="E710" s="36"/>
      <c r="F710" s="36"/>
      <c r="G710" s="36"/>
      <c r="H710" s="36"/>
      <c r="I710" s="1" t="str">
        <f aca="false">IF($A710="","",IFERROR(IF(ISBLANK(INDEX(SprintPlanning[Sprint],MATCH($A710,SprintPlanning[Requirement ID],0))),"To Plan",INDEX(SprintPlanning[Sprint],MATCH($A710,SprintPlanning[Requirement ID],0))),"To Plan"))</f>
        <v/>
      </c>
      <c r="J710" s="36"/>
      <c r="K710" s="1" t="str">
        <f aca="false">IFERROR(IF(ISBLANK(INDEX(Release[Release],MATCH($A710,Release[Requirement ID],0))),"",INDEX(Release[Release],MATCH($A710,Release[Requirement ID],0))),"")</f>
        <v/>
      </c>
      <c r="L710" s="36"/>
      <c r="M710" s="36"/>
      <c r="P710" s="1" t="n">
        <f aca="false">IFERROR(VALUE(MID($A710,5,4)),0)</f>
        <v>0</v>
      </c>
      <c r="Q710" s="1" t="str">
        <f aca="false">IF(B710="","","NEW-"&amp;TEXT(MAX($P$2:$P709,Lists!$N$2)+1,"0000"))</f>
        <v/>
      </c>
    </row>
    <row r="711" customFormat="false" ht="15" hidden="false" customHeight="true" outlineLevel="0" collapsed="false">
      <c r="A711" s="35" t="str">
        <f aca="false">IF(AND(B711="",C711="",D711="",E711="",F711="",G711="",H711="",J711="",L711="",M711="",N711=""),"",Q711)</f>
        <v/>
      </c>
      <c r="B711" s="36"/>
      <c r="C711" s="36"/>
      <c r="D711" s="36"/>
      <c r="E711" s="36"/>
      <c r="F711" s="36"/>
      <c r="G711" s="36"/>
      <c r="H711" s="36"/>
      <c r="I711" s="1" t="str">
        <f aca="false">IF($A711="","",IFERROR(IF(ISBLANK(INDEX(SprintPlanning[Sprint],MATCH($A711,SprintPlanning[Requirement ID],0))),"To Plan",INDEX(SprintPlanning[Sprint],MATCH($A711,SprintPlanning[Requirement ID],0))),"To Plan"))</f>
        <v/>
      </c>
      <c r="J711" s="36"/>
      <c r="K711" s="1" t="str">
        <f aca="false">IFERROR(IF(ISBLANK(INDEX(Release[Release],MATCH($A711,Release[Requirement ID],0))),"",INDEX(Release[Release],MATCH($A711,Release[Requirement ID],0))),"")</f>
        <v/>
      </c>
      <c r="L711" s="36"/>
      <c r="M711" s="36"/>
      <c r="P711" s="1" t="n">
        <f aca="false">IFERROR(VALUE(MID($A711,5,4)),0)</f>
        <v>0</v>
      </c>
      <c r="Q711" s="1" t="str">
        <f aca="false">IF(B711="","","NEW-"&amp;TEXT(MAX($P$2:$P710,Lists!$N$2)+1,"0000"))</f>
        <v/>
      </c>
    </row>
    <row r="712" customFormat="false" ht="15" hidden="false" customHeight="true" outlineLevel="0" collapsed="false">
      <c r="A712" s="35" t="str">
        <f aca="false">IF(AND(B712="",C712="",D712="",E712="",F712="",G712="",H712="",J712="",L712="",M712="",N712=""),"",Q712)</f>
        <v/>
      </c>
      <c r="B712" s="36"/>
      <c r="C712" s="36"/>
      <c r="D712" s="36"/>
      <c r="E712" s="36"/>
      <c r="F712" s="36"/>
      <c r="G712" s="36"/>
      <c r="H712" s="36"/>
      <c r="I712" s="1" t="str">
        <f aca="false">IF($A712="","",IFERROR(IF(ISBLANK(INDEX(SprintPlanning[Sprint],MATCH($A712,SprintPlanning[Requirement ID],0))),"To Plan",INDEX(SprintPlanning[Sprint],MATCH($A712,SprintPlanning[Requirement ID],0))),"To Plan"))</f>
        <v/>
      </c>
      <c r="J712" s="36"/>
      <c r="K712" s="1" t="str">
        <f aca="false">IFERROR(IF(ISBLANK(INDEX(Release[Release],MATCH($A712,Release[Requirement ID],0))),"",INDEX(Release[Release],MATCH($A712,Release[Requirement ID],0))),"")</f>
        <v/>
      </c>
      <c r="L712" s="36"/>
      <c r="M712" s="36"/>
      <c r="P712" s="1" t="n">
        <f aca="false">IFERROR(VALUE(MID($A712,5,4)),0)</f>
        <v>0</v>
      </c>
      <c r="Q712" s="1" t="str">
        <f aca="false">IF(B712="","","NEW-"&amp;TEXT(MAX($P$2:$P711,Lists!$N$2)+1,"0000"))</f>
        <v/>
      </c>
    </row>
    <row r="713" customFormat="false" ht="15" hidden="false" customHeight="true" outlineLevel="0" collapsed="false">
      <c r="A713" s="35" t="str">
        <f aca="false">IF(AND(B713="",C713="",D713="",E713="",F713="",G713="",H713="",J713="",L713="",M713="",N713=""),"",Q713)</f>
        <v/>
      </c>
      <c r="B713" s="36"/>
      <c r="C713" s="36"/>
      <c r="D713" s="36"/>
      <c r="E713" s="36"/>
      <c r="F713" s="36"/>
      <c r="G713" s="36"/>
      <c r="H713" s="36"/>
      <c r="I713" s="1" t="str">
        <f aca="false">IF($A713="","",IFERROR(IF(ISBLANK(INDEX(SprintPlanning[Sprint],MATCH($A713,SprintPlanning[Requirement ID],0))),"To Plan",INDEX(SprintPlanning[Sprint],MATCH($A713,SprintPlanning[Requirement ID],0))),"To Plan"))</f>
        <v/>
      </c>
      <c r="J713" s="36"/>
      <c r="K713" s="1" t="str">
        <f aca="false">IFERROR(IF(ISBLANK(INDEX(Release[Release],MATCH($A713,Release[Requirement ID],0))),"",INDEX(Release[Release],MATCH($A713,Release[Requirement ID],0))),"")</f>
        <v/>
      </c>
      <c r="L713" s="36"/>
      <c r="M713" s="36"/>
      <c r="P713" s="1" t="n">
        <f aca="false">IFERROR(VALUE(MID($A713,5,4)),0)</f>
        <v>0</v>
      </c>
      <c r="Q713" s="1" t="str">
        <f aca="false">IF(B713="","","NEW-"&amp;TEXT(MAX($P$2:$P712,Lists!$N$2)+1,"0000"))</f>
        <v/>
      </c>
    </row>
    <row r="714" customFormat="false" ht="15" hidden="false" customHeight="true" outlineLevel="0" collapsed="false">
      <c r="A714" s="35" t="str">
        <f aca="false">IF(AND(B714="",C714="",D714="",E714="",F714="",G714="",H714="",J714="",L714="",M714="",N714=""),"",Q714)</f>
        <v/>
      </c>
      <c r="B714" s="36"/>
      <c r="C714" s="36"/>
      <c r="D714" s="36"/>
      <c r="E714" s="36"/>
      <c r="F714" s="36"/>
      <c r="G714" s="36"/>
      <c r="H714" s="36"/>
      <c r="I714" s="1" t="str">
        <f aca="false">IF($A714="","",IFERROR(IF(ISBLANK(INDEX(SprintPlanning[Sprint],MATCH($A714,SprintPlanning[Requirement ID],0))),"To Plan",INDEX(SprintPlanning[Sprint],MATCH($A714,SprintPlanning[Requirement ID],0))),"To Plan"))</f>
        <v/>
      </c>
      <c r="J714" s="36"/>
      <c r="K714" s="1" t="str">
        <f aca="false">IFERROR(IF(ISBLANK(INDEX(Release[Release],MATCH($A714,Release[Requirement ID],0))),"",INDEX(Release[Release],MATCH($A714,Release[Requirement ID],0))),"")</f>
        <v/>
      </c>
      <c r="L714" s="36"/>
      <c r="M714" s="36"/>
      <c r="P714" s="1" t="n">
        <f aca="false">IFERROR(VALUE(MID($A714,5,4)),0)</f>
        <v>0</v>
      </c>
      <c r="Q714" s="1" t="str">
        <f aca="false">IF(B714="","","NEW-"&amp;TEXT(MAX($P$2:$P713,Lists!$N$2)+1,"0000"))</f>
        <v/>
      </c>
    </row>
    <row r="715" customFormat="false" ht="15" hidden="false" customHeight="true" outlineLevel="0" collapsed="false">
      <c r="A715" s="35" t="str">
        <f aca="false">IF(AND(B715="",C715="",D715="",E715="",F715="",G715="",H715="",J715="",L715="",M715="",N715=""),"",Q715)</f>
        <v/>
      </c>
      <c r="B715" s="36"/>
      <c r="C715" s="36"/>
      <c r="D715" s="36"/>
      <c r="E715" s="36"/>
      <c r="F715" s="36"/>
      <c r="G715" s="36"/>
      <c r="H715" s="36"/>
      <c r="I715" s="1" t="str">
        <f aca="false">IF($A715="","",IFERROR(IF(ISBLANK(INDEX(SprintPlanning[Sprint],MATCH($A715,SprintPlanning[Requirement ID],0))),"To Plan",INDEX(SprintPlanning[Sprint],MATCH($A715,SprintPlanning[Requirement ID],0))),"To Plan"))</f>
        <v/>
      </c>
      <c r="J715" s="36"/>
      <c r="K715" s="1" t="str">
        <f aca="false">IFERROR(IF(ISBLANK(INDEX(Release[Release],MATCH($A715,Release[Requirement ID],0))),"",INDEX(Release[Release],MATCH($A715,Release[Requirement ID],0))),"")</f>
        <v/>
      </c>
      <c r="L715" s="36"/>
      <c r="M715" s="36"/>
      <c r="P715" s="1" t="n">
        <f aca="false">IFERROR(VALUE(MID($A715,5,4)),0)</f>
        <v>0</v>
      </c>
      <c r="Q715" s="1" t="str">
        <f aca="false">IF(B715="","","NEW-"&amp;TEXT(MAX($P$2:$P714,Lists!$N$2)+1,"0000"))</f>
        <v/>
      </c>
    </row>
    <row r="716" customFormat="false" ht="15" hidden="false" customHeight="true" outlineLevel="0" collapsed="false">
      <c r="A716" s="35" t="str">
        <f aca="false">IF(AND(B716="",C716="",D716="",E716="",F716="",G716="",H716="",J716="",L716="",M716="",N716=""),"",Q716)</f>
        <v/>
      </c>
      <c r="B716" s="36"/>
      <c r="C716" s="36"/>
      <c r="D716" s="36"/>
      <c r="E716" s="36"/>
      <c r="F716" s="36"/>
      <c r="G716" s="36"/>
      <c r="H716" s="36"/>
      <c r="I716" s="1" t="str">
        <f aca="false">IF($A716="","",IFERROR(IF(ISBLANK(INDEX(SprintPlanning[Sprint],MATCH($A716,SprintPlanning[Requirement ID],0))),"To Plan",INDEX(SprintPlanning[Sprint],MATCH($A716,SprintPlanning[Requirement ID],0))),"To Plan"))</f>
        <v/>
      </c>
      <c r="J716" s="36"/>
      <c r="K716" s="1" t="str">
        <f aca="false">IFERROR(IF(ISBLANK(INDEX(Release[Release],MATCH($A716,Release[Requirement ID],0))),"",INDEX(Release[Release],MATCH($A716,Release[Requirement ID],0))),"")</f>
        <v/>
      </c>
      <c r="L716" s="36"/>
      <c r="M716" s="36"/>
      <c r="P716" s="1" t="n">
        <f aca="false">IFERROR(VALUE(MID($A716,5,4)),0)</f>
        <v>0</v>
      </c>
      <c r="Q716" s="1" t="str">
        <f aca="false">IF(B716="","","NEW-"&amp;TEXT(MAX($P$2:$P715,Lists!$N$2)+1,"0000"))</f>
        <v/>
      </c>
    </row>
    <row r="717" customFormat="false" ht="15" hidden="false" customHeight="true" outlineLevel="0" collapsed="false">
      <c r="A717" s="35" t="str">
        <f aca="false">IF(AND(B717="",C717="",D717="",E717="",F717="",G717="",H717="",J717="",L717="",M717="",N717=""),"",Q717)</f>
        <v/>
      </c>
      <c r="B717" s="36"/>
      <c r="C717" s="36"/>
      <c r="D717" s="36"/>
      <c r="E717" s="36"/>
      <c r="F717" s="36"/>
      <c r="G717" s="36"/>
      <c r="H717" s="36"/>
      <c r="I717" s="1" t="str">
        <f aca="false">IF($A717="","",IFERROR(IF(ISBLANK(INDEX(SprintPlanning[Sprint],MATCH($A717,SprintPlanning[Requirement ID],0))),"To Plan",INDEX(SprintPlanning[Sprint],MATCH($A717,SprintPlanning[Requirement ID],0))),"To Plan"))</f>
        <v/>
      </c>
      <c r="J717" s="36"/>
      <c r="K717" s="1" t="str">
        <f aca="false">IFERROR(IF(ISBLANK(INDEX(Release[Release],MATCH($A717,Release[Requirement ID],0))),"",INDEX(Release[Release],MATCH($A717,Release[Requirement ID],0))),"")</f>
        <v/>
      </c>
      <c r="L717" s="36"/>
      <c r="M717" s="36"/>
      <c r="P717" s="1" t="n">
        <f aca="false">IFERROR(VALUE(MID($A717,5,4)),0)</f>
        <v>0</v>
      </c>
      <c r="Q717" s="1" t="str">
        <f aca="false">IF(B717="","","NEW-"&amp;TEXT(MAX($P$2:$P716,Lists!$N$2)+1,"0000"))</f>
        <v/>
      </c>
    </row>
    <row r="718" customFormat="false" ht="15" hidden="false" customHeight="true" outlineLevel="0" collapsed="false">
      <c r="A718" s="35" t="str">
        <f aca="false">IF(AND(B718="",C718="",D718="",E718="",F718="",G718="",H718="",J718="",L718="",M718="",N718=""),"",Q718)</f>
        <v/>
      </c>
      <c r="B718" s="36"/>
      <c r="C718" s="36"/>
      <c r="D718" s="36"/>
      <c r="E718" s="36"/>
      <c r="F718" s="36"/>
      <c r="G718" s="36"/>
      <c r="H718" s="36"/>
      <c r="I718" s="1" t="str">
        <f aca="false">IF($A718="","",IFERROR(IF(ISBLANK(INDEX(SprintPlanning[Sprint],MATCH($A718,SprintPlanning[Requirement ID],0))),"To Plan",INDEX(SprintPlanning[Sprint],MATCH($A718,SprintPlanning[Requirement ID],0))),"To Plan"))</f>
        <v/>
      </c>
      <c r="J718" s="36"/>
      <c r="K718" s="1" t="str">
        <f aca="false">IFERROR(IF(ISBLANK(INDEX(Release[Release],MATCH($A718,Release[Requirement ID],0))),"",INDEX(Release[Release],MATCH($A718,Release[Requirement ID],0))),"")</f>
        <v/>
      </c>
      <c r="L718" s="36"/>
      <c r="M718" s="36"/>
      <c r="P718" s="1" t="n">
        <f aca="false">IFERROR(VALUE(MID($A718,5,4)),0)</f>
        <v>0</v>
      </c>
      <c r="Q718" s="1" t="str">
        <f aca="false">IF(B718="","","NEW-"&amp;TEXT(MAX($P$2:$P717,Lists!$N$2)+1,"0000"))</f>
        <v/>
      </c>
    </row>
    <row r="719" customFormat="false" ht="15" hidden="false" customHeight="true" outlineLevel="0" collapsed="false">
      <c r="A719" s="35" t="str">
        <f aca="false">IF(AND(B719="",C719="",D719="",E719="",F719="",G719="",H719="",J719="",L719="",M719="",N719=""),"",Q719)</f>
        <v/>
      </c>
      <c r="B719" s="36"/>
      <c r="C719" s="36"/>
      <c r="D719" s="36"/>
      <c r="E719" s="36"/>
      <c r="F719" s="36"/>
      <c r="G719" s="36"/>
      <c r="H719" s="36"/>
      <c r="I719" s="1" t="str">
        <f aca="false">IF($A719="","",IFERROR(IF(ISBLANK(INDEX(SprintPlanning[Sprint],MATCH($A719,SprintPlanning[Requirement ID],0))),"To Plan",INDEX(SprintPlanning[Sprint],MATCH($A719,SprintPlanning[Requirement ID],0))),"To Plan"))</f>
        <v/>
      </c>
      <c r="J719" s="36"/>
      <c r="K719" s="1" t="str">
        <f aca="false">IFERROR(IF(ISBLANK(INDEX(Release[Release],MATCH($A719,Release[Requirement ID],0))),"",INDEX(Release[Release],MATCH($A719,Release[Requirement ID],0))),"")</f>
        <v/>
      </c>
      <c r="L719" s="36"/>
      <c r="M719" s="36"/>
      <c r="P719" s="1" t="n">
        <f aca="false">IFERROR(VALUE(MID($A719,5,4)),0)</f>
        <v>0</v>
      </c>
      <c r="Q719" s="1" t="str">
        <f aca="false">IF(B719="","","NEW-"&amp;TEXT(MAX($P$2:$P718,Lists!$N$2)+1,"0000"))</f>
        <v/>
      </c>
    </row>
    <row r="720" customFormat="false" ht="15" hidden="false" customHeight="true" outlineLevel="0" collapsed="false">
      <c r="A720" s="35" t="str">
        <f aca="false">IF(AND(B720="",C720="",D720="",E720="",F720="",G720="",H720="",J720="",L720="",M720="",N720=""),"",Q720)</f>
        <v/>
      </c>
      <c r="B720" s="36"/>
      <c r="C720" s="36"/>
      <c r="D720" s="36"/>
      <c r="E720" s="36"/>
      <c r="F720" s="36"/>
      <c r="G720" s="36"/>
      <c r="H720" s="36"/>
      <c r="I720" s="1" t="str">
        <f aca="false">IF($A720="","",IFERROR(IF(ISBLANK(INDEX(SprintPlanning[Sprint],MATCH($A720,SprintPlanning[Requirement ID],0))),"To Plan",INDEX(SprintPlanning[Sprint],MATCH($A720,SprintPlanning[Requirement ID],0))),"To Plan"))</f>
        <v/>
      </c>
      <c r="J720" s="36"/>
      <c r="K720" s="1" t="str">
        <f aca="false">IFERROR(IF(ISBLANK(INDEX(Release[Release],MATCH($A720,Release[Requirement ID],0))),"",INDEX(Release[Release],MATCH($A720,Release[Requirement ID],0))),"")</f>
        <v/>
      </c>
      <c r="L720" s="36"/>
      <c r="M720" s="36"/>
      <c r="P720" s="1" t="n">
        <f aca="false">IFERROR(VALUE(MID($A720,5,4)),0)</f>
        <v>0</v>
      </c>
      <c r="Q720" s="1" t="str">
        <f aca="false">IF(B720="","","NEW-"&amp;TEXT(MAX($P$2:$P719,Lists!$N$2)+1,"0000"))</f>
        <v/>
      </c>
    </row>
    <row r="721" customFormat="false" ht="15" hidden="false" customHeight="true" outlineLevel="0" collapsed="false">
      <c r="A721" s="35" t="str">
        <f aca="false">IF(AND(B721="",C721="",D721="",E721="",F721="",G721="",H721="",J721="",L721="",M721="",N721=""),"",Q721)</f>
        <v/>
      </c>
      <c r="B721" s="36"/>
      <c r="C721" s="36"/>
      <c r="D721" s="36"/>
      <c r="E721" s="36"/>
      <c r="F721" s="36"/>
      <c r="G721" s="36"/>
      <c r="H721" s="36"/>
      <c r="I721" s="1" t="str">
        <f aca="false">IF($A721="","",IFERROR(IF(ISBLANK(INDEX(SprintPlanning[Sprint],MATCH($A721,SprintPlanning[Requirement ID],0))),"To Plan",INDEX(SprintPlanning[Sprint],MATCH($A721,SprintPlanning[Requirement ID],0))),"To Plan"))</f>
        <v/>
      </c>
      <c r="J721" s="36"/>
      <c r="K721" s="1" t="str">
        <f aca="false">IFERROR(IF(ISBLANK(INDEX(Release[Release],MATCH($A721,Release[Requirement ID],0))),"",INDEX(Release[Release],MATCH($A721,Release[Requirement ID],0))),"")</f>
        <v/>
      </c>
      <c r="L721" s="36"/>
      <c r="M721" s="36"/>
      <c r="P721" s="1" t="n">
        <f aca="false">IFERROR(VALUE(MID($A721,5,4)),0)</f>
        <v>0</v>
      </c>
      <c r="Q721" s="1" t="str">
        <f aca="false">IF(B721="","","NEW-"&amp;TEXT(MAX($P$2:$P720,Lists!$N$2)+1,"0000"))</f>
        <v/>
      </c>
    </row>
    <row r="722" customFormat="false" ht="15" hidden="false" customHeight="true" outlineLevel="0" collapsed="false">
      <c r="A722" s="35" t="str">
        <f aca="false">IF(AND(B722="",C722="",D722="",E722="",F722="",G722="",H722="",J722="",L722="",M722="",N722=""),"",Q722)</f>
        <v/>
      </c>
      <c r="B722" s="36"/>
      <c r="C722" s="36"/>
      <c r="D722" s="36"/>
      <c r="E722" s="36"/>
      <c r="F722" s="36"/>
      <c r="G722" s="36"/>
      <c r="H722" s="36"/>
      <c r="I722" s="1" t="str">
        <f aca="false">IF($A722="","",IFERROR(IF(ISBLANK(INDEX(SprintPlanning[Sprint],MATCH($A722,SprintPlanning[Requirement ID],0))),"To Plan",INDEX(SprintPlanning[Sprint],MATCH($A722,SprintPlanning[Requirement ID],0))),"To Plan"))</f>
        <v/>
      </c>
      <c r="J722" s="36"/>
      <c r="K722" s="1" t="str">
        <f aca="false">IFERROR(IF(ISBLANK(INDEX(Release[Release],MATCH($A722,Release[Requirement ID],0))),"",INDEX(Release[Release],MATCH($A722,Release[Requirement ID],0))),"")</f>
        <v/>
      </c>
      <c r="L722" s="36"/>
      <c r="M722" s="36"/>
      <c r="P722" s="1" t="n">
        <f aca="false">IFERROR(VALUE(MID($A722,5,4)),0)</f>
        <v>0</v>
      </c>
      <c r="Q722" s="1" t="str">
        <f aca="false">IF(B722="","","NEW-"&amp;TEXT(MAX($P$2:$P721,Lists!$N$2)+1,"0000"))</f>
        <v/>
      </c>
    </row>
    <row r="723" customFormat="false" ht="15" hidden="false" customHeight="true" outlineLevel="0" collapsed="false">
      <c r="A723" s="35" t="str">
        <f aca="false">IF(AND(B723="",C723="",D723="",E723="",F723="",G723="",H723="",J723="",L723="",M723="",N723=""),"",Q723)</f>
        <v/>
      </c>
      <c r="B723" s="36"/>
      <c r="C723" s="36"/>
      <c r="D723" s="36"/>
      <c r="E723" s="36"/>
      <c r="F723" s="36"/>
      <c r="G723" s="36"/>
      <c r="H723" s="36"/>
      <c r="I723" s="1" t="str">
        <f aca="false">IF($A723="","",IFERROR(IF(ISBLANK(INDEX(SprintPlanning[Sprint],MATCH($A723,SprintPlanning[Requirement ID],0))),"To Plan",INDEX(SprintPlanning[Sprint],MATCH($A723,SprintPlanning[Requirement ID],0))),"To Plan"))</f>
        <v/>
      </c>
      <c r="J723" s="36"/>
      <c r="K723" s="1" t="str">
        <f aca="false">IFERROR(IF(ISBLANK(INDEX(Release[Release],MATCH($A723,Release[Requirement ID],0))),"",INDEX(Release[Release],MATCH($A723,Release[Requirement ID],0))),"")</f>
        <v/>
      </c>
      <c r="L723" s="36"/>
      <c r="M723" s="36"/>
      <c r="P723" s="1" t="n">
        <f aca="false">IFERROR(VALUE(MID($A723,5,4)),0)</f>
        <v>0</v>
      </c>
      <c r="Q723" s="1" t="str">
        <f aca="false">IF(B723="","","NEW-"&amp;TEXT(MAX($P$2:$P722,Lists!$N$2)+1,"0000"))</f>
        <v/>
      </c>
    </row>
    <row r="724" customFormat="false" ht="15" hidden="false" customHeight="true" outlineLevel="0" collapsed="false">
      <c r="A724" s="35" t="str">
        <f aca="false">IF(AND(B724="",C724="",D724="",E724="",F724="",G724="",H724="",J724="",L724="",M724="",N724=""),"",Q724)</f>
        <v/>
      </c>
      <c r="B724" s="36"/>
      <c r="C724" s="36"/>
      <c r="D724" s="36"/>
      <c r="E724" s="36"/>
      <c r="F724" s="36"/>
      <c r="G724" s="36"/>
      <c r="H724" s="36"/>
      <c r="I724" s="1" t="str">
        <f aca="false">IF($A724="","",IFERROR(IF(ISBLANK(INDEX(SprintPlanning[Sprint],MATCH($A724,SprintPlanning[Requirement ID],0))),"To Plan",INDEX(SprintPlanning[Sprint],MATCH($A724,SprintPlanning[Requirement ID],0))),"To Plan"))</f>
        <v/>
      </c>
      <c r="J724" s="36"/>
      <c r="K724" s="1" t="str">
        <f aca="false">IFERROR(IF(ISBLANK(INDEX(Release[Release],MATCH($A724,Release[Requirement ID],0))),"",INDEX(Release[Release],MATCH($A724,Release[Requirement ID],0))),"")</f>
        <v/>
      </c>
      <c r="L724" s="36"/>
      <c r="M724" s="36"/>
      <c r="P724" s="1" t="n">
        <f aca="false">IFERROR(VALUE(MID($A724,5,4)),0)</f>
        <v>0</v>
      </c>
      <c r="Q724" s="1" t="str">
        <f aca="false">IF(B724="","","NEW-"&amp;TEXT(MAX($P$2:$P723,Lists!$N$2)+1,"0000"))</f>
        <v/>
      </c>
    </row>
    <row r="725" customFormat="false" ht="15" hidden="false" customHeight="true" outlineLevel="0" collapsed="false">
      <c r="A725" s="35" t="str">
        <f aca="false">IF(AND(B725="",C725="",D725="",E725="",F725="",G725="",H725="",J725="",L725="",M725="",N725=""),"",Q725)</f>
        <v/>
      </c>
      <c r="B725" s="36"/>
      <c r="C725" s="36"/>
      <c r="D725" s="36"/>
      <c r="E725" s="36"/>
      <c r="F725" s="36"/>
      <c r="G725" s="36"/>
      <c r="H725" s="36"/>
      <c r="I725" s="1" t="str">
        <f aca="false">IF($A725="","",IFERROR(IF(ISBLANK(INDEX(SprintPlanning[Sprint],MATCH($A725,SprintPlanning[Requirement ID],0))),"To Plan",INDEX(SprintPlanning[Sprint],MATCH($A725,SprintPlanning[Requirement ID],0))),"To Plan"))</f>
        <v/>
      </c>
      <c r="J725" s="36"/>
      <c r="K725" s="1" t="str">
        <f aca="false">IFERROR(IF(ISBLANK(INDEX(Release[Release],MATCH($A725,Release[Requirement ID],0))),"",INDEX(Release[Release],MATCH($A725,Release[Requirement ID],0))),"")</f>
        <v/>
      </c>
      <c r="L725" s="36"/>
      <c r="M725" s="36"/>
      <c r="P725" s="1" t="n">
        <f aca="false">IFERROR(VALUE(MID($A725,5,4)),0)</f>
        <v>0</v>
      </c>
      <c r="Q725" s="1" t="str">
        <f aca="false">IF(B725="","","NEW-"&amp;TEXT(MAX($P$2:$P724,Lists!$N$2)+1,"0000"))</f>
        <v/>
      </c>
    </row>
    <row r="726" customFormat="false" ht="15" hidden="false" customHeight="true" outlineLevel="0" collapsed="false">
      <c r="A726" s="35" t="str">
        <f aca="false">IF(AND(B726="",C726="",D726="",E726="",F726="",G726="",H726="",J726="",L726="",M726="",N726=""),"",Q726)</f>
        <v/>
      </c>
      <c r="B726" s="36"/>
      <c r="C726" s="36"/>
      <c r="D726" s="36"/>
      <c r="E726" s="36"/>
      <c r="F726" s="36"/>
      <c r="G726" s="36"/>
      <c r="H726" s="36"/>
      <c r="I726" s="1" t="str">
        <f aca="false">IF($A726="","",IFERROR(IF(ISBLANK(INDEX(SprintPlanning[Sprint],MATCH($A726,SprintPlanning[Requirement ID],0))),"To Plan",INDEX(SprintPlanning[Sprint],MATCH($A726,SprintPlanning[Requirement ID],0))),"To Plan"))</f>
        <v/>
      </c>
      <c r="J726" s="36"/>
      <c r="K726" s="1" t="str">
        <f aca="false">IFERROR(IF(ISBLANK(INDEX(Release[Release],MATCH($A726,Release[Requirement ID],0))),"",INDEX(Release[Release],MATCH($A726,Release[Requirement ID],0))),"")</f>
        <v/>
      </c>
      <c r="L726" s="36"/>
      <c r="M726" s="36"/>
      <c r="P726" s="1" t="n">
        <f aca="false">IFERROR(VALUE(MID($A726,5,4)),0)</f>
        <v>0</v>
      </c>
      <c r="Q726" s="1" t="str">
        <f aca="false">IF(B726="","","NEW-"&amp;TEXT(MAX($P$2:$P725,Lists!$N$2)+1,"0000"))</f>
        <v/>
      </c>
    </row>
    <row r="727" customFormat="false" ht="15" hidden="false" customHeight="true" outlineLevel="0" collapsed="false">
      <c r="A727" s="35" t="str">
        <f aca="false">IF(AND(B727="",C727="",D727="",E727="",F727="",G727="",H727="",J727="",L727="",M727="",N727=""),"",Q727)</f>
        <v/>
      </c>
      <c r="B727" s="36"/>
      <c r="C727" s="36"/>
      <c r="D727" s="36"/>
      <c r="E727" s="36"/>
      <c r="F727" s="36"/>
      <c r="G727" s="36"/>
      <c r="H727" s="36"/>
      <c r="I727" s="1" t="str">
        <f aca="false">IF($A727="","",IFERROR(IF(ISBLANK(INDEX(SprintPlanning[Sprint],MATCH($A727,SprintPlanning[Requirement ID],0))),"To Plan",INDEX(SprintPlanning[Sprint],MATCH($A727,SprintPlanning[Requirement ID],0))),"To Plan"))</f>
        <v/>
      </c>
      <c r="J727" s="36"/>
      <c r="K727" s="1" t="str">
        <f aca="false">IFERROR(IF(ISBLANK(INDEX(Release[Release],MATCH($A727,Release[Requirement ID],0))),"",INDEX(Release[Release],MATCH($A727,Release[Requirement ID],0))),"")</f>
        <v/>
      </c>
      <c r="L727" s="36"/>
      <c r="M727" s="36"/>
      <c r="P727" s="1" t="n">
        <f aca="false">IFERROR(VALUE(MID($A727,5,4)),0)</f>
        <v>0</v>
      </c>
      <c r="Q727" s="1" t="str">
        <f aca="false">IF(B727="","","NEW-"&amp;TEXT(MAX($P$2:$P726,Lists!$N$2)+1,"0000"))</f>
        <v/>
      </c>
    </row>
    <row r="728" customFormat="false" ht="15" hidden="false" customHeight="true" outlineLevel="0" collapsed="false">
      <c r="A728" s="35" t="str">
        <f aca="false">IF(AND(B728="",C728="",D728="",E728="",F728="",G728="",H728="",J728="",L728="",M728="",N728=""),"",Q728)</f>
        <v/>
      </c>
      <c r="B728" s="36"/>
      <c r="C728" s="36"/>
      <c r="D728" s="36"/>
      <c r="E728" s="36"/>
      <c r="F728" s="36"/>
      <c r="G728" s="36"/>
      <c r="H728" s="36"/>
      <c r="I728" s="1" t="str">
        <f aca="false">IF($A728="","",IFERROR(IF(ISBLANK(INDEX(SprintPlanning[Sprint],MATCH($A728,SprintPlanning[Requirement ID],0))),"To Plan",INDEX(SprintPlanning[Sprint],MATCH($A728,SprintPlanning[Requirement ID],0))),"To Plan"))</f>
        <v/>
      </c>
      <c r="J728" s="36"/>
      <c r="K728" s="1" t="str">
        <f aca="false">IFERROR(IF(ISBLANK(INDEX(Release[Release],MATCH($A728,Release[Requirement ID],0))),"",INDEX(Release[Release],MATCH($A728,Release[Requirement ID],0))),"")</f>
        <v/>
      </c>
      <c r="L728" s="36"/>
      <c r="M728" s="36"/>
      <c r="P728" s="1" t="n">
        <f aca="false">IFERROR(VALUE(MID($A728,5,4)),0)</f>
        <v>0</v>
      </c>
      <c r="Q728" s="1" t="str">
        <f aca="false">IF(B728="","","NEW-"&amp;TEXT(MAX($P$2:$P727,Lists!$N$2)+1,"0000"))</f>
        <v/>
      </c>
    </row>
    <row r="729" customFormat="false" ht="15" hidden="false" customHeight="true" outlineLevel="0" collapsed="false">
      <c r="A729" s="35" t="str">
        <f aca="false">IF(AND(B729="",C729="",D729="",E729="",F729="",G729="",H729="",J729="",L729="",M729="",N729=""),"",Q729)</f>
        <v/>
      </c>
      <c r="B729" s="36"/>
      <c r="C729" s="36"/>
      <c r="D729" s="36"/>
      <c r="E729" s="36"/>
      <c r="F729" s="36"/>
      <c r="G729" s="36"/>
      <c r="H729" s="36"/>
      <c r="I729" s="1" t="str">
        <f aca="false">IF($A729="","",IFERROR(IF(ISBLANK(INDEX(SprintPlanning[Sprint],MATCH($A729,SprintPlanning[Requirement ID],0))),"To Plan",INDEX(SprintPlanning[Sprint],MATCH($A729,SprintPlanning[Requirement ID],0))),"To Plan"))</f>
        <v/>
      </c>
      <c r="J729" s="36"/>
      <c r="K729" s="1" t="str">
        <f aca="false">IFERROR(IF(ISBLANK(INDEX(Release[Release],MATCH($A729,Release[Requirement ID],0))),"",INDEX(Release[Release],MATCH($A729,Release[Requirement ID],0))),"")</f>
        <v/>
      </c>
      <c r="L729" s="36"/>
      <c r="M729" s="36"/>
      <c r="P729" s="1" t="n">
        <f aca="false">IFERROR(VALUE(MID($A729,5,4)),0)</f>
        <v>0</v>
      </c>
      <c r="Q729" s="1" t="str">
        <f aca="false">IF(B729="","","NEW-"&amp;TEXT(MAX($P$2:$P728,Lists!$N$2)+1,"0000"))</f>
        <v/>
      </c>
    </row>
    <row r="730" customFormat="false" ht="15" hidden="false" customHeight="true" outlineLevel="0" collapsed="false">
      <c r="A730" s="35" t="str">
        <f aca="false">IF(AND(B730="",C730="",D730="",E730="",F730="",G730="",H730="",J730="",L730="",M730="",N730=""),"",Q730)</f>
        <v/>
      </c>
      <c r="B730" s="36"/>
      <c r="C730" s="36"/>
      <c r="D730" s="36"/>
      <c r="E730" s="36"/>
      <c r="F730" s="36"/>
      <c r="G730" s="36"/>
      <c r="H730" s="36"/>
      <c r="I730" s="1" t="str">
        <f aca="false">IF($A730="","",IFERROR(IF(ISBLANK(INDEX(SprintPlanning[Sprint],MATCH($A730,SprintPlanning[Requirement ID],0))),"To Plan",INDEX(SprintPlanning[Sprint],MATCH($A730,SprintPlanning[Requirement ID],0))),"To Plan"))</f>
        <v/>
      </c>
      <c r="J730" s="36"/>
      <c r="K730" s="1" t="str">
        <f aca="false">IFERROR(IF(ISBLANK(INDEX(Release[Release],MATCH($A730,Release[Requirement ID],0))),"",INDEX(Release[Release],MATCH($A730,Release[Requirement ID],0))),"")</f>
        <v/>
      </c>
      <c r="L730" s="36"/>
      <c r="M730" s="36"/>
      <c r="P730" s="1" t="n">
        <f aca="false">IFERROR(VALUE(MID($A730,5,4)),0)</f>
        <v>0</v>
      </c>
      <c r="Q730" s="1" t="str">
        <f aca="false">IF(B730="","","NEW-"&amp;TEXT(MAX($P$2:$P729,Lists!$N$2)+1,"0000"))</f>
        <v/>
      </c>
    </row>
    <row r="731" customFormat="false" ht="15" hidden="false" customHeight="true" outlineLevel="0" collapsed="false">
      <c r="A731" s="35" t="str">
        <f aca="false">IF(AND(B731="",C731="",D731="",E731="",F731="",G731="",H731="",J731="",L731="",M731="",N731=""),"",Q731)</f>
        <v/>
      </c>
      <c r="B731" s="36"/>
      <c r="C731" s="36"/>
      <c r="D731" s="36"/>
      <c r="E731" s="36"/>
      <c r="F731" s="36"/>
      <c r="G731" s="36"/>
      <c r="H731" s="36"/>
      <c r="I731" s="1" t="str">
        <f aca="false">IF($A731="","",IFERROR(IF(ISBLANK(INDEX(SprintPlanning[Sprint],MATCH($A731,SprintPlanning[Requirement ID],0))),"To Plan",INDEX(SprintPlanning[Sprint],MATCH($A731,SprintPlanning[Requirement ID],0))),"To Plan"))</f>
        <v/>
      </c>
      <c r="J731" s="36"/>
      <c r="K731" s="1" t="str">
        <f aca="false">IFERROR(IF(ISBLANK(INDEX(Release[Release],MATCH($A731,Release[Requirement ID],0))),"",INDEX(Release[Release],MATCH($A731,Release[Requirement ID],0))),"")</f>
        <v/>
      </c>
      <c r="L731" s="36"/>
      <c r="M731" s="36"/>
      <c r="P731" s="1" t="n">
        <f aca="false">IFERROR(VALUE(MID($A731,5,4)),0)</f>
        <v>0</v>
      </c>
      <c r="Q731" s="1" t="str">
        <f aca="false">IF(B731="","","NEW-"&amp;TEXT(MAX($P$2:$P730,Lists!$N$2)+1,"0000"))</f>
        <v/>
      </c>
    </row>
    <row r="732" customFormat="false" ht="15" hidden="false" customHeight="true" outlineLevel="0" collapsed="false">
      <c r="A732" s="35" t="str">
        <f aca="false">IF(AND(B732="",C732="",D732="",E732="",F732="",G732="",H732="",J732="",L732="",M732="",N732=""),"",Q732)</f>
        <v/>
      </c>
      <c r="B732" s="36"/>
      <c r="C732" s="36"/>
      <c r="D732" s="36"/>
      <c r="E732" s="36"/>
      <c r="F732" s="36"/>
      <c r="G732" s="36"/>
      <c r="H732" s="36"/>
      <c r="I732" s="1" t="str">
        <f aca="false">IF($A732="","",IFERROR(IF(ISBLANK(INDEX(SprintPlanning[Sprint],MATCH($A732,SprintPlanning[Requirement ID],0))),"To Plan",INDEX(SprintPlanning[Sprint],MATCH($A732,SprintPlanning[Requirement ID],0))),"To Plan"))</f>
        <v/>
      </c>
      <c r="J732" s="36"/>
      <c r="K732" s="1" t="str">
        <f aca="false">IFERROR(IF(ISBLANK(INDEX(Release[Release],MATCH($A732,Release[Requirement ID],0))),"",INDEX(Release[Release],MATCH($A732,Release[Requirement ID],0))),"")</f>
        <v/>
      </c>
      <c r="L732" s="36"/>
      <c r="M732" s="36"/>
      <c r="P732" s="1" t="n">
        <f aca="false">IFERROR(VALUE(MID($A732,5,4)),0)</f>
        <v>0</v>
      </c>
      <c r="Q732" s="1" t="str">
        <f aca="false">IF(B732="","","NEW-"&amp;TEXT(MAX($P$2:$P731,Lists!$N$2)+1,"0000"))</f>
        <v/>
      </c>
    </row>
    <row r="733" customFormat="false" ht="15" hidden="false" customHeight="true" outlineLevel="0" collapsed="false">
      <c r="A733" s="35" t="str">
        <f aca="false">IF(AND(B733="",C733="",D733="",E733="",F733="",G733="",H733="",J733="",L733="",M733="",N733=""),"",Q733)</f>
        <v/>
      </c>
      <c r="B733" s="36"/>
      <c r="C733" s="36"/>
      <c r="D733" s="36"/>
      <c r="E733" s="36"/>
      <c r="F733" s="36"/>
      <c r="G733" s="36"/>
      <c r="H733" s="36"/>
      <c r="I733" s="1" t="str">
        <f aca="false">IF($A733="","",IFERROR(IF(ISBLANK(INDEX(SprintPlanning[Sprint],MATCH($A733,SprintPlanning[Requirement ID],0))),"To Plan",INDEX(SprintPlanning[Sprint],MATCH($A733,SprintPlanning[Requirement ID],0))),"To Plan"))</f>
        <v/>
      </c>
      <c r="J733" s="36"/>
      <c r="K733" s="1" t="str">
        <f aca="false">IFERROR(IF(ISBLANK(INDEX(Release[Release],MATCH($A733,Release[Requirement ID],0))),"",INDEX(Release[Release],MATCH($A733,Release[Requirement ID],0))),"")</f>
        <v/>
      </c>
      <c r="L733" s="36"/>
      <c r="M733" s="36"/>
      <c r="P733" s="1" t="n">
        <f aca="false">IFERROR(VALUE(MID($A733,5,4)),0)</f>
        <v>0</v>
      </c>
      <c r="Q733" s="1" t="str">
        <f aca="false">IF(B733="","","NEW-"&amp;TEXT(MAX($P$2:$P732,Lists!$N$2)+1,"0000"))</f>
        <v/>
      </c>
    </row>
    <row r="734" customFormat="false" ht="15" hidden="false" customHeight="true" outlineLevel="0" collapsed="false">
      <c r="A734" s="35" t="str">
        <f aca="false">IF(AND(B734="",C734="",D734="",E734="",F734="",G734="",H734="",J734="",L734="",M734="",N734=""),"",Q734)</f>
        <v/>
      </c>
      <c r="B734" s="36"/>
      <c r="C734" s="36"/>
      <c r="D734" s="36"/>
      <c r="E734" s="36"/>
      <c r="F734" s="36"/>
      <c r="G734" s="36"/>
      <c r="H734" s="36"/>
      <c r="I734" s="1" t="str">
        <f aca="false">IF($A734="","",IFERROR(IF(ISBLANK(INDEX(SprintPlanning[Sprint],MATCH($A734,SprintPlanning[Requirement ID],0))),"To Plan",INDEX(SprintPlanning[Sprint],MATCH($A734,SprintPlanning[Requirement ID],0))),"To Plan"))</f>
        <v/>
      </c>
      <c r="J734" s="36"/>
      <c r="K734" s="1" t="str">
        <f aca="false">IFERROR(IF(ISBLANK(INDEX(Release[Release],MATCH($A734,Release[Requirement ID],0))),"",INDEX(Release[Release],MATCH($A734,Release[Requirement ID],0))),"")</f>
        <v/>
      </c>
      <c r="L734" s="36"/>
      <c r="M734" s="36"/>
      <c r="P734" s="1" t="n">
        <f aca="false">IFERROR(VALUE(MID($A734,5,4)),0)</f>
        <v>0</v>
      </c>
      <c r="Q734" s="1" t="str">
        <f aca="false">IF(B734="","","NEW-"&amp;TEXT(MAX($P$2:$P733,Lists!$N$2)+1,"0000"))</f>
        <v/>
      </c>
    </row>
    <row r="735" customFormat="false" ht="15" hidden="false" customHeight="true" outlineLevel="0" collapsed="false">
      <c r="A735" s="35" t="str">
        <f aca="false">IF(AND(B735="",C735="",D735="",E735="",F735="",G735="",H735="",J735="",L735="",M735="",N735=""),"",Q735)</f>
        <v/>
      </c>
      <c r="B735" s="36"/>
      <c r="C735" s="36"/>
      <c r="D735" s="36"/>
      <c r="E735" s="36"/>
      <c r="F735" s="36"/>
      <c r="G735" s="36"/>
      <c r="H735" s="36"/>
      <c r="I735" s="1" t="str">
        <f aca="false">IF($A735="","",IFERROR(IF(ISBLANK(INDEX(SprintPlanning[Sprint],MATCH($A735,SprintPlanning[Requirement ID],0))),"To Plan",INDEX(SprintPlanning[Sprint],MATCH($A735,SprintPlanning[Requirement ID],0))),"To Plan"))</f>
        <v/>
      </c>
      <c r="J735" s="36"/>
      <c r="K735" s="1" t="str">
        <f aca="false">IFERROR(IF(ISBLANK(INDEX(Release[Release],MATCH($A735,Release[Requirement ID],0))),"",INDEX(Release[Release],MATCH($A735,Release[Requirement ID],0))),"")</f>
        <v/>
      </c>
      <c r="L735" s="36"/>
      <c r="M735" s="36"/>
      <c r="P735" s="1" t="n">
        <f aca="false">IFERROR(VALUE(MID($A735,5,4)),0)</f>
        <v>0</v>
      </c>
      <c r="Q735" s="1" t="str">
        <f aca="false">IF(B735="","","NEW-"&amp;TEXT(MAX($P$2:$P734,Lists!$N$2)+1,"0000"))</f>
        <v/>
      </c>
    </row>
    <row r="736" customFormat="false" ht="15" hidden="false" customHeight="true" outlineLevel="0" collapsed="false">
      <c r="A736" s="35" t="str">
        <f aca="false">IF(AND(B736="",C736="",D736="",E736="",F736="",G736="",H736="",J736="",L736="",M736="",N736=""),"",Q736)</f>
        <v/>
      </c>
      <c r="B736" s="36"/>
      <c r="C736" s="36"/>
      <c r="D736" s="36"/>
      <c r="E736" s="36"/>
      <c r="F736" s="36"/>
      <c r="G736" s="36"/>
      <c r="H736" s="36"/>
      <c r="I736" s="1" t="str">
        <f aca="false">IF($A736="","",IFERROR(IF(ISBLANK(INDEX(SprintPlanning[Sprint],MATCH($A736,SprintPlanning[Requirement ID],0))),"To Plan",INDEX(SprintPlanning[Sprint],MATCH($A736,SprintPlanning[Requirement ID],0))),"To Plan"))</f>
        <v/>
      </c>
      <c r="J736" s="36"/>
      <c r="K736" s="1" t="str">
        <f aca="false">IFERROR(IF(ISBLANK(INDEX(Release[Release],MATCH($A736,Release[Requirement ID],0))),"",INDEX(Release[Release],MATCH($A736,Release[Requirement ID],0))),"")</f>
        <v/>
      </c>
      <c r="L736" s="36"/>
      <c r="M736" s="36"/>
      <c r="P736" s="1" t="n">
        <f aca="false">IFERROR(VALUE(MID($A736,5,4)),0)</f>
        <v>0</v>
      </c>
      <c r="Q736" s="1" t="str">
        <f aca="false">IF(B736="","","NEW-"&amp;TEXT(MAX($P$2:$P735,Lists!$N$2)+1,"0000"))</f>
        <v/>
      </c>
    </row>
    <row r="737" customFormat="false" ht="15" hidden="false" customHeight="true" outlineLevel="0" collapsed="false">
      <c r="A737" s="35" t="str">
        <f aca="false">IF(AND(B737="",C737="",D737="",E737="",F737="",G737="",H737="",J737="",L737="",M737="",N737=""),"",Q737)</f>
        <v/>
      </c>
      <c r="B737" s="36"/>
      <c r="C737" s="36"/>
      <c r="D737" s="36"/>
      <c r="E737" s="36"/>
      <c r="F737" s="36"/>
      <c r="G737" s="36"/>
      <c r="H737" s="36"/>
      <c r="I737" s="1" t="str">
        <f aca="false">IF($A737="","",IFERROR(IF(ISBLANK(INDEX(SprintPlanning[Sprint],MATCH($A737,SprintPlanning[Requirement ID],0))),"To Plan",INDEX(SprintPlanning[Sprint],MATCH($A737,SprintPlanning[Requirement ID],0))),"To Plan"))</f>
        <v/>
      </c>
      <c r="J737" s="36"/>
      <c r="K737" s="1" t="str">
        <f aca="false">IFERROR(IF(ISBLANK(INDEX(Release[Release],MATCH($A737,Release[Requirement ID],0))),"",INDEX(Release[Release],MATCH($A737,Release[Requirement ID],0))),"")</f>
        <v/>
      </c>
      <c r="L737" s="36"/>
      <c r="M737" s="36"/>
      <c r="P737" s="1" t="n">
        <f aca="false">IFERROR(VALUE(MID($A737,5,4)),0)</f>
        <v>0</v>
      </c>
      <c r="Q737" s="1" t="str">
        <f aca="false">IF(B737="","","NEW-"&amp;TEXT(MAX($P$2:$P736,Lists!$N$2)+1,"0000"))</f>
        <v/>
      </c>
    </row>
    <row r="738" customFormat="false" ht="15" hidden="false" customHeight="true" outlineLevel="0" collapsed="false">
      <c r="A738" s="35" t="str">
        <f aca="false">IF(AND(B738="",C738="",D738="",E738="",F738="",G738="",H738="",J738="",L738="",M738="",N738=""),"",Q738)</f>
        <v/>
      </c>
      <c r="B738" s="36"/>
      <c r="C738" s="36"/>
      <c r="D738" s="36"/>
      <c r="E738" s="36"/>
      <c r="F738" s="36"/>
      <c r="G738" s="36"/>
      <c r="H738" s="36"/>
      <c r="I738" s="1" t="str">
        <f aca="false">IF($A738="","",IFERROR(IF(ISBLANK(INDEX(SprintPlanning[Sprint],MATCH($A738,SprintPlanning[Requirement ID],0))),"To Plan",INDEX(SprintPlanning[Sprint],MATCH($A738,SprintPlanning[Requirement ID],0))),"To Plan"))</f>
        <v/>
      </c>
      <c r="J738" s="36"/>
      <c r="K738" s="1" t="str">
        <f aca="false">IFERROR(IF(ISBLANK(INDEX(Release[Release],MATCH($A738,Release[Requirement ID],0))),"",INDEX(Release[Release],MATCH($A738,Release[Requirement ID],0))),"")</f>
        <v/>
      </c>
      <c r="L738" s="36"/>
      <c r="M738" s="36"/>
      <c r="P738" s="1" t="n">
        <f aca="false">IFERROR(VALUE(MID($A738,5,4)),0)</f>
        <v>0</v>
      </c>
      <c r="Q738" s="1" t="str">
        <f aca="false">IF(B738="","","NEW-"&amp;TEXT(MAX($P$2:$P737,Lists!$N$2)+1,"0000"))</f>
        <v/>
      </c>
    </row>
    <row r="739" customFormat="false" ht="15" hidden="false" customHeight="true" outlineLevel="0" collapsed="false">
      <c r="A739" s="35" t="str">
        <f aca="false">IF(AND(B739="",C739="",D739="",E739="",F739="",G739="",H739="",J739="",L739="",M739="",N739=""),"",Q739)</f>
        <v/>
      </c>
      <c r="B739" s="36"/>
      <c r="C739" s="36"/>
      <c r="D739" s="36"/>
      <c r="E739" s="36"/>
      <c r="F739" s="36"/>
      <c r="G739" s="36"/>
      <c r="H739" s="36"/>
      <c r="I739" s="1" t="str">
        <f aca="false">IF($A739="","",IFERROR(IF(ISBLANK(INDEX(SprintPlanning[Sprint],MATCH($A739,SprintPlanning[Requirement ID],0))),"To Plan",INDEX(SprintPlanning[Sprint],MATCH($A739,SprintPlanning[Requirement ID],0))),"To Plan"))</f>
        <v/>
      </c>
      <c r="J739" s="36"/>
      <c r="K739" s="1" t="str">
        <f aca="false">IFERROR(IF(ISBLANK(INDEX(Release[Release],MATCH($A739,Release[Requirement ID],0))),"",INDEX(Release[Release],MATCH($A739,Release[Requirement ID],0))),"")</f>
        <v/>
      </c>
      <c r="L739" s="36"/>
      <c r="M739" s="36"/>
      <c r="P739" s="1" t="n">
        <f aca="false">IFERROR(VALUE(MID($A739,5,4)),0)</f>
        <v>0</v>
      </c>
      <c r="Q739" s="1" t="str">
        <f aca="false">IF(B739="","","NEW-"&amp;TEXT(MAX($P$2:$P738,Lists!$N$2)+1,"0000"))</f>
        <v/>
      </c>
    </row>
    <row r="740" customFormat="false" ht="15" hidden="false" customHeight="true" outlineLevel="0" collapsed="false">
      <c r="A740" s="35" t="str">
        <f aca="false">IF(AND(B740="",C740="",D740="",E740="",F740="",G740="",H740="",J740="",L740="",M740="",N740=""),"",Q740)</f>
        <v/>
      </c>
      <c r="B740" s="36"/>
      <c r="C740" s="36"/>
      <c r="D740" s="36"/>
      <c r="E740" s="36"/>
      <c r="F740" s="36"/>
      <c r="G740" s="36"/>
      <c r="H740" s="36"/>
      <c r="I740" s="1" t="str">
        <f aca="false">IF($A740="","",IFERROR(IF(ISBLANK(INDEX(SprintPlanning[Sprint],MATCH($A740,SprintPlanning[Requirement ID],0))),"To Plan",INDEX(SprintPlanning[Sprint],MATCH($A740,SprintPlanning[Requirement ID],0))),"To Plan"))</f>
        <v/>
      </c>
      <c r="J740" s="36"/>
      <c r="K740" s="1" t="str">
        <f aca="false">IFERROR(IF(ISBLANK(INDEX(Release[Release],MATCH($A740,Release[Requirement ID],0))),"",INDEX(Release[Release],MATCH($A740,Release[Requirement ID],0))),"")</f>
        <v/>
      </c>
      <c r="L740" s="36"/>
      <c r="M740" s="36"/>
      <c r="P740" s="1" t="n">
        <f aca="false">IFERROR(VALUE(MID($A740,5,4)),0)</f>
        <v>0</v>
      </c>
      <c r="Q740" s="1" t="str">
        <f aca="false">IF(B740="","","NEW-"&amp;TEXT(MAX($P$2:$P739,Lists!$N$2)+1,"0000"))</f>
        <v/>
      </c>
    </row>
    <row r="741" customFormat="false" ht="15" hidden="false" customHeight="true" outlineLevel="0" collapsed="false">
      <c r="A741" s="35" t="str">
        <f aca="false">IF(AND(B741="",C741="",D741="",E741="",F741="",G741="",H741="",J741="",L741="",M741="",N741=""),"",Q741)</f>
        <v/>
      </c>
      <c r="B741" s="36"/>
      <c r="C741" s="36"/>
      <c r="D741" s="36"/>
      <c r="E741" s="36"/>
      <c r="F741" s="36"/>
      <c r="G741" s="36"/>
      <c r="H741" s="36"/>
      <c r="I741" s="1" t="str">
        <f aca="false">IF($A741="","",IFERROR(IF(ISBLANK(INDEX(SprintPlanning[Sprint],MATCH($A741,SprintPlanning[Requirement ID],0))),"To Plan",INDEX(SprintPlanning[Sprint],MATCH($A741,SprintPlanning[Requirement ID],0))),"To Plan"))</f>
        <v/>
      </c>
      <c r="J741" s="36"/>
      <c r="K741" s="1" t="str">
        <f aca="false">IFERROR(IF(ISBLANK(INDEX(Release[Release],MATCH($A741,Release[Requirement ID],0))),"",INDEX(Release[Release],MATCH($A741,Release[Requirement ID],0))),"")</f>
        <v/>
      </c>
      <c r="L741" s="36"/>
      <c r="M741" s="36"/>
      <c r="P741" s="1" t="n">
        <f aca="false">IFERROR(VALUE(MID($A741,5,4)),0)</f>
        <v>0</v>
      </c>
      <c r="Q741" s="1" t="str">
        <f aca="false">IF(B741="","","NEW-"&amp;TEXT(MAX($P$2:$P740,Lists!$N$2)+1,"0000"))</f>
        <v/>
      </c>
    </row>
    <row r="742" customFormat="false" ht="15" hidden="false" customHeight="true" outlineLevel="0" collapsed="false">
      <c r="A742" s="35" t="str">
        <f aca="false">IF(AND(B742="",C742="",D742="",E742="",F742="",G742="",H742="",J742="",L742="",M742="",N742=""),"",Q742)</f>
        <v/>
      </c>
      <c r="B742" s="36"/>
      <c r="C742" s="36"/>
      <c r="D742" s="36"/>
      <c r="E742" s="36"/>
      <c r="F742" s="36"/>
      <c r="G742" s="36"/>
      <c r="H742" s="36"/>
      <c r="I742" s="1" t="str">
        <f aca="false">IF($A742="","",IFERROR(IF(ISBLANK(INDEX(SprintPlanning[Sprint],MATCH($A742,SprintPlanning[Requirement ID],0))),"To Plan",INDEX(SprintPlanning[Sprint],MATCH($A742,SprintPlanning[Requirement ID],0))),"To Plan"))</f>
        <v/>
      </c>
      <c r="J742" s="36"/>
      <c r="K742" s="1" t="str">
        <f aca="false">IFERROR(IF(ISBLANK(INDEX(Release[Release],MATCH($A742,Release[Requirement ID],0))),"",INDEX(Release[Release],MATCH($A742,Release[Requirement ID],0))),"")</f>
        <v/>
      </c>
      <c r="L742" s="36"/>
      <c r="M742" s="36"/>
      <c r="P742" s="1" t="n">
        <f aca="false">IFERROR(VALUE(MID($A742,5,4)),0)</f>
        <v>0</v>
      </c>
      <c r="Q742" s="1" t="str">
        <f aca="false">IF(B742="","","NEW-"&amp;TEXT(MAX($P$2:$P741,Lists!$N$2)+1,"0000"))</f>
        <v/>
      </c>
    </row>
    <row r="743" customFormat="false" ht="15" hidden="false" customHeight="true" outlineLevel="0" collapsed="false">
      <c r="A743" s="35" t="str">
        <f aca="false">IF(AND(B743="",C743="",D743="",E743="",F743="",G743="",H743="",J743="",L743="",M743="",N743=""),"",Q743)</f>
        <v/>
      </c>
      <c r="B743" s="36"/>
      <c r="C743" s="36"/>
      <c r="D743" s="36"/>
      <c r="E743" s="36"/>
      <c r="F743" s="36"/>
      <c r="G743" s="36"/>
      <c r="H743" s="36"/>
      <c r="I743" s="1" t="str">
        <f aca="false">IF($A743="","",IFERROR(IF(ISBLANK(INDEX(SprintPlanning[Sprint],MATCH($A743,SprintPlanning[Requirement ID],0))),"To Plan",INDEX(SprintPlanning[Sprint],MATCH($A743,SprintPlanning[Requirement ID],0))),"To Plan"))</f>
        <v/>
      </c>
      <c r="J743" s="36"/>
      <c r="K743" s="1" t="str">
        <f aca="false">IFERROR(IF(ISBLANK(INDEX(Release[Release],MATCH($A743,Release[Requirement ID],0))),"",INDEX(Release[Release],MATCH($A743,Release[Requirement ID],0))),"")</f>
        <v/>
      </c>
      <c r="L743" s="36"/>
      <c r="M743" s="36"/>
      <c r="P743" s="1" t="n">
        <f aca="false">IFERROR(VALUE(MID($A743,5,4)),0)</f>
        <v>0</v>
      </c>
      <c r="Q743" s="1" t="str">
        <f aca="false">IF(B743="","","NEW-"&amp;TEXT(MAX($P$2:$P742,Lists!$N$2)+1,"0000"))</f>
        <v/>
      </c>
    </row>
    <row r="744" customFormat="false" ht="15" hidden="false" customHeight="true" outlineLevel="0" collapsed="false">
      <c r="A744" s="35" t="str">
        <f aca="false">IF(AND(B744="",C744="",D744="",E744="",F744="",G744="",H744="",J744="",L744="",M744="",N744=""),"",Q744)</f>
        <v/>
      </c>
      <c r="B744" s="36"/>
      <c r="C744" s="36"/>
      <c r="D744" s="36"/>
      <c r="E744" s="36"/>
      <c r="F744" s="36"/>
      <c r="G744" s="36"/>
      <c r="H744" s="36"/>
      <c r="I744" s="1" t="str">
        <f aca="false">IF($A744="","",IFERROR(IF(ISBLANK(INDEX(SprintPlanning[Sprint],MATCH($A744,SprintPlanning[Requirement ID],0))),"To Plan",INDEX(SprintPlanning[Sprint],MATCH($A744,SprintPlanning[Requirement ID],0))),"To Plan"))</f>
        <v/>
      </c>
      <c r="J744" s="36"/>
      <c r="K744" s="1" t="str">
        <f aca="false">IFERROR(IF(ISBLANK(INDEX(Release[Release],MATCH($A744,Release[Requirement ID],0))),"",INDEX(Release[Release],MATCH($A744,Release[Requirement ID],0))),"")</f>
        <v/>
      </c>
      <c r="L744" s="36"/>
      <c r="M744" s="36"/>
      <c r="P744" s="1" t="n">
        <f aca="false">IFERROR(VALUE(MID($A744,5,4)),0)</f>
        <v>0</v>
      </c>
      <c r="Q744" s="1" t="str">
        <f aca="false">IF(B744="","","NEW-"&amp;TEXT(MAX($P$2:$P743,Lists!$N$2)+1,"0000"))</f>
        <v/>
      </c>
    </row>
    <row r="745" customFormat="false" ht="15" hidden="false" customHeight="true" outlineLevel="0" collapsed="false">
      <c r="A745" s="35" t="str">
        <f aca="false">IF(AND(B745="",C745="",D745="",E745="",F745="",G745="",H745="",J745="",L745="",M745="",N745=""),"",Q745)</f>
        <v/>
      </c>
      <c r="B745" s="36"/>
      <c r="C745" s="36"/>
      <c r="D745" s="36"/>
      <c r="E745" s="36"/>
      <c r="F745" s="36"/>
      <c r="G745" s="36"/>
      <c r="H745" s="36"/>
      <c r="I745" s="1" t="str">
        <f aca="false">IF($A745="","",IFERROR(IF(ISBLANK(INDEX(SprintPlanning[Sprint],MATCH($A745,SprintPlanning[Requirement ID],0))),"To Plan",INDEX(SprintPlanning[Sprint],MATCH($A745,SprintPlanning[Requirement ID],0))),"To Plan"))</f>
        <v/>
      </c>
      <c r="J745" s="36"/>
      <c r="K745" s="1" t="str">
        <f aca="false">IFERROR(IF(ISBLANK(INDEX(Release[Release],MATCH($A745,Release[Requirement ID],0))),"",INDEX(Release[Release],MATCH($A745,Release[Requirement ID],0))),"")</f>
        <v/>
      </c>
      <c r="L745" s="36"/>
      <c r="M745" s="36"/>
      <c r="P745" s="1" t="n">
        <f aca="false">IFERROR(VALUE(MID($A745,5,4)),0)</f>
        <v>0</v>
      </c>
      <c r="Q745" s="1" t="str">
        <f aca="false">IF(B745="","","NEW-"&amp;TEXT(MAX($P$2:$P744,Lists!$N$2)+1,"0000"))</f>
        <v/>
      </c>
    </row>
    <row r="746" customFormat="false" ht="15" hidden="false" customHeight="true" outlineLevel="0" collapsed="false">
      <c r="A746" s="35" t="str">
        <f aca="false">IF(AND(B746="",C746="",D746="",E746="",F746="",G746="",H746="",J746="",L746="",M746="",N746=""),"",Q746)</f>
        <v/>
      </c>
      <c r="B746" s="36"/>
      <c r="C746" s="36"/>
      <c r="D746" s="36"/>
      <c r="E746" s="36"/>
      <c r="F746" s="36"/>
      <c r="G746" s="36"/>
      <c r="H746" s="36"/>
      <c r="I746" s="1" t="str">
        <f aca="false">IF($A746="","",IFERROR(IF(ISBLANK(INDEX(SprintPlanning[Sprint],MATCH($A746,SprintPlanning[Requirement ID],0))),"To Plan",INDEX(SprintPlanning[Sprint],MATCH($A746,SprintPlanning[Requirement ID],0))),"To Plan"))</f>
        <v/>
      </c>
      <c r="J746" s="36"/>
      <c r="K746" s="1" t="str">
        <f aca="false">IFERROR(IF(ISBLANK(INDEX(Release[Release],MATCH($A746,Release[Requirement ID],0))),"",INDEX(Release[Release],MATCH($A746,Release[Requirement ID],0))),"")</f>
        <v/>
      </c>
      <c r="L746" s="36"/>
      <c r="M746" s="36"/>
      <c r="P746" s="1" t="n">
        <f aca="false">IFERROR(VALUE(MID($A746,5,4)),0)</f>
        <v>0</v>
      </c>
      <c r="Q746" s="1" t="str">
        <f aca="false">IF(B746="","","NEW-"&amp;TEXT(MAX($P$2:$P745,Lists!$N$2)+1,"0000"))</f>
        <v/>
      </c>
    </row>
    <row r="747" customFormat="false" ht="15" hidden="false" customHeight="true" outlineLevel="0" collapsed="false">
      <c r="A747" s="35" t="str">
        <f aca="false">IF(AND(B747="",C747="",D747="",E747="",F747="",G747="",H747="",J747="",L747="",M747="",N747=""),"",Q747)</f>
        <v/>
      </c>
      <c r="B747" s="36"/>
      <c r="C747" s="36"/>
      <c r="D747" s="36"/>
      <c r="E747" s="36"/>
      <c r="F747" s="36"/>
      <c r="G747" s="36"/>
      <c r="H747" s="36"/>
      <c r="I747" s="1" t="str">
        <f aca="false">IF($A747="","",IFERROR(IF(ISBLANK(INDEX(SprintPlanning[Sprint],MATCH($A747,SprintPlanning[Requirement ID],0))),"To Plan",INDEX(SprintPlanning[Sprint],MATCH($A747,SprintPlanning[Requirement ID],0))),"To Plan"))</f>
        <v/>
      </c>
      <c r="J747" s="36"/>
      <c r="K747" s="1" t="str">
        <f aca="false">IFERROR(IF(ISBLANK(INDEX(Release[Release],MATCH($A747,Release[Requirement ID],0))),"",INDEX(Release[Release],MATCH($A747,Release[Requirement ID],0))),"")</f>
        <v/>
      </c>
      <c r="L747" s="36"/>
      <c r="M747" s="36"/>
      <c r="P747" s="1" t="n">
        <f aca="false">IFERROR(VALUE(MID($A747,5,4)),0)</f>
        <v>0</v>
      </c>
      <c r="Q747" s="1" t="str">
        <f aca="false">IF(B747="","","NEW-"&amp;TEXT(MAX($P$2:$P746,Lists!$N$2)+1,"0000"))</f>
        <v/>
      </c>
    </row>
    <row r="748" customFormat="false" ht="15" hidden="false" customHeight="true" outlineLevel="0" collapsed="false">
      <c r="A748" s="35" t="str">
        <f aca="false">IF(AND(B748="",C748="",D748="",E748="",F748="",G748="",H748="",J748="",L748="",M748="",N748=""),"",Q748)</f>
        <v/>
      </c>
      <c r="B748" s="36"/>
      <c r="C748" s="36"/>
      <c r="D748" s="36"/>
      <c r="E748" s="36"/>
      <c r="F748" s="36"/>
      <c r="G748" s="36"/>
      <c r="H748" s="36"/>
      <c r="I748" s="1" t="str">
        <f aca="false">IF($A748="","",IFERROR(IF(ISBLANK(INDEX(SprintPlanning[Sprint],MATCH($A748,SprintPlanning[Requirement ID],0))),"To Plan",INDEX(SprintPlanning[Sprint],MATCH($A748,SprintPlanning[Requirement ID],0))),"To Plan"))</f>
        <v/>
      </c>
      <c r="J748" s="36"/>
      <c r="K748" s="1" t="str">
        <f aca="false">IFERROR(IF(ISBLANK(INDEX(Release[Release],MATCH($A748,Release[Requirement ID],0))),"",INDEX(Release[Release],MATCH($A748,Release[Requirement ID],0))),"")</f>
        <v/>
      </c>
      <c r="L748" s="36"/>
      <c r="M748" s="36"/>
      <c r="P748" s="1" t="n">
        <f aca="false">IFERROR(VALUE(MID($A748,5,4)),0)</f>
        <v>0</v>
      </c>
      <c r="Q748" s="1" t="str">
        <f aca="false">IF(B748="","","NEW-"&amp;TEXT(MAX($P$2:$P747,Lists!$N$2)+1,"0000"))</f>
        <v/>
      </c>
    </row>
    <row r="749" customFormat="false" ht="15" hidden="false" customHeight="true" outlineLevel="0" collapsed="false">
      <c r="A749" s="35" t="str">
        <f aca="false">IF(AND(B749="",C749="",D749="",E749="",F749="",G749="",H749="",J749="",L749="",M749="",N749=""),"",Q749)</f>
        <v/>
      </c>
      <c r="B749" s="36"/>
      <c r="C749" s="36"/>
      <c r="D749" s="36"/>
      <c r="E749" s="36"/>
      <c r="F749" s="36"/>
      <c r="G749" s="36"/>
      <c r="H749" s="36"/>
      <c r="I749" s="1" t="str">
        <f aca="false">IF($A749="","",IFERROR(IF(ISBLANK(INDEX(SprintPlanning[Sprint],MATCH($A749,SprintPlanning[Requirement ID],0))),"To Plan",INDEX(SprintPlanning[Sprint],MATCH($A749,SprintPlanning[Requirement ID],0))),"To Plan"))</f>
        <v/>
      </c>
      <c r="J749" s="36"/>
      <c r="K749" s="1" t="str">
        <f aca="false">IFERROR(IF(ISBLANK(INDEX(Release[Release],MATCH($A749,Release[Requirement ID],0))),"",INDEX(Release[Release],MATCH($A749,Release[Requirement ID],0))),"")</f>
        <v/>
      </c>
      <c r="L749" s="36"/>
      <c r="M749" s="36"/>
      <c r="P749" s="1" t="n">
        <f aca="false">IFERROR(VALUE(MID($A749,5,4)),0)</f>
        <v>0</v>
      </c>
      <c r="Q749" s="1" t="str">
        <f aca="false">IF(B749="","","NEW-"&amp;TEXT(MAX($P$2:$P748,Lists!$N$2)+1,"0000"))</f>
        <v/>
      </c>
    </row>
    <row r="750" customFormat="false" ht="15" hidden="false" customHeight="true" outlineLevel="0" collapsed="false">
      <c r="A750" s="35" t="str">
        <f aca="false">IF(AND(B750="",C750="",D750="",E750="",F750="",G750="",H750="",J750="",L750="",M750="",N750=""),"",Q750)</f>
        <v/>
      </c>
      <c r="B750" s="36"/>
      <c r="C750" s="36"/>
      <c r="D750" s="36"/>
      <c r="E750" s="36"/>
      <c r="F750" s="36"/>
      <c r="G750" s="36"/>
      <c r="H750" s="36"/>
      <c r="I750" s="1" t="str">
        <f aca="false">IF($A750="","",IFERROR(IF(ISBLANK(INDEX(SprintPlanning[Sprint],MATCH($A750,SprintPlanning[Requirement ID],0))),"To Plan",INDEX(SprintPlanning[Sprint],MATCH($A750,SprintPlanning[Requirement ID],0))),"To Plan"))</f>
        <v/>
      </c>
      <c r="J750" s="36"/>
      <c r="K750" s="1" t="str">
        <f aca="false">IFERROR(IF(ISBLANK(INDEX(Release[Release],MATCH($A750,Release[Requirement ID],0))),"",INDEX(Release[Release],MATCH($A750,Release[Requirement ID],0))),"")</f>
        <v/>
      </c>
      <c r="L750" s="36"/>
      <c r="M750" s="36"/>
      <c r="P750" s="1" t="n">
        <f aca="false">IFERROR(VALUE(MID($A750,5,4)),0)</f>
        <v>0</v>
      </c>
      <c r="Q750" s="1" t="str">
        <f aca="false">IF(B750="","","NEW-"&amp;TEXT(MAX($P$2:$P749,Lists!$N$2)+1,"0000"))</f>
        <v/>
      </c>
    </row>
    <row r="751" customFormat="false" ht="15" hidden="false" customHeight="true" outlineLevel="0" collapsed="false">
      <c r="A751" s="35" t="str">
        <f aca="false">IF(AND(B751="",C751="",D751="",E751="",F751="",G751="",H751="",J751="",L751="",M751="",N751=""),"",Q751)</f>
        <v/>
      </c>
      <c r="B751" s="36"/>
      <c r="C751" s="36"/>
      <c r="D751" s="36"/>
      <c r="E751" s="36"/>
      <c r="F751" s="36"/>
      <c r="G751" s="36"/>
      <c r="H751" s="36"/>
      <c r="I751" s="1" t="str">
        <f aca="false">IF($A751="","",IFERROR(IF(ISBLANK(INDEX(SprintPlanning[Sprint],MATCH($A751,SprintPlanning[Requirement ID],0))),"To Plan",INDEX(SprintPlanning[Sprint],MATCH($A751,SprintPlanning[Requirement ID],0))),"To Plan"))</f>
        <v/>
      </c>
      <c r="J751" s="36"/>
      <c r="K751" s="1" t="str">
        <f aca="false">IFERROR(IF(ISBLANK(INDEX(Release[Release],MATCH($A751,Release[Requirement ID],0))),"",INDEX(Release[Release],MATCH($A751,Release[Requirement ID],0))),"")</f>
        <v/>
      </c>
      <c r="L751" s="36"/>
      <c r="M751" s="36"/>
      <c r="P751" s="1" t="n">
        <f aca="false">IFERROR(VALUE(MID($A751,5,4)),0)</f>
        <v>0</v>
      </c>
      <c r="Q751" s="1" t="str">
        <f aca="false">IF(B751="","","NEW-"&amp;TEXT(MAX($P$2:$P750,Lists!$N$2)+1,"0000"))</f>
        <v/>
      </c>
    </row>
    <row r="752" customFormat="false" ht="15" hidden="false" customHeight="true" outlineLevel="0" collapsed="false">
      <c r="A752" s="35" t="str">
        <f aca="false">IF(AND(B752="",C752="",D752="",E752="",F752="",G752="",H752="",J752="",L752="",M752="",N752=""),"",Q752)</f>
        <v/>
      </c>
      <c r="B752" s="36"/>
      <c r="C752" s="36"/>
      <c r="D752" s="36"/>
      <c r="E752" s="36"/>
      <c r="F752" s="36"/>
      <c r="G752" s="36"/>
      <c r="H752" s="36"/>
      <c r="I752" s="1" t="str">
        <f aca="false">IF($A752="","",IFERROR(IF(ISBLANK(INDEX(SprintPlanning[Sprint],MATCH($A752,SprintPlanning[Requirement ID],0))),"To Plan",INDEX(SprintPlanning[Sprint],MATCH($A752,SprintPlanning[Requirement ID],0))),"To Plan"))</f>
        <v/>
      </c>
      <c r="J752" s="36"/>
      <c r="K752" s="1" t="str">
        <f aca="false">IFERROR(IF(ISBLANK(INDEX(Release[Release],MATCH($A752,Release[Requirement ID],0))),"",INDEX(Release[Release],MATCH($A752,Release[Requirement ID],0))),"")</f>
        <v/>
      </c>
      <c r="L752" s="36"/>
      <c r="M752" s="36"/>
      <c r="P752" s="1" t="n">
        <f aca="false">IFERROR(VALUE(MID($A752,5,4)),0)</f>
        <v>0</v>
      </c>
      <c r="Q752" s="1" t="str">
        <f aca="false">IF(B752="","","NEW-"&amp;TEXT(MAX($P$2:$P751,Lists!$N$2)+1,"0000"))</f>
        <v/>
      </c>
    </row>
    <row r="753" customFormat="false" ht="15" hidden="false" customHeight="true" outlineLevel="0" collapsed="false">
      <c r="A753" s="35" t="str">
        <f aca="false">IF(AND(B753="",C753="",D753="",E753="",F753="",G753="",H753="",J753="",L753="",M753="",N753=""),"",Q753)</f>
        <v/>
      </c>
      <c r="B753" s="36"/>
      <c r="C753" s="36"/>
      <c r="D753" s="36"/>
      <c r="E753" s="36"/>
      <c r="F753" s="36"/>
      <c r="G753" s="36"/>
      <c r="H753" s="36"/>
      <c r="I753" s="1" t="str">
        <f aca="false">IF($A753="","",IFERROR(IF(ISBLANK(INDEX(SprintPlanning[Sprint],MATCH($A753,SprintPlanning[Requirement ID],0))),"To Plan",INDEX(SprintPlanning[Sprint],MATCH($A753,SprintPlanning[Requirement ID],0))),"To Plan"))</f>
        <v/>
      </c>
      <c r="J753" s="36"/>
      <c r="K753" s="1" t="str">
        <f aca="false">IFERROR(IF(ISBLANK(INDEX(Release[Release],MATCH($A753,Release[Requirement ID],0))),"",INDEX(Release[Release],MATCH($A753,Release[Requirement ID],0))),"")</f>
        <v/>
      </c>
      <c r="L753" s="36"/>
      <c r="M753" s="36"/>
      <c r="P753" s="1" t="n">
        <f aca="false">IFERROR(VALUE(MID($A753,5,4)),0)</f>
        <v>0</v>
      </c>
      <c r="Q753" s="1" t="str">
        <f aca="false">IF(B753="","","NEW-"&amp;TEXT(MAX($P$2:$P752,Lists!$N$2)+1,"0000"))</f>
        <v/>
      </c>
    </row>
    <row r="754" customFormat="false" ht="15" hidden="false" customHeight="true" outlineLevel="0" collapsed="false">
      <c r="A754" s="35" t="str">
        <f aca="false">IF(AND(B754="",C754="",D754="",E754="",F754="",G754="",H754="",J754="",L754="",M754="",N754=""),"",Q754)</f>
        <v/>
      </c>
      <c r="B754" s="36"/>
      <c r="C754" s="36"/>
      <c r="D754" s="36"/>
      <c r="E754" s="36"/>
      <c r="F754" s="36"/>
      <c r="G754" s="36"/>
      <c r="H754" s="36"/>
      <c r="I754" s="1" t="str">
        <f aca="false">IF($A754="","",IFERROR(IF(ISBLANK(INDEX(SprintPlanning[Sprint],MATCH($A754,SprintPlanning[Requirement ID],0))),"To Plan",INDEX(SprintPlanning[Sprint],MATCH($A754,SprintPlanning[Requirement ID],0))),"To Plan"))</f>
        <v/>
      </c>
      <c r="J754" s="36"/>
      <c r="K754" s="1" t="str">
        <f aca="false">IFERROR(IF(ISBLANK(INDEX(Release[Release],MATCH($A754,Release[Requirement ID],0))),"",INDEX(Release[Release],MATCH($A754,Release[Requirement ID],0))),"")</f>
        <v/>
      </c>
      <c r="L754" s="36"/>
      <c r="M754" s="36"/>
      <c r="P754" s="1" t="n">
        <f aca="false">IFERROR(VALUE(MID($A754,5,4)),0)</f>
        <v>0</v>
      </c>
      <c r="Q754" s="1" t="str">
        <f aca="false">IF(B754="","","NEW-"&amp;TEXT(MAX($P$2:$P753,Lists!$N$2)+1,"0000"))</f>
        <v/>
      </c>
    </row>
    <row r="755" customFormat="false" ht="15" hidden="false" customHeight="true" outlineLevel="0" collapsed="false">
      <c r="A755" s="35" t="str">
        <f aca="false">IF(AND(B755="",C755="",D755="",E755="",F755="",G755="",H755="",J755="",L755="",M755="",N755=""),"",Q755)</f>
        <v/>
      </c>
      <c r="B755" s="36"/>
      <c r="C755" s="36"/>
      <c r="D755" s="36"/>
      <c r="E755" s="36"/>
      <c r="F755" s="36"/>
      <c r="G755" s="36"/>
      <c r="H755" s="36"/>
      <c r="I755" s="1" t="str">
        <f aca="false">IF($A755="","",IFERROR(IF(ISBLANK(INDEX(SprintPlanning[Sprint],MATCH($A755,SprintPlanning[Requirement ID],0))),"To Plan",INDEX(SprintPlanning[Sprint],MATCH($A755,SprintPlanning[Requirement ID],0))),"To Plan"))</f>
        <v/>
      </c>
      <c r="J755" s="36"/>
      <c r="K755" s="1" t="str">
        <f aca="false">IFERROR(IF(ISBLANK(INDEX(Release[Release],MATCH($A755,Release[Requirement ID],0))),"",INDEX(Release[Release],MATCH($A755,Release[Requirement ID],0))),"")</f>
        <v/>
      </c>
      <c r="L755" s="36"/>
      <c r="M755" s="36"/>
      <c r="P755" s="1" t="n">
        <f aca="false">IFERROR(VALUE(MID($A755,5,4)),0)</f>
        <v>0</v>
      </c>
      <c r="Q755" s="1" t="str">
        <f aca="false">IF(B755="","","NEW-"&amp;TEXT(MAX($P$2:$P754,Lists!$N$2)+1,"0000"))</f>
        <v/>
      </c>
    </row>
    <row r="756" customFormat="false" ht="15" hidden="false" customHeight="true" outlineLevel="0" collapsed="false">
      <c r="A756" s="35" t="str">
        <f aca="false">IF(AND(B756="",C756="",D756="",E756="",F756="",G756="",H756="",J756="",L756="",M756="",N756=""),"",Q756)</f>
        <v/>
      </c>
      <c r="B756" s="36"/>
      <c r="C756" s="36"/>
      <c r="D756" s="36"/>
      <c r="E756" s="36"/>
      <c r="F756" s="36"/>
      <c r="G756" s="36"/>
      <c r="H756" s="36"/>
      <c r="I756" s="1" t="str">
        <f aca="false">IF($A756="","",IFERROR(IF(ISBLANK(INDEX(SprintPlanning[Sprint],MATCH($A756,SprintPlanning[Requirement ID],0))),"To Plan",INDEX(SprintPlanning[Sprint],MATCH($A756,SprintPlanning[Requirement ID],0))),"To Plan"))</f>
        <v/>
      </c>
      <c r="J756" s="36"/>
      <c r="K756" s="1" t="str">
        <f aca="false">IFERROR(IF(ISBLANK(INDEX(Release[Release],MATCH($A756,Release[Requirement ID],0))),"",INDEX(Release[Release],MATCH($A756,Release[Requirement ID],0))),"")</f>
        <v/>
      </c>
      <c r="L756" s="36"/>
      <c r="M756" s="36"/>
      <c r="P756" s="1" t="n">
        <f aca="false">IFERROR(VALUE(MID($A756,5,4)),0)</f>
        <v>0</v>
      </c>
      <c r="Q756" s="1" t="str">
        <f aca="false">IF(B756="","","NEW-"&amp;TEXT(MAX($P$2:$P755,Lists!$N$2)+1,"0000"))</f>
        <v/>
      </c>
    </row>
    <row r="757" customFormat="false" ht="15" hidden="false" customHeight="true" outlineLevel="0" collapsed="false">
      <c r="A757" s="35" t="str">
        <f aca="false">IF(AND(B757="",C757="",D757="",E757="",F757="",G757="",H757="",J757="",L757="",M757="",N757=""),"",Q757)</f>
        <v/>
      </c>
      <c r="B757" s="36"/>
      <c r="C757" s="36"/>
      <c r="D757" s="36"/>
      <c r="E757" s="36"/>
      <c r="F757" s="36"/>
      <c r="G757" s="36"/>
      <c r="H757" s="36"/>
      <c r="I757" s="1" t="str">
        <f aca="false">IF($A757="","",IFERROR(IF(ISBLANK(INDEX(SprintPlanning[Sprint],MATCH($A757,SprintPlanning[Requirement ID],0))),"To Plan",INDEX(SprintPlanning[Sprint],MATCH($A757,SprintPlanning[Requirement ID],0))),"To Plan"))</f>
        <v/>
      </c>
      <c r="J757" s="36"/>
      <c r="K757" s="1" t="str">
        <f aca="false">IFERROR(IF(ISBLANK(INDEX(Release[Release],MATCH($A757,Release[Requirement ID],0))),"",INDEX(Release[Release],MATCH($A757,Release[Requirement ID],0))),"")</f>
        <v/>
      </c>
      <c r="L757" s="36"/>
      <c r="M757" s="36"/>
      <c r="P757" s="1" t="n">
        <f aca="false">IFERROR(VALUE(MID($A757,5,4)),0)</f>
        <v>0</v>
      </c>
      <c r="Q757" s="1" t="str">
        <f aca="false">IF(B757="","","NEW-"&amp;TEXT(MAX($P$2:$P756,Lists!$N$2)+1,"0000"))</f>
        <v/>
      </c>
    </row>
    <row r="758" customFormat="false" ht="15" hidden="false" customHeight="true" outlineLevel="0" collapsed="false">
      <c r="A758" s="35" t="str">
        <f aca="false">IF(AND(B758="",C758="",D758="",E758="",F758="",G758="",H758="",J758="",L758="",M758="",N758=""),"",Q758)</f>
        <v/>
      </c>
      <c r="B758" s="36"/>
      <c r="C758" s="36"/>
      <c r="D758" s="36"/>
      <c r="E758" s="36"/>
      <c r="F758" s="36"/>
      <c r="G758" s="36"/>
      <c r="H758" s="36"/>
      <c r="I758" s="1" t="str">
        <f aca="false">IF($A758="","",IFERROR(IF(ISBLANK(INDEX(SprintPlanning[Sprint],MATCH($A758,SprintPlanning[Requirement ID],0))),"To Plan",INDEX(SprintPlanning[Sprint],MATCH($A758,SprintPlanning[Requirement ID],0))),"To Plan"))</f>
        <v/>
      </c>
      <c r="J758" s="36"/>
      <c r="K758" s="1" t="str">
        <f aca="false">IFERROR(IF(ISBLANK(INDEX(Release[Release],MATCH($A758,Release[Requirement ID],0))),"",INDEX(Release[Release],MATCH($A758,Release[Requirement ID],0))),"")</f>
        <v/>
      </c>
      <c r="L758" s="36"/>
      <c r="M758" s="36"/>
      <c r="P758" s="1" t="n">
        <f aca="false">IFERROR(VALUE(MID($A758,5,4)),0)</f>
        <v>0</v>
      </c>
      <c r="Q758" s="1" t="str">
        <f aca="false">IF(B758="","","NEW-"&amp;TEXT(MAX($P$2:$P757,Lists!$N$2)+1,"0000"))</f>
        <v/>
      </c>
    </row>
    <row r="759" customFormat="false" ht="15" hidden="false" customHeight="true" outlineLevel="0" collapsed="false">
      <c r="A759" s="35" t="str">
        <f aca="false">IF(AND(B759="",C759="",D759="",E759="",F759="",G759="",H759="",J759="",L759="",M759="",N759=""),"",Q759)</f>
        <v/>
      </c>
      <c r="B759" s="36"/>
      <c r="C759" s="36"/>
      <c r="D759" s="36"/>
      <c r="E759" s="36"/>
      <c r="F759" s="36"/>
      <c r="G759" s="36"/>
      <c r="H759" s="36"/>
      <c r="I759" s="1" t="str">
        <f aca="false">IF($A759="","",IFERROR(IF(ISBLANK(INDEX(SprintPlanning[Sprint],MATCH($A759,SprintPlanning[Requirement ID],0))),"To Plan",INDEX(SprintPlanning[Sprint],MATCH($A759,SprintPlanning[Requirement ID],0))),"To Plan"))</f>
        <v/>
      </c>
      <c r="J759" s="36"/>
      <c r="K759" s="1" t="str">
        <f aca="false">IFERROR(IF(ISBLANK(INDEX(Release[Release],MATCH($A759,Release[Requirement ID],0))),"",INDEX(Release[Release],MATCH($A759,Release[Requirement ID],0))),"")</f>
        <v/>
      </c>
      <c r="L759" s="36"/>
      <c r="M759" s="36"/>
      <c r="P759" s="1" t="n">
        <f aca="false">IFERROR(VALUE(MID($A759,5,4)),0)</f>
        <v>0</v>
      </c>
      <c r="Q759" s="1" t="str">
        <f aca="false">IF(B759="","","NEW-"&amp;TEXT(MAX($P$2:$P758,Lists!$N$2)+1,"0000"))</f>
        <v/>
      </c>
    </row>
    <row r="760" customFormat="false" ht="15" hidden="false" customHeight="true" outlineLevel="0" collapsed="false">
      <c r="A760" s="35" t="str">
        <f aca="false">IF(AND(B760="",C760="",D760="",E760="",F760="",G760="",H760="",J760="",L760="",M760="",N760=""),"",Q760)</f>
        <v/>
      </c>
      <c r="B760" s="36"/>
      <c r="C760" s="36"/>
      <c r="D760" s="36"/>
      <c r="E760" s="36"/>
      <c r="F760" s="36"/>
      <c r="G760" s="36"/>
      <c r="H760" s="36"/>
      <c r="I760" s="1" t="str">
        <f aca="false">IF($A760="","",IFERROR(IF(ISBLANK(INDEX(SprintPlanning[Sprint],MATCH($A760,SprintPlanning[Requirement ID],0))),"To Plan",INDEX(SprintPlanning[Sprint],MATCH($A760,SprintPlanning[Requirement ID],0))),"To Plan"))</f>
        <v/>
      </c>
      <c r="J760" s="36"/>
      <c r="K760" s="1" t="str">
        <f aca="false">IFERROR(IF(ISBLANK(INDEX(Release[Release],MATCH($A760,Release[Requirement ID],0))),"",INDEX(Release[Release],MATCH($A760,Release[Requirement ID],0))),"")</f>
        <v/>
      </c>
      <c r="L760" s="36"/>
      <c r="M760" s="36"/>
      <c r="P760" s="1" t="n">
        <f aca="false">IFERROR(VALUE(MID($A760,5,4)),0)</f>
        <v>0</v>
      </c>
      <c r="Q760" s="1" t="str">
        <f aca="false">IF(B760="","","NEW-"&amp;TEXT(MAX($P$2:$P759,Lists!$N$2)+1,"0000"))</f>
        <v/>
      </c>
    </row>
    <row r="761" customFormat="false" ht="15" hidden="false" customHeight="true" outlineLevel="0" collapsed="false">
      <c r="A761" s="35" t="str">
        <f aca="false">IF(AND(B761="",C761="",D761="",E761="",F761="",G761="",H761="",J761="",L761="",M761="",N761=""),"",Q761)</f>
        <v/>
      </c>
      <c r="B761" s="36"/>
      <c r="C761" s="36"/>
      <c r="D761" s="36"/>
      <c r="E761" s="36"/>
      <c r="F761" s="36"/>
      <c r="G761" s="36"/>
      <c r="H761" s="36"/>
      <c r="I761" s="1" t="str">
        <f aca="false">IF($A761="","",IFERROR(IF(ISBLANK(INDEX(SprintPlanning[Sprint],MATCH($A761,SprintPlanning[Requirement ID],0))),"To Plan",INDEX(SprintPlanning[Sprint],MATCH($A761,SprintPlanning[Requirement ID],0))),"To Plan"))</f>
        <v/>
      </c>
      <c r="J761" s="36"/>
      <c r="K761" s="1" t="str">
        <f aca="false">IFERROR(IF(ISBLANK(INDEX(Release[Release],MATCH($A761,Release[Requirement ID],0))),"",INDEX(Release[Release],MATCH($A761,Release[Requirement ID],0))),"")</f>
        <v/>
      </c>
      <c r="L761" s="36"/>
      <c r="M761" s="36"/>
      <c r="P761" s="1" t="n">
        <f aca="false">IFERROR(VALUE(MID($A761,5,4)),0)</f>
        <v>0</v>
      </c>
      <c r="Q761" s="1" t="str">
        <f aca="false">IF(B761="","","NEW-"&amp;TEXT(MAX($P$2:$P760,Lists!$N$2)+1,"0000"))</f>
        <v/>
      </c>
    </row>
    <row r="762" customFormat="false" ht="15" hidden="false" customHeight="true" outlineLevel="0" collapsed="false">
      <c r="A762" s="35" t="str">
        <f aca="false">IF(AND(B762="",C762="",D762="",E762="",F762="",G762="",H762="",J762="",L762="",M762="",N762=""),"",Q762)</f>
        <v/>
      </c>
      <c r="B762" s="36"/>
      <c r="C762" s="36"/>
      <c r="D762" s="36"/>
      <c r="E762" s="36"/>
      <c r="F762" s="36"/>
      <c r="G762" s="36"/>
      <c r="H762" s="36"/>
      <c r="I762" s="1" t="str">
        <f aca="false">IF($A762="","",IFERROR(IF(ISBLANK(INDEX(SprintPlanning[Sprint],MATCH($A762,SprintPlanning[Requirement ID],0))),"To Plan",INDEX(SprintPlanning[Sprint],MATCH($A762,SprintPlanning[Requirement ID],0))),"To Plan"))</f>
        <v/>
      </c>
      <c r="J762" s="36"/>
      <c r="K762" s="1" t="str">
        <f aca="false">IFERROR(IF(ISBLANK(INDEX(Release[Release],MATCH($A762,Release[Requirement ID],0))),"",INDEX(Release[Release],MATCH($A762,Release[Requirement ID],0))),"")</f>
        <v/>
      </c>
      <c r="L762" s="36"/>
      <c r="M762" s="36"/>
      <c r="P762" s="1" t="n">
        <f aca="false">IFERROR(VALUE(MID($A762,5,4)),0)</f>
        <v>0</v>
      </c>
      <c r="Q762" s="1" t="str">
        <f aca="false">IF(B762="","","NEW-"&amp;TEXT(MAX($P$2:$P761,Lists!$N$2)+1,"0000"))</f>
        <v/>
      </c>
    </row>
    <row r="763" customFormat="false" ht="15" hidden="false" customHeight="true" outlineLevel="0" collapsed="false">
      <c r="A763" s="35" t="str">
        <f aca="false">IF(AND(B763="",C763="",D763="",E763="",F763="",G763="",H763="",J763="",L763="",M763="",N763=""),"",Q763)</f>
        <v/>
      </c>
      <c r="B763" s="36"/>
      <c r="C763" s="36"/>
      <c r="D763" s="36"/>
      <c r="E763" s="36"/>
      <c r="F763" s="36"/>
      <c r="G763" s="36"/>
      <c r="H763" s="36"/>
      <c r="I763" s="1" t="str">
        <f aca="false">IF($A763="","",IFERROR(IF(ISBLANK(INDEX(SprintPlanning[Sprint],MATCH($A763,SprintPlanning[Requirement ID],0))),"To Plan",INDEX(SprintPlanning[Sprint],MATCH($A763,SprintPlanning[Requirement ID],0))),"To Plan"))</f>
        <v/>
      </c>
      <c r="J763" s="36"/>
      <c r="K763" s="1" t="str">
        <f aca="false">IFERROR(IF(ISBLANK(INDEX(Release[Release],MATCH($A763,Release[Requirement ID],0))),"",INDEX(Release[Release],MATCH($A763,Release[Requirement ID],0))),"")</f>
        <v/>
      </c>
      <c r="L763" s="36"/>
      <c r="M763" s="36"/>
      <c r="P763" s="1" t="n">
        <f aca="false">IFERROR(VALUE(MID($A763,5,4)),0)</f>
        <v>0</v>
      </c>
      <c r="Q763" s="1" t="str">
        <f aca="false">IF(B763="","","NEW-"&amp;TEXT(MAX($P$2:$P762,Lists!$N$2)+1,"0000"))</f>
        <v/>
      </c>
    </row>
    <row r="764" customFormat="false" ht="15" hidden="false" customHeight="true" outlineLevel="0" collapsed="false">
      <c r="A764" s="35" t="str">
        <f aca="false">IF(AND(B764="",C764="",D764="",E764="",F764="",G764="",H764="",J764="",L764="",M764="",N764=""),"",Q764)</f>
        <v/>
      </c>
      <c r="B764" s="36"/>
      <c r="C764" s="36"/>
      <c r="D764" s="36"/>
      <c r="E764" s="36"/>
      <c r="F764" s="36"/>
      <c r="G764" s="36"/>
      <c r="H764" s="36"/>
      <c r="I764" s="1" t="str">
        <f aca="false">IF($A764="","",IFERROR(IF(ISBLANK(INDEX(SprintPlanning[Sprint],MATCH($A764,SprintPlanning[Requirement ID],0))),"To Plan",INDEX(SprintPlanning[Sprint],MATCH($A764,SprintPlanning[Requirement ID],0))),"To Plan"))</f>
        <v/>
      </c>
      <c r="J764" s="36"/>
      <c r="K764" s="1" t="str">
        <f aca="false">IFERROR(IF(ISBLANK(INDEX(Release[Release],MATCH($A764,Release[Requirement ID],0))),"",INDEX(Release[Release],MATCH($A764,Release[Requirement ID],0))),"")</f>
        <v/>
      </c>
      <c r="L764" s="36"/>
      <c r="M764" s="36"/>
      <c r="P764" s="1" t="n">
        <f aca="false">IFERROR(VALUE(MID($A764,5,4)),0)</f>
        <v>0</v>
      </c>
      <c r="Q764" s="1" t="str">
        <f aca="false">IF(B764="","","NEW-"&amp;TEXT(MAX($P$2:$P763,Lists!$N$2)+1,"0000"))</f>
        <v/>
      </c>
    </row>
    <row r="765" customFormat="false" ht="15" hidden="false" customHeight="true" outlineLevel="0" collapsed="false">
      <c r="A765" s="35" t="str">
        <f aca="false">IF(AND(B765="",C765="",D765="",E765="",F765="",G765="",H765="",J765="",L765="",M765="",N765=""),"",Q765)</f>
        <v/>
      </c>
      <c r="B765" s="36"/>
      <c r="C765" s="36"/>
      <c r="D765" s="36"/>
      <c r="E765" s="36"/>
      <c r="F765" s="36"/>
      <c r="G765" s="36"/>
      <c r="H765" s="36"/>
      <c r="I765" s="1" t="str">
        <f aca="false">IF($A765="","",IFERROR(IF(ISBLANK(INDEX(SprintPlanning[Sprint],MATCH($A765,SprintPlanning[Requirement ID],0))),"To Plan",INDEX(SprintPlanning[Sprint],MATCH($A765,SprintPlanning[Requirement ID],0))),"To Plan"))</f>
        <v/>
      </c>
      <c r="J765" s="36"/>
      <c r="K765" s="1" t="str">
        <f aca="false">IFERROR(IF(ISBLANK(INDEX(Release[Release],MATCH($A765,Release[Requirement ID],0))),"",INDEX(Release[Release],MATCH($A765,Release[Requirement ID],0))),"")</f>
        <v/>
      </c>
      <c r="L765" s="36"/>
      <c r="M765" s="36"/>
      <c r="P765" s="1" t="n">
        <f aca="false">IFERROR(VALUE(MID($A765,5,4)),0)</f>
        <v>0</v>
      </c>
      <c r="Q765" s="1" t="str">
        <f aca="false">IF(B765="","","NEW-"&amp;TEXT(MAX($P$2:$P764,Lists!$N$2)+1,"0000"))</f>
        <v/>
      </c>
    </row>
    <row r="766" customFormat="false" ht="15" hidden="false" customHeight="true" outlineLevel="0" collapsed="false">
      <c r="A766" s="35" t="str">
        <f aca="false">IF(AND(B766="",C766="",D766="",E766="",F766="",G766="",H766="",J766="",L766="",M766="",N766=""),"",Q766)</f>
        <v/>
      </c>
      <c r="B766" s="36"/>
      <c r="C766" s="36"/>
      <c r="D766" s="36"/>
      <c r="E766" s="36"/>
      <c r="F766" s="36"/>
      <c r="G766" s="36"/>
      <c r="H766" s="36"/>
      <c r="I766" s="1" t="str">
        <f aca="false">IF($A766="","",IFERROR(IF(ISBLANK(INDEX(SprintPlanning[Sprint],MATCH($A766,SprintPlanning[Requirement ID],0))),"To Plan",INDEX(SprintPlanning[Sprint],MATCH($A766,SprintPlanning[Requirement ID],0))),"To Plan"))</f>
        <v/>
      </c>
      <c r="J766" s="36"/>
      <c r="K766" s="1" t="str">
        <f aca="false">IFERROR(IF(ISBLANK(INDEX(Release[Release],MATCH($A766,Release[Requirement ID],0))),"",INDEX(Release[Release],MATCH($A766,Release[Requirement ID],0))),"")</f>
        <v/>
      </c>
      <c r="L766" s="36"/>
      <c r="M766" s="36"/>
      <c r="P766" s="1" t="n">
        <f aca="false">IFERROR(VALUE(MID($A766,5,4)),0)</f>
        <v>0</v>
      </c>
      <c r="Q766" s="1" t="str">
        <f aca="false">IF(B766="","","NEW-"&amp;TEXT(MAX($P$2:$P765,Lists!$N$2)+1,"0000"))</f>
        <v/>
      </c>
    </row>
    <row r="767" customFormat="false" ht="15" hidden="false" customHeight="true" outlineLevel="0" collapsed="false">
      <c r="A767" s="35" t="str">
        <f aca="false">IF(AND(B767="",C767="",D767="",E767="",F767="",G767="",H767="",J767="",L767="",M767="",N767=""),"",Q767)</f>
        <v/>
      </c>
      <c r="B767" s="36"/>
      <c r="C767" s="36"/>
      <c r="D767" s="36"/>
      <c r="E767" s="36"/>
      <c r="F767" s="36"/>
      <c r="G767" s="36"/>
      <c r="H767" s="36"/>
      <c r="I767" s="1" t="str">
        <f aca="false">IF($A767="","",IFERROR(IF(ISBLANK(INDEX(SprintPlanning[Sprint],MATCH($A767,SprintPlanning[Requirement ID],0))),"To Plan",INDEX(SprintPlanning[Sprint],MATCH($A767,SprintPlanning[Requirement ID],0))),"To Plan"))</f>
        <v/>
      </c>
      <c r="J767" s="36"/>
      <c r="K767" s="1" t="str">
        <f aca="false">IFERROR(IF(ISBLANK(INDEX(Release[Release],MATCH($A767,Release[Requirement ID],0))),"",INDEX(Release[Release],MATCH($A767,Release[Requirement ID],0))),"")</f>
        <v/>
      </c>
      <c r="L767" s="36"/>
      <c r="M767" s="36"/>
      <c r="P767" s="1" t="n">
        <f aca="false">IFERROR(VALUE(MID($A767,5,4)),0)</f>
        <v>0</v>
      </c>
      <c r="Q767" s="1" t="str">
        <f aca="false">IF(B767="","","NEW-"&amp;TEXT(MAX($P$2:$P766,Lists!$N$2)+1,"0000"))</f>
        <v/>
      </c>
    </row>
    <row r="768" customFormat="false" ht="15" hidden="false" customHeight="true" outlineLevel="0" collapsed="false">
      <c r="A768" s="35" t="str">
        <f aca="false">IF(AND(B768="",C768="",D768="",E768="",F768="",G768="",H768="",J768="",L768="",M768="",N768=""),"",Q768)</f>
        <v/>
      </c>
      <c r="B768" s="36"/>
      <c r="C768" s="36"/>
      <c r="D768" s="36"/>
      <c r="E768" s="36"/>
      <c r="F768" s="36"/>
      <c r="G768" s="36"/>
      <c r="H768" s="36"/>
      <c r="I768" s="1" t="str">
        <f aca="false">IF($A768="","",IFERROR(IF(ISBLANK(INDEX(SprintPlanning[Sprint],MATCH($A768,SprintPlanning[Requirement ID],0))),"To Plan",INDEX(SprintPlanning[Sprint],MATCH($A768,SprintPlanning[Requirement ID],0))),"To Plan"))</f>
        <v/>
      </c>
      <c r="J768" s="36"/>
      <c r="K768" s="1" t="str">
        <f aca="false">IFERROR(IF(ISBLANK(INDEX(Release[Release],MATCH($A768,Release[Requirement ID],0))),"",INDEX(Release[Release],MATCH($A768,Release[Requirement ID],0))),"")</f>
        <v/>
      </c>
      <c r="L768" s="36"/>
      <c r="M768" s="36"/>
      <c r="P768" s="1" t="n">
        <f aca="false">IFERROR(VALUE(MID($A768,5,4)),0)</f>
        <v>0</v>
      </c>
      <c r="Q768" s="1" t="str">
        <f aca="false">IF(B768="","","NEW-"&amp;TEXT(MAX($P$2:$P767,Lists!$N$2)+1,"0000"))</f>
        <v/>
      </c>
    </row>
    <row r="769" customFormat="false" ht="15" hidden="false" customHeight="true" outlineLevel="0" collapsed="false">
      <c r="A769" s="35" t="str">
        <f aca="false">IF(AND(B769="",C769="",D769="",E769="",F769="",G769="",H769="",J769="",L769="",M769="",N769=""),"",Q769)</f>
        <v/>
      </c>
      <c r="B769" s="36"/>
      <c r="C769" s="36"/>
      <c r="D769" s="36"/>
      <c r="E769" s="36"/>
      <c r="F769" s="36"/>
      <c r="G769" s="36"/>
      <c r="H769" s="36"/>
      <c r="I769" s="1" t="str">
        <f aca="false">IF($A769="","",IFERROR(IF(ISBLANK(INDEX(SprintPlanning[Sprint],MATCH($A769,SprintPlanning[Requirement ID],0))),"To Plan",INDEX(SprintPlanning[Sprint],MATCH($A769,SprintPlanning[Requirement ID],0))),"To Plan"))</f>
        <v/>
      </c>
      <c r="J769" s="36"/>
      <c r="K769" s="1" t="str">
        <f aca="false">IFERROR(IF(ISBLANK(INDEX(Release[Release],MATCH($A769,Release[Requirement ID],0))),"",INDEX(Release[Release],MATCH($A769,Release[Requirement ID],0))),"")</f>
        <v/>
      </c>
      <c r="L769" s="36"/>
      <c r="M769" s="36"/>
      <c r="P769" s="1" t="n">
        <f aca="false">IFERROR(VALUE(MID($A769,5,4)),0)</f>
        <v>0</v>
      </c>
      <c r="Q769" s="1" t="str">
        <f aca="false">IF(B769="","","NEW-"&amp;TEXT(MAX($P$2:$P768,Lists!$N$2)+1,"0000"))</f>
        <v/>
      </c>
    </row>
    <row r="770" customFormat="false" ht="15" hidden="false" customHeight="true" outlineLevel="0" collapsed="false">
      <c r="A770" s="35" t="str">
        <f aca="false">IF(AND(B770="",C770="",D770="",E770="",F770="",G770="",H770="",J770="",L770="",M770="",N770=""),"",Q770)</f>
        <v/>
      </c>
      <c r="B770" s="36"/>
      <c r="C770" s="36"/>
      <c r="D770" s="36"/>
      <c r="E770" s="36"/>
      <c r="F770" s="36"/>
      <c r="G770" s="36"/>
      <c r="H770" s="36"/>
      <c r="I770" s="1" t="str">
        <f aca="false">IF($A770="","",IFERROR(IF(ISBLANK(INDEX(SprintPlanning[Sprint],MATCH($A770,SprintPlanning[Requirement ID],0))),"To Plan",INDEX(SprintPlanning[Sprint],MATCH($A770,SprintPlanning[Requirement ID],0))),"To Plan"))</f>
        <v/>
      </c>
      <c r="J770" s="36"/>
      <c r="K770" s="1" t="str">
        <f aca="false">IFERROR(IF(ISBLANK(INDEX(Release[Release],MATCH($A770,Release[Requirement ID],0))),"",INDEX(Release[Release],MATCH($A770,Release[Requirement ID],0))),"")</f>
        <v/>
      </c>
      <c r="L770" s="36"/>
      <c r="M770" s="36"/>
      <c r="P770" s="1" t="n">
        <f aca="false">IFERROR(VALUE(MID($A770,5,4)),0)</f>
        <v>0</v>
      </c>
      <c r="Q770" s="1" t="str">
        <f aca="false">IF(B770="","","NEW-"&amp;TEXT(MAX($P$2:$P769,Lists!$N$2)+1,"0000"))</f>
        <v/>
      </c>
    </row>
    <row r="771" customFormat="false" ht="15" hidden="false" customHeight="true" outlineLevel="0" collapsed="false">
      <c r="A771" s="35" t="str">
        <f aca="false">IF(AND(B771="",C771="",D771="",E771="",F771="",G771="",H771="",J771="",L771="",M771="",N771=""),"",Q771)</f>
        <v/>
      </c>
      <c r="B771" s="36"/>
      <c r="C771" s="36"/>
      <c r="D771" s="36"/>
      <c r="E771" s="36"/>
      <c r="F771" s="36"/>
      <c r="G771" s="36"/>
      <c r="H771" s="36"/>
      <c r="I771" s="1" t="str">
        <f aca="false">IF($A771="","",IFERROR(IF(ISBLANK(INDEX(SprintPlanning[Sprint],MATCH($A771,SprintPlanning[Requirement ID],0))),"To Plan",INDEX(SprintPlanning[Sprint],MATCH($A771,SprintPlanning[Requirement ID],0))),"To Plan"))</f>
        <v/>
      </c>
      <c r="J771" s="36"/>
      <c r="K771" s="1" t="str">
        <f aca="false">IFERROR(IF(ISBLANK(INDEX(Release[Release],MATCH($A771,Release[Requirement ID],0))),"",INDEX(Release[Release],MATCH($A771,Release[Requirement ID],0))),"")</f>
        <v/>
      </c>
      <c r="L771" s="36"/>
      <c r="M771" s="36"/>
      <c r="P771" s="1" t="n">
        <f aca="false">IFERROR(VALUE(MID($A771,5,4)),0)</f>
        <v>0</v>
      </c>
      <c r="Q771" s="1" t="str">
        <f aca="false">IF(B771="","","NEW-"&amp;TEXT(MAX($P$2:$P770,Lists!$N$2)+1,"0000"))</f>
        <v/>
      </c>
    </row>
    <row r="772" customFormat="false" ht="15" hidden="false" customHeight="true" outlineLevel="0" collapsed="false">
      <c r="A772" s="35" t="str">
        <f aca="false">IF(AND(B772="",C772="",D772="",E772="",F772="",G772="",H772="",J772="",L772="",M772="",N772=""),"",Q772)</f>
        <v/>
      </c>
      <c r="B772" s="36"/>
      <c r="C772" s="36"/>
      <c r="D772" s="36"/>
      <c r="E772" s="36"/>
      <c r="F772" s="36"/>
      <c r="G772" s="36"/>
      <c r="H772" s="36"/>
      <c r="I772" s="1" t="str">
        <f aca="false">IF($A772="","",IFERROR(IF(ISBLANK(INDEX(SprintPlanning[Sprint],MATCH($A772,SprintPlanning[Requirement ID],0))),"To Plan",INDEX(SprintPlanning[Sprint],MATCH($A772,SprintPlanning[Requirement ID],0))),"To Plan"))</f>
        <v/>
      </c>
      <c r="J772" s="36"/>
      <c r="K772" s="1" t="str">
        <f aca="false">IFERROR(IF(ISBLANK(INDEX(Release[Release],MATCH($A772,Release[Requirement ID],0))),"",INDEX(Release[Release],MATCH($A772,Release[Requirement ID],0))),"")</f>
        <v/>
      </c>
      <c r="L772" s="36"/>
      <c r="M772" s="36"/>
      <c r="P772" s="1" t="n">
        <f aca="false">IFERROR(VALUE(MID($A772,5,4)),0)</f>
        <v>0</v>
      </c>
      <c r="Q772" s="1" t="str">
        <f aca="false">IF(B772="","","NEW-"&amp;TEXT(MAX($P$2:$P771,Lists!$N$2)+1,"0000"))</f>
        <v/>
      </c>
    </row>
    <row r="773" customFormat="false" ht="15" hidden="false" customHeight="true" outlineLevel="0" collapsed="false">
      <c r="A773" s="35" t="str">
        <f aca="false">IF(AND(B773="",C773="",D773="",E773="",F773="",G773="",H773="",J773="",L773="",M773="",N773=""),"",Q773)</f>
        <v/>
      </c>
      <c r="B773" s="36"/>
      <c r="C773" s="36"/>
      <c r="D773" s="36"/>
      <c r="E773" s="36"/>
      <c r="F773" s="36"/>
      <c r="G773" s="36"/>
      <c r="H773" s="36"/>
      <c r="I773" s="1" t="str">
        <f aca="false">IF($A773="","",IFERROR(IF(ISBLANK(INDEX(SprintPlanning[Sprint],MATCH($A773,SprintPlanning[Requirement ID],0))),"To Plan",INDEX(SprintPlanning[Sprint],MATCH($A773,SprintPlanning[Requirement ID],0))),"To Plan"))</f>
        <v/>
      </c>
      <c r="J773" s="36"/>
      <c r="K773" s="1" t="str">
        <f aca="false">IFERROR(IF(ISBLANK(INDEX(Release[Release],MATCH($A773,Release[Requirement ID],0))),"",INDEX(Release[Release],MATCH($A773,Release[Requirement ID],0))),"")</f>
        <v/>
      </c>
      <c r="L773" s="36"/>
      <c r="M773" s="36"/>
      <c r="P773" s="1" t="n">
        <f aca="false">IFERROR(VALUE(MID($A773,5,4)),0)</f>
        <v>0</v>
      </c>
      <c r="Q773" s="1" t="str">
        <f aca="false">IF(B773="","","NEW-"&amp;TEXT(MAX($P$2:$P772,Lists!$N$2)+1,"0000"))</f>
        <v/>
      </c>
    </row>
    <row r="774" customFormat="false" ht="15" hidden="false" customHeight="true" outlineLevel="0" collapsed="false">
      <c r="A774" s="35" t="str">
        <f aca="false">IF(AND(B774="",C774="",D774="",E774="",F774="",G774="",H774="",J774="",L774="",M774="",N774=""),"",Q774)</f>
        <v/>
      </c>
      <c r="B774" s="36"/>
      <c r="C774" s="36"/>
      <c r="D774" s="36"/>
      <c r="E774" s="36"/>
      <c r="F774" s="36"/>
      <c r="G774" s="36"/>
      <c r="H774" s="36"/>
      <c r="I774" s="1" t="str">
        <f aca="false">IF($A774="","",IFERROR(IF(ISBLANK(INDEX(SprintPlanning[Sprint],MATCH($A774,SprintPlanning[Requirement ID],0))),"To Plan",INDEX(SprintPlanning[Sprint],MATCH($A774,SprintPlanning[Requirement ID],0))),"To Plan"))</f>
        <v/>
      </c>
      <c r="J774" s="36"/>
      <c r="K774" s="1" t="str">
        <f aca="false">IFERROR(IF(ISBLANK(INDEX(Release[Release],MATCH($A774,Release[Requirement ID],0))),"",INDEX(Release[Release],MATCH($A774,Release[Requirement ID],0))),"")</f>
        <v/>
      </c>
      <c r="L774" s="36"/>
      <c r="M774" s="36"/>
      <c r="P774" s="1" t="n">
        <f aca="false">IFERROR(VALUE(MID($A774,5,4)),0)</f>
        <v>0</v>
      </c>
      <c r="Q774" s="1" t="str">
        <f aca="false">IF(B774="","","NEW-"&amp;TEXT(MAX($P$2:$P773,Lists!$N$2)+1,"0000"))</f>
        <v/>
      </c>
    </row>
    <row r="775" customFormat="false" ht="15" hidden="false" customHeight="true" outlineLevel="0" collapsed="false">
      <c r="A775" s="35" t="str">
        <f aca="false">IF(AND(B775="",C775="",D775="",E775="",F775="",G775="",H775="",J775="",L775="",M775="",N775=""),"",Q775)</f>
        <v/>
      </c>
      <c r="B775" s="36"/>
      <c r="C775" s="36"/>
      <c r="D775" s="36"/>
      <c r="E775" s="36"/>
      <c r="F775" s="36"/>
      <c r="G775" s="36"/>
      <c r="H775" s="36"/>
      <c r="I775" s="1" t="str">
        <f aca="false">IF($A775="","",IFERROR(IF(ISBLANK(INDEX(SprintPlanning[Sprint],MATCH($A775,SprintPlanning[Requirement ID],0))),"To Plan",INDEX(SprintPlanning[Sprint],MATCH($A775,SprintPlanning[Requirement ID],0))),"To Plan"))</f>
        <v/>
      </c>
      <c r="J775" s="36"/>
      <c r="K775" s="1" t="str">
        <f aca="false">IFERROR(IF(ISBLANK(INDEX(Release[Release],MATCH($A775,Release[Requirement ID],0))),"",INDEX(Release[Release],MATCH($A775,Release[Requirement ID],0))),"")</f>
        <v/>
      </c>
      <c r="L775" s="36"/>
      <c r="M775" s="36"/>
      <c r="P775" s="1" t="n">
        <f aca="false">IFERROR(VALUE(MID($A775,5,4)),0)</f>
        <v>0</v>
      </c>
      <c r="Q775" s="1" t="str">
        <f aca="false">IF(B775="","","NEW-"&amp;TEXT(MAX($P$2:$P774,Lists!$N$2)+1,"0000"))</f>
        <v/>
      </c>
    </row>
    <row r="776" customFormat="false" ht="15" hidden="false" customHeight="true" outlineLevel="0" collapsed="false">
      <c r="A776" s="35" t="str">
        <f aca="false">IF(AND(B776="",C776="",D776="",E776="",F776="",G776="",H776="",J776="",L776="",M776="",N776=""),"",Q776)</f>
        <v/>
      </c>
      <c r="B776" s="36"/>
      <c r="C776" s="36"/>
      <c r="D776" s="36"/>
      <c r="E776" s="36"/>
      <c r="F776" s="36"/>
      <c r="G776" s="36"/>
      <c r="H776" s="36"/>
      <c r="I776" s="1" t="str">
        <f aca="false">IF($A776="","",IFERROR(IF(ISBLANK(INDEX(SprintPlanning[Sprint],MATCH($A776,SprintPlanning[Requirement ID],0))),"To Plan",INDEX(SprintPlanning[Sprint],MATCH($A776,SprintPlanning[Requirement ID],0))),"To Plan"))</f>
        <v/>
      </c>
      <c r="J776" s="36"/>
      <c r="K776" s="1" t="str">
        <f aca="false">IFERROR(IF(ISBLANK(INDEX(Release[Release],MATCH($A776,Release[Requirement ID],0))),"",INDEX(Release[Release],MATCH($A776,Release[Requirement ID],0))),"")</f>
        <v/>
      </c>
      <c r="L776" s="36"/>
      <c r="M776" s="36"/>
      <c r="P776" s="1" t="n">
        <f aca="false">IFERROR(VALUE(MID($A776,5,4)),0)</f>
        <v>0</v>
      </c>
      <c r="Q776" s="1" t="str">
        <f aca="false">IF(B776="","","NEW-"&amp;TEXT(MAX($P$2:$P775,Lists!$N$2)+1,"0000"))</f>
        <v/>
      </c>
    </row>
    <row r="777" customFormat="false" ht="15" hidden="false" customHeight="true" outlineLevel="0" collapsed="false">
      <c r="A777" s="35" t="str">
        <f aca="false">IF(AND(B777="",C777="",D777="",E777="",F777="",G777="",H777="",J777="",L777="",M777="",N777=""),"",Q777)</f>
        <v/>
      </c>
      <c r="B777" s="36"/>
      <c r="C777" s="36"/>
      <c r="D777" s="36"/>
      <c r="E777" s="36"/>
      <c r="F777" s="36"/>
      <c r="G777" s="36"/>
      <c r="H777" s="36"/>
      <c r="I777" s="1" t="str">
        <f aca="false">IF($A777="","",IFERROR(IF(ISBLANK(INDEX(SprintPlanning[Sprint],MATCH($A777,SprintPlanning[Requirement ID],0))),"To Plan",INDEX(SprintPlanning[Sprint],MATCH($A777,SprintPlanning[Requirement ID],0))),"To Plan"))</f>
        <v/>
      </c>
      <c r="J777" s="36"/>
      <c r="K777" s="1" t="str">
        <f aca="false">IFERROR(IF(ISBLANK(INDEX(Release[Release],MATCH($A777,Release[Requirement ID],0))),"",INDEX(Release[Release],MATCH($A777,Release[Requirement ID],0))),"")</f>
        <v/>
      </c>
      <c r="L777" s="36"/>
      <c r="M777" s="36"/>
      <c r="P777" s="1" t="n">
        <f aca="false">IFERROR(VALUE(MID($A777,5,4)),0)</f>
        <v>0</v>
      </c>
      <c r="Q777" s="1" t="str">
        <f aca="false">IF(B777="","","NEW-"&amp;TEXT(MAX($P$2:$P776,Lists!$N$2)+1,"0000"))</f>
        <v/>
      </c>
    </row>
    <row r="778" customFormat="false" ht="15" hidden="false" customHeight="true" outlineLevel="0" collapsed="false">
      <c r="A778" s="35" t="str">
        <f aca="false">IF(AND(B778="",C778="",D778="",E778="",F778="",G778="",H778="",J778="",L778="",M778="",N778=""),"",Q778)</f>
        <v/>
      </c>
      <c r="B778" s="36"/>
      <c r="C778" s="36"/>
      <c r="D778" s="36"/>
      <c r="E778" s="36"/>
      <c r="F778" s="36"/>
      <c r="G778" s="36"/>
      <c r="H778" s="36"/>
      <c r="I778" s="1" t="str">
        <f aca="false">IF($A778="","",IFERROR(IF(ISBLANK(INDEX(SprintPlanning[Sprint],MATCH($A778,SprintPlanning[Requirement ID],0))),"To Plan",INDEX(SprintPlanning[Sprint],MATCH($A778,SprintPlanning[Requirement ID],0))),"To Plan"))</f>
        <v/>
      </c>
      <c r="J778" s="36"/>
      <c r="K778" s="1" t="str">
        <f aca="false">IFERROR(IF(ISBLANK(INDEX(Release[Release],MATCH($A778,Release[Requirement ID],0))),"",INDEX(Release[Release],MATCH($A778,Release[Requirement ID],0))),"")</f>
        <v/>
      </c>
      <c r="L778" s="36"/>
      <c r="M778" s="36"/>
      <c r="P778" s="1" t="n">
        <f aca="false">IFERROR(VALUE(MID($A778,5,4)),0)</f>
        <v>0</v>
      </c>
      <c r="Q778" s="1" t="str">
        <f aca="false">IF(B778="","","NEW-"&amp;TEXT(MAX($P$2:$P777,Lists!$N$2)+1,"0000"))</f>
        <v/>
      </c>
    </row>
    <row r="779" customFormat="false" ht="15" hidden="false" customHeight="true" outlineLevel="0" collapsed="false">
      <c r="A779" s="35" t="str">
        <f aca="false">IF(AND(B779="",C779="",D779="",E779="",F779="",G779="",H779="",J779="",L779="",M779="",N779=""),"",Q779)</f>
        <v/>
      </c>
      <c r="B779" s="36"/>
      <c r="C779" s="36"/>
      <c r="D779" s="36"/>
      <c r="E779" s="36"/>
      <c r="F779" s="36"/>
      <c r="G779" s="36"/>
      <c r="H779" s="36"/>
      <c r="I779" s="1" t="str">
        <f aca="false">IF($A779="","",IFERROR(IF(ISBLANK(INDEX(SprintPlanning[Sprint],MATCH($A779,SprintPlanning[Requirement ID],0))),"To Plan",INDEX(SprintPlanning[Sprint],MATCH($A779,SprintPlanning[Requirement ID],0))),"To Plan"))</f>
        <v/>
      </c>
      <c r="J779" s="36"/>
      <c r="K779" s="1" t="str">
        <f aca="false">IFERROR(IF(ISBLANK(INDEX(Release[Release],MATCH($A779,Release[Requirement ID],0))),"",INDEX(Release[Release],MATCH($A779,Release[Requirement ID],0))),"")</f>
        <v/>
      </c>
      <c r="L779" s="36"/>
      <c r="M779" s="36"/>
      <c r="P779" s="1" t="n">
        <f aca="false">IFERROR(VALUE(MID($A779,5,4)),0)</f>
        <v>0</v>
      </c>
      <c r="Q779" s="1" t="str">
        <f aca="false">IF(B779="","","NEW-"&amp;TEXT(MAX($P$2:$P778,Lists!$N$2)+1,"0000"))</f>
        <v/>
      </c>
    </row>
    <row r="780" customFormat="false" ht="15" hidden="false" customHeight="true" outlineLevel="0" collapsed="false">
      <c r="A780" s="35" t="str">
        <f aca="false">IF(AND(B780="",C780="",D780="",E780="",F780="",G780="",H780="",J780="",L780="",M780="",N780=""),"",Q780)</f>
        <v/>
      </c>
      <c r="B780" s="36"/>
      <c r="C780" s="36"/>
      <c r="D780" s="36"/>
      <c r="E780" s="36"/>
      <c r="F780" s="36"/>
      <c r="G780" s="36"/>
      <c r="H780" s="36"/>
      <c r="I780" s="1" t="str">
        <f aca="false">IF($A780="","",IFERROR(IF(ISBLANK(INDEX(SprintPlanning[Sprint],MATCH($A780,SprintPlanning[Requirement ID],0))),"To Plan",INDEX(SprintPlanning[Sprint],MATCH($A780,SprintPlanning[Requirement ID],0))),"To Plan"))</f>
        <v/>
      </c>
      <c r="J780" s="36"/>
      <c r="K780" s="1" t="str">
        <f aca="false">IFERROR(IF(ISBLANK(INDEX(Release[Release],MATCH($A780,Release[Requirement ID],0))),"",INDEX(Release[Release],MATCH($A780,Release[Requirement ID],0))),"")</f>
        <v/>
      </c>
      <c r="L780" s="36"/>
      <c r="M780" s="36"/>
      <c r="P780" s="1" t="n">
        <f aca="false">IFERROR(VALUE(MID($A780,5,4)),0)</f>
        <v>0</v>
      </c>
      <c r="Q780" s="1" t="str">
        <f aca="false">IF(B780="","","NEW-"&amp;TEXT(MAX($P$2:$P779,Lists!$N$2)+1,"0000"))</f>
        <v/>
      </c>
    </row>
    <row r="781" customFormat="false" ht="15" hidden="false" customHeight="true" outlineLevel="0" collapsed="false">
      <c r="A781" s="35" t="str">
        <f aca="false">IF(AND(B781="",C781="",D781="",E781="",F781="",G781="",H781="",J781="",L781="",M781="",N781=""),"",Q781)</f>
        <v/>
      </c>
      <c r="B781" s="36"/>
      <c r="C781" s="36"/>
      <c r="D781" s="36"/>
      <c r="E781" s="36"/>
      <c r="F781" s="36"/>
      <c r="G781" s="36"/>
      <c r="H781" s="36"/>
      <c r="I781" s="1" t="str">
        <f aca="false">IF($A781="","",IFERROR(IF(ISBLANK(INDEX(SprintPlanning[Sprint],MATCH($A781,SprintPlanning[Requirement ID],0))),"To Plan",INDEX(SprintPlanning[Sprint],MATCH($A781,SprintPlanning[Requirement ID],0))),"To Plan"))</f>
        <v/>
      </c>
      <c r="J781" s="36"/>
      <c r="K781" s="1" t="str">
        <f aca="false">IFERROR(IF(ISBLANK(INDEX(Release[Release],MATCH($A781,Release[Requirement ID],0))),"",INDEX(Release[Release],MATCH($A781,Release[Requirement ID],0))),"")</f>
        <v/>
      </c>
      <c r="L781" s="36"/>
      <c r="M781" s="36"/>
      <c r="P781" s="1" t="n">
        <f aca="false">IFERROR(VALUE(MID($A781,5,4)),0)</f>
        <v>0</v>
      </c>
      <c r="Q781" s="1" t="str">
        <f aca="false">IF(B781="","","NEW-"&amp;TEXT(MAX($P$2:$P780,Lists!$N$2)+1,"0000"))</f>
        <v/>
      </c>
    </row>
    <row r="782" customFormat="false" ht="15" hidden="false" customHeight="true" outlineLevel="0" collapsed="false">
      <c r="A782" s="35" t="str">
        <f aca="false">IF(AND(B782="",C782="",D782="",E782="",F782="",G782="",H782="",J782="",L782="",M782="",N782=""),"",Q782)</f>
        <v/>
      </c>
      <c r="B782" s="36"/>
      <c r="C782" s="36"/>
      <c r="D782" s="36"/>
      <c r="E782" s="36"/>
      <c r="F782" s="36"/>
      <c r="G782" s="36"/>
      <c r="H782" s="36"/>
      <c r="I782" s="1" t="str">
        <f aca="false">IF($A782="","",IFERROR(IF(ISBLANK(INDEX(SprintPlanning[Sprint],MATCH($A782,SprintPlanning[Requirement ID],0))),"To Plan",INDEX(SprintPlanning[Sprint],MATCH($A782,SprintPlanning[Requirement ID],0))),"To Plan"))</f>
        <v/>
      </c>
      <c r="J782" s="36"/>
      <c r="K782" s="1" t="str">
        <f aca="false">IFERROR(IF(ISBLANK(INDEX(Release[Release],MATCH($A782,Release[Requirement ID],0))),"",INDEX(Release[Release],MATCH($A782,Release[Requirement ID],0))),"")</f>
        <v/>
      </c>
      <c r="L782" s="36"/>
      <c r="M782" s="36"/>
      <c r="P782" s="1" t="n">
        <f aca="false">IFERROR(VALUE(MID($A782,5,4)),0)</f>
        <v>0</v>
      </c>
      <c r="Q782" s="1" t="str">
        <f aca="false">IF(B782="","","NEW-"&amp;TEXT(MAX($P$2:$P781,Lists!$N$2)+1,"0000"))</f>
        <v/>
      </c>
    </row>
    <row r="783" customFormat="false" ht="15" hidden="false" customHeight="true" outlineLevel="0" collapsed="false">
      <c r="A783" s="35" t="str">
        <f aca="false">IF(AND(B783="",C783="",D783="",E783="",F783="",G783="",H783="",J783="",L783="",M783="",N783=""),"",Q783)</f>
        <v/>
      </c>
      <c r="B783" s="36"/>
      <c r="C783" s="36"/>
      <c r="D783" s="36"/>
      <c r="E783" s="36"/>
      <c r="F783" s="36"/>
      <c r="G783" s="36"/>
      <c r="H783" s="36"/>
      <c r="I783" s="1" t="str">
        <f aca="false">IF($A783="","",IFERROR(IF(ISBLANK(INDEX(SprintPlanning[Sprint],MATCH($A783,SprintPlanning[Requirement ID],0))),"To Plan",INDEX(SprintPlanning[Sprint],MATCH($A783,SprintPlanning[Requirement ID],0))),"To Plan"))</f>
        <v/>
      </c>
      <c r="J783" s="36"/>
      <c r="K783" s="1" t="str">
        <f aca="false">IFERROR(IF(ISBLANK(INDEX(Release[Release],MATCH($A783,Release[Requirement ID],0))),"",INDEX(Release[Release],MATCH($A783,Release[Requirement ID],0))),"")</f>
        <v/>
      </c>
      <c r="L783" s="36"/>
      <c r="M783" s="36"/>
      <c r="P783" s="1" t="n">
        <f aca="false">IFERROR(VALUE(MID($A783,5,4)),0)</f>
        <v>0</v>
      </c>
      <c r="Q783" s="1" t="str">
        <f aca="false">IF(B783="","","NEW-"&amp;TEXT(MAX($P$2:$P782,Lists!$N$2)+1,"0000"))</f>
        <v/>
      </c>
    </row>
    <row r="784" customFormat="false" ht="15" hidden="false" customHeight="true" outlineLevel="0" collapsed="false">
      <c r="A784" s="35" t="str">
        <f aca="false">IF(AND(B784="",C784="",D784="",E784="",F784="",G784="",H784="",J784="",L784="",M784="",N784=""),"",Q784)</f>
        <v/>
      </c>
      <c r="B784" s="36"/>
      <c r="C784" s="36"/>
      <c r="D784" s="36"/>
      <c r="E784" s="36"/>
      <c r="F784" s="36"/>
      <c r="G784" s="36"/>
      <c r="H784" s="36"/>
      <c r="I784" s="1" t="str">
        <f aca="false">IF($A784="","",IFERROR(IF(ISBLANK(INDEX(SprintPlanning[Sprint],MATCH($A784,SprintPlanning[Requirement ID],0))),"To Plan",INDEX(SprintPlanning[Sprint],MATCH($A784,SprintPlanning[Requirement ID],0))),"To Plan"))</f>
        <v/>
      </c>
      <c r="J784" s="36"/>
      <c r="K784" s="1" t="str">
        <f aca="false">IFERROR(IF(ISBLANK(INDEX(Release[Release],MATCH($A784,Release[Requirement ID],0))),"",INDEX(Release[Release],MATCH($A784,Release[Requirement ID],0))),"")</f>
        <v/>
      </c>
      <c r="L784" s="36"/>
      <c r="M784" s="36"/>
      <c r="P784" s="1" t="n">
        <f aca="false">IFERROR(VALUE(MID($A784,5,4)),0)</f>
        <v>0</v>
      </c>
      <c r="Q784" s="1" t="str">
        <f aca="false">IF(B784="","","NEW-"&amp;TEXT(MAX($P$2:$P783,Lists!$N$2)+1,"0000"))</f>
        <v/>
      </c>
    </row>
    <row r="785" customFormat="false" ht="15" hidden="false" customHeight="true" outlineLevel="0" collapsed="false">
      <c r="A785" s="35" t="str">
        <f aca="false">IF(AND(B785="",C785="",D785="",E785="",F785="",G785="",H785="",J785="",L785="",M785="",N785=""),"",Q785)</f>
        <v/>
      </c>
      <c r="B785" s="36"/>
      <c r="C785" s="36"/>
      <c r="D785" s="36"/>
      <c r="E785" s="36"/>
      <c r="F785" s="36"/>
      <c r="G785" s="36"/>
      <c r="H785" s="36"/>
      <c r="I785" s="1" t="str">
        <f aca="false">IF($A785="","",IFERROR(IF(ISBLANK(INDEX(SprintPlanning[Sprint],MATCH($A785,SprintPlanning[Requirement ID],0))),"To Plan",INDEX(SprintPlanning[Sprint],MATCH($A785,SprintPlanning[Requirement ID],0))),"To Plan"))</f>
        <v/>
      </c>
      <c r="J785" s="36"/>
      <c r="K785" s="1" t="str">
        <f aca="false">IFERROR(IF(ISBLANK(INDEX(Release[Release],MATCH($A785,Release[Requirement ID],0))),"",INDEX(Release[Release],MATCH($A785,Release[Requirement ID],0))),"")</f>
        <v/>
      </c>
      <c r="L785" s="36"/>
      <c r="M785" s="36"/>
      <c r="P785" s="1" t="n">
        <f aca="false">IFERROR(VALUE(MID($A785,5,4)),0)</f>
        <v>0</v>
      </c>
      <c r="Q785" s="1" t="str">
        <f aca="false">IF(B785="","","NEW-"&amp;TEXT(MAX($P$2:$P784,Lists!$N$2)+1,"0000"))</f>
        <v/>
      </c>
    </row>
    <row r="786" customFormat="false" ht="15" hidden="false" customHeight="true" outlineLevel="0" collapsed="false">
      <c r="A786" s="35" t="str">
        <f aca="false">IF(AND(B786="",C786="",D786="",E786="",F786="",G786="",H786="",J786="",L786="",M786="",N786=""),"",Q786)</f>
        <v/>
      </c>
      <c r="B786" s="36"/>
      <c r="C786" s="36"/>
      <c r="D786" s="36"/>
      <c r="E786" s="36"/>
      <c r="F786" s="36"/>
      <c r="G786" s="36"/>
      <c r="H786" s="36"/>
      <c r="I786" s="1" t="str">
        <f aca="false">IF($A786="","",IFERROR(IF(ISBLANK(INDEX(SprintPlanning[Sprint],MATCH($A786,SprintPlanning[Requirement ID],0))),"To Plan",INDEX(SprintPlanning[Sprint],MATCH($A786,SprintPlanning[Requirement ID],0))),"To Plan"))</f>
        <v/>
      </c>
      <c r="J786" s="36"/>
      <c r="K786" s="1" t="str">
        <f aca="false">IFERROR(IF(ISBLANK(INDEX(Release[Release],MATCH($A786,Release[Requirement ID],0))),"",INDEX(Release[Release],MATCH($A786,Release[Requirement ID],0))),"")</f>
        <v/>
      </c>
      <c r="L786" s="36"/>
      <c r="M786" s="36"/>
      <c r="P786" s="1" t="n">
        <f aca="false">IFERROR(VALUE(MID($A786,5,4)),0)</f>
        <v>0</v>
      </c>
      <c r="Q786" s="1" t="str">
        <f aca="false">IF(B786="","","NEW-"&amp;TEXT(MAX($P$2:$P785,Lists!$N$2)+1,"0000"))</f>
        <v/>
      </c>
    </row>
    <row r="787" customFormat="false" ht="15" hidden="false" customHeight="true" outlineLevel="0" collapsed="false">
      <c r="A787" s="35" t="str">
        <f aca="false">IF(AND(B787="",C787="",D787="",E787="",F787="",G787="",H787="",J787="",L787="",M787="",N787=""),"",Q787)</f>
        <v/>
      </c>
      <c r="B787" s="36"/>
      <c r="C787" s="36"/>
      <c r="D787" s="36"/>
      <c r="E787" s="36"/>
      <c r="F787" s="36"/>
      <c r="G787" s="36"/>
      <c r="H787" s="36"/>
      <c r="I787" s="1" t="str">
        <f aca="false">IF($A787="","",IFERROR(IF(ISBLANK(INDEX(SprintPlanning[Sprint],MATCH($A787,SprintPlanning[Requirement ID],0))),"To Plan",INDEX(SprintPlanning[Sprint],MATCH($A787,SprintPlanning[Requirement ID],0))),"To Plan"))</f>
        <v/>
      </c>
      <c r="J787" s="36"/>
      <c r="K787" s="1" t="str">
        <f aca="false">IFERROR(IF(ISBLANK(INDEX(Release[Release],MATCH($A787,Release[Requirement ID],0))),"",INDEX(Release[Release],MATCH($A787,Release[Requirement ID],0))),"")</f>
        <v/>
      </c>
      <c r="L787" s="36"/>
      <c r="M787" s="36"/>
      <c r="P787" s="1" t="n">
        <f aca="false">IFERROR(VALUE(MID($A787,5,4)),0)</f>
        <v>0</v>
      </c>
      <c r="Q787" s="1" t="str">
        <f aca="false">IF(B787="","","NEW-"&amp;TEXT(MAX($P$2:$P786,Lists!$N$2)+1,"0000"))</f>
        <v/>
      </c>
    </row>
    <row r="788" customFormat="false" ht="15" hidden="false" customHeight="true" outlineLevel="0" collapsed="false">
      <c r="A788" s="35" t="str">
        <f aca="false">IF(AND(B788="",C788="",D788="",E788="",F788="",G788="",H788="",J788="",L788="",M788="",N788=""),"",Q788)</f>
        <v/>
      </c>
      <c r="B788" s="36"/>
      <c r="C788" s="36"/>
      <c r="D788" s="36"/>
      <c r="E788" s="36"/>
      <c r="F788" s="36"/>
      <c r="G788" s="36"/>
      <c r="H788" s="36"/>
      <c r="I788" s="1" t="str">
        <f aca="false">IF($A788="","",IFERROR(IF(ISBLANK(INDEX(SprintPlanning[Sprint],MATCH($A788,SprintPlanning[Requirement ID],0))),"To Plan",INDEX(SprintPlanning[Sprint],MATCH($A788,SprintPlanning[Requirement ID],0))),"To Plan"))</f>
        <v/>
      </c>
      <c r="J788" s="36"/>
      <c r="K788" s="1" t="str">
        <f aca="false">IFERROR(IF(ISBLANK(INDEX(Release[Release],MATCH($A788,Release[Requirement ID],0))),"",INDEX(Release[Release],MATCH($A788,Release[Requirement ID],0))),"")</f>
        <v/>
      </c>
      <c r="L788" s="36"/>
      <c r="M788" s="36"/>
      <c r="P788" s="1" t="n">
        <f aca="false">IFERROR(VALUE(MID($A788,5,4)),0)</f>
        <v>0</v>
      </c>
      <c r="Q788" s="1" t="str">
        <f aca="false">IF(B788="","","NEW-"&amp;TEXT(MAX($P$2:$P787,Lists!$N$2)+1,"0000"))</f>
        <v/>
      </c>
    </row>
    <row r="789" customFormat="false" ht="15" hidden="false" customHeight="true" outlineLevel="0" collapsed="false">
      <c r="A789" s="35" t="str">
        <f aca="false">IF(AND(B789="",C789="",D789="",E789="",F789="",G789="",H789="",J789="",L789="",M789="",N789=""),"",Q789)</f>
        <v/>
      </c>
      <c r="B789" s="36"/>
      <c r="C789" s="36"/>
      <c r="D789" s="36"/>
      <c r="E789" s="36"/>
      <c r="F789" s="36"/>
      <c r="G789" s="36"/>
      <c r="H789" s="36"/>
      <c r="I789" s="1" t="str">
        <f aca="false">IF($A789="","",IFERROR(IF(ISBLANK(INDEX(SprintPlanning[Sprint],MATCH($A789,SprintPlanning[Requirement ID],0))),"To Plan",INDEX(SprintPlanning[Sprint],MATCH($A789,SprintPlanning[Requirement ID],0))),"To Plan"))</f>
        <v/>
      </c>
      <c r="J789" s="36"/>
      <c r="K789" s="1" t="str">
        <f aca="false">IFERROR(IF(ISBLANK(INDEX(Release[Release],MATCH($A789,Release[Requirement ID],0))),"",INDEX(Release[Release],MATCH($A789,Release[Requirement ID],0))),"")</f>
        <v/>
      </c>
      <c r="L789" s="36"/>
      <c r="M789" s="36"/>
      <c r="P789" s="1" t="n">
        <f aca="false">IFERROR(VALUE(MID($A789,5,4)),0)</f>
        <v>0</v>
      </c>
      <c r="Q789" s="1" t="str">
        <f aca="false">IF(B789="","","NEW-"&amp;TEXT(MAX($P$2:$P788,Lists!$N$2)+1,"0000"))</f>
        <v/>
      </c>
    </row>
    <row r="790" customFormat="false" ht="15" hidden="false" customHeight="true" outlineLevel="0" collapsed="false">
      <c r="A790" s="35" t="str">
        <f aca="false">IF(AND(B790="",C790="",D790="",E790="",F790="",G790="",H790="",J790="",L790="",M790="",N790=""),"",Q790)</f>
        <v/>
      </c>
      <c r="B790" s="36"/>
      <c r="C790" s="36"/>
      <c r="D790" s="36"/>
      <c r="E790" s="36"/>
      <c r="F790" s="36"/>
      <c r="G790" s="36"/>
      <c r="H790" s="36"/>
      <c r="I790" s="1" t="str">
        <f aca="false">IF($A790="","",IFERROR(IF(ISBLANK(INDEX(SprintPlanning[Sprint],MATCH($A790,SprintPlanning[Requirement ID],0))),"To Plan",INDEX(SprintPlanning[Sprint],MATCH($A790,SprintPlanning[Requirement ID],0))),"To Plan"))</f>
        <v/>
      </c>
      <c r="J790" s="36"/>
      <c r="K790" s="1" t="str">
        <f aca="false">IFERROR(IF(ISBLANK(INDEX(Release[Release],MATCH($A790,Release[Requirement ID],0))),"",INDEX(Release[Release],MATCH($A790,Release[Requirement ID],0))),"")</f>
        <v/>
      </c>
      <c r="L790" s="36"/>
      <c r="M790" s="36"/>
      <c r="P790" s="1" t="n">
        <f aca="false">IFERROR(VALUE(MID($A790,5,4)),0)</f>
        <v>0</v>
      </c>
      <c r="Q790" s="1" t="str">
        <f aca="false">IF(B790="","","NEW-"&amp;TEXT(MAX($P$2:$P789,Lists!$N$2)+1,"0000"))</f>
        <v/>
      </c>
    </row>
    <row r="791" customFormat="false" ht="15" hidden="false" customHeight="true" outlineLevel="0" collapsed="false">
      <c r="A791" s="35" t="str">
        <f aca="false">IF(AND(B791="",C791="",D791="",E791="",F791="",G791="",H791="",J791="",L791="",M791="",N791=""),"",Q791)</f>
        <v/>
      </c>
      <c r="B791" s="36"/>
      <c r="C791" s="36"/>
      <c r="D791" s="36"/>
      <c r="E791" s="36"/>
      <c r="F791" s="36"/>
      <c r="G791" s="36"/>
      <c r="H791" s="36"/>
      <c r="I791" s="1" t="str">
        <f aca="false">IF($A791="","",IFERROR(IF(ISBLANK(INDEX(SprintPlanning[Sprint],MATCH($A791,SprintPlanning[Requirement ID],0))),"To Plan",INDEX(SprintPlanning[Sprint],MATCH($A791,SprintPlanning[Requirement ID],0))),"To Plan"))</f>
        <v/>
      </c>
      <c r="J791" s="36"/>
      <c r="K791" s="1" t="str">
        <f aca="false">IFERROR(IF(ISBLANK(INDEX(Release[Release],MATCH($A791,Release[Requirement ID],0))),"",INDEX(Release[Release],MATCH($A791,Release[Requirement ID],0))),"")</f>
        <v/>
      </c>
      <c r="L791" s="36"/>
      <c r="M791" s="36"/>
      <c r="P791" s="1" t="n">
        <f aca="false">IFERROR(VALUE(MID($A791,5,4)),0)</f>
        <v>0</v>
      </c>
      <c r="Q791" s="1" t="str">
        <f aca="false">IF(B791="","","NEW-"&amp;TEXT(MAX($P$2:$P790,Lists!$N$2)+1,"0000"))</f>
        <v/>
      </c>
    </row>
    <row r="792" customFormat="false" ht="15" hidden="false" customHeight="true" outlineLevel="0" collapsed="false">
      <c r="A792" s="35" t="str">
        <f aca="false">IF(AND(B792="",C792="",D792="",E792="",F792="",G792="",H792="",J792="",L792="",M792="",N792=""),"",Q792)</f>
        <v/>
      </c>
      <c r="B792" s="36"/>
      <c r="C792" s="36"/>
      <c r="D792" s="36"/>
      <c r="E792" s="36"/>
      <c r="F792" s="36"/>
      <c r="G792" s="36"/>
      <c r="H792" s="36"/>
      <c r="I792" s="1" t="str">
        <f aca="false">IF($A792="","",IFERROR(IF(ISBLANK(INDEX(SprintPlanning[Sprint],MATCH($A792,SprintPlanning[Requirement ID],0))),"To Plan",INDEX(SprintPlanning[Sprint],MATCH($A792,SprintPlanning[Requirement ID],0))),"To Plan"))</f>
        <v/>
      </c>
      <c r="J792" s="36"/>
      <c r="K792" s="1" t="str">
        <f aca="false">IFERROR(IF(ISBLANK(INDEX(Release[Release],MATCH($A792,Release[Requirement ID],0))),"",INDEX(Release[Release],MATCH($A792,Release[Requirement ID],0))),"")</f>
        <v/>
      </c>
      <c r="L792" s="36"/>
      <c r="M792" s="36"/>
      <c r="P792" s="1" t="n">
        <f aca="false">IFERROR(VALUE(MID($A792,5,4)),0)</f>
        <v>0</v>
      </c>
      <c r="Q792" s="1" t="str">
        <f aca="false">IF(B792="","","NEW-"&amp;TEXT(MAX($P$2:$P791,Lists!$N$2)+1,"0000"))</f>
        <v/>
      </c>
    </row>
    <row r="793" customFormat="false" ht="15" hidden="false" customHeight="true" outlineLevel="0" collapsed="false">
      <c r="A793" s="35" t="str">
        <f aca="false">IF(AND(B793="",C793="",D793="",E793="",F793="",G793="",H793="",J793="",L793="",M793="",N793=""),"",Q793)</f>
        <v/>
      </c>
      <c r="B793" s="36"/>
      <c r="C793" s="36"/>
      <c r="D793" s="36"/>
      <c r="E793" s="36"/>
      <c r="F793" s="36"/>
      <c r="G793" s="36"/>
      <c r="H793" s="36"/>
      <c r="I793" s="1" t="str">
        <f aca="false">IF($A793="","",IFERROR(IF(ISBLANK(INDEX(SprintPlanning[Sprint],MATCH($A793,SprintPlanning[Requirement ID],0))),"To Plan",INDEX(SprintPlanning[Sprint],MATCH($A793,SprintPlanning[Requirement ID],0))),"To Plan"))</f>
        <v/>
      </c>
      <c r="J793" s="36"/>
      <c r="K793" s="1" t="str">
        <f aca="false">IFERROR(IF(ISBLANK(INDEX(Release[Release],MATCH($A793,Release[Requirement ID],0))),"",INDEX(Release[Release],MATCH($A793,Release[Requirement ID],0))),"")</f>
        <v/>
      </c>
      <c r="L793" s="36"/>
      <c r="M793" s="36"/>
      <c r="P793" s="1" t="n">
        <f aca="false">IFERROR(VALUE(MID($A793,5,4)),0)</f>
        <v>0</v>
      </c>
      <c r="Q793" s="1" t="str">
        <f aca="false">IF(B793="","","NEW-"&amp;TEXT(MAX($P$2:$P792,Lists!$N$2)+1,"0000"))</f>
        <v/>
      </c>
    </row>
    <row r="794" customFormat="false" ht="15" hidden="false" customHeight="true" outlineLevel="0" collapsed="false">
      <c r="A794" s="35" t="str">
        <f aca="false">IF(AND(B794="",C794="",D794="",E794="",F794="",G794="",H794="",J794="",L794="",M794="",N794=""),"",Q794)</f>
        <v/>
      </c>
      <c r="B794" s="36"/>
      <c r="C794" s="36"/>
      <c r="D794" s="36"/>
      <c r="E794" s="36"/>
      <c r="F794" s="36"/>
      <c r="G794" s="36"/>
      <c r="H794" s="36"/>
      <c r="I794" s="1" t="str">
        <f aca="false">IF($A794="","",IFERROR(IF(ISBLANK(INDEX(SprintPlanning[Sprint],MATCH($A794,SprintPlanning[Requirement ID],0))),"To Plan",INDEX(SprintPlanning[Sprint],MATCH($A794,SprintPlanning[Requirement ID],0))),"To Plan"))</f>
        <v/>
      </c>
      <c r="J794" s="36"/>
      <c r="K794" s="1" t="str">
        <f aca="false">IFERROR(IF(ISBLANK(INDEX(Release[Release],MATCH($A794,Release[Requirement ID],0))),"",INDEX(Release[Release],MATCH($A794,Release[Requirement ID],0))),"")</f>
        <v/>
      </c>
      <c r="L794" s="36"/>
      <c r="M794" s="36"/>
      <c r="P794" s="1" t="n">
        <f aca="false">IFERROR(VALUE(MID($A794,5,4)),0)</f>
        <v>0</v>
      </c>
      <c r="Q794" s="1" t="str">
        <f aca="false">IF(B794="","","NEW-"&amp;TEXT(MAX($P$2:$P793,Lists!$N$2)+1,"0000"))</f>
        <v/>
      </c>
    </row>
    <row r="795" customFormat="false" ht="15" hidden="false" customHeight="true" outlineLevel="0" collapsed="false">
      <c r="A795" s="35" t="str">
        <f aca="false">IF(AND(B795="",C795="",D795="",E795="",F795="",G795="",H795="",J795="",L795="",M795="",N795=""),"",Q795)</f>
        <v/>
      </c>
      <c r="B795" s="36"/>
      <c r="C795" s="36"/>
      <c r="D795" s="36"/>
      <c r="E795" s="36"/>
      <c r="F795" s="36"/>
      <c r="G795" s="36"/>
      <c r="H795" s="36"/>
      <c r="I795" s="1" t="str">
        <f aca="false">IF($A795="","",IFERROR(IF(ISBLANK(INDEX(SprintPlanning[Sprint],MATCH($A795,SprintPlanning[Requirement ID],0))),"To Plan",INDEX(SprintPlanning[Sprint],MATCH($A795,SprintPlanning[Requirement ID],0))),"To Plan"))</f>
        <v/>
      </c>
      <c r="J795" s="36"/>
      <c r="K795" s="1" t="str">
        <f aca="false">IFERROR(IF(ISBLANK(INDEX(Release[Release],MATCH($A795,Release[Requirement ID],0))),"",INDEX(Release[Release],MATCH($A795,Release[Requirement ID],0))),"")</f>
        <v/>
      </c>
      <c r="L795" s="36"/>
      <c r="M795" s="36"/>
      <c r="P795" s="1" t="n">
        <f aca="false">IFERROR(VALUE(MID($A795,5,4)),0)</f>
        <v>0</v>
      </c>
      <c r="Q795" s="1" t="str">
        <f aca="false">IF(B795="","","NEW-"&amp;TEXT(MAX($P$2:$P794,Lists!$N$2)+1,"0000"))</f>
        <v/>
      </c>
    </row>
    <row r="796" customFormat="false" ht="15" hidden="false" customHeight="true" outlineLevel="0" collapsed="false">
      <c r="A796" s="35" t="str">
        <f aca="false">IF(AND(B796="",C796="",D796="",E796="",F796="",G796="",H796="",J796="",L796="",M796="",N796=""),"",Q796)</f>
        <v/>
      </c>
      <c r="B796" s="36"/>
      <c r="C796" s="36"/>
      <c r="D796" s="36"/>
      <c r="E796" s="36"/>
      <c r="F796" s="36"/>
      <c r="G796" s="36"/>
      <c r="H796" s="36"/>
      <c r="I796" s="1" t="str">
        <f aca="false">IF($A796="","",IFERROR(IF(ISBLANK(INDEX(SprintPlanning[Sprint],MATCH($A796,SprintPlanning[Requirement ID],0))),"To Plan",INDEX(SprintPlanning[Sprint],MATCH($A796,SprintPlanning[Requirement ID],0))),"To Plan"))</f>
        <v/>
      </c>
      <c r="J796" s="36"/>
      <c r="K796" s="1" t="str">
        <f aca="false">IFERROR(IF(ISBLANK(INDEX(Release[Release],MATCH($A796,Release[Requirement ID],0))),"",INDEX(Release[Release],MATCH($A796,Release[Requirement ID],0))),"")</f>
        <v/>
      </c>
      <c r="L796" s="36"/>
      <c r="M796" s="36"/>
      <c r="P796" s="1" t="n">
        <f aca="false">IFERROR(VALUE(MID($A796,5,4)),0)</f>
        <v>0</v>
      </c>
      <c r="Q796" s="1" t="str">
        <f aca="false">IF(B796="","","NEW-"&amp;TEXT(MAX($P$2:$P795,Lists!$N$2)+1,"0000"))</f>
        <v/>
      </c>
    </row>
    <row r="797" customFormat="false" ht="15" hidden="false" customHeight="true" outlineLevel="0" collapsed="false">
      <c r="A797" s="35" t="str">
        <f aca="false">IF(AND(B797="",C797="",D797="",E797="",F797="",G797="",H797="",J797="",L797="",M797="",N797=""),"",Q797)</f>
        <v/>
      </c>
      <c r="B797" s="36"/>
      <c r="C797" s="36"/>
      <c r="D797" s="36"/>
      <c r="E797" s="36"/>
      <c r="F797" s="36"/>
      <c r="G797" s="36"/>
      <c r="H797" s="36"/>
      <c r="I797" s="1" t="str">
        <f aca="false">IF($A797="","",IFERROR(IF(ISBLANK(INDEX(SprintPlanning[Sprint],MATCH($A797,SprintPlanning[Requirement ID],0))),"To Plan",INDEX(SprintPlanning[Sprint],MATCH($A797,SprintPlanning[Requirement ID],0))),"To Plan"))</f>
        <v/>
      </c>
      <c r="J797" s="36"/>
      <c r="K797" s="1" t="str">
        <f aca="false">IFERROR(IF(ISBLANK(INDEX(Release[Release],MATCH($A797,Release[Requirement ID],0))),"",INDEX(Release[Release],MATCH($A797,Release[Requirement ID],0))),"")</f>
        <v/>
      </c>
      <c r="L797" s="36"/>
      <c r="M797" s="36"/>
      <c r="P797" s="1" t="n">
        <f aca="false">IFERROR(VALUE(MID($A797,5,4)),0)</f>
        <v>0</v>
      </c>
      <c r="Q797" s="1" t="str">
        <f aca="false">IF(B797="","","NEW-"&amp;TEXT(MAX($P$2:$P796,Lists!$N$2)+1,"0000"))</f>
        <v/>
      </c>
    </row>
    <row r="798" customFormat="false" ht="15" hidden="false" customHeight="true" outlineLevel="0" collapsed="false">
      <c r="A798" s="35" t="str">
        <f aca="false">IF(AND(B798="",C798="",D798="",E798="",F798="",G798="",H798="",J798="",L798="",M798="",N798=""),"",Q798)</f>
        <v/>
      </c>
      <c r="B798" s="36"/>
      <c r="C798" s="36"/>
      <c r="D798" s="36"/>
      <c r="E798" s="36"/>
      <c r="F798" s="36"/>
      <c r="G798" s="36"/>
      <c r="H798" s="36"/>
      <c r="I798" s="1" t="str">
        <f aca="false">IF($A798="","",IFERROR(IF(ISBLANK(INDEX(SprintPlanning[Sprint],MATCH($A798,SprintPlanning[Requirement ID],0))),"To Plan",INDEX(SprintPlanning[Sprint],MATCH($A798,SprintPlanning[Requirement ID],0))),"To Plan"))</f>
        <v/>
      </c>
      <c r="J798" s="36"/>
      <c r="K798" s="1" t="str">
        <f aca="false">IFERROR(IF(ISBLANK(INDEX(Release[Release],MATCH($A798,Release[Requirement ID],0))),"",INDEX(Release[Release],MATCH($A798,Release[Requirement ID],0))),"")</f>
        <v/>
      </c>
      <c r="L798" s="36"/>
      <c r="M798" s="36"/>
      <c r="P798" s="1" t="n">
        <f aca="false">IFERROR(VALUE(MID($A798,5,4)),0)</f>
        <v>0</v>
      </c>
      <c r="Q798" s="1" t="str">
        <f aca="false">IF(B798="","","NEW-"&amp;TEXT(MAX($P$2:$P797,Lists!$N$2)+1,"0000"))</f>
        <v/>
      </c>
    </row>
    <row r="799" customFormat="false" ht="15" hidden="false" customHeight="true" outlineLevel="0" collapsed="false">
      <c r="A799" s="35" t="str">
        <f aca="false">IF(AND(B799="",C799="",D799="",E799="",F799="",G799="",H799="",J799="",L799="",M799="",N799=""),"",Q799)</f>
        <v/>
      </c>
      <c r="B799" s="36"/>
      <c r="C799" s="36"/>
      <c r="D799" s="36"/>
      <c r="E799" s="36"/>
      <c r="F799" s="36"/>
      <c r="G799" s="36"/>
      <c r="H799" s="36"/>
      <c r="I799" s="1" t="str">
        <f aca="false">IF($A799="","",IFERROR(IF(ISBLANK(INDEX(SprintPlanning[Sprint],MATCH($A799,SprintPlanning[Requirement ID],0))),"To Plan",INDEX(SprintPlanning[Sprint],MATCH($A799,SprintPlanning[Requirement ID],0))),"To Plan"))</f>
        <v/>
      </c>
      <c r="J799" s="36"/>
      <c r="K799" s="1" t="str">
        <f aca="false">IFERROR(IF(ISBLANK(INDEX(Release[Release],MATCH($A799,Release[Requirement ID],0))),"",INDEX(Release[Release],MATCH($A799,Release[Requirement ID],0))),"")</f>
        <v/>
      </c>
      <c r="L799" s="36"/>
      <c r="M799" s="36"/>
      <c r="P799" s="1" t="n">
        <f aca="false">IFERROR(VALUE(MID($A799,5,4)),0)</f>
        <v>0</v>
      </c>
      <c r="Q799" s="1" t="str">
        <f aca="false">IF(B799="","","NEW-"&amp;TEXT(MAX($P$2:$P798,Lists!$N$2)+1,"0000"))</f>
        <v/>
      </c>
    </row>
    <row r="800" customFormat="false" ht="15" hidden="false" customHeight="true" outlineLevel="0" collapsed="false">
      <c r="A800" s="35" t="str">
        <f aca="false">IF(AND(B800="",C800="",D800="",E800="",F800="",G800="",H800="",J800="",L800="",M800="",N800=""),"",Q800)</f>
        <v/>
      </c>
      <c r="B800" s="36"/>
      <c r="C800" s="36"/>
      <c r="D800" s="36"/>
      <c r="E800" s="36"/>
      <c r="F800" s="36"/>
      <c r="G800" s="36"/>
      <c r="H800" s="36"/>
      <c r="I800" s="1" t="str">
        <f aca="false">IF($A800="","",IFERROR(IF(ISBLANK(INDEX(SprintPlanning[Sprint],MATCH($A800,SprintPlanning[Requirement ID],0))),"To Plan",INDEX(SprintPlanning[Sprint],MATCH($A800,SprintPlanning[Requirement ID],0))),"To Plan"))</f>
        <v/>
      </c>
      <c r="J800" s="36"/>
      <c r="K800" s="1" t="str">
        <f aca="false">IFERROR(IF(ISBLANK(INDEX(Release[Release],MATCH($A800,Release[Requirement ID],0))),"",INDEX(Release[Release],MATCH($A800,Release[Requirement ID],0))),"")</f>
        <v/>
      </c>
      <c r="L800" s="36"/>
      <c r="M800" s="36"/>
      <c r="P800" s="1" t="n">
        <f aca="false">IFERROR(VALUE(MID($A800,5,4)),0)</f>
        <v>0</v>
      </c>
      <c r="Q800" s="1" t="str">
        <f aca="false">IF(B800="","","NEW-"&amp;TEXT(MAX($P$2:$P799,Lists!$N$2)+1,"0000"))</f>
        <v/>
      </c>
    </row>
    <row r="801" customFormat="false" ht="15" hidden="false" customHeight="true" outlineLevel="0" collapsed="false">
      <c r="A801" s="35" t="str">
        <f aca="false">IF(AND(B801="",C801="",D801="",E801="",F801="",G801="",H801="",J801="",L801="",M801="",N801=""),"",Q801)</f>
        <v/>
      </c>
      <c r="B801" s="36"/>
      <c r="C801" s="36"/>
      <c r="D801" s="36"/>
      <c r="E801" s="36"/>
      <c r="F801" s="36"/>
      <c r="G801" s="36"/>
      <c r="H801" s="36"/>
      <c r="I801" s="1" t="str">
        <f aca="false">IF($A801="","",IFERROR(IF(ISBLANK(INDEX(SprintPlanning[Sprint],MATCH($A801,SprintPlanning[Requirement ID],0))),"To Plan",INDEX(SprintPlanning[Sprint],MATCH($A801,SprintPlanning[Requirement ID],0))),"To Plan"))</f>
        <v/>
      </c>
      <c r="J801" s="36"/>
      <c r="K801" s="1" t="str">
        <f aca="false">IFERROR(IF(ISBLANK(INDEX(Release[Release],MATCH($A801,Release[Requirement ID],0))),"",INDEX(Release[Release],MATCH($A801,Release[Requirement ID],0))),"")</f>
        <v/>
      </c>
      <c r="L801" s="36"/>
      <c r="M801" s="36"/>
      <c r="P801" s="1" t="n">
        <f aca="false">IFERROR(VALUE(MID($A801,5,4)),0)</f>
        <v>0</v>
      </c>
      <c r="Q801" s="1" t="str">
        <f aca="false">IF(B801="","","NEW-"&amp;TEXT(MAX($P$2:$P800,Lists!$N$2)+1,"0000"))</f>
        <v/>
      </c>
    </row>
    <row r="802" customFormat="false" ht="15" hidden="false" customHeight="true" outlineLevel="0" collapsed="false">
      <c r="A802" s="35" t="str">
        <f aca="false">IF(AND(B802="",C802="",D802="",E802="",F802="",G802="",H802="",J802="",L802="",M802="",N802=""),"",Q802)</f>
        <v/>
      </c>
      <c r="B802" s="36"/>
      <c r="C802" s="36"/>
      <c r="D802" s="36"/>
      <c r="E802" s="36"/>
      <c r="F802" s="36"/>
      <c r="G802" s="36"/>
      <c r="H802" s="36"/>
      <c r="I802" s="1" t="str">
        <f aca="false">IF($A802="","",IFERROR(IF(ISBLANK(INDEX(SprintPlanning[Sprint],MATCH($A802,SprintPlanning[Requirement ID],0))),"To Plan",INDEX(SprintPlanning[Sprint],MATCH($A802,SprintPlanning[Requirement ID],0))),"To Plan"))</f>
        <v/>
      </c>
      <c r="J802" s="36"/>
      <c r="K802" s="1" t="str">
        <f aca="false">IFERROR(IF(ISBLANK(INDEX(Release[Release],MATCH($A802,Release[Requirement ID],0))),"",INDEX(Release[Release],MATCH($A802,Release[Requirement ID],0))),"")</f>
        <v/>
      </c>
      <c r="L802" s="36"/>
      <c r="M802" s="36"/>
      <c r="P802" s="1" t="n">
        <f aca="false">IFERROR(VALUE(MID($A802,5,4)),0)</f>
        <v>0</v>
      </c>
      <c r="Q802" s="1" t="str">
        <f aca="false">IF(B802="","","NEW-"&amp;TEXT(MAX($P$2:$P801,Lists!$N$2)+1,"0000"))</f>
        <v/>
      </c>
    </row>
    <row r="803" customFormat="false" ht="15" hidden="false" customHeight="true" outlineLevel="0" collapsed="false">
      <c r="A803" s="35" t="str">
        <f aca="false">IF(AND(B803="",C803="",D803="",E803="",F803="",G803="",H803="",J803="",L803="",M803="",N803=""),"",Q803)</f>
        <v/>
      </c>
      <c r="B803" s="36"/>
      <c r="C803" s="36"/>
      <c r="D803" s="36"/>
      <c r="E803" s="36"/>
      <c r="F803" s="36"/>
      <c r="G803" s="36"/>
      <c r="H803" s="36"/>
      <c r="I803" s="1" t="str">
        <f aca="false">IF($A803="","",IFERROR(IF(ISBLANK(INDEX(SprintPlanning[Sprint],MATCH($A803,SprintPlanning[Requirement ID],0))),"To Plan",INDEX(SprintPlanning[Sprint],MATCH($A803,SprintPlanning[Requirement ID],0))),"To Plan"))</f>
        <v/>
      </c>
      <c r="J803" s="36"/>
      <c r="K803" s="1" t="str">
        <f aca="false">IFERROR(IF(ISBLANK(INDEX(Release[Release],MATCH($A803,Release[Requirement ID],0))),"",INDEX(Release[Release],MATCH($A803,Release[Requirement ID],0))),"")</f>
        <v/>
      </c>
      <c r="L803" s="36"/>
      <c r="M803" s="36"/>
      <c r="P803" s="1" t="n">
        <f aca="false">IFERROR(VALUE(MID($A803,5,4)),0)</f>
        <v>0</v>
      </c>
      <c r="Q803" s="1" t="str">
        <f aca="false">IF(B803="","","NEW-"&amp;TEXT(MAX($P$2:$P802,Lists!$N$2)+1,"0000"))</f>
        <v/>
      </c>
    </row>
    <row r="804" customFormat="false" ht="15" hidden="false" customHeight="true" outlineLevel="0" collapsed="false">
      <c r="A804" s="35" t="str">
        <f aca="false">IF(AND(B804="",C804="",D804="",E804="",F804="",G804="",H804="",J804="",L804="",M804="",N804=""),"",Q804)</f>
        <v/>
      </c>
      <c r="B804" s="36"/>
      <c r="C804" s="36"/>
      <c r="D804" s="36"/>
      <c r="E804" s="36"/>
      <c r="F804" s="36"/>
      <c r="G804" s="36"/>
      <c r="H804" s="36"/>
      <c r="I804" s="1" t="str">
        <f aca="false">IF($A804="","",IFERROR(IF(ISBLANK(INDEX(SprintPlanning[Sprint],MATCH($A804,SprintPlanning[Requirement ID],0))),"To Plan",INDEX(SprintPlanning[Sprint],MATCH($A804,SprintPlanning[Requirement ID],0))),"To Plan"))</f>
        <v/>
      </c>
      <c r="J804" s="36"/>
      <c r="K804" s="1" t="str">
        <f aca="false">IFERROR(IF(ISBLANK(INDEX(Release[Release],MATCH($A804,Release[Requirement ID],0))),"",INDEX(Release[Release],MATCH($A804,Release[Requirement ID],0))),"")</f>
        <v/>
      </c>
      <c r="L804" s="36"/>
      <c r="M804" s="36"/>
      <c r="P804" s="1" t="n">
        <f aca="false">IFERROR(VALUE(MID($A804,5,4)),0)</f>
        <v>0</v>
      </c>
      <c r="Q804" s="1" t="str">
        <f aca="false">IF(B804="","","NEW-"&amp;TEXT(MAX($P$2:$P803,Lists!$N$2)+1,"0000"))</f>
        <v/>
      </c>
    </row>
    <row r="805" customFormat="false" ht="15" hidden="false" customHeight="true" outlineLevel="0" collapsed="false">
      <c r="A805" s="35" t="str">
        <f aca="false">IF(AND(B805="",C805="",D805="",E805="",F805="",G805="",H805="",J805="",L805="",M805="",N805=""),"",Q805)</f>
        <v/>
      </c>
      <c r="B805" s="36"/>
      <c r="C805" s="36"/>
      <c r="D805" s="36"/>
      <c r="E805" s="36"/>
      <c r="F805" s="36"/>
      <c r="G805" s="36"/>
      <c r="H805" s="36"/>
      <c r="I805" s="1" t="str">
        <f aca="false">IF($A805="","",IFERROR(IF(ISBLANK(INDEX(SprintPlanning[Sprint],MATCH($A805,SprintPlanning[Requirement ID],0))),"To Plan",INDEX(SprintPlanning[Sprint],MATCH($A805,SprintPlanning[Requirement ID],0))),"To Plan"))</f>
        <v/>
      </c>
      <c r="J805" s="36"/>
      <c r="K805" s="1" t="str">
        <f aca="false">IFERROR(IF(ISBLANK(INDEX(Release[Release],MATCH($A805,Release[Requirement ID],0))),"",INDEX(Release[Release],MATCH($A805,Release[Requirement ID],0))),"")</f>
        <v/>
      </c>
      <c r="L805" s="36"/>
      <c r="M805" s="36"/>
      <c r="P805" s="1" t="n">
        <f aca="false">IFERROR(VALUE(MID($A805,5,4)),0)</f>
        <v>0</v>
      </c>
      <c r="Q805" s="1" t="str">
        <f aca="false">IF(B805="","","NEW-"&amp;TEXT(MAX($P$2:$P804,Lists!$N$2)+1,"0000"))</f>
        <v/>
      </c>
    </row>
    <row r="806" customFormat="false" ht="15" hidden="false" customHeight="true" outlineLevel="0" collapsed="false">
      <c r="A806" s="35" t="str">
        <f aca="false">IF(AND(B806="",C806="",D806="",E806="",F806="",G806="",H806="",J806="",L806="",M806="",N806=""),"",Q806)</f>
        <v/>
      </c>
      <c r="B806" s="36"/>
      <c r="C806" s="36"/>
      <c r="D806" s="36"/>
      <c r="E806" s="36"/>
      <c r="F806" s="36"/>
      <c r="G806" s="36"/>
      <c r="H806" s="36"/>
      <c r="I806" s="1" t="str">
        <f aca="false">IF($A806="","",IFERROR(IF(ISBLANK(INDEX(SprintPlanning[Sprint],MATCH($A806,SprintPlanning[Requirement ID],0))),"To Plan",INDEX(SprintPlanning[Sprint],MATCH($A806,SprintPlanning[Requirement ID],0))),"To Plan"))</f>
        <v/>
      </c>
      <c r="J806" s="36"/>
      <c r="K806" s="1" t="str">
        <f aca="false">IFERROR(IF(ISBLANK(INDEX(Release[Release],MATCH($A806,Release[Requirement ID],0))),"",INDEX(Release[Release],MATCH($A806,Release[Requirement ID],0))),"")</f>
        <v/>
      </c>
      <c r="L806" s="36"/>
      <c r="M806" s="36"/>
      <c r="P806" s="1" t="n">
        <f aca="false">IFERROR(VALUE(MID($A806,5,4)),0)</f>
        <v>0</v>
      </c>
      <c r="Q806" s="1" t="str">
        <f aca="false">IF(B806="","","NEW-"&amp;TEXT(MAX($P$2:$P805,Lists!$N$2)+1,"0000"))</f>
        <v/>
      </c>
    </row>
    <row r="807" customFormat="false" ht="15" hidden="false" customHeight="true" outlineLevel="0" collapsed="false">
      <c r="A807" s="35" t="str">
        <f aca="false">IF(AND(B807="",C807="",D807="",E807="",F807="",G807="",H807="",J807="",L807="",M807="",N807=""),"",Q807)</f>
        <v/>
      </c>
      <c r="B807" s="36"/>
      <c r="C807" s="36"/>
      <c r="D807" s="36"/>
      <c r="E807" s="36"/>
      <c r="F807" s="36"/>
      <c r="G807" s="36"/>
      <c r="H807" s="36"/>
      <c r="I807" s="1" t="str">
        <f aca="false">IF($A807="","",IFERROR(IF(ISBLANK(INDEX(SprintPlanning[Sprint],MATCH($A807,SprintPlanning[Requirement ID],0))),"To Plan",INDEX(SprintPlanning[Sprint],MATCH($A807,SprintPlanning[Requirement ID],0))),"To Plan"))</f>
        <v/>
      </c>
      <c r="J807" s="36"/>
      <c r="K807" s="1" t="str">
        <f aca="false">IFERROR(IF(ISBLANK(INDEX(Release[Release],MATCH($A807,Release[Requirement ID],0))),"",INDEX(Release[Release],MATCH($A807,Release[Requirement ID],0))),"")</f>
        <v/>
      </c>
      <c r="L807" s="36"/>
      <c r="M807" s="36"/>
      <c r="P807" s="1" t="n">
        <f aca="false">IFERROR(VALUE(MID($A807,5,4)),0)</f>
        <v>0</v>
      </c>
      <c r="Q807" s="1" t="str">
        <f aca="false">IF(B807="","","NEW-"&amp;TEXT(MAX($P$2:$P806,Lists!$N$2)+1,"0000"))</f>
        <v/>
      </c>
    </row>
    <row r="808" customFormat="false" ht="15" hidden="false" customHeight="true" outlineLevel="0" collapsed="false">
      <c r="A808" s="35" t="str">
        <f aca="false">IF(AND(B808="",C808="",D808="",E808="",F808="",G808="",H808="",J808="",L808="",M808="",N808=""),"",Q808)</f>
        <v/>
      </c>
      <c r="B808" s="36"/>
      <c r="C808" s="36"/>
      <c r="D808" s="36"/>
      <c r="E808" s="36"/>
      <c r="F808" s="36"/>
      <c r="G808" s="36"/>
      <c r="H808" s="36"/>
      <c r="I808" s="1" t="str">
        <f aca="false">IF($A808="","",IFERROR(IF(ISBLANK(INDEX(SprintPlanning[Sprint],MATCH($A808,SprintPlanning[Requirement ID],0))),"To Plan",INDEX(SprintPlanning[Sprint],MATCH($A808,SprintPlanning[Requirement ID],0))),"To Plan"))</f>
        <v/>
      </c>
      <c r="J808" s="36"/>
      <c r="K808" s="1" t="str">
        <f aca="false">IFERROR(IF(ISBLANK(INDEX(Release[Release],MATCH($A808,Release[Requirement ID],0))),"",INDEX(Release[Release],MATCH($A808,Release[Requirement ID],0))),"")</f>
        <v/>
      </c>
      <c r="L808" s="36"/>
      <c r="M808" s="36"/>
      <c r="P808" s="1" t="n">
        <f aca="false">IFERROR(VALUE(MID($A808,5,4)),0)</f>
        <v>0</v>
      </c>
      <c r="Q808" s="1" t="str">
        <f aca="false">IF(B808="","","NEW-"&amp;TEXT(MAX($P$2:$P807,Lists!$N$2)+1,"0000"))</f>
        <v/>
      </c>
    </row>
    <row r="809" customFormat="false" ht="15" hidden="false" customHeight="true" outlineLevel="0" collapsed="false">
      <c r="A809" s="35" t="str">
        <f aca="false">IF(AND(B809="",C809="",D809="",E809="",F809="",G809="",H809="",J809="",L809="",M809="",N809=""),"",Q809)</f>
        <v/>
      </c>
      <c r="B809" s="36"/>
      <c r="C809" s="36"/>
      <c r="D809" s="36"/>
      <c r="E809" s="36"/>
      <c r="F809" s="36"/>
      <c r="G809" s="36"/>
      <c r="H809" s="36"/>
      <c r="I809" s="1" t="str">
        <f aca="false">IF($A809="","",IFERROR(IF(ISBLANK(INDEX(SprintPlanning[Sprint],MATCH($A809,SprintPlanning[Requirement ID],0))),"To Plan",INDEX(SprintPlanning[Sprint],MATCH($A809,SprintPlanning[Requirement ID],0))),"To Plan"))</f>
        <v/>
      </c>
      <c r="J809" s="36"/>
      <c r="K809" s="1" t="str">
        <f aca="false">IFERROR(IF(ISBLANK(INDEX(Release[Release],MATCH($A809,Release[Requirement ID],0))),"",INDEX(Release[Release],MATCH($A809,Release[Requirement ID],0))),"")</f>
        <v/>
      </c>
      <c r="L809" s="36"/>
      <c r="M809" s="36"/>
      <c r="P809" s="1" t="n">
        <f aca="false">IFERROR(VALUE(MID($A809,5,4)),0)</f>
        <v>0</v>
      </c>
      <c r="Q809" s="1" t="str">
        <f aca="false">IF(B809="","","NEW-"&amp;TEXT(MAX($P$2:$P808,Lists!$N$2)+1,"0000"))</f>
        <v/>
      </c>
    </row>
    <row r="810" customFormat="false" ht="15" hidden="false" customHeight="true" outlineLevel="0" collapsed="false">
      <c r="A810" s="35" t="str">
        <f aca="false">IF(AND(B810="",C810="",D810="",E810="",F810="",G810="",H810="",J810="",L810="",M810="",N810=""),"",Q810)</f>
        <v/>
      </c>
      <c r="B810" s="36"/>
      <c r="C810" s="36"/>
      <c r="D810" s="36"/>
      <c r="E810" s="36"/>
      <c r="F810" s="36"/>
      <c r="G810" s="36"/>
      <c r="H810" s="36"/>
      <c r="I810" s="1" t="str">
        <f aca="false">IF($A810="","",IFERROR(IF(ISBLANK(INDEX(SprintPlanning[Sprint],MATCH($A810,SprintPlanning[Requirement ID],0))),"To Plan",INDEX(SprintPlanning[Sprint],MATCH($A810,SprintPlanning[Requirement ID],0))),"To Plan"))</f>
        <v/>
      </c>
      <c r="J810" s="36"/>
      <c r="K810" s="1" t="str">
        <f aca="false">IFERROR(IF(ISBLANK(INDEX(Release[Release],MATCH($A810,Release[Requirement ID],0))),"",INDEX(Release[Release],MATCH($A810,Release[Requirement ID],0))),"")</f>
        <v/>
      </c>
      <c r="L810" s="36"/>
      <c r="M810" s="36"/>
      <c r="P810" s="1" t="n">
        <f aca="false">IFERROR(VALUE(MID($A810,5,4)),0)</f>
        <v>0</v>
      </c>
      <c r="Q810" s="1" t="str">
        <f aca="false">IF(B810="","","NEW-"&amp;TEXT(MAX($P$2:$P809,Lists!$N$2)+1,"0000"))</f>
        <v/>
      </c>
    </row>
    <row r="811" customFormat="false" ht="15" hidden="false" customHeight="true" outlineLevel="0" collapsed="false">
      <c r="A811" s="35" t="str">
        <f aca="false">IF(AND(B811="",C811="",D811="",E811="",F811="",G811="",H811="",J811="",L811="",M811="",N811=""),"",Q811)</f>
        <v/>
      </c>
      <c r="B811" s="36"/>
      <c r="C811" s="36"/>
      <c r="D811" s="36"/>
      <c r="E811" s="36"/>
      <c r="F811" s="36"/>
      <c r="G811" s="36"/>
      <c r="H811" s="36"/>
      <c r="I811" s="1" t="str">
        <f aca="false">IF($A811="","",IFERROR(IF(ISBLANK(INDEX(SprintPlanning[Sprint],MATCH($A811,SprintPlanning[Requirement ID],0))),"To Plan",INDEX(SprintPlanning[Sprint],MATCH($A811,SprintPlanning[Requirement ID],0))),"To Plan"))</f>
        <v/>
      </c>
      <c r="J811" s="36"/>
      <c r="K811" s="1" t="str">
        <f aca="false">IFERROR(IF(ISBLANK(INDEX(Release[Release],MATCH($A811,Release[Requirement ID],0))),"",INDEX(Release[Release],MATCH($A811,Release[Requirement ID],0))),"")</f>
        <v/>
      </c>
      <c r="L811" s="36"/>
      <c r="M811" s="36"/>
      <c r="P811" s="1" t="n">
        <f aca="false">IFERROR(VALUE(MID($A811,5,4)),0)</f>
        <v>0</v>
      </c>
      <c r="Q811" s="1" t="str">
        <f aca="false">IF(B811="","","NEW-"&amp;TEXT(MAX($P$2:$P810,Lists!$N$2)+1,"0000"))</f>
        <v/>
      </c>
    </row>
    <row r="812" customFormat="false" ht="15" hidden="false" customHeight="true" outlineLevel="0" collapsed="false">
      <c r="A812" s="35" t="str">
        <f aca="false">IF(AND(B812="",C812="",D812="",E812="",F812="",G812="",H812="",J812="",L812="",M812="",N812=""),"",Q812)</f>
        <v/>
      </c>
      <c r="B812" s="36"/>
      <c r="C812" s="36"/>
      <c r="D812" s="36"/>
      <c r="E812" s="36"/>
      <c r="F812" s="36"/>
      <c r="G812" s="36"/>
      <c r="H812" s="36"/>
      <c r="I812" s="1" t="str">
        <f aca="false">IF($A812="","",IFERROR(IF(ISBLANK(INDEX(SprintPlanning[Sprint],MATCH($A812,SprintPlanning[Requirement ID],0))),"To Plan",INDEX(SprintPlanning[Sprint],MATCH($A812,SprintPlanning[Requirement ID],0))),"To Plan"))</f>
        <v/>
      </c>
      <c r="J812" s="36"/>
      <c r="K812" s="1" t="str">
        <f aca="false">IFERROR(IF(ISBLANK(INDEX(Release[Release],MATCH($A812,Release[Requirement ID],0))),"",INDEX(Release[Release],MATCH($A812,Release[Requirement ID],0))),"")</f>
        <v/>
      </c>
      <c r="L812" s="36"/>
      <c r="M812" s="36"/>
      <c r="P812" s="1" t="n">
        <f aca="false">IFERROR(VALUE(MID($A812,5,4)),0)</f>
        <v>0</v>
      </c>
      <c r="Q812" s="1" t="str">
        <f aca="false">IF(B812="","","NEW-"&amp;TEXT(MAX($P$2:$P811,Lists!$N$2)+1,"0000"))</f>
        <v/>
      </c>
    </row>
    <row r="813" customFormat="false" ht="15" hidden="false" customHeight="true" outlineLevel="0" collapsed="false">
      <c r="A813" s="35" t="str">
        <f aca="false">IF(AND(B813="",C813="",D813="",E813="",F813="",G813="",H813="",J813="",L813="",M813="",N813=""),"",Q813)</f>
        <v/>
      </c>
      <c r="B813" s="36"/>
      <c r="C813" s="36"/>
      <c r="D813" s="36"/>
      <c r="E813" s="36"/>
      <c r="F813" s="36"/>
      <c r="G813" s="36"/>
      <c r="H813" s="36"/>
      <c r="I813" s="1" t="str">
        <f aca="false">IF($A813="","",IFERROR(IF(ISBLANK(INDEX(SprintPlanning[Sprint],MATCH($A813,SprintPlanning[Requirement ID],0))),"To Plan",INDEX(SprintPlanning[Sprint],MATCH($A813,SprintPlanning[Requirement ID],0))),"To Plan"))</f>
        <v/>
      </c>
      <c r="J813" s="36"/>
      <c r="K813" s="1" t="str">
        <f aca="false">IFERROR(IF(ISBLANK(INDEX(Release[Release],MATCH($A813,Release[Requirement ID],0))),"",INDEX(Release[Release],MATCH($A813,Release[Requirement ID],0))),"")</f>
        <v/>
      </c>
      <c r="L813" s="36"/>
      <c r="M813" s="36"/>
      <c r="P813" s="1" t="n">
        <f aca="false">IFERROR(VALUE(MID($A813,5,4)),0)</f>
        <v>0</v>
      </c>
      <c r="Q813" s="1" t="str">
        <f aca="false">IF(B813="","","NEW-"&amp;TEXT(MAX($P$2:$P812,Lists!$N$2)+1,"0000"))</f>
        <v/>
      </c>
    </row>
    <row r="814" customFormat="false" ht="15" hidden="false" customHeight="true" outlineLevel="0" collapsed="false">
      <c r="A814" s="35" t="str">
        <f aca="false">IF(AND(B814="",C814="",D814="",E814="",F814="",G814="",H814="",J814="",L814="",M814="",N814=""),"",Q814)</f>
        <v/>
      </c>
      <c r="B814" s="36"/>
      <c r="C814" s="36"/>
      <c r="D814" s="36"/>
      <c r="E814" s="36"/>
      <c r="F814" s="36"/>
      <c r="G814" s="36"/>
      <c r="H814" s="36"/>
      <c r="I814" s="1" t="str">
        <f aca="false">IF($A814="","",IFERROR(IF(ISBLANK(INDEX(SprintPlanning[Sprint],MATCH($A814,SprintPlanning[Requirement ID],0))),"To Plan",INDEX(SprintPlanning[Sprint],MATCH($A814,SprintPlanning[Requirement ID],0))),"To Plan"))</f>
        <v/>
      </c>
      <c r="J814" s="36"/>
      <c r="K814" s="1" t="str">
        <f aca="false">IFERROR(IF(ISBLANK(INDEX(Release[Release],MATCH($A814,Release[Requirement ID],0))),"",INDEX(Release[Release],MATCH($A814,Release[Requirement ID],0))),"")</f>
        <v/>
      </c>
      <c r="L814" s="36"/>
      <c r="M814" s="36"/>
      <c r="P814" s="1" t="n">
        <f aca="false">IFERROR(VALUE(MID($A814,5,4)),0)</f>
        <v>0</v>
      </c>
      <c r="Q814" s="1" t="str">
        <f aca="false">IF(B814="","","NEW-"&amp;TEXT(MAX($P$2:$P813,Lists!$N$2)+1,"0000"))</f>
        <v/>
      </c>
    </row>
    <row r="815" customFormat="false" ht="15" hidden="false" customHeight="true" outlineLevel="0" collapsed="false">
      <c r="A815" s="35" t="str">
        <f aca="false">IF(AND(B815="",C815="",D815="",E815="",F815="",G815="",H815="",J815="",L815="",M815="",N815=""),"",Q815)</f>
        <v/>
      </c>
      <c r="B815" s="36"/>
      <c r="C815" s="36"/>
      <c r="D815" s="36"/>
      <c r="E815" s="36"/>
      <c r="F815" s="36"/>
      <c r="G815" s="36"/>
      <c r="H815" s="36"/>
      <c r="I815" s="1" t="str">
        <f aca="false">IF($A815="","",IFERROR(IF(ISBLANK(INDEX(SprintPlanning[Sprint],MATCH($A815,SprintPlanning[Requirement ID],0))),"To Plan",INDEX(SprintPlanning[Sprint],MATCH($A815,SprintPlanning[Requirement ID],0))),"To Plan"))</f>
        <v/>
      </c>
      <c r="J815" s="36"/>
      <c r="K815" s="1" t="str">
        <f aca="false">IFERROR(IF(ISBLANK(INDEX(Release[Release],MATCH($A815,Release[Requirement ID],0))),"",INDEX(Release[Release],MATCH($A815,Release[Requirement ID],0))),"")</f>
        <v/>
      </c>
      <c r="L815" s="36"/>
      <c r="M815" s="36"/>
      <c r="P815" s="1" t="n">
        <f aca="false">IFERROR(VALUE(MID($A815,5,4)),0)</f>
        <v>0</v>
      </c>
      <c r="Q815" s="1" t="str">
        <f aca="false">IF(B815="","","NEW-"&amp;TEXT(MAX($P$2:$P814,Lists!$N$2)+1,"0000"))</f>
        <v/>
      </c>
    </row>
    <row r="816" customFormat="false" ht="15" hidden="false" customHeight="true" outlineLevel="0" collapsed="false">
      <c r="A816" s="35" t="str">
        <f aca="false">IF(AND(B816="",C816="",D816="",E816="",F816="",G816="",H816="",J816="",L816="",M816="",N816=""),"",Q816)</f>
        <v/>
      </c>
      <c r="B816" s="36"/>
      <c r="C816" s="36"/>
      <c r="D816" s="36"/>
      <c r="E816" s="36"/>
      <c r="F816" s="36"/>
      <c r="G816" s="36"/>
      <c r="H816" s="36"/>
      <c r="I816" s="1" t="str">
        <f aca="false">IF($A816="","",IFERROR(IF(ISBLANK(INDEX(SprintPlanning[Sprint],MATCH($A816,SprintPlanning[Requirement ID],0))),"To Plan",INDEX(SprintPlanning[Sprint],MATCH($A816,SprintPlanning[Requirement ID],0))),"To Plan"))</f>
        <v/>
      </c>
      <c r="J816" s="36"/>
      <c r="K816" s="1" t="str">
        <f aca="false">IFERROR(IF(ISBLANK(INDEX(Release[Release],MATCH($A816,Release[Requirement ID],0))),"",INDEX(Release[Release],MATCH($A816,Release[Requirement ID],0))),"")</f>
        <v/>
      </c>
      <c r="L816" s="36"/>
      <c r="M816" s="36"/>
      <c r="P816" s="1" t="n">
        <f aca="false">IFERROR(VALUE(MID($A816,5,4)),0)</f>
        <v>0</v>
      </c>
      <c r="Q816" s="1" t="str">
        <f aca="false">IF(B816="","","NEW-"&amp;TEXT(MAX($P$2:$P815,Lists!$N$2)+1,"0000"))</f>
        <v/>
      </c>
    </row>
    <row r="817" customFormat="false" ht="15" hidden="false" customHeight="true" outlineLevel="0" collapsed="false">
      <c r="A817" s="35" t="str">
        <f aca="false">IF(AND(B817="",C817="",D817="",E817="",F817="",G817="",H817="",J817="",L817="",M817="",N817=""),"",Q817)</f>
        <v/>
      </c>
      <c r="B817" s="36"/>
      <c r="C817" s="36"/>
      <c r="D817" s="36"/>
      <c r="E817" s="36"/>
      <c r="F817" s="36"/>
      <c r="G817" s="36"/>
      <c r="H817" s="36"/>
      <c r="I817" s="1" t="str">
        <f aca="false">IF($A817="","",IFERROR(IF(ISBLANK(INDEX(SprintPlanning[Sprint],MATCH($A817,SprintPlanning[Requirement ID],0))),"To Plan",INDEX(SprintPlanning[Sprint],MATCH($A817,SprintPlanning[Requirement ID],0))),"To Plan"))</f>
        <v/>
      </c>
      <c r="J817" s="36"/>
      <c r="K817" s="1" t="str">
        <f aca="false">IFERROR(IF(ISBLANK(INDEX(Release[Release],MATCH($A817,Release[Requirement ID],0))),"",INDEX(Release[Release],MATCH($A817,Release[Requirement ID],0))),"")</f>
        <v/>
      </c>
      <c r="L817" s="36"/>
      <c r="M817" s="36"/>
      <c r="P817" s="1" t="n">
        <f aca="false">IFERROR(VALUE(MID($A817,5,4)),0)</f>
        <v>0</v>
      </c>
      <c r="Q817" s="1" t="str">
        <f aca="false">IF(B817="","","NEW-"&amp;TEXT(MAX($P$2:$P816,Lists!$N$2)+1,"0000"))</f>
        <v/>
      </c>
    </row>
    <row r="818" customFormat="false" ht="15" hidden="false" customHeight="true" outlineLevel="0" collapsed="false">
      <c r="A818" s="35" t="str">
        <f aca="false">IF(AND(B818="",C818="",D818="",E818="",F818="",G818="",H818="",J818="",L818="",M818="",N818=""),"",Q818)</f>
        <v/>
      </c>
      <c r="B818" s="36"/>
      <c r="C818" s="36"/>
      <c r="D818" s="36"/>
      <c r="E818" s="36"/>
      <c r="F818" s="36"/>
      <c r="G818" s="36"/>
      <c r="H818" s="36"/>
      <c r="I818" s="1" t="str">
        <f aca="false">IF($A818="","",IFERROR(IF(ISBLANK(INDEX(SprintPlanning[Sprint],MATCH($A818,SprintPlanning[Requirement ID],0))),"To Plan",INDEX(SprintPlanning[Sprint],MATCH($A818,SprintPlanning[Requirement ID],0))),"To Plan"))</f>
        <v/>
      </c>
      <c r="J818" s="36"/>
      <c r="K818" s="1" t="str">
        <f aca="false">IFERROR(IF(ISBLANK(INDEX(Release[Release],MATCH($A818,Release[Requirement ID],0))),"",INDEX(Release[Release],MATCH($A818,Release[Requirement ID],0))),"")</f>
        <v/>
      </c>
      <c r="L818" s="36"/>
      <c r="M818" s="36"/>
      <c r="P818" s="1" t="n">
        <f aca="false">IFERROR(VALUE(MID($A818,5,4)),0)</f>
        <v>0</v>
      </c>
      <c r="Q818" s="1" t="str">
        <f aca="false">IF(B818="","","NEW-"&amp;TEXT(MAX($P$2:$P817,Lists!$N$2)+1,"0000"))</f>
        <v/>
      </c>
    </row>
    <row r="819" customFormat="false" ht="15" hidden="false" customHeight="true" outlineLevel="0" collapsed="false">
      <c r="A819" s="35" t="str">
        <f aca="false">IF(AND(B819="",C819="",D819="",E819="",F819="",G819="",H819="",J819="",L819="",M819="",N819=""),"",Q819)</f>
        <v/>
      </c>
      <c r="B819" s="36"/>
      <c r="C819" s="36"/>
      <c r="D819" s="36"/>
      <c r="E819" s="36"/>
      <c r="F819" s="36"/>
      <c r="G819" s="36"/>
      <c r="H819" s="36"/>
      <c r="I819" s="1" t="str">
        <f aca="false">IF($A819="","",IFERROR(IF(ISBLANK(INDEX(SprintPlanning[Sprint],MATCH($A819,SprintPlanning[Requirement ID],0))),"To Plan",INDEX(SprintPlanning[Sprint],MATCH($A819,SprintPlanning[Requirement ID],0))),"To Plan"))</f>
        <v/>
      </c>
      <c r="J819" s="36"/>
      <c r="K819" s="1" t="str">
        <f aca="false">IFERROR(IF(ISBLANK(INDEX(Release[Release],MATCH($A819,Release[Requirement ID],0))),"",INDEX(Release[Release],MATCH($A819,Release[Requirement ID],0))),"")</f>
        <v/>
      </c>
      <c r="L819" s="36"/>
      <c r="M819" s="36"/>
      <c r="P819" s="1" t="n">
        <f aca="false">IFERROR(VALUE(MID($A819,5,4)),0)</f>
        <v>0</v>
      </c>
      <c r="Q819" s="1" t="str">
        <f aca="false">IF(B819="","","NEW-"&amp;TEXT(MAX($P$2:$P818,Lists!$N$2)+1,"0000"))</f>
        <v/>
      </c>
    </row>
    <row r="820" customFormat="false" ht="15" hidden="false" customHeight="true" outlineLevel="0" collapsed="false">
      <c r="A820" s="35" t="str">
        <f aca="false">IF(AND(B820="",C820="",D820="",E820="",F820="",G820="",H820="",J820="",L820="",M820="",N820=""),"",Q820)</f>
        <v/>
      </c>
      <c r="B820" s="36"/>
      <c r="C820" s="36"/>
      <c r="D820" s="36"/>
      <c r="E820" s="36"/>
      <c r="F820" s="36"/>
      <c r="G820" s="36"/>
      <c r="H820" s="36"/>
      <c r="I820" s="1" t="str">
        <f aca="false">IF($A820="","",IFERROR(IF(ISBLANK(INDEX(SprintPlanning[Sprint],MATCH($A820,SprintPlanning[Requirement ID],0))),"To Plan",INDEX(SprintPlanning[Sprint],MATCH($A820,SprintPlanning[Requirement ID],0))),"To Plan"))</f>
        <v/>
      </c>
      <c r="J820" s="36"/>
      <c r="K820" s="1" t="str">
        <f aca="false">IFERROR(IF(ISBLANK(INDEX(Release[Release],MATCH($A820,Release[Requirement ID],0))),"",INDEX(Release[Release],MATCH($A820,Release[Requirement ID],0))),"")</f>
        <v/>
      </c>
      <c r="L820" s="36"/>
      <c r="M820" s="36"/>
      <c r="P820" s="1" t="n">
        <f aca="false">IFERROR(VALUE(MID($A820,5,4)),0)</f>
        <v>0</v>
      </c>
      <c r="Q820" s="1" t="str">
        <f aca="false">IF(B820="","","NEW-"&amp;TEXT(MAX($P$2:$P819,Lists!$N$2)+1,"0000"))</f>
        <v/>
      </c>
    </row>
    <row r="821" customFormat="false" ht="15" hidden="false" customHeight="true" outlineLevel="0" collapsed="false">
      <c r="A821" s="35" t="str">
        <f aca="false">IF(AND(B821="",C821="",D821="",E821="",F821="",G821="",H821="",J821="",L821="",M821="",N821=""),"",Q821)</f>
        <v/>
      </c>
      <c r="B821" s="36"/>
      <c r="C821" s="36"/>
      <c r="D821" s="36"/>
      <c r="E821" s="36"/>
      <c r="F821" s="36"/>
      <c r="G821" s="36"/>
      <c r="H821" s="36"/>
      <c r="I821" s="1" t="str">
        <f aca="false">IF($A821="","",IFERROR(IF(ISBLANK(INDEX(SprintPlanning[Sprint],MATCH($A821,SprintPlanning[Requirement ID],0))),"To Plan",INDEX(SprintPlanning[Sprint],MATCH($A821,SprintPlanning[Requirement ID],0))),"To Plan"))</f>
        <v/>
      </c>
      <c r="J821" s="36"/>
      <c r="K821" s="1" t="str">
        <f aca="false">IFERROR(IF(ISBLANK(INDEX(Release[Release],MATCH($A821,Release[Requirement ID],0))),"",INDEX(Release[Release],MATCH($A821,Release[Requirement ID],0))),"")</f>
        <v/>
      </c>
      <c r="L821" s="36"/>
      <c r="M821" s="36"/>
      <c r="P821" s="1" t="n">
        <f aca="false">IFERROR(VALUE(MID($A821,5,4)),0)</f>
        <v>0</v>
      </c>
      <c r="Q821" s="1" t="str">
        <f aca="false">IF(B821="","","NEW-"&amp;TEXT(MAX($P$2:$P820,Lists!$N$2)+1,"0000"))</f>
        <v/>
      </c>
    </row>
    <row r="822" customFormat="false" ht="15" hidden="false" customHeight="true" outlineLevel="0" collapsed="false">
      <c r="A822" s="35" t="str">
        <f aca="false">IF(AND(B822="",C822="",D822="",E822="",F822="",G822="",H822="",J822="",L822="",M822="",N822=""),"",Q822)</f>
        <v/>
      </c>
      <c r="B822" s="36"/>
      <c r="C822" s="36"/>
      <c r="D822" s="36"/>
      <c r="E822" s="36"/>
      <c r="F822" s="36"/>
      <c r="G822" s="36"/>
      <c r="H822" s="36"/>
      <c r="I822" s="1" t="str">
        <f aca="false">IF($A822="","",IFERROR(IF(ISBLANK(INDEX(SprintPlanning[Sprint],MATCH($A822,SprintPlanning[Requirement ID],0))),"To Plan",INDEX(SprintPlanning[Sprint],MATCH($A822,SprintPlanning[Requirement ID],0))),"To Plan"))</f>
        <v/>
      </c>
      <c r="J822" s="36"/>
      <c r="K822" s="1" t="str">
        <f aca="false">IFERROR(IF(ISBLANK(INDEX(Release[Release],MATCH($A822,Release[Requirement ID],0))),"",INDEX(Release[Release],MATCH($A822,Release[Requirement ID],0))),"")</f>
        <v/>
      </c>
      <c r="L822" s="36"/>
      <c r="M822" s="36"/>
      <c r="P822" s="1" t="n">
        <f aca="false">IFERROR(VALUE(MID($A822,5,4)),0)</f>
        <v>0</v>
      </c>
      <c r="Q822" s="1" t="str">
        <f aca="false">IF(B822="","","NEW-"&amp;TEXT(MAX($P$2:$P821,Lists!$N$2)+1,"0000"))</f>
        <v/>
      </c>
    </row>
    <row r="823" customFormat="false" ht="15" hidden="false" customHeight="true" outlineLevel="0" collapsed="false">
      <c r="A823" s="35" t="str">
        <f aca="false">IF(AND(B823="",C823="",D823="",E823="",F823="",G823="",H823="",J823="",L823="",M823="",N823=""),"",Q823)</f>
        <v/>
      </c>
      <c r="B823" s="36"/>
      <c r="C823" s="36"/>
      <c r="D823" s="36"/>
      <c r="E823" s="36"/>
      <c r="F823" s="36"/>
      <c r="G823" s="36"/>
      <c r="H823" s="36"/>
      <c r="I823" s="1" t="str">
        <f aca="false">IF($A823="","",IFERROR(IF(ISBLANK(INDEX(SprintPlanning[Sprint],MATCH($A823,SprintPlanning[Requirement ID],0))),"To Plan",INDEX(SprintPlanning[Sprint],MATCH($A823,SprintPlanning[Requirement ID],0))),"To Plan"))</f>
        <v/>
      </c>
      <c r="J823" s="36"/>
      <c r="K823" s="1" t="str">
        <f aca="false">IFERROR(IF(ISBLANK(INDEX(Release[Release],MATCH($A823,Release[Requirement ID],0))),"",INDEX(Release[Release],MATCH($A823,Release[Requirement ID],0))),"")</f>
        <v/>
      </c>
      <c r="L823" s="36"/>
      <c r="M823" s="36"/>
      <c r="P823" s="1" t="n">
        <f aca="false">IFERROR(VALUE(MID($A823,5,4)),0)</f>
        <v>0</v>
      </c>
      <c r="Q823" s="1" t="str">
        <f aca="false">IF(B823="","","NEW-"&amp;TEXT(MAX($P$2:$P822,Lists!$N$2)+1,"0000"))</f>
        <v/>
      </c>
    </row>
    <row r="824" customFormat="false" ht="15" hidden="false" customHeight="true" outlineLevel="0" collapsed="false">
      <c r="A824" s="35" t="str">
        <f aca="false">IF(AND(B824="",C824="",D824="",E824="",F824="",G824="",H824="",J824="",L824="",M824="",N824=""),"",Q824)</f>
        <v/>
      </c>
      <c r="B824" s="36"/>
      <c r="C824" s="36"/>
      <c r="D824" s="36"/>
      <c r="E824" s="36"/>
      <c r="F824" s="36"/>
      <c r="G824" s="36"/>
      <c r="H824" s="36"/>
      <c r="I824" s="1" t="str">
        <f aca="false">IF($A824="","",IFERROR(IF(ISBLANK(INDEX(SprintPlanning[Sprint],MATCH($A824,SprintPlanning[Requirement ID],0))),"To Plan",INDEX(SprintPlanning[Sprint],MATCH($A824,SprintPlanning[Requirement ID],0))),"To Plan"))</f>
        <v/>
      </c>
      <c r="J824" s="36"/>
      <c r="K824" s="1" t="str">
        <f aca="false">IFERROR(IF(ISBLANK(INDEX(Release[Release],MATCH($A824,Release[Requirement ID],0))),"",INDEX(Release[Release],MATCH($A824,Release[Requirement ID],0))),"")</f>
        <v/>
      </c>
      <c r="L824" s="36"/>
      <c r="M824" s="36"/>
      <c r="P824" s="1" t="n">
        <f aca="false">IFERROR(VALUE(MID($A824,5,4)),0)</f>
        <v>0</v>
      </c>
      <c r="Q824" s="1" t="str">
        <f aca="false">IF(B824="","","NEW-"&amp;TEXT(MAX($P$2:$P823,Lists!$N$2)+1,"0000"))</f>
        <v/>
      </c>
    </row>
    <row r="825" customFormat="false" ht="15" hidden="false" customHeight="true" outlineLevel="0" collapsed="false">
      <c r="A825" s="35" t="str">
        <f aca="false">IF(AND(B825="",C825="",D825="",E825="",F825="",G825="",H825="",J825="",L825="",M825="",N825=""),"",Q825)</f>
        <v/>
      </c>
      <c r="B825" s="36"/>
      <c r="C825" s="36"/>
      <c r="D825" s="36"/>
      <c r="E825" s="36"/>
      <c r="F825" s="36"/>
      <c r="G825" s="36"/>
      <c r="H825" s="36"/>
      <c r="I825" s="1" t="str">
        <f aca="false">IF($A825="","",IFERROR(IF(ISBLANK(INDEX(SprintPlanning[Sprint],MATCH($A825,SprintPlanning[Requirement ID],0))),"To Plan",INDEX(SprintPlanning[Sprint],MATCH($A825,SprintPlanning[Requirement ID],0))),"To Plan"))</f>
        <v/>
      </c>
      <c r="J825" s="36"/>
      <c r="K825" s="1" t="str">
        <f aca="false">IFERROR(IF(ISBLANK(INDEX(Release[Release],MATCH($A825,Release[Requirement ID],0))),"",INDEX(Release[Release],MATCH($A825,Release[Requirement ID],0))),"")</f>
        <v/>
      </c>
      <c r="L825" s="36"/>
      <c r="M825" s="36"/>
      <c r="P825" s="1" t="n">
        <f aca="false">IFERROR(VALUE(MID($A825,5,4)),0)</f>
        <v>0</v>
      </c>
      <c r="Q825" s="1" t="str">
        <f aca="false">IF(B825="","","NEW-"&amp;TEXT(MAX($P$2:$P824,Lists!$N$2)+1,"0000"))</f>
        <v/>
      </c>
    </row>
    <row r="826" customFormat="false" ht="15" hidden="false" customHeight="true" outlineLevel="0" collapsed="false">
      <c r="A826" s="35" t="str">
        <f aca="false">IF(AND(B826="",C826="",D826="",E826="",F826="",G826="",H826="",J826="",L826="",M826="",N826=""),"",Q826)</f>
        <v/>
      </c>
      <c r="B826" s="36"/>
      <c r="C826" s="36"/>
      <c r="D826" s="36"/>
      <c r="E826" s="36"/>
      <c r="F826" s="36"/>
      <c r="G826" s="36"/>
      <c r="H826" s="36"/>
      <c r="I826" s="1" t="str">
        <f aca="false">IF($A826="","",IFERROR(IF(ISBLANK(INDEX(SprintPlanning[Sprint],MATCH($A826,SprintPlanning[Requirement ID],0))),"To Plan",INDEX(SprintPlanning[Sprint],MATCH($A826,SprintPlanning[Requirement ID],0))),"To Plan"))</f>
        <v/>
      </c>
      <c r="J826" s="36"/>
      <c r="K826" s="1" t="str">
        <f aca="false">IFERROR(IF(ISBLANK(INDEX(Release[Release],MATCH($A826,Release[Requirement ID],0))),"",INDEX(Release[Release],MATCH($A826,Release[Requirement ID],0))),"")</f>
        <v/>
      </c>
      <c r="L826" s="36"/>
      <c r="M826" s="36"/>
      <c r="P826" s="1" t="n">
        <f aca="false">IFERROR(VALUE(MID($A826,5,4)),0)</f>
        <v>0</v>
      </c>
      <c r="Q826" s="1" t="str">
        <f aca="false">IF(B826="","","NEW-"&amp;TEXT(MAX($P$2:$P825,Lists!$N$2)+1,"0000"))</f>
        <v/>
      </c>
    </row>
    <row r="827" customFormat="false" ht="15" hidden="false" customHeight="true" outlineLevel="0" collapsed="false">
      <c r="A827" s="35" t="str">
        <f aca="false">IF(AND(B827="",C827="",D827="",E827="",F827="",G827="",H827="",J827="",L827="",M827="",N827=""),"",Q827)</f>
        <v/>
      </c>
      <c r="B827" s="36"/>
      <c r="C827" s="36"/>
      <c r="D827" s="36"/>
      <c r="E827" s="36"/>
      <c r="F827" s="36"/>
      <c r="G827" s="36"/>
      <c r="H827" s="36"/>
      <c r="I827" s="1" t="str">
        <f aca="false">IF($A827="","",IFERROR(IF(ISBLANK(INDEX(SprintPlanning[Sprint],MATCH($A827,SprintPlanning[Requirement ID],0))),"To Plan",INDEX(SprintPlanning[Sprint],MATCH($A827,SprintPlanning[Requirement ID],0))),"To Plan"))</f>
        <v/>
      </c>
      <c r="J827" s="36"/>
      <c r="K827" s="1" t="str">
        <f aca="false">IFERROR(IF(ISBLANK(INDEX(Release[Release],MATCH($A827,Release[Requirement ID],0))),"",INDEX(Release[Release],MATCH($A827,Release[Requirement ID],0))),"")</f>
        <v/>
      </c>
      <c r="L827" s="36"/>
      <c r="M827" s="36"/>
      <c r="P827" s="1" t="n">
        <f aca="false">IFERROR(VALUE(MID($A827,5,4)),0)</f>
        <v>0</v>
      </c>
      <c r="Q827" s="1" t="str">
        <f aca="false">IF(B827="","","NEW-"&amp;TEXT(MAX($P$2:$P826,Lists!$N$2)+1,"0000"))</f>
        <v/>
      </c>
    </row>
    <row r="828" customFormat="false" ht="15" hidden="false" customHeight="true" outlineLevel="0" collapsed="false">
      <c r="A828" s="35" t="str">
        <f aca="false">IF(AND(B828="",C828="",D828="",E828="",F828="",G828="",H828="",J828="",L828="",M828="",N828=""),"",Q828)</f>
        <v/>
      </c>
      <c r="B828" s="36"/>
      <c r="C828" s="36"/>
      <c r="D828" s="36"/>
      <c r="E828" s="36"/>
      <c r="F828" s="36"/>
      <c r="G828" s="36"/>
      <c r="H828" s="36"/>
      <c r="I828" s="1" t="str">
        <f aca="false">IF($A828="","",IFERROR(IF(ISBLANK(INDEX(SprintPlanning[Sprint],MATCH($A828,SprintPlanning[Requirement ID],0))),"To Plan",INDEX(SprintPlanning[Sprint],MATCH($A828,SprintPlanning[Requirement ID],0))),"To Plan"))</f>
        <v/>
      </c>
      <c r="J828" s="36"/>
      <c r="K828" s="1" t="str">
        <f aca="false">IFERROR(IF(ISBLANK(INDEX(Release[Release],MATCH($A828,Release[Requirement ID],0))),"",INDEX(Release[Release],MATCH($A828,Release[Requirement ID],0))),"")</f>
        <v/>
      </c>
      <c r="L828" s="36"/>
      <c r="M828" s="36"/>
      <c r="P828" s="1" t="n">
        <f aca="false">IFERROR(VALUE(MID($A828,5,4)),0)</f>
        <v>0</v>
      </c>
      <c r="Q828" s="1" t="str">
        <f aca="false">IF(B828="","","NEW-"&amp;TEXT(MAX($P$2:$P827,Lists!$N$2)+1,"0000"))</f>
        <v/>
      </c>
    </row>
    <row r="829" customFormat="false" ht="15" hidden="false" customHeight="true" outlineLevel="0" collapsed="false">
      <c r="A829" s="35" t="str">
        <f aca="false">IF(AND(B829="",C829="",D829="",E829="",F829="",G829="",H829="",J829="",L829="",M829="",N829=""),"",Q829)</f>
        <v/>
      </c>
      <c r="B829" s="36"/>
      <c r="C829" s="36"/>
      <c r="D829" s="36"/>
      <c r="E829" s="36"/>
      <c r="F829" s="36"/>
      <c r="G829" s="36"/>
      <c r="H829" s="36"/>
      <c r="I829" s="1" t="str">
        <f aca="false">IF($A829="","",IFERROR(IF(ISBLANK(INDEX(SprintPlanning[Sprint],MATCH($A829,SprintPlanning[Requirement ID],0))),"To Plan",INDEX(SprintPlanning[Sprint],MATCH($A829,SprintPlanning[Requirement ID],0))),"To Plan"))</f>
        <v/>
      </c>
      <c r="J829" s="36"/>
      <c r="K829" s="1" t="str">
        <f aca="false">IFERROR(IF(ISBLANK(INDEX(Release[Release],MATCH($A829,Release[Requirement ID],0))),"",INDEX(Release[Release],MATCH($A829,Release[Requirement ID],0))),"")</f>
        <v/>
      </c>
      <c r="L829" s="36"/>
      <c r="M829" s="36"/>
      <c r="P829" s="1" t="n">
        <f aca="false">IFERROR(VALUE(MID($A829,5,4)),0)</f>
        <v>0</v>
      </c>
      <c r="Q829" s="1" t="str">
        <f aca="false">IF(B829="","","NEW-"&amp;TEXT(MAX($P$2:$P828,Lists!$N$2)+1,"0000"))</f>
        <v/>
      </c>
    </row>
    <row r="830" customFormat="false" ht="15" hidden="false" customHeight="true" outlineLevel="0" collapsed="false">
      <c r="A830" s="35" t="str">
        <f aca="false">IF(AND(B830="",C830="",D830="",E830="",F830="",G830="",H830="",J830="",L830="",M830="",N830=""),"",Q830)</f>
        <v/>
      </c>
      <c r="B830" s="36"/>
      <c r="C830" s="36"/>
      <c r="D830" s="36"/>
      <c r="E830" s="36"/>
      <c r="F830" s="36"/>
      <c r="G830" s="36"/>
      <c r="H830" s="36"/>
      <c r="I830" s="1" t="str">
        <f aca="false">IF($A830="","",IFERROR(IF(ISBLANK(INDEX(SprintPlanning[Sprint],MATCH($A830,SprintPlanning[Requirement ID],0))),"To Plan",INDEX(SprintPlanning[Sprint],MATCH($A830,SprintPlanning[Requirement ID],0))),"To Plan"))</f>
        <v/>
      </c>
      <c r="J830" s="36"/>
      <c r="K830" s="1" t="str">
        <f aca="false">IFERROR(IF(ISBLANK(INDEX(Release[Release],MATCH($A830,Release[Requirement ID],0))),"",INDEX(Release[Release],MATCH($A830,Release[Requirement ID],0))),"")</f>
        <v/>
      </c>
      <c r="L830" s="36"/>
      <c r="M830" s="36"/>
      <c r="P830" s="1" t="n">
        <f aca="false">IFERROR(VALUE(MID($A830,5,4)),0)</f>
        <v>0</v>
      </c>
      <c r="Q830" s="1" t="str">
        <f aca="false">IF(B830="","","NEW-"&amp;TEXT(MAX($P$2:$P829,Lists!$N$2)+1,"0000"))</f>
        <v/>
      </c>
    </row>
    <row r="831" customFormat="false" ht="15" hidden="false" customHeight="true" outlineLevel="0" collapsed="false">
      <c r="A831" s="35" t="str">
        <f aca="false">IF(AND(B831="",C831="",D831="",E831="",F831="",G831="",H831="",J831="",L831="",M831="",N831=""),"",Q831)</f>
        <v/>
      </c>
      <c r="B831" s="36"/>
      <c r="C831" s="36"/>
      <c r="D831" s="36"/>
      <c r="E831" s="36"/>
      <c r="F831" s="36"/>
      <c r="G831" s="36"/>
      <c r="H831" s="36"/>
      <c r="I831" s="1" t="str">
        <f aca="false">IF($A831="","",IFERROR(IF(ISBLANK(INDEX(SprintPlanning[Sprint],MATCH($A831,SprintPlanning[Requirement ID],0))),"To Plan",INDEX(SprintPlanning[Sprint],MATCH($A831,SprintPlanning[Requirement ID],0))),"To Plan"))</f>
        <v/>
      </c>
      <c r="J831" s="36"/>
      <c r="K831" s="1" t="str">
        <f aca="false">IFERROR(IF(ISBLANK(INDEX(Release[Release],MATCH($A831,Release[Requirement ID],0))),"",INDEX(Release[Release],MATCH($A831,Release[Requirement ID],0))),"")</f>
        <v/>
      </c>
      <c r="L831" s="36"/>
      <c r="M831" s="36"/>
      <c r="P831" s="1" t="n">
        <f aca="false">IFERROR(VALUE(MID($A831,5,4)),0)</f>
        <v>0</v>
      </c>
      <c r="Q831" s="1" t="str">
        <f aca="false">IF(B831="","","NEW-"&amp;TEXT(MAX($P$2:$P830,Lists!$N$2)+1,"0000"))</f>
        <v/>
      </c>
    </row>
    <row r="832" customFormat="false" ht="15" hidden="false" customHeight="true" outlineLevel="0" collapsed="false">
      <c r="A832" s="35" t="str">
        <f aca="false">IF(AND(B832="",C832="",D832="",E832="",F832="",G832="",H832="",J832="",L832="",M832="",N832=""),"",Q832)</f>
        <v/>
      </c>
      <c r="B832" s="36"/>
      <c r="C832" s="36"/>
      <c r="D832" s="36"/>
      <c r="E832" s="36"/>
      <c r="F832" s="36"/>
      <c r="G832" s="36"/>
      <c r="H832" s="36"/>
      <c r="I832" s="1" t="str">
        <f aca="false">IF($A832="","",IFERROR(IF(ISBLANK(INDEX(SprintPlanning[Sprint],MATCH($A832,SprintPlanning[Requirement ID],0))),"To Plan",INDEX(SprintPlanning[Sprint],MATCH($A832,SprintPlanning[Requirement ID],0))),"To Plan"))</f>
        <v/>
      </c>
      <c r="J832" s="36"/>
      <c r="K832" s="1" t="str">
        <f aca="false">IFERROR(IF(ISBLANK(INDEX(Release[Release],MATCH($A832,Release[Requirement ID],0))),"",INDEX(Release[Release],MATCH($A832,Release[Requirement ID],0))),"")</f>
        <v/>
      </c>
      <c r="L832" s="36"/>
      <c r="M832" s="36"/>
      <c r="P832" s="1" t="n">
        <f aca="false">IFERROR(VALUE(MID($A832,5,4)),0)</f>
        <v>0</v>
      </c>
      <c r="Q832" s="1" t="str">
        <f aca="false">IF(B832="","","NEW-"&amp;TEXT(MAX($P$2:$P831,Lists!$N$2)+1,"0000"))</f>
        <v/>
      </c>
    </row>
    <row r="833" customFormat="false" ht="15" hidden="false" customHeight="true" outlineLevel="0" collapsed="false">
      <c r="A833" s="35" t="str">
        <f aca="false">IF(AND(B833="",C833="",D833="",E833="",F833="",G833="",H833="",J833="",L833="",M833="",N833=""),"",Q833)</f>
        <v/>
      </c>
      <c r="B833" s="36"/>
      <c r="C833" s="36"/>
      <c r="D833" s="36"/>
      <c r="E833" s="36"/>
      <c r="F833" s="36"/>
      <c r="G833" s="36"/>
      <c r="H833" s="36"/>
      <c r="I833" s="1" t="str">
        <f aca="false">IF($A833="","",IFERROR(IF(ISBLANK(INDEX(SprintPlanning[Sprint],MATCH($A833,SprintPlanning[Requirement ID],0))),"To Plan",INDEX(SprintPlanning[Sprint],MATCH($A833,SprintPlanning[Requirement ID],0))),"To Plan"))</f>
        <v/>
      </c>
      <c r="J833" s="36"/>
      <c r="K833" s="1" t="str">
        <f aca="false">IFERROR(IF(ISBLANK(INDEX(Release[Release],MATCH($A833,Release[Requirement ID],0))),"",INDEX(Release[Release],MATCH($A833,Release[Requirement ID],0))),"")</f>
        <v/>
      </c>
      <c r="L833" s="36"/>
      <c r="M833" s="36"/>
      <c r="P833" s="1" t="n">
        <f aca="false">IFERROR(VALUE(MID($A833,5,4)),0)</f>
        <v>0</v>
      </c>
      <c r="Q833" s="1" t="str">
        <f aca="false">IF(B833="","","NEW-"&amp;TEXT(MAX($P$2:$P832,Lists!$N$2)+1,"0000"))</f>
        <v/>
      </c>
    </row>
    <row r="834" customFormat="false" ht="15" hidden="false" customHeight="true" outlineLevel="0" collapsed="false">
      <c r="A834" s="35" t="str">
        <f aca="false">IF(AND(B834="",C834="",D834="",E834="",F834="",G834="",H834="",J834="",L834="",M834="",N834=""),"",Q834)</f>
        <v/>
      </c>
      <c r="B834" s="36"/>
      <c r="C834" s="36"/>
      <c r="D834" s="36"/>
      <c r="E834" s="36"/>
      <c r="F834" s="36"/>
      <c r="G834" s="36"/>
      <c r="H834" s="36"/>
      <c r="I834" s="1" t="str">
        <f aca="false">IF($A834="","",IFERROR(IF(ISBLANK(INDEX(SprintPlanning[Sprint],MATCH($A834,SprintPlanning[Requirement ID],0))),"To Plan",INDEX(SprintPlanning[Sprint],MATCH($A834,SprintPlanning[Requirement ID],0))),"To Plan"))</f>
        <v/>
      </c>
      <c r="J834" s="36"/>
      <c r="K834" s="1" t="str">
        <f aca="false">IFERROR(IF(ISBLANK(INDEX(Release[Release],MATCH($A834,Release[Requirement ID],0))),"",INDEX(Release[Release],MATCH($A834,Release[Requirement ID],0))),"")</f>
        <v/>
      </c>
      <c r="L834" s="36"/>
      <c r="M834" s="36"/>
      <c r="P834" s="1" t="n">
        <f aca="false">IFERROR(VALUE(MID($A834,5,4)),0)</f>
        <v>0</v>
      </c>
      <c r="Q834" s="1" t="str">
        <f aca="false">IF(B834="","","NEW-"&amp;TEXT(MAX($P$2:$P833,Lists!$N$2)+1,"0000"))</f>
        <v/>
      </c>
    </row>
    <row r="835" customFormat="false" ht="15" hidden="false" customHeight="true" outlineLevel="0" collapsed="false">
      <c r="A835" s="35" t="str">
        <f aca="false">IF(AND(B835="",C835="",D835="",E835="",F835="",G835="",H835="",J835="",L835="",M835="",N835=""),"",Q835)</f>
        <v/>
      </c>
      <c r="B835" s="36"/>
      <c r="C835" s="36"/>
      <c r="D835" s="36"/>
      <c r="E835" s="36"/>
      <c r="F835" s="36"/>
      <c r="G835" s="36"/>
      <c r="H835" s="36"/>
      <c r="I835" s="1" t="str">
        <f aca="false">IF($A835="","",IFERROR(IF(ISBLANK(INDEX(SprintPlanning[Sprint],MATCH($A835,SprintPlanning[Requirement ID],0))),"To Plan",INDEX(SprintPlanning[Sprint],MATCH($A835,SprintPlanning[Requirement ID],0))),"To Plan"))</f>
        <v/>
      </c>
      <c r="J835" s="36"/>
      <c r="K835" s="1" t="str">
        <f aca="false">IFERROR(IF(ISBLANK(INDEX(Release[Release],MATCH($A835,Release[Requirement ID],0))),"",INDEX(Release[Release],MATCH($A835,Release[Requirement ID],0))),"")</f>
        <v/>
      </c>
      <c r="L835" s="36"/>
      <c r="M835" s="36"/>
      <c r="P835" s="1" t="n">
        <f aca="false">IFERROR(VALUE(MID($A835,5,4)),0)</f>
        <v>0</v>
      </c>
      <c r="Q835" s="1" t="str">
        <f aca="false">IF(B835="","","NEW-"&amp;TEXT(MAX($P$2:$P834,Lists!$N$2)+1,"0000"))</f>
        <v/>
      </c>
    </row>
    <row r="836" customFormat="false" ht="15" hidden="false" customHeight="true" outlineLevel="0" collapsed="false">
      <c r="A836" s="35" t="str">
        <f aca="false">IF(AND(B836="",C836="",D836="",E836="",F836="",G836="",H836="",J836="",L836="",M836="",N836=""),"",Q836)</f>
        <v/>
      </c>
      <c r="B836" s="36"/>
      <c r="C836" s="36"/>
      <c r="D836" s="36"/>
      <c r="E836" s="36"/>
      <c r="F836" s="36"/>
      <c r="G836" s="36"/>
      <c r="H836" s="36"/>
      <c r="I836" s="1" t="str">
        <f aca="false">IF($A836="","",IFERROR(IF(ISBLANK(INDEX(SprintPlanning[Sprint],MATCH($A836,SprintPlanning[Requirement ID],0))),"To Plan",INDEX(SprintPlanning[Sprint],MATCH($A836,SprintPlanning[Requirement ID],0))),"To Plan"))</f>
        <v/>
      </c>
      <c r="J836" s="36"/>
      <c r="K836" s="1" t="str">
        <f aca="false">IFERROR(IF(ISBLANK(INDEX(Release[Release],MATCH($A836,Release[Requirement ID],0))),"",INDEX(Release[Release],MATCH($A836,Release[Requirement ID],0))),"")</f>
        <v/>
      </c>
      <c r="L836" s="36"/>
      <c r="M836" s="36"/>
      <c r="P836" s="1" t="n">
        <f aca="false">IFERROR(VALUE(MID($A836,5,4)),0)</f>
        <v>0</v>
      </c>
      <c r="Q836" s="1" t="str">
        <f aca="false">IF(B836="","","NEW-"&amp;TEXT(MAX($P$2:$P835,Lists!$N$2)+1,"0000"))</f>
        <v/>
      </c>
    </row>
    <row r="837" customFormat="false" ht="15" hidden="false" customHeight="true" outlineLevel="0" collapsed="false">
      <c r="A837" s="35" t="str">
        <f aca="false">IF(AND(B837="",C837="",D837="",E837="",F837="",G837="",H837="",J837="",L837="",M837="",N837=""),"",Q837)</f>
        <v/>
      </c>
      <c r="B837" s="36"/>
      <c r="C837" s="36"/>
      <c r="D837" s="36"/>
      <c r="E837" s="36"/>
      <c r="F837" s="36"/>
      <c r="G837" s="36"/>
      <c r="H837" s="36"/>
      <c r="I837" s="1" t="str">
        <f aca="false">IF($A837="","",IFERROR(IF(ISBLANK(INDEX(SprintPlanning[Sprint],MATCH($A837,SprintPlanning[Requirement ID],0))),"To Plan",INDEX(SprintPlanning[Sprint],MATCH($A837,SprintPlanning[Requirement ID],0))),"To Plan"))</f>
        <v/>
      </c>
      <c r="J837" s="36"/>
      <c r="K837" s="1" t="str">
        <f aca="false">IFERROR(IF(ISBLANK(INDEX(Release[Release],MATCH($A837,Release[Requirement ID],0))),"",INDEX(Release[Release],MATCH($A837,Release[Requirement ID],0))),"")</f>
        <v/>
      </c>
      <c r="L837" s="36"/>
      <c r="M837" s="36"/>
      <c r="P837" s="1" t="n">
        <f aca="false">IFERROR(VALUE(MID($A837,5,4)),0)</f>
        <v>0</v>
      </c>
      <c r="Q837" s="1" t="str">
        <f aca="false">IF(B837="","","NEW-"&amp;TEXT(MAX($P$2:$P836,Lists!$N$2)+1,"0000"))</f>
        <v/>
      </c>
    </row>
    <row r="838" customFormat="false" ht="15" hidden="false" customHeight="true" outlineLevel="0" collapsed="false">
      <c r="A838" s="35" t="str">
        <f aca="false">IF(AND(B838="",C838="",D838="",E838="",F838="",G838="",H838="",J838="",L838="",M838="",N838=""),"",Q838)</f>
        <v/>
      </c>
      <c r="B838" s="36"/>
      <c r="C838" s="36"/>
      <c r="D838" s="36"/>
      <c r="E838" s="36"/>
      <c r="F838" s="36"/>
      <c r="G838" s="36"/>
      <c r="H838" s="36"/>
      <c r="I838" s="1" t="str">
        <f aca="false">IF($A838="","",IFERROR(IF(ISBLANK(INDEX(SprintPlanning[Sprint],MATCH($A838,SprintPlanning[Requirement ID],0))),"To Plan",INDEX(SprintPlanning[Sprint],MATCH($A838,SprintPlanning[Requirement ID],0))),"To Plan"))</f>
        <v/>
      </c>
      <c r="J838" s="36"/>
      <c r="K838" s="1" t="str">
        <f aca="false">IFERROR(IF(ISBLANK(INDEX(Release[Release],MATCH($A838,Release[Requirement ID],0))),"",INDEX(Release[Release],MATCH($A838,Release[Requirement ID],0))),"")</f>
        <v/>
      </c>
      <c r="L838" s="36"/>
      <c r="M838" s="36"/>
      <c r="P838" s="1" t="n">
        <f aca="false">IFERROR(VALUE(MID($A838,5,4)),0)</f>
        <v>0</v>
      </c>
      <c r="Q838" s="1" t="str">
        <f aca="false">IF(B838="","","NEW-"&amp;TEXT(MAX($P$2:$P837,Lists!$N$2)+1,"0000"))</f>
        <v/>
      </c>
    </row>
    <row r="839" customFormat="false" ht="15" hidden="false" customHeight="true" outlineLevel="0" collapsed="false">
      <c r="A839" s="35" t="str">
        <f aca="false">IF(AND(B839="",C839="",D839="",E839="",F839="",G839="",H839="",J839="",L839="",M839="",N839=""),"",Q839)</f>
        <v/>
      </c>
      <c r="B839" s="36"/>
      <c r="C839" s="36"/>
      <c r="D839" s="36"/>
      <c r="E839" s="36"/>
      <c r="F839" s="36"/>
      <c r="G839" s="36"/>
      <c r="H839" s="36"/>
      <c r="I839" s="1" t="str">
        <f aca="false">IF($A839="","",IFERROR(IF(ISBLANK(INDEX(SprintPlanning[Sprint],MATCH($A839,SprintPlanning[Requirement ID],0))),"To Plan",INDEX(SprintPlanning[Sprint],MATCH($A839,SprintPlanning[Requirement ID],0))),"To Plan"))</f>
        <v/>
      </c>
      <c r="J839" s="36"/>
      <c r="K839" s="1" t="str">
        <f aca="false">IFERROR(IF(ISBLANK(INDEX(Release[Release],MATCH($A839,Release[Requirement ID],0))),"",INDEX(Release[Release],MATCH($A839,Release[Requirement ID],0))),"")</f>
        <v/>
      </c>
      <c r="L839" s="36"/>
      <c r="M839" s="36"/>
      <c r="P839" s="1" t="n">
        <f aca="false">IFERROR(VALUE(MID($A839,5,4)),0)</f>
        <v>0</v>
      </c>
      <c r="Q839" s="1" t="str">
        <f aca="false">IF(B839="","","NEW-"&amp;TEXT(MAX($P$2:$P838,Lists!$N$2)+1,"0000"))</f>
        <v/>
      </c>
    </row>
    <row r="840" customFormat="false" ht="15" hidden="false" customHeight="true" outlineLevel="0" collapsed="false">
      <c r="A840" s="35" t="str">
        <f aca="false">IF(AND(B840="",C840="",D840="",E840="",F840="",G840="",H840="",J840="",L840="",M840="",N840=""),"",Q840)</f>
        <v/>
      </c>
      <c r="B840" s="36"/>
      <c r="C840" s="36"/>
      <c r="D840" s="36"/>
      <c r="E840" s="36"/>
      <c r="F840" s="36"/>
      <c r="G840" s="36"/>
      <c r="H840" s="36"/>
      <c r="I840" s="1" t="str">
        <f aca="false">IF($A840="","",IFERROR(IF(ISBLANK(INDEX(SprintPlanning[Sprint],MATCH($A840,SprintPlanning[Requirement ID],0))),"To Plan",INDEX(SprintPlanning[Sprint],MATCH($A840,SprintPlanning[Requirement ID],0))),"To Plan"))</f>
        <v/>
      </c>
      <c r="J840" s="36"/>
      <c r="K840" s="1" t="str">
        <f aca="false">IFERROR(IF(ISBLANK(INDEX(Release[Release],MATCH($A840,Release[Requirement ID],0))),"",INDEX(Release[Release],MATCH($A840,Release[Requirement ID],0))),"")</f>
        <v/>
      </c>
      <c r="L840" s="36"/>
      <c r="M840" s="36"/>
      <c r="P840" s="1" t="n">
        <f aca="false">IFERROR(VALUE(MID($A840,5,4)),0)</f>
        <v>0</v>
      </c>
      <c r="Q840" s="1" t="str">
        <f aca="false">IF(B840="","","NEW-"&amp;TEXT(MAX($P$2:$P839,Lists!$N$2)+1,"0000"))</f>
        <v/>
      </c>
    </row>
    <row r="841" customFormat="false" ht="15" hidden="false" customHeight="true" outlineLevel="0" collapsed="false">
      <c r="A841" s="35" t="str">
        <f aca="false">IF(AND(B841="",C841="",D841="",E841="",F841="",G841="",H841="",J841="",L841="",M841="",N841=""),"",Q841)</f>
        <v/>
      </c>
      <c r="B841" s="36"/>
      <c r="C841" s="36"/>
      <c r="D841" s="36"/>
      <c r="E841" s="36"/>
      <c r="F841" s="36"/>
      <c r="G841" s="36"/>
      <c r="H841" s="36"/>
      <c r="I841" s="1" t="str">
        <f aca="false">IF($A841="","",IFERROR(IF(ISBLANK(INDEX(SprintPlanning[Sprint],MATCH($A841,SprintPlanning[Requirement ID],0))),"To Plan",INDEX(SprintPlanning[Sprint],MATCH($A841,SprintPlanning[Requirement ID],0))),"To Plan"))</f>
        <v/>
      </c>
      <c r="J841" s="36"/>
      <c r="K841" s="1" t="str">
        <f aca="false">IFERROR(IF(ISBLANK(INDEX(Release[Release],MATCH($A841,Release[Requirement ID],0))),"",INDEX(Release[Release],MATCH($A841,Release[Requirement ID],0))),"")</f>
        <v/>
      </c>
      <c r="L841" s="36"/>
      <c r="M841" s="36"/>
      <c r="P841" s="1" t="n">
        <f aca="false">IFERROR(VALUE(MID($A841,5,4)),0)</f>
        <v>0</v>
      </c>
      <c r="Q841" s="1" t="str">
        <f aca="false">IF(B841="","","NEW-"&amp;TEXT(MAX($P$2:$P840,Lists!$N$2)+1,"0000"))</f>
        <v/>
      </c>
    </row>
    <row r="842" customFormat="false" ht="15" hidden="false" customHeight="true" outlineLevel="0" collapsed="false">
      <c r="A842" s="35" t="str">
        <f aca="false">IF(AND(B842="",C842="",D842="",E842="",F842="",G842="",H842="",J842="",L842="",M842="",N842=""),"",Q842)</f>
        <v/>
      </c>
      <c r="B842" s="36"/>
      <c r="C842" s="36"/>
      <c r="D842" s="36"/>
      <c r="E842" s="36"/>
      <c r="F842" s="36"/>
      <c r="G842" s="36"/>
      <c r="H842" s="36"/>
      <c r="I842" s="1" t="str">
        <f aca="false">IF($A842="","",IFERROR(IF(ISBLANK(INDEX(SprintPlanning[Sprint],MATCH($A842,SprintPlanning[Requirement ID],0))),"To Plan",INDEX(SprintPlanning[Sprint],MATCH($A842,SprintPlanning[Requirement ID],0))),"To Plan"))</f>
        <v/>
      </c>
      <c r="J842" s="36"/>
      <c r="K842" s="1" t="str">
        <f aca="false">IFERROR(IF(ISBLANK(INDEX(Release[Release],MATCH($A842,Release[Requirement ID],0))),"",INDEX(Release[Release],MATCH($A842,Release[Requirement ID],0))),"")</f>
        <v/>
      </c>
      <c r="L842" s="36"/>
      <c r="M842" s="36"/>
      <c r="P842" s="1" t="n">
        <f aca="false">IFERROR(VALUE(MID($A842,5,4)),0)</f>
        <v>0</v>
      </c>
      <c r="Q842" s="1" t="str">
        <f aca="false">IF(B842="","","NEW-"&amp;TEXT(MAX($P$2:$P841,Lists!$N$2)+1,"0000"))</f>
        <v/>
      </c>
    </row>
    <row r="843" customFormat="false" ht="15" hidden="false" customHeight="true" outlineLevel="0" collapsed="false">
      <c r="A843" s="35" t="str">
        <f aca="false">IF(AND(B843="",C843="",D843="",E843="",F843="",G843="",H843="",J843="",L843="",M843="",N843=""),"",Q843)</f>
        <v/>
      </c>
      <c r="B843" s="36"/>
      <c r="C843" s="36"/>
      <c r="D843" s="36"/>
      <c r="E843" s="36"/>
      <c r="F843" s="36"/>
      <c r="G843" s="36"/>
      <c r="H843" s="36"/>
      <c r="I843" s="1" t="str">
        <f aca="false">IF($A843="","",IFERROR(IF(ISBLANK(INDEX(SprintPlanning[Sprint],MATCH($A843,SprintPlanning[Requirement ID],0))),"To Plan",INDEX(SprintPlanning[Sprint],MATCH($A843,SprintPlanning[Requirement ID],0))),"To Plan"))</f>
        <v/>
      </c>
      <c r="J843" s="36"/>
      <c r="K843" s="1" t="str">
        <f aca="false">IFERROR(IF(ISBLANK(INDEX(Release[Release],MATCH($A843,Release[Requirement ID],0))),"",INDEX(Release[Release],MATCH($A843,Release[Requirement ID],0))),"")</f>
        <v/>
      </c>
      <c r="L843" s="36"/>
      <c r="M843" s="36"/>
      <c r="P843" s="1" t="n">
        <f aca="false">IFERROR(VALUE(MID($A843,5,4)),0)</f>
        <v>0</v>
      </c>
      <c r="Q843" s="1" t="str">
        <f aca="false">IF(B843="","","NEW-"&amp;TEXT(MAX($P$2:$P842,Lists!$N$2)+1,"0000"))</f>
        <v/>
      </c>
    </row>
    <row r="844" customFormat="false" ht="15" hidden="false" customHeight="true" outlineLevel="0" collapsed="false">
      <c r="A844" s="35" t="str">
        <f aca="false">IF(AND(B844="",C844="",D844="",E844="",F844="",G844="",H844="",J844="",L844="",M844="",N844=""),"",Q844)</f>
        <v/>
      </c>
      <c r="B844" s="36"/>
      <c r="C844" s="36"/>
      <c r="D844" s="36"/>
      <c r="E844" s="36"/>
      <c r="F844" s="36"/>
      <c r="G844" s="36"/>
      <c r="H844" s="36"/>
      <c r="I844" s="1" t="str">
        <f aca="false">IF($A844="","",IFERROR(IF(ISBLANK(INDEX(SprintPlanning[Sprint],MATCH($A844,SprintPlanning[Requirement ID],0))),"To Plan",INDEX(SprintPlanning[Sprint],MATCH($A844,SprintPlanning[Requirement ID],0))),"To Plan"))</f>
        <v/>
      </c>
      <c r="J844" s="36"/>
      <c r="K844" s="1" t="str">
        <f aca="false">IFERROR(IF(ISBLANK(INDEX(Release[Release],MATCH($A844,Release[Requirement ID],0))),"",INDEX(Release[Release],MATCH($A844,Release[Requirement ID],0))),"")</f>
        <v/>
      </c>
      <c r="L844" s="36"/>
      <c r="M844" s="36"/>
      <c r="P844" s="1" t="n">
        <f aca="false">IFERROR(VALUE(MID($A844,5,4)),0)</f>
        <v>0</v>
      </c>
      <c r="Q844" s="1" t="str">
        <f aca="false">IF(B844="","","NEW-"&amp;TEXT(MAX($P$2:$P843,Lists!$N$2)+1,"0000"))</f>
        <v/>
      </c>
    </row>
    <row r="845" customFormat="false" ht="15" hidden="false" customHeight="true" outlineLevel="0" collapsed="false">
      <c r="A845" s="35" t="str">
        <f aca="false">IF(AND(B845="",C845="",D845="",E845="",F845="",G845="",H845="",J845="",L845="",M845="",N845=""),"",Q845)</f>
        <v/>
      </c>
      <c r="B845" s="36"/>
      <c r="C845" s="36"/>
      <c r="D845" s="36"/>
      <c r="E845" s="36"/>
      <c r="F845" s="36"/>
      <c r="G845" s="36"/>
      <c r="H845" s="36"/>
      <c r="I845" s="1" t="str">
        <f aca="false">IF($A845="","",IFERROR(IF(ISBLANK(INDEX(SprintPlanning[Sprint],MATCH($A845,SprintPlanning[Requirement ID],0))),"To Plan",INDEX(SprintPlanning[Sprint],MATCH($A845,SprintPlanning[Requirement ID],0))),"To Plan"))</f>
        <v/>
      </c>
      <c r="J845" s="36"/>
      <c r="K845" s="1" t="str">
        <f aca="false">IFERROR(IF(ISBLANK(INDEX(Release[Release],MATCH($A845,Release[Requirement ID],0))),"",INDEX(Release[Release],MATCH($A845,Release[Requirement ID],0))),"")</f>
        <v/>
      </c>
      <c r="L845" s="36"/>
      <c r="M845" s="36"/>
      <c r="P845" s="1" t="n">
        <f aca="false">IFERROR(VALUE(MID($A845,5,4)),0)</f>
        <v>0</v>
      </c>
      <c r="Q845" s="1" t="str">
        <f aca="false">IF(B845="","","NEW-"&amp;TEXT(MAX($P$2:$P844,Lists!$N$2)+1,"0000"))</f>
        <v/>
      </c>
    </row>
    <row r="846" customFormat="false" ht="15" hidden="false" customHeight="true" outlineLevel="0" collapsed="false">
      <c r="A846" s="35" t="str">
        <f aca="false">IF(AND(B846="",C846="",D846="",E846="",F846="",G846="",H846="",J846="",L846="",M846="",N846=""),"",Q846)</f>
        <v/>
      </c>
      <c r="B846" s="36"/>
      <c r="C846" s="36"/>
      <c r="D846" s="36"/>
      <c r="E846" s="36"/>
      <c r="F846" s="36"/>
      <c r="G846" s="36"/>
      <c r="H846" s="36"/>
      <c r="I846" s="1" t="str">
        <f aca="false">IF($A846="","",IFERROR(IF(ISBLANK(INDEX(SprintPlanning[Sprint],MATCH($A846,SprintPlanning[Requirement ID],0))),"To Plan",INDEX(SprintPlanning[Sprint],MATCH($A846,SprintPlanning[Requirement ID],0))),"To Plan"))</f>
        <v/>
      </c>
      <c r="J846" s="36"/>
      <c r="K846" s="1" t="str">
        <f aca="false">IFERROR(IF(ISBLANK(INDEX(Release[Release],MATCH($A846,Release[Requirement ID],0))),"",INDEX(Release[Release],MATCH($A846,Release[Requirement ID],0))),"")</f>
        <v/>
      </c>
      <c r="L846" s="36"/>
      <c r="M846" s="36"/>
      <c r="P846" s="1" t="n">
        <f aca="false">IFERROR(VALUE(MID($A846,5,4)),0)</f>
        <v>0</v>
      </c>
      <c r="Q846" s="1" t="str">
        <f aca="false">IF(B846="","","NEW-"&amp;TEXT(MAX($P$2:$P845,Lists!$N$2)+1,"0000"))</f>
        <v/>
      </c>
    </row>
    <row r="847" customFormat="false" ht="15" hidden="false" customHeight="true" outlineLevel="0" collapsed="false">
      <c r="A847" s="35" t="str">
        <f aca="false">IF(AND(B847="",C847="",D847="",E847="",F847="",G847="",H847="",J847="",L847="",M847="",N847=""),"",Q847)</f>
        <v/>
      </c>
      <c r="B847" s="36"/>
      <c r="C847" s="36"/>
      <c r="D847" s="36"/>
      <c r="E847" s="36"/>
      <c r="F847" s="36"/>
      <c r="G847" s="36"/>
      <c r="H847" s="36"/>
      <c r="I847" s="1" t="str">
        <f aca="false">IF($A847="","",IFERROR(IF(ISBLANK(INDEX(SprintPlanning[Sprint],MATCH($A847,SprintPlanning[Requirement ID],0))),"To Plan",INDEX(SprintPlanning[Sprint],MATCH($A847,SprintPlanning[Requirement ID],0))),"To Plan"))</f>
        <v/>
      </c>
      <c r="J847" s="36"/>
      <c r="K847" s="1" t="str">
        <f aca="false">IFERROR(IF(ISBLANK(INDEX(Release[Release],MATCH($A847,Release[Requirement ID],0))),"",INDEX(Release[Release],MATCH($A847,Release[Requirement ID],0))),"")</f>
        <v/>
      </c>
      <c r="L847" s="36"/>
      <c r="M847" s="36"/>
      <c r="P847" s="1" t="n">
        <f aca="false">IFERROR(VALUE(MID($A847,5,4)),0)</f>
        <v>0</v>
      </c>
      <c r="Q847" s="1" t="str">
        <f aca="false">IF(B847="","","NEW-"&amp;TEXT(MAX($P$2:$P846,Lists!$N$2)+1,"0000"))</f>
        <v/>
      </c>
    </row>
    <row r="848" customFormat="false" ht="15" hidden="false" customHeight="true" outlineLevel="0" collapsed="false">
      <c r="A848" s="35" t="str">
        <f aca="false">IF(AND(B848="",C848="",D848="",E848="",F848="",G848="",H848="",J848="",L848="",M848="",N848=""),"",Q848)</f>
        <v/>
      </c>
      <c r="B848" s="36"/>
      <c r="C848" s="36"/>
      <c r="D848" s="36"/>
      <c r="E848" s="36"/>
      <c r="F848" s="36"/>
      <c r="G848" s="36"/>
      <c r="H848" s="36"/>
      <c r="I848" s="1" t="str">
        <f aca="false">IF($A848="","",IFERROR(IF(ISBLANK(INDEX(SprintPlanning[Sprint],MATCH($A848,SprintPlanning[Requirement ID],0))),"To Plan",INDEX(SprintPlanning[Sprint],MATCH($A848,SprintPlanning[Requirement ID],0))),"To Plan"))</f>
        <v/>
      </c>
      <c r="J848" s="36"/>
      <c r="K848" s="1" t="str">
        <f aca="false">IFERROR(IF(ISBLANK(INDEX(Release[Release],MATCH($A848,Release[Requirement ID],0))),"",INDEX(Release[Release],MATCH($A848,Release[Requirement ID],0))),"")</f>
        <v/>
      </c>
      <c r="L848" s="36"/>
      <c r="M848" s="36"/>
      <c r="P848" s="1" t="n">
        <f aca="false">IFERROR(VALUE(MID($A848,5,4)),0)</f>
        <v>0</v>
      </c>
      <c r="Q848" s="1" t="str">
        <f aca="false">IF(B848="","","NEW-"&amp;TEXT(MAX($P$2:$P847,Lists!$N$2)+1,"0000"))</f>
        <v/>
      </c>
    </row>
    <row r="849" customFormat="false" ht="15" hidden="false" customHeight="true" outlineLevel="0" collapsed="false">
      <c r="A849" s="35" t="str">
        <f aca="false">IF(AND(B849="",C849="",D849="",E849="",F849="",G849="",H849="",J849="",L849="",M849="",N849=""),"",Q849)</f>
        <v/>
      </c>
      <c r="B849" s="36"/>
      <c r="C849" s="36"/>
      <c r="D849" s="36"/>
      <c r="E849" s="36"/>
      <c r="F849" s="36"/>
      <c r="G849" s="36"/>
      <c r="H849" s="36"/>
      <c r="I849" s="1" t="str">
        <f aca="false">IF($A849="","",IFERROR(IF(ISBLANK(INDEX(SprintPlanning[Sprint],MATCH($A849,SprintPlanning[Requirement ID],0))),"To Plan",INDEX(SprintPlanning[Sprint],MATCH($A849,SprintPlanning[Requirement ID],0))),"To Plan"))</f>
        <v/>
      </c>
      <c r="J849" s="36"/>
      <c r="K849" s="1" t="str">
        <f aca="false">IFERROR(IF(ISBLANK(INDEX(Release[Release],MATCH($A849,Release[Requirement ID],0))),"",INDEX(Release[Release],MATCH($A849,Release[Requirement ID],0))),"")</f>
        <v/>
      </c>
      <c r="L849" s="36"/>
      <c r="M849" s="36"/>
      <c r="P849" s="1" t="n">
        <f aca="false">IFERROR(VALUE(MID($A849,5,4)),0)</f>
        <v>0</v>
      </c>
      <c r="Q849" s="1" t="str">
        <f aca="false">IF(B849="","","NEW-"&amp;TEXT(MAX($P$2:$P848,Lists!$N$2)+1,"0000"))</f>
        <v/>
      </c>
    </row>
    <row r="850" customFormat="false" ht="15" hidden="false" customHeight="true" outlineLevel="0" collapsed="false">
      <c r="A850" s="35" t="str">
        <f aca="false">IF(AND(B850="",C850="",D850="",E850="",F850="",G850="",H850="",J850="",L850="",M850="",N850=""),"",Q850)</f>
        <v/>
      </c>
      <c r="B850" s="36"/>
      <c r="C850" s="36"/>
      <c r="D850" s="36"/>
      <c r="E850" s="36"/>
      <c r="F850" s="36"/>
      <c r="G850" s="36"/>
      <c r="H850" s="36"/>
      <c r="I850" s="1" t="str">
        <f aca="false">IF($A850="","",IFERROR(IF(ISBLANK(INDEX(SprintPlanning[Sprint],MATCH($A850,SprintPlanning[Requirement ID],0))),"To Plan",INDEX(SprintPlanning[Sprint],MATCH($A850,SprintPlanning[Requirement ID],0))),"To Plan"))</f>
        <v/>
      </c>
      <c r="J850" s="36"/>
      <c r="K850" s="1" t="str">
        <f aca="false">IFERROR(IF(ISBLANK(INDEX(Release[Release],MATCH($A850,Release[Requirement ID],0))),"",INDEX(Release[Release],MATCH($A850,Release[Requirement ID],0))),"")</f>
        <v/>
      </c>
      <c r="L850" s="36"/>
      <c r="M850" s="36"/>
      <c r="P850" s="1" t="n">
        <f aca="false">IFERROR(VALUE(MID($A850,5,4)),0)</f>
        <v>0</v>
      </c>
      <c r="Q850" s="1" t="str">
        <f aca="false">IF(B850="","","NEW-"&amp;TEXT(MAX($P$2:$P849,Lists!$N$2)+1,"0000"))</f>
        <v/>
      </c>
    </row>
    <row r="851" customFormat="false" ht="15" hidden="false" customHeight="true" outlineLevel="0" collapsed="false">
      <c r="A851" s="35" t="str">
        <f aca="false">IF(AND(B851="",C851="",D851="",E851="",F851="",G851="",H851="",J851="",L851="",M851="",N851=""),"",Q851)</f>
        <v/>
      </c>
      <c r="B851" s="36"/>
      <c r="C851" s="36"/>
      <c r="D851" s="36"/>
      <c r="E851" s="36"/>
      <c r="F851" s="36"/>
      <c r="G851" s="36"/>
      <c r="H851" s="36"/>
      <c r="I851" s="1" t="str">
        <f aca="false">IF($A851="","",IFERROR(IF(ISBLANK(INDEX(SprintPlanning[Sprint],MATCH($A851,SprintPlanning[Requirement ID],0))),"To Plan",INDEX(SprintPlanning[Sprint],MATCH($A851,SprintPlanning[Requirement ID],0))),"To Plan"))</f>
        <v/>
      </c>
      <c r="J851" s="36"/>
      <c r="K851" s="1" t="str">
        <f aca="false">IFERROR(IF(ISBLANK(INDEX(Release[Release],MATCH($A851,Release[Requirement ID],0))),"",INDEX(Release[Release],MATCH($A851,Release[Requirement ID],0))),"")</f>
        <v/>
      </c>
      <c r="L851" s="36"/>
      <c r="M851" s="36"/>
      <c r="P851" s="1" t="n">
        <f aca="false">IFERROR(VALUE(MID($A851,5,4)),0)</f>
        <v>0</v>
      </c>
      <c r="Q851" s="1" t="str">
        <f aca="false">IF(B851="","","NEW-"&amp;TEXT(MAX($P$2:$P850,Lists!$N$2)+1,"0000"))</f>
        <v/>
      </c>
    </row>
    <row r="852" customFormat="false" ht="15" hidden="false" customHeight="true" outlineLevel="0" collapsed="false">
      <c r="A852" s="35" t="str">
        <f aca="false">IF(AND(B852="",C852="",D852="",E852="",F852="",G852="",H852="",J852="",L852="",M852="",N852=""),"",Q852)</f>
        <v/>
      </c>
      <c r="B852" s="36"/>
      <c r="C852" s="36"/>
      <c r="D852" s="36"/>
      <c r="E852" s="36"/>
      <c r="F852" s="36"/>
      <c r="G852" s="36"/>
      <c r="H852" s="36"/>
      <c r="I852" s="1" t="str">
        <f aca="false">IF($A852="","",IFERROR(IF(ISBLANK(INDEX(SprintPlanning[Sprint],MATCH($A852,SprintPlanning[Requirement ID],0))),"To Plan",INDEX(SprintPlanning[Sprint],MATCH($A852,SprintPlanning[Requirement ID],0))),"To Plan"))</f>
        <v/>
      </c>
      <c r="J852" s="36"/>
      <c r="K852" s="1" t="str">
        <f aca="false">IFERROR(IF(ISBLANK(INDEX(Release[Release],MATCH($A852,Release[Requirement ID],0))),"",INDEX(Release[Release],MATCH($A852,Release[Requirement ID],0))),"")</f>
        <v/>
      </c>
      <c r="L852" s="36"/>
      <c r="M852" s="36"/>
      <c r="P852" s="1" t="n">
        <f aca="false">IFERROR(VALUE(MID($A852,5,4)),0)</f>
        <v>0</v>
      </c>
      <c r="Q852" s="1" t="str">
        <f aca="false">IF(B852="","","NEW-"&amp;TEXT(MAX($P$2:$P851,Lists!$N$2)+1,"0000"))</f>
        <v/>
      </c>
    </row>
    <row r="853" customFormat="false" ht="15" hidden="false" customHeight="true" outlineLevel="0" collapsed="false">
      <c r="A853" s="35" t="str">
        <f aca="false">IF(AND(B853="",C853="",D853="",E853="",F853="",G853="",H853="",J853="",L853="",M853="",N853=""),"",Q853)</f>
        <v/>
      </c>
      <c r="B853" s="36"/>
      <c r="C853" s="36"/>
      <c r="D853" s="36"/>
      <c r="E853" s="36"/>
      <c r="F853" s="36"/>
      <c r="G853" s="36"/>
      <c r="H853" s="36"/>
      <c r="I853" s="1" t="str">
        <f aca="false">IF($A853="","",IFERROR(IF(ISBLANK(INDEX(SprintPlanning[Sprint],MATCH($A853,SprintPlanning[Requirement ID],0))),"To Plan",INDEX(SprintPlanning[Sprint],MATCH($A853,SprintPlanning[Requirement ID],0))),"To Plan"))</f>
        <v/>
      </c>
      <c r="J853" s="36"/>
      <c r="K853" s="1" t="str">
        <f aca="false">IFERROR(IF(ISBLANK(INDEX(Release[Release],MATCH($A853,Release[Requirement ID],0))),"",INDEX(Release[Release],MATCH($A853,Release[Requirement ID],0))),"")</f>
        <v/>
      </c>
      <c r="L853" s="36"/>
      <c r="M853" s="36"/>
      <c r="P853" s="1" t="n">
        <f aca="false">IFERROR(VALUE(MID($A853,5,4)),0)</f>
        <v>0</v>
      </c>
      <c r="Q853" s="1" t="str">
        <f aca="false">IF(B853="","","NEW-"&amp;TEXT(MAX($P$2:$P852,Lists!$N$2)+1,"0000"))</f>
        <v/>
      </c>
    </row>
    <row r="854" customFormat="false" ht="15" hidden="false" customHeight="true" outlineLevel="0" collapsed="false">
      <c r="A854" s="35" t="str">
        <f aca="false">IF(AND(B854="",C854="",D854="",E854="",F854="",G854="",H854="",J854="",L854="",M854="",N854=""),"",Q854)</f>
        <v/>
      </c>
      <c r="B854" s="36"/>
      <c r="C854" s="36"/>
      <c r="D854" s="36"/>
      <c r="E854" s="36"/>
      <c r="F854" s="36"/>
      <c r="G854" s="36"/>
      <c r="H854" s="36"/>
      <c r="I854" s="1" t="str">
        <f aca="false">IF($A854="","",IFERROR(IF(ISBLANK(INDEX(SprintPlanning[Sprint],MATCH($A854,SprintPlanning[Requirement ID],0))),"To Plan",INDEX(SprintPlanning[Sprint],MATCH($A854,SprintPlanning[Requirement ID],0))),"To Plan"))</f>
        <v/>
      </c>
      <c r="J854" s="36"/>
      <c r="K854" s="1" t="str">
        <f aca="false">IFERROR(IF(ISBLANK(INDEX(Release[Release],MATCH($A854,Release[Requirement ID],0))),"",INDEX(Release[Release],MATCH($A854,Release[Requirement ID],0))),"")</f>
        <v/>
      </c>
      <c r="L854" s="36"/>
      <c r="M854" s="36"/>
      <c r="P854" s="1" t="n">
        <f aca="false">IFERROR(VALUE(MID($A854,5,4)),0)</f>
        <v>0</v>
      </c>
      <c r="Q854" s="1" t="str">
        <f aca="false">IF(B854="","","NEW-"&amp;TEXT(MAX($P$2:$P853,Lists!$N$2)+1,"0000"))</f>
        <v/>
      </c>
    </row>
    <row r="855" customFormat="false" ht="15" hidden="false" customHeight="true" outlineLevel="0" collapsed="false">
      <c r="A855" s="35" t="str">
        <f aca="false">IF(AND(B855="",C855="",D855="",E855="",F855="",G855="",H855="",J855="",L855="",M855="",N855=""),"",Q855)</f>
        <v/>
      </c>
      <c r="B855" s="36"/>
      <c r="C855" s="36"/>
      <c r="D855" s="36"/>
      <c r="E855" s="36"/>
      <c r="F855" s="36"/>
      <c r="G855" s="36"/>
      <c r="H855" s="36"/>
      <c r="I855" s="1" t="str">
        <f aca="false">IF($A855="","",IFERROR(IF(ISBLANK(INDEX(SprintPlanning[Sprint],MATCH($A855,SprintPlanning[Requirement ID],0))),"To Plan",INDEX(SprintPlanning[Sprint],MATCH($A855,SprintPlanning[Requirement ID],0))),"To Plan"))</f>
        <v/>
      </c>
      <c r="J855" s="36"/>
      <c r="K855" s="1" t="str">
        <f aca="false">IFERROR(IF(ISBLANK(INDEX(Release[Release],MATCH($A855,Release[Requirement ID],0))),"",INDEX(Release[Release],MATCH($A855,Release[Requirement ID],0))),"")</f>
        <v/>
      </c>
      <c r="L855" s="36"/>
      <c r="M855" s="36"/>
      <c r="P855" s="1" t="n">
        <f aca="false">IFERROR(VALUE(MID($A855,5,4)),0)</f>
        <v>0</v>
      </c>
      <c r="Q855" s="1" t="str">
        <f aca="false">IF(B855="","","NEW-"&amp;TEXT(MAX($P$2:$P854,Lists!$N$2)+1,"0000"))</f>
        <v/>
      </c>
    </row>
    <row r="856" customFormat="false" ht="15" hidden="false" customHeight="true" outlineLevel="0" collapsed="false">
      <c r="A856" s="35" t="str">
        <f aca="false">IF(AND(B856="",C856="",D856="",E856="",F856="",G856="",H856="",J856="",L856="",M856="",N856=""),"",Q856)</f>
        <v/>
      </c>
      <c r="B856" s="36"/>
      <c r="C856" s="36"/>
      <c r="D856" s="36"/>
      <c r="E856" s="36"/>
      <c r="F856" s="36"/>
      <c r="G856" s="36"/>
      <c r="H856" s="36"/>
      <c r="I856" s="1" t="str">
        <f aca="false">IF($A856="","",IFERROR(IF(ISBLANK(INDEX(SprintPlanning[Sprint],MATCH($A856,SprintPlanning[Requirement ID],0))),"To Plan",INDEX(SprintPlanning[Sprint],MATCH($A856,SprintPlanning[Requirement ID],0))),"To Plan"))</f>
        <v/>
      </c>
      <c r="J856" s="36"/>
      <c r="K856" s="1" t="str">
        <f aca="false">IFERROR(IF(ISBLANK(INDEX(Release[Release],MATCH($A856,Release[Requirement ID],0))),"",INDEX(Release[Release],MATCH($A856,Release[Requirement ID],0))),"")</f>
        <v/>
      </c>
      <c r="L856" s="36"/>
      <c r="M856" s="36"/>
      <c r="P856" s="1" t="n">
        <f aca="false">IFERROR(VALUE(MID($A856,5,4)),0)</f>
        <v>0</v>
      </c>
      <c r="Q856" s="1" t="str">
        <f aca="false">IF(B856="","","NEW-"&amp;TEXT(MAX($P$2:$P855,Lists!$N$2)+1,"0000"))</f>
        <v/>
      </c>
    </row>
    <row r="857" customFormat="false" ht="15" hidden="false" customHeight="true" outlineLevel="0" collapsed="false">
      <c r="A857" s="35" t="str">
        <f aca="false">IF(AND(B857="",C857="",D857="",E857="",F857="",G857="",H857="",J857="",L857="",M857="",N857=""),"",Q857)</f>
        <v/>
      </c>
      <c r="B857" s="36"/>
      <c r="C857" s="36"/>
      <c r="D857" s="36"/>
      <c r="E857" s="36"/>
      <c r="F857" s="36"/>
      <c r="G857" s="36"/>
      <c r="H857" s="36"/>
      <c r="I857" s="1" t="str">
        <f aca="false">IF($A857="","",IFERROR(IF(ISBLANK(INDEX(SprintPlanning[Sprint],MATCH($A857,SprintPlanning[Requirement ID],0))),"To Plan",INDEX(SprintPlanning[Sprint],MATCH($A857,SprintPlanning[Requirement ID],0))),"To Plan"))</f>
        <v/>
      </c>
      <c r="J857" s="36"/>
      <c r="K857" s="1" t="str">
        <f aca="false">IFERROR(IF(ISBLANK(INDEX(Release[Release],MATCH($A857,Release[Requirement ID],0))),"",INDEX(Release[Release],MATCH($A857,Release[Requirement ID],0))),"")</f>
        <v/>
      </c>
      <c r="L857" s="36"/>
      <c r="M857" s="36"/>
      <c r="P857" s="1" t="n">
        <f aca="false">IFERROR(VALUE(MID($A857,5,4)),0)</f>
        <v>0</v>
      </c>
      <c r="Q857" s="1" t="str">
        <f aca="false">IF(B857="","","NEW-"&amp;TEXT(MAX($P$2:$P856,Lists!$N$2)+1,"0000"))</f>
        <v/>
      </c>
    </row>
    <row r="858" customFormat="false" ht="15" hidden="false" customHeight="true" outlineLevel="0" collapsed="false">
      <c r="A858" s="35" t="str">
        <f aca="false">IF(AND(B858="",C858="",D858="",E858="",F858="",G858="",H858="",J858="",L858="",M858="",N858=""),"",Q858)</f>
        <v/>
      </c>
      <c r="B858" s="36"/>
      <c r="C858" s="36"/>
      <c r="D858" s="36"/>
      <c r="E858" s="36"/>
      <c r="F858" s="36"/>
      <c r="G858" s="36"/>
      <c r="H858" s="36"/>
      <c r="I858" s="1" t="str">
        <f aca="false">IF($A858="","",IFERROR(IF(ISBLANK(INDEX(SprintPlanning[Sprint],MATCH($A858,SprintPlanning[Requirement ID],0))),"To Plan",INDEX(SprintPlanning[Sprint],MATCH($A858,SprintPlanning[Requirement ID],0))),"To Plan"))</f>
        <v/>
      </c>
      <c r="J858" s="36"/>
      <c r="K858" s="1" t="str">
        <f aca="false">IFERROR(IF(ISBLANK(INDEX(Release[Release],MATCH($A858,Release[Requirement ID],0))),"",INDEX(Release[Release],MATCH($A858,Release[Requirement ID],0))),"")</f>
        <v/>
      </c>
      <c r="L858" s="36"/>
      <c r="M858" s="36"/>
      <c r="P858" s="1" t="n">
        <f aca="false">IFERROR(VALUE(MID($A858,5,4)),0)</f>
        <v>0</v>
      </c>
      <c r="Q858" s="1" t="str">
        <f aca="false">IF(B858="","","NEW-"&amp;TEXT(MAX($P$2:$P857,Lists!$N$2)+1,"0000"))</f>
        <v/>
      </c>
    </row>
    <row r="859" customFormat="false" ht="15" hidden="false" customHeight="true" outlineLevel="0" collapsed="false">
      <c r="A859" s="35" t="str">
        <f aca="false">IF(AND(B859="",C859="",D859="",E859="",F859="",G859="",H859="",J859="",L859="",M859="",N859=""),"",Q859)</f>
        <v/>
      </c>
      <c r="B859" s="36"/>
      <c r="C859" s="36"/>
      <c r="D859" s="36"/>
      <c r="E859" s="36"/>
      <c r="F859" s="36"/>
      <c r="G859" s="36"/>
      <c r="H859" s="36"/>
      <c r="I859" s="1" t="str">
        <f aca="false">IF($A859="","",IFERROR(IF(ISBLANK(INDEX(SprintPlanning[Sprint],MATCH($A859,SprintPlanning[Requirement ID],0))),"To Plan",INDEX(SprintPlanning[Sprint],MATCH($A859,SprintPlanning[Requirement ID],0))),"To Plan"))</f>
        <v/>
      </c>
      <c r="J859" s="36"/>
      <c r="K859" s="1" t="str">
        <f aca="false">IFERROR(IF(ISBLANK(INDEX(Release[Release],MATCH($A859,Release[Requirement ID],0))),"",INDEX(Release[Release],MATCH($A859,Release[Requirement ID],0))),"")</f>
        <v/>
      </c>
      <c r="L859" s="36"/>
      <c r="M859" s="36"/>
      <c r="P859" s="1" t="n">
        <f aca="false">IFERROR(VALUE(MID($A859,5,4)),0)</f>
        <v>0</v>
      </c>
      <c r="Q859" s="1" t="str">
        <f aca="false">IF(B859="","","NEW-"&amp;TEXT(MAX($P$2:$P858,Lists!$N$2)+1,"0000"))</f>
        <v/>
      </c>
    </row>
    <row r="860" customFormat="false" ht="15" hidden="false" customHeight="true" outlineLevel="0" collapsed="false">
      <c r="A860" s="35" t="str">
        <f aca="false">IF(AND(B860="",C860="",D860="",E860="",F860="",G860="",H860="",J860="",L860="",M860="",N860=""),"",Q860)</f>
        <v/>
      </c>
      <c r="B860" s="36"/>
      <c r="C860" s="36"/>
      <c r="D860" s="36"/>
      <c r="E860" s="36"/>
      <c r="F860" s="36"/>
      <c r="G860" s="36"/>
      <c r="H860" s="36"/>
      <c r="I860" s="1" t="str">
        <f aca="false">IF($A860="","",IFERROR(IF(ISBLANK(INDEX(SprintPlanning[Sprint],MATCH($A860,SprintPlanning[Requirement ID],0))),"To Plan",INDEX(SprintPlanning[Sprint],MATCH($A860,SprintPlanning[Requirement ID],0))),"To Plan"))</f>
        <v/>
      </c>
      <c r="J860" s="36"/>
      <c r="K860" s="1" t="str">
        <f aca="false">IFERROR(IF(ISBLANK(INDEX(Release[Release],MATCH($A860,Release[Requirement ID],0))),"",INDEX(Release[Release],MATCH($A860,Release[Requirement ID],0))),"")</f>
        <v/>
      </c>
      <c r="L860" s="36"/>
      <c r="M860" s="36"/>
      <c r="P860" s="1" t="n">
        <f aca="false">IFERROR(VALUE(MID($A860,5,4)),0)</f>
        <v>0</v>
      </c>
      <c r="Q860" s="1" t="str">
        <f aca="false">IF(B860="","","NEW-"&amp;TEXT(MAX($P$2:$P859,Lists!$N$2)+1,"0000"))</f>
        <v/>
      </c>
    </row>
    <row r="861" customFormat="false" ht="15" hidden="false" customHeight="true" outlineLevel="0" collapsed="false">
      <c r="A861" s="35" t="str">
        <f aca="false">IF(AND(B861="",C861="",D861="",E861="",F861="",G861="",H861="",J861="",L861="",M861="",N861=""),"",Q861)</f>
        <v/>
      </c>
      <c r="B861" s="36"/>
      <c r="C861" s="36"/>
      <c r="D861" s="36"/>
      <c r="E861" s="36"/>
      <c r="F861" s="36"/>
      <c r="G861" s="36"/>
      <c r="H861" s="36"/>
      <c r="I861" s="1" t="str">
        <f aca="false">IF($A861="","",IFERROR(IF(ISBLANK(INDEX(SprintPlanning[Sprint],MATCH($A861,SprintPlanning[Requirement ID],0))),"To Plan",INDEX(SprintPlanning[Sprint],MATCH($A861,SprintPlanning[Requirement ID],0))),"To Plan"))</f>
        <v/>
      </c>
      <c r="J861" s="36"/>
      <c r="K861" s="1" t="str">
        <f aca="false">IFERROR(IF(ISBLANK(INDEX(Release[Release],MATCH($A861,Release[Requirement ID],0))),"",INDEX(Release[Release],MATCH($A861,Release[Requirement ID],0))),"")</f>
        <v/>
      </c>
      <c r="L861" s="36"/>
      <c r="M861" s="36"/>
      <c r="P861" s="1" t="n">
        <f aca="false">IFERROR(VALUE(MID($A861,5,4)),0)</f>
        <v>0</v>
      </c>
      <c r="Q861" s="1" t="str">
        <f aca="false">IF(B861="","","NEW-"&amp;TEXT(MAX($P$2:$P860,Lists!$N$2)+1,"0000"))</f>
        <v/>
      </c>
    </row>
    <row r="862" customFormat="false" ht="15" hidden="false" customHeight="true" outlineLevel="0" collapsed="false">
      <c r="A862" s="35" t="str">
        <f aca="false">IF(AND(B862="",C862="",D862="",E862="",F862="",G862="",H862="",J862="",L862="",M862="",N862=""),"",Q862)</f>
        <v/>
      </c>
      <c r="B862" s="36"/>
      <c r="C862" s="36"/>
      <c r="D862" s="36"/>
      <c r="E862" s="36"/>
      <c r="F862" s="36"/>
      <c r="G862" s="36"/>
      <c r="H862" s="36"/>
      <c r="I862" s="1" t="str">
        <f aca="false">IF($A862="","",IFERROR(IF(ISBLANK(INDEX(SprintPlanning[Sprint],MATCH($A862,SprintPlanning[Requirement ID],0))),"To Plan",INDEX(SprintPlanning[Sprint],MATCH($A862,SprintPlanning[Requirement ID],0))),"To Plan"))</f>
        <v/>
      </c>
      <c r="J862" s="36"/>
      <c r="K862" s="1" t="str">
        <f aca="false">IFERROR(IF(ISBLANK(INDEX(Release[Release],MATCH($A862,Release[Requirement ID],0))),"",INDEX(Release[Release],MATCH($A862,Release[Requirement ID],0))),"")</f>
        <v/>
      </c>
      <c r="L862" s="36"/>
      <c r="M862" s="36"/>
      <c r="P862" s="1" t="n">
        <f aca="false">IFERROR(VALUE(MID($A862,5,4)),0)</f>
        <v>0</v>
      </c>
      <c r="Q862" s="1" t="str">
        <f aca="false">IF(B862="","","NEW-"&amp;TEXT(MAX($P$2:$P861,Lists!$N$2)+1,"0000"))</f>
        <v/>
      </c>
    </row>
    <row r="863" customFormat="false" ht="15" hidden="false" customHeight="true" outlineLevel="0" collapsed="false">
      <c r="A863" s="35" t="str">
        <f aca="false">IF(AND(B863="",C863="",D863="",E863="",F863="",G863="",H863="",J863="",L863="",M863="",N863=""),"",Q863)</f>
        <v/>
      </c>
      <c r="B863" s="36"/>
      <c r="C863" s="36"/>
      <c r="D863" s="36"/>
      <c r="E863" s="36"/>
      <c r="F863" s="36"/>
      <c r="G863" s="36"/>
      <c r="H863" s="36"/>
      <c r="I863" s="1" t="str">
        <f aca="false">IF($A863="","",IFERROR(IF(ISBLANK(INDEX(SprintPlanning[Sprint],MATCH($A863,SprintPlanning[Requirement ID],0))),"To Plan",INDEX(SprintPlanning[Sprint],MATCH($A863,SprintPlanning[Requirement ID],0))),"To Plan"))</f>
        <v/>
      </c>
      <c r="J863" s="36"/>
      <c r="K863" s="1" t="str">
        <f aca="false">IFERROR(IF(ISBLANK(INDEX(Release[Release],MATCH($A863,Release[Requirement ID],0))),"",INDEX(Release[Release],MATCH($A863,Release[Requirement ID],0))),"")</f>
        <v/>
      </c>
      <c r="L863" s="36"/>
      <c r="M863" s="36"/>
      <c r="P863" s="1" t="n">
        <f aca="false">IFERROR(VALUE(MID($A863,5,4)),0)</f>
        <v>0</v>
      </c>
      <c r="Q863" s="1" t="str">
        <f aca="false">IF(B863="","","NEW-"&amp;TEXT(MAX($P$2:$P862,Lists!$N$2)+1,"0000"))</f>
        <v/>
      </c>
    </row>
    <row r="864" customFormat="false" ht="15" hidden="false" customHeight="true" outlineLevel="0" collapsed="false">
      <c r="A864" s="35" t="str">
        <f aca="false">IF(AND(B864="",C864="",D864="",E864="",F864="",G864="",H864="",J864="",L864="",M864="",N864=""),"",Q864)</f>
        <v/>
      </c>
      <c r="B864" s="36"/>
      <c r="C864" s="36"/>
      <c r="D864" s="36"/>
      <c r="E864" s="36"/>
      <c r="F864" s="36"/>
      <c r="G864" s="36"/>
      <c r="H864" s="36"/>
      <c r="I864" s="1" t="str">
        <f aca="false">IF($A864="","",IFERROR(IF(ISBLANK(INDEX(SprintPlanning[Sprint],MATCH($A864,SprintPlanning[Requirement ID],0))),"To Plan",INDEX(SprintPlanning[Sprint],MATCH($A864,SprintPlanning[Requirement ID],0))),"To Plan"))</f>
        <v/>
      </c>
      <c r="J864" s="36"/>
      <c r="K864" s="1" t="str">
        <f aca="false">IFERROR(IF(ISBLANK(INDEX(Release[Release],MATCH($A864,Release[Requirement ID],0))),"",INDEX(Release[Release],MATCH($A864,Release[Requirement ID],0))),"")</f>
        <v/>
      </c>
      <c r="L864" s="36"/>
      <c r="M864" s="36"/>
      <c r="P864" s="1" t="n">
        <f aca="false">IFERROR(VALUE(MID($A864,5,4)),0)</f>
        <v>0</v>
      </c>
      <c r="Q864" s="1" t="str">
        <f aca="false">IF(B864="","","NEW-"&amp;TEXT(MAX($P$2:$P863,Lists!$N$2)+1,"0000"))</f>
        <v/>
      </c>
    </row>
    <row r="865" customFormat="false" ht="15" hidden="false" customHeight="true" outlineLevel="0" collapsed="false">
      <c r="A865" s="35" t="str">
        <f aca="false">IF(AND(B865="",C865="",D865="",E865="",F865="",G865="",H865="",J865="",L865="",M865="",N865=""),"",Q865)</f>
        <v/>
      </c>
      <c r="B865" s="36"/>
      <c r="C865" s="36"/>
      <c r="D865" s="36"/>
      <c r="E865" s="36"/>
      <c r="F865" s="36"/>
      <c r="G865" s="36"/>
      <c r="H865" s="36"/>
      <c r="I865" s="1" t="str">
        <f aca="false">IF($A865="","",IFERROR(IF(ISBLANK(INDEX(SprintPlanning[Sprint],MATCH($A865,SprintPlanning[Requirement ID],0))),"To Plan",INDEX(SprintPlanning[Sprint],MATCH($A865,SprintPlanning[Requirement ID],0))),"To Plan"))</f>
        <v/>
      </c>
      <c r="J865" s="36"/>
      <c r="K865" s="1" t="str">
        <f aca="false">IFERROR(IF(ISBLANK(INDEX(Release[Release],MATCH($A865,Release[Requirement ID],0))),"",INDEX(Release[Release],MATCH($A865,Release[Requirement ID],0))),"")</f>
        <v/>
      </c>
      <c r="L865" s="36"/>
      <c r="M865" s="36"/>
      <c r="P865" s="1" t="n">
        <f aca="false">IFERROR(VALUE(MID($A865,5,4)),0)</f>
        <v>0</v>
      </c>
      <c r="Q865" s="1" t="str">
        <f aca="false">IF(B865="","","NEW-"&amp;TEXT(MAX($P$2:$P864,Lists!$N$2)+1,"0000"))</f>
        <v/>
      </c>
    </row>
    <row r="866" customFormat="false" ht="15" hidden="false" customHeight="true" outlineLevel="0" collapsed="false">
      <c r="A866" s="35" t="str">
        <f aca="false">IF(AND(B866="",C866="",D866="",E866="",F866="",G866="",H866="",J866="",L866="",M866="",N866=""),"",Q866)</f>
        <v/>
      </c>
      <c r="B866" s="36"/>
      <c r="C866" s="36"/>
      <c r="D866" s="36"/>
      <c r="E866" s="36"/>
      <c r="F866" s="36"/>
      <c r="G866" s="36"/>
      <c r="H866" s="36"/>
      <c r="I866" s="1" t="str">
        <f aca="false">IF($A866="","",IFERROR(IF(ISBLANK(INDEX(SprintPlanning[Sprint],MATCH($A866,SprintPlanning[Requirement ID],0))),"To Plan",INDEX(SprintPlanning[Sprint],MATCH($A866,SprintPlanning[Requirement ID],0))),"To Plan"))</f>
        <v/>
      </c>
      <c r="J866" s="36"/>
      <c r="K866" s="1" t="str">
        <f aca="false">IFERROR(IF(ISBLANK(INDEX(Release[Release],MATCH($A866,Release[Requirement ID],0))),"",INDEX(Release[Release],MATCH($A866,Release[Requirement ID],0))),"")</f>
        <v/>
      </c>
      <c r="L866" s="36"/>
      <c r="M866" s="36"/>
      <c r="P866" s="1" t="n">
        <f aca="false">IFERROR(VALUE(MID($A866,5,4)),0)</f>
        <v>0</v>
      </c>
      <c r="Q866" s="1" t="str">
        <f aca="false">IF(B866="","","NEW-"&amp;TEXT(MAX($P$2:$P865,Lists!$N$2)+1,"0000"))</f>
        <v/>
      </c>
    </row>
    <row r="867" customFormat="false" ht="15" hidden="false" customHeight="true" outlineLevel="0" collapsed="false">
      <c r="A867" s="35" t="str">
        <f aca="false">IF(AND(B867="",C867="",D867="",E867="",F867="",G867="",H867="",J867="",L867="",M867="",N867=""),"",Q867)</f>
        <v/>
      </c>
      <c r="B867" s="36"/>
      <c r="C867" s="36"/>
      <c r="D867" s="36"/>
      <c r="E867" s="36"/>
      <c r="F867" s="36"/>
      <c r="G867" s="36"/>
      <c r="H867" s="36"/>
      <c r="I867" s="1" t="str">
        <f aca="false">IF($A867="","",IFERROR(IF(ISBLANK(INDEX(SprintPlanning[Sprint],MATCH($A867,SprintPlanning[Requirement ID],0))),"To Plan",INDEX(SprintPlanning[Sprint],MATCH($A867,SprintPlanning[Requirement ID],0))),"To Plan"))</f>
        <v/>
      </c>
      <c r="J867" s="36"/>
      <c r="K867" s="1" t="str">
        <f aca="false">IFERROR(IF(ISBLANK(INDEX(Release[Release],MATCH($A867,Release[Requirement ID],0))),"",INDEX(Release[Release],MATCH($A867,Release[Requirement ID],0))),"")</f>
        <v/>
      </c>
      <c r="L867" s="36"/>
      <c r="M867" s="36"/>
      <c r="P867" s="1" t="n">
        <f aca="false">IFERROR(VALUE(MID($A867,5,4)),0)</f>
        <v>0</v>
      </c>
      <c r="Q867" s="1" t="str">
        <f aca="false">IF(B867="","","NEW-"&amp;TEXT(MAX($P$2:$P866,Lists!$N$2)+1,"0000"))</f>
        <v/>
      </c>
    </row>
    <row r="868" customFormat="false" ht="15" hidden="false" customHeight="true" outlineLevel="0" collapsed="false">
      <c r="A868" s="35" t="str">
        <f aca="false">IF(AND(B868="",C868="",D868="",E868="",F868="",G868="",H868="",J868="",L868="",M868="",N868=""),"",Q868)</f>
        <v/>
      </c>
      <c r="B868" s="36"/>
      <c r="C868" s="36"/>
      <c r="D868" s="36"/>
      <c r="E868" s="36"/>
      <c r="F868" s="36"/>
      <c r="G868" s="36"/>
      <c r="H868" s="36"/>
      <c r="I868" s="1" t="str">
        <f aca="false">IF($A868="","",IFERROR(IF(ISBLANK(INDEX(SprintPlanning[Sprint],MATCH($A868,SprintPlanning[Requirement ID],0))),"To Plan",INDEX(SprintPlanning[Sprint],MATCH($A868,SprintPlanning[Requirement ID],0))),"To Plan"))</f>
        <v/>
      </c>
      <c r="J868" s="36"/>
      <c r="K868" s="1" t="str">
        <f aca="false">IFERROR(IF(ISBLANK(INDEX(Release[Release],MATCH($A868,Release[Requirement ID],0))),"",INDEX(Release[Release],MATCH($A868,Release[Requirement ID],0))),"")</f>
        <v/>
      </c>
      <c r="L868" s="36"/>
      <c r="M868" s="36"/>
      <c r="P868" s="1" t="n">
        <f aca="false">IFERROR(VALUE(MID($A868,5,4)),0)</f>
        <v>0</v>
      </c>
      <c r="Q868" s="1" t="str">
        <f aca="false">IF(B868="","","NEW-"&amp;TEXT(MAX($P$2:$P867,Lists!$N$2)+1,"0000"))</f>
        <v/>
      </c>
    </row>
    <row r="869" customFormat="false" ht="15" hidden="false" customHeight="true" outlineLevel="0" collapsed="false">
      <c r="A869" s="35" t="str">
        <f aca="false">IF(AND(B869="",C869="",D869="",E869="",F869="",G869="",H869="",J869="",L869="",M869="",N869=""),"",Q869)</f>
        <v/>
      </c>
      <c r="B869" s="36"/>
      <c r="C869" s="36"/>
      <c r="D869" s="36"/>
      <c r="E869" s="36"/>
      <c r="F869" s="36"/>
      <c r="G869" s="36"/>
      <c r="H869" s="36"/>
      <c r="I869" s="1" t="str">
        <f aca="false">IF($A869="","",IFERROR(IF(ISBLANK(INDEX(SprintPlanning[Sprint],MATCH($A869,SprintPlanning[Requirement ID],0))),"To Plan",INDEX(SprintPlanning[Sprint],MATCH($A869,SprintPlanning[Requirement ID],0))),"To Plan"))</f>
        <v/>
      </c>
      <c r="J869" s="36"/>
      <c r="K869" s="1" t="str">
        <f aca="false">IFERROR(IF(ISBLANK(INDEX(Release[Release],MATCH($A869,Release[Requirement ID],0))),"",INDEX(Release[Release],MATCH($A869,Release[Requirement ID],0))),"")</f>
        <v/>
      </c>
      <c r="L869" s="36"/>
      <c r="M869" s="36"/>
      <c r="P869" s="1" t="n">
        <f aca="false">IFERROR(VALUE(MID($A869,5,4)),0)</f>
        <v>0</v>
      </c>
      <c r="Q869" s="1" t="str">
        <f aca="false">IF(B869="","","NEW-"&amp;TEXT(MAX($P$2:$P868,Lists!$N$2)+1,"0000"))</f>
        <v/>
      </c>
    </row>
    <row r="870" customFormat="false" ht="15" hidden="false" customHeight="true" outlineLevel="0" collapsed="false">
      <c r="A870" s="35" t="str">
        <f aca="false">IF(AND(B870="",C870="",D870="",E870="",F870="",G870="",H870="",J870="",L870="",M870="",N870=""),"",Q870)</f>
        <v/>
      </c>
      <c r="B870" s="36"/>
      <c r="C870" s="36"/>
      <c r="D870" s="36"/>
      <c r="E870" s="36"/>
      <c r="F870" s="36"/>
      <c r="G870" s="36"/>
      <c r="H870" s="36"/>
      <c r="I870" s="1" t="str">
        <f aca="false">IF($A870="","",IFERROR(IF(ISBLANK(INDEX(SprintPlanning[Sprint],MATCH($A870,SprintPlanning[Requirement ID],0))),"To Plan",INDEX(SprintPlanning[Sprint],MATCH($A870,SprintPlanning[Requirement ID],0))),"To Plan"))</f>
        <v/>
      </c>
      <c r="J870" s="36"/>
      <c r="K870" s="1" t="str">
        <f aca="false">IFERROR(IF(ISBLANK(INDEX(Release[Release],MATCH($A870,Release[Requirement ID],0))),"",INDEX(Release[Release],MATCH($A870,Release[Requirement ID],0))),"")</f>
        <v/>
      </c>
      <c r="L870" s="36"/>
      <c r="M870" s="36"/>
      <c r="P870" s="1" t="n">
        <f aca="false">IFERROR(VALUE(MID($A870,5,4)),0)</f>
        <v>0</v>
      </c>
      <c r="Q870" s="1" t="str">
        <f aca="false">IF(B870="","","NEW-"&amp;TEXT(MAX($P$2:$P869,Lists!$N$2)+1,"0000"))</f>
        <v/>
      </c>
    </row>
    <row r="871" customFormat="false" ht="15" hidden="false" customHeight="true" outlineLevel="0" collapsed="false">
      <c r="A871" s="35" t="str">
        <f aca="false">IF(AND(B871="",C871="",D871="",E871="",F871="",G871="",H871="",J871="",L871="",M871="",N871=""),"",Q871)</f>
        <v/>
      </c>
      <c r="B871" s="36"/>
      <c r="C871" s="36"/>
      <c r="D871" s="36"/>
      <c r="E871" s="36"/>
      <c r="F871" s="36"/>
      <c r="G871" s="36"/>
      <c r="H871" s="36"/>
      <c r="I871" s="1" t="str">
        <f aca="false">IF($A871="","",IFERROR(IF(ISBLANK(INDEX(SprintPlanning[Sprint],MATCH($A871,SprintPlanning[Requirement ID],0))),"To Plan",INDEX(SprintPlanning[Sprint],MATCH($A871,SprintPlanning[Requirement ID],0))),"To Plan"))</f>
        <v/>
      </c>
      <c r="J871" s="36"/>
      <c r="K871" s="1" t="str">
        <f aca="false">IFERROR(IF(ISBLANK(INDEX(Release[Release],MATCH($A871,Release[Requirement ID],0))),"",INDEX(Release[Release],MATCH($A871,Release[Requirement ID],0))),"")</f>
        <v/>
      </c>
      <c r="L871" s="36"/>
      <c r="M871" s="36"/>
      <c r="P871" s="1" t="n">
        <f aca="false">IFERROR(VALUE(MID($A871,5,4)),0)</f>
        <v>0</v>
      </c>
      <c r="Q871" s="1" t="str">
        <f aca="false">IF(B871="","","NEW-"&amp;TEXT(MAX($P$2:$P870,Lists!$N$2)+1,"0000"))</f>
        <v/>
      </c>
    </row>
    <row r="872" customFormat="false" ht="15" hidden="false" customHeight="true" outlineLevel="0" collapsed="false">
      <c r="A872" s="35" t="str">
        <f aca="false">IF(AND(B872="",C872="",D872="",E872="",F872="",G872="",H872="",J872="",L872="",M872="",N872=""),"",Q872)</f>
        <v/>
      </c>
      <c r="B872" s="36"/>
      <c r="C872" s="36"/>
      <c r="D872" s="36"/>
      <c r="E872" s="36"/>
      <c r="F872" s="36"/>
      <c r="G872" s="36"/>
      <c r="H872" s="36"/>
      <c r="I872" s="1" t="str">
        <f aca="false">IF($A872="","",IFERROR(IF(ISBLANK(INDEX(SprintPlanning[Sprint],MATCH($A872,SprintPlanning[Requirement ID],0))),"To Plan",INDEX(SprintPlanning[Sprint],MATCH($A872,SprintPlanning[Requirement ID],0))),"To Plan"))</f>
        <v/>
      </c>
      <c r="J872" s="36"/>
      <c r="K872" s="1" t="str">
        <f aca="false">IFERROR(IF(ISBLANK(INDEX(Release[Release],MATCH($A872,Release[Requirement ID],0))),"",INDEX(Release[Release],MATCH($A872,Release[Requirement ID],0))),"")</f>
        <v/>
      </c>
      <c r="L872" s="36"/>
      <c r="M872" s="36"/>
      <c r="P872" s="1" t="n">
        <f aca="false">IFERROR(VALUE(MID($A872,5,4)),0)</f>
        <v>0</v>
      </c>
      <c r="Q872" s="1" t="str">
        <f aca="false">IF(B872="","","NEW-"&amp;TEXT(MAX($P$2:$P871,Lists!$N$2)+1,"0000"))</f>
        <v/>
      </c>
    </row>
    <row r="873" customFormat="false" ht="15" hidden="false" customHeight="true" outlineLevel="0" collapsed="false">
      <c r="A873" s="35" t="str">
        <f aca="false">IF(AND(B873="",C873="",D873="",E873="",F873="",G873="",H873="",J873="",L873="",M873="",N873=""),"",Q873)</f>
        <v/>
      </c>
      <c r="B873" s="36"/>
      <c r="C873" s="36"/>
      <c r="D873" s="36"/>
      <c r="E873" s="36"/>
      <c r="F873" s="36"/>
      <c r="G873" s="36"/>
      <c r="H873" s="36"/>
      <c r="I873" s="1" t="str">
        <f aca="false">IF($A873="","",IFERROR(IF(ISBLANK(INDEX(SprintPlanning[Sprint],MATCH($A873,SprintPlanning[Requirement ID],0))),"To Plan",INDEX(SprintPlanning[Sprint],MATCH($A873,SprintPlanning[Requirement ID],0))),"To Plan"))</f>
        <v/>
      </c>
      <c r="J873" s="36"/>
      <c r="K873" s="1" t="str">
        <f aca="false">IFERROR(IF(ISBLANK(INDEX(Release[Release],MATCH($A873,Release[Requirement ID],0))),"",INDEX(Release[Release],MATCH($A873,Release[Requirement ID],0))),"")</f>
        <v/>
      </c>
      <c r="L873" s="36"/>
      <c r="M873" s="36"/>
      <c r="P873" s="1" t="n">
        <f aca="false">IFERROR(VALUE(MID($A873,5,4)),0)</f>
        <v>0</v>
      </c>
      <c r="Q873" s="1" t="str">
        <f aca="false">IF(B873="","","NEW-"&amp;TEXT(MAX($P$2:$P872,Lists!$N$2)+1,"0000"))</f>
        <v/>
      </c>
    </row>
    <row r="874" customFormat="false" ht="15" hidden="false" customHeight="true" outlineLevel="0" collapsed="false">
      <c r="A874" s="35" t="str">
        <f aca="false">IF(AND(B874="",C874="",D874="",E874="",F874="",G874="",H874="",J874="",L874="",M874="",N874=""),"",Q874)</f>
        <v/>
      </c>
      <c r="B874" s="36"/>
      <c r="C874" s="36"/>
      <c r="D874" s="36"/>
      <c r="E874" s="36"/>
      <c r="F874" s="36"/>
      <c r="G874" s="36"/>
      <c r="H874" s="36"/>
      <c r="I874" s="1" t="str">
        <f aca="false">IF($A874="","",IFERROR(IF(ISBLANK(INDEX(SprintPlanning[Sprint],MATCH($A874,SprintPlanning[Requirement ID],0))),"To Plan",INDEX(SprintPlanning[Sprint],MATCH($A874,SprintPlanning[Requirement ID],0))),"To Plan"))</f>
        <v/>
      </c>
      <c r="J874" s="36"/>
      <c r="K874" s="1" t="str">
        <f aca="false">IFERROR(IF(ISBLANK(INDEX(Release[Release],MATCH($A874,Release[Requirement ID],0))),"",INDEX(Release[Release],MATCH($A874,Release[Requirement ID],0))),"")</f>
        <v/>
      </c>
      <c r="L874" s="36"/>
      <c r="M874" s="36"/>
      <c r="P874" s="1" t="n">
        <f aca="false">IFERROR(VALUE(MID($A874,5,4)),0)</f>
        <v>0</v>
      </c>
      <c r="Q874" s="1" t="str">
        <f aca="false">IF(B874="","","NEW-"&amp;TEXT(MAX($P$2:$P873,Lists!$N$2)+1,"0000"))</f>
        <v/>
      </c>
    </row>
    <row r="875" customFormat="false" ht="15" hidden="false" customHeight="true" outlineLevel="0" collapsed="false">
      <c r="A875" s="35" t="str">
        <f aca="false">IF(AND(B875="",C875="",D875="",E875="",F875="",G875="",H875="",J875="",L875="",M875="",N875=""),"",Q875)</f>
        <v/>
      </c>
      <c r="B875" s="36"/>
      <c r="C875" s="36"/>
      <c r="D875" s="36"/>
      <c r="E875" s="36"/>
      <c r="F875" s="36"/>
      <c r="G875" s="36"/>
      <c r="H875" s="36"/>
      <c r="I875" s="1" t="str">
        <f aca="false">IF($A875="","",IFERROR(IF(ISBLANK(INDEX(SprintPlanning[Sprint],MATCH($A875,SprintPlanning[Requirement ID],0))),"To Plan",INDEX(SprintPlanning[Sprint],MATCH($A875,SprintPlanning[Requirement ID],0))),"To Plan"))</f>
        <v/>
      </c>
      <c r="J875" s="36"/>
      <c r="K875" s="1" t="str">
        <f aca="false">IFERROR(IF(ISBLANK(INDEX(Release[Release],MATCH($A875,Release[Requirement ID],0))),"",INDEX(Release[Release],MATCH($A875,Release[Requirement ID],0))),"")</f>
        <v/>
      </c>
      <c r="L875" s="36"/>
      <c r="M875" s="36"/>
      <c r="P875" s="1" t="n">
        <f aca="false">IFERROR(VALUE(MID($A875,5,4)),0)</f>
        <v>0</v>
      </c>
      <c r="Q875" s="1" t="str">
        <f aca="false">IF(B875="","","NEW-"&amp;TEXT(MAX($P$2:$P874,Lists!$N$2)+1,"0000"))</f>
        <v/>
      </c>
    </row>
    <row r="876" customFormat="false" ht="15" hidden="false" customHeight="true" outlineLevel="0" collapsed="false">
      <c r="A876" s="35" t="str">
        <f aca="false">IF(AND(B876="",C876="",D876="",E876="",F876="",G876="",H876="",J876="",L876="",M876="",N876=""),"",Q876)</f>
        <v/>
      </c>
      <c r="B876" s="36"/>
      <c r="C876" s="36"/>
      <c r="D876" s="36"/>
      <c r="E876" s="36"/>
      <c r="F876" s="36"/>
      <c r="G876" s="36"/>
      <c r="H876" s="36"/>
      <c r="I876" s="1" t="str">
        <f aca="false">IF($A876="","",IFERROR(IF(ISBLANK(INDEX(SprintPlanning[Sprint],MATCH($A876,SprintPlanning[Requirement ID],0))),"To Plan",INDEX(SprintPlanning[Sprint],MATCH($A876,SprintPlanning[Requirement ID],0))),"To Plan"))</f>
        <v/>
      </c>
      <c r="J876" s="36"/>
      <c r="K876" s="1" t="str">
        <f aca="false">IFERROR(IF(ISBLANK(INDEX(Release[Release],MATCH($A876,Release[Requirement ID],0))),"",INDEX(Release[Release],MATCH($A876,Release[Requirement ID],0))),"")</f>
        <v/>
      </c>
      <c r="L876" s="36"/>
      <c r="M876" s="36"/>
      <c r="P876" s="1" t="n">
        <f aca="false">IFERROR(VALUE(MID($A876,5,4)),0)</f>
        <v>0</v>
      </c>
      <c r="Q876" s="1" t="str">
        <f aca="false">IF(B876="","","NEW-"&amp;TEXT(MAX($P$2:$P875,Lists!$N$2)+1,"0000"))</f>
        <v/>
      </c>
    </row>
    <row r="877" customFormat="false" ht="15" hidden="false" customHeight="true" outlineLevel="0" collapsed="false">
      <c r="A877" s="35" t="str">
        <f aca="false">IF(AND(B877="",C877="",D877="",E877="",F877="",G877="",H877="",J877="",L877="",M877="",N877=""),"",Q877)</f>
        <v/>
      </c>
      <c r="B877" s="36"/>
      <c r="C877" s="36"/>
      <c r="D877" s="36"/>
      <c r="E877" s="36"/>
      <c r="F877" s="36"/>
      <c r="G877" s="36"/>
      <c r="H877" s="36"/>
      <c r="I877" s="1" t="str">
        <f aca="false">IF($A877="","",IFERROR(IF(ISBLANK(INDEX(SprintPlanning[Sprint],MATCH($A877,SprintPlanning[Requirement ID],0))),"To Plan",INDEX(SprintPlanning[Sprint],MATCH($A877,SprintPlanning[Requirement ID],0))),"To Plan"))</f>
        <v/>
      </c>
      <c r="J877" s="36"/>
      <c r="K877" s="1" t="str">
        <f aca="false">IFERROR(IF(ISBLANK(INDEX(Release[Release],MATCH($A877,Release[Requirement ID],0))),"",INDEX(Release[Release],MATCH($A877,Release[Requirement ID],0))),"")</f>
        <v/>
      </c>
      <c r="L877" s="36"/>
      <c r="M877" s="36"/>
      <c r="P877" s="1" t="n">
        <f aca="false">IFERROR(VALUE(MID($A877,5,4)),0)</f>
        <v>0</v>
      </c>
      <c r="Q877" s="1" t="str">
        <f aca="false">IF(B877="","","NEW-"&amp;TEXT(MAX($P$2:$P876,Lists!$N$2)+1,"0000"))</f>
        <v/>
      </c>
    </row>
    <row r="878" customFormat="false" ht="15" hidden="false" customHeight="true" outlineLevel="0" collapsed="false">
      <c r="A878" s="35" t="str">
        <f aca="false">IF(AND(B878="",C878="",D878="",E878="",F878="",G878="",H878="",J878="",L878="",M878="",N878=""),"",Q878)</f>
        <v/>
      </c>
      <c r="B878" s="36"/>
      <c r="C878" s="36"/>
      <c r="D878" s="36"/>
      <c r="E878" s="36"/>
      <c r="F878" s="36"/>
      <c r="G878" s="36"/>
      <c r="H878" s="36"/>
      <c r="I878" s="1" t="str">
        <f aca="false">IF($A878="","",IFERROR(IF(ISBLANK(INDEX(SprintPlanning[Sprint],MATCH($A878,SprintPlanning[Requirement ID],0))),"To Plan",INDEX(SprintPlanning[Sprint],MATCH($A878,SprintPlanning[Requirement ID],0))),"To Plan"))</f>
        <v/>
      </c>
      <c r="J878" s="36"/>
      <c r="K878" s="1" t="str">
        <f aca="false">IFERROR(IF(ISBLANK(INDEX(Release[Release],MATCH($A878,Release[Requirement ID],0))),"",INDEX(Release[Release],MATCH($A878,Release[Requirement ID],0))),"")</f>
        <v/>
      </c>
      <c r="L878" s="36"/>
      <c r="M878" s="36"/>
      <c r="P878" s="1" t="n">
        <f aca="false">IFERROR(VALUE(MID($A878,5,4)),0)</f>
        <v>0</v>
      </c>
      <c r="Q878" s="1" t="str">
        <f aca="false">IF(B878="","","NEW-"&amp;TEXT(MAX($P$2:$P877,Lists!$N$2)+1,"0000"))</f>
        <v/>
      </c>
    </row>
    <row r="879" customFormat="false" ht="15" hidden="false" customHeight="true" outlineLevel="0" collapsed="false">
      <c r="A879" s="35" t="str">
        <f aca="false">IF(AND(B879="",C879="",D879="",E879="",F879="",G879="",H879="",J879="",L879="",M879="",N879=""),"",Q879)</f>
        <v/>
      </c>
      <c r="B879" s="36"/>
      <c r="C879" s="36"/>
      <c r="D879" s="36"/>
      <c r="E879" s="36"/>
      <c r="F879" s="36"/>
      <c r="G879" s="36"/>
      <c r="H879" s="36"/>
      <c r="I879" s="1" t="str">
        <f aca="false">IF($A879="","",IFERROR(IF(ISBLANK(INDEX(SprintPlanning[Sprint],MATCH($A879,SprintPlanning[Requirement ID],0))),"To Plan",INDEX(SprintPlanning[Sprint],MATCH($A879,SprintPlanning[Requirement ID],0))),"To Plan"))</f>
        <v/>
      </c>
      <c r="J879" s="36"/>
      <c r="K879" s="1" t="str">
        <f aca="false">IFERROR(IF(ISBLANK(INDEX(Release[Release],MATCH($A879,Release[Requirement ID],0))),"",INDEX(Release[Release],MATCH($A879,Release[Requirement ID],0))),"")</f>
        <v/>
      </c>
      <c r="L879" s="36"/>
      <c r="M879" s="36"/>
      <c r="P879" s="1" t="n">
        <f aca="false">IFERROR(VALUE(MID($A879,5,4)),0)</f>
        <v>0</v>
      </c>
      <c r="Q879" s="1" t="str">
        <f aca="false">IF(B879="","","NEW-"&amp;TEXT(MAX($P$2:$P878,Lists!$N$2)+1,"0000"))</f>
        <v/>
      </c>
    </row>
    <row r="880" customFormat="false" ht="15" hidden="false" customHeight="true" outlineLevel="0" collapsed="false">
      <c r="A880" s="35" t="str">
        <f aca="false">IF(AND(B880="",C880="",D880="",E880="",F880="",G880="",H880="",J880="",L880="",M880="",N880=""),"",Q880)</f>
        <v/>
      </c>
      <c r="B880" s="36"/>
      <c r="C880" s="36"/>
      <c r="D880" s="36"/>
      <c r="E880" s="36"/>
      <c r="F880" s="36"/>
      <c r="G880" s="36"/>
      <c r="H880" s="36"/>
      <c r="I880" s="1" t="str">
        <f aca="false">IF($A880="","",IFERROR(IF(ISBLANK(INDEX(SprintPlanning[Sprint],MATCH($A880,SprintPlanning[Requirement ID],0))),"To Plan",INDEX(SprintPlanning[Sprint],MATCH($A880,SprintPlanning[Requirement ID],0))),"To Plan"))</f>
        <v/>
      </c>
      <c r="J880" s="36"/>
      <c r="K880" s="1" t="str">
        <f aca="false">IFERROR(IF(ISBLANK(INDEX(Release[Release],MATCH($A880,Release[Requirement ID],0))),"",INDEX(Release[Release],MATCH($A880,Release[Requirement ID],0))),"")</f>
        <v/>
      </c>
      <c r="L880" s="36"/>
      <c r="M880" s="36"/>
      <c r="P880" s="1" t="n">
        <f aca="false">IFERROR(VALUE(MID($A880,5,4)),0)</f>
        <v>0</v>
      </c>
      <c r="Q880" s="1" t="str">
        <f aca="false">IF(B880="","","NEW-"&amp;TEXT(MAX($P$2:$P879,Lists!$N$2)+1,"0000"))</f>
        <v/>
      </c>
    </row>
    <row r="881" customFormat="false" ht="15" hidden="false" customHeight="true" outlineLevel="0" collapsed="false">
      <c r="A881" s="35" t="str">
        <f aca="false">IF(AND(B881="",C881="",D881="",E881="",F881="",G881="",H881="",J881="",L881="",M881="",N881=""),"",Q881)</f>
        <v/>
      </c>
      <c r="B881" s="36"/>
      <c r="C881" s="36"/>
      <c r="D881" s="36"/>
      <c r="E881" s="36"/>
      <c r="F881" s="36"/>
      <c r="G881" s="36"/>
      <c r="H881" s="36"/>
      <c r="I881" s="1" t="str">
        <f aca="false">IF($A881="","",IFERROR(IF(ISBLANK(INDEX(SprintPlanning[Sprint],MATCH($A881,SprintPlanning[Requirement ID],0))),"To Plan",INDEX(SprintPlanning[Sprint],MATCH($A881,SprintPlanning[Requirement ID],0))),"To Plan"))</f>
        <v/>
      </c>
      <c r="J881" s="36"/>
      <c r="K881" s="1" t="str">
        <f aca="false">IFERROR(IF(ISBLANK(INDEX(Release[Release],MATCH($A881,Release[Requirement ID],0))),"",INDEX(Release[Release],MATCH($A881,Release[Requirement ID],0))),"")</f>
        <v/>
      </c>
      <c r="L881" s="36"/>
      <c r="M881" s="36"/>
      <c r="P881" s="1" t="n">
        <f aca="false">IFERROR(VALUE(MID($A881,5,4)),0)</f>
        <v>0</v>
      </c>
      <c r="Q881" s="1" t="str">
        <f aca="false">IF(B881="","","NEW-"&amp;TEXT(MAX($P$2:$P880,Lists!$N$2)+1,"0000"))</f>
        <v/>
      </c>
    </row>
    <row r="882" customFormat="false" ht="15" hidden="false" customHeight="true" outlineLevel="0" collapsed="false">
      <c r="A882" s="35" t="str">
        <f aca="false">IF(AND(B882="",C882="",D882="",E882="",F882="",G882="",H882="",J882="",L882="",M882="",N882=""),"",Q882)</f>
        <v/>
      </c>
      <c r="B882" s="36"/>
      <c r="C882" s="36"/>
      <c r="D882" s="36"/>
      <c r="E882" s="36"/>
      <c r="F882" s="36"/>
      <c r="G882" s="36"/>
      <c r="H882" s="36"/>
      <c r="I882" s="1" t="str">
        <f aca="false">IF($A882="","",IFERROR(IF(ISBLANK(INDEX(SprintPlanning[Sprint],MATCH($A882,SprintPlanning[Requirement ID],0))),"To Plan",INDEX(SprintPlanning[Sprint],MATCH($A882,SprintPlanning[Requirement ID],0))),"To Plan"))</f>
        <v/>
      </c>
      <c r="J882" s="36"/>
      <c r="K882" s="1" t="str">
        <f aca="false">IFERROR(IF(ISBLANK(INDEX(Release[Release],MATCH($A882,Release[Requirement ID],0))),"",INDEX(Release[Release],MATCH($A882,Release[Requirement ID],0))),"")</f>
        <v/>
      </c>
      <c r="L882" s="36"/>
      <c r="M882" s="36"/>
      <c r="P882" s="1" t="n">
        <f aca="false">IFERROR(VALUE(MID($A882,5,4)),0)</f>
        <v>0</v>
      </c>
      <c r="Q882" s="1" t="str">
        <f aca="false">IF(B882="","","NEW-"&amp;TEXT(MAX($P$2:$P881,Lists!$N$2)+1,"0000"))</f>
        <v/>
      </c>
    </row>
    <row r="883" customFormat="false" ht="15" hidden="false" customHeight="true" outlineLevel="0" collapsed="false">
      <c r="A883" s="35" t="str">
        <f aca="false">IF(AND(B883="",C883="",D883="",E883="",F883="",G883="",H883="",J883="",L883="",M883="",N883=""),"",Q883)</f>
        <v/>
      </c>
      <c r="B883" s="36"/>
      <c r="C883" s="36"/>
      <c r="D883" s="36"/>
      <c r="E883" s="36"/>
      <c r="F883" s="36"/>
      <c r="G883" s="36"/>
      <c r="H883" s="36"/>
      <c r="I883" s="1" t="str">
        <f aca="false">IF($A883="","",IFERROR(IF(ISBLANK(INDEX(SprintPlanning[Sprint],MATCH($A883,SprintPlanning[Requirement ID],0))),"To Plan",INDEX(SprintPlanning[Sprint],MATCH($A883,SprintPlanning[Requirement ID],0))),"To Plan"))</f>
        <v/>
      </c>
      <c r="J883" s="36"/>
      <c r="K883" s="1" t="str">
        <f aca="false">IFERROR(IF(ISBLANK(INDEX(Release[Release],MATCH($A883,Release[Requirement ID],0))),"",INDEX(Release[Release],MATCH($A883,Release[Requirement ID],0))),"")</f>
        <v/>
      </c>
      <c r="L883" s="36"/>
      <c r="M883" s="36"/>
      <c r="P883" s="1" t="n">
        <f aca="false">IFERROR(VALUE(MID($A883,5,4)),0)</f>
        <v>0</v>
      </c>
      <c r="Q883" s="1" t="str">
        <f aca="false">IF(B883="","","NEW-"&amp;TEXT(MAX($P$2:$P882,Lists!$N$2)+1,"0000"))</f>
        <v/>
      </c>
    </row>
    <row r="884" customFormat="false" ht="15" hidden="false" customHeight="true" outlineLevel="0" collapsed="false">
      <c r="A884" s="35" t="str">
        <f aca="false">IF(AND(B884="",C884="",D884="",E884="",F884="",G884="",H884="",J884="",L884="",M884="",N884=""),"",Q884)</f>
        <v/>
      </c>
      <c r="B884" s="36"/>
      <c r="C884" s="36"/>
      <c r="D884" s="36"/>
      <c r="E884" s="36"/>
      <c r="F884" s="36"/>
      <c r="G884" s="36"/>
      <c r="H884" s="36"/>
      <c r="I884" s="1" t="str">
        <f aca="false">IF($A884="","",IFERROR(IF(ISBLANK(INDEX(SprintPlanning[Sprint],MATCH($A884,SprintPlanning[Requirement ID],0))),"To Plan",INDEX(SprintPlanning[Sprint],MATCH($A884,SprintPlanning[Requirement ID],0))),"To Plan"))</f>
        <v/>
      </c>
      <c r="J884" s="36"/>
      <c r="K884" s="1" t="str">
        <f aca="false">IFERROR(IF(ISBLANK(INDEX(Release[Release],MATCH($A884,Release[Requirement ID],0))),"",INDEX(Release[Release],MATCH($A884,Release[Requirement ID],0))),"")</f>
        <v/>
      </c>
      <c r="L884" s="36"/>
      <c r="M884" s="36"/>
      <c r="P884" s="1" t="n">
        <f aca="false">IFERROR(VALUE(MID($A884,5,4)),0)</f>
        <v>0</v>
      </c>
      <c r="Q884" s="1" t="str">
        <f aca="false">IF(B884="","","NEW-"&amp;TEXT(MAX($P$2:$P883,Lists!$N$2)+1,"0000"))</f>
        <v/>
      </c>
    </row>
    <row r="885" customFormat="false" ht="15" hidden="false" customHeight="true" outlineLevel="0" collapsed="false">
      <c r="A885" s="35" t="str">
        <f aca="false">IF(AND(B885="",C885="",D885="",E885="",F885="",G885="",H885="",J885="",L885="",M885="",N885=""),"",Q885)</f>
        <v/>
      </c>
      <c r="B885" s="36"/>
      <c r="C885" s="36"/>
      <c r="D885" s="36"/>
      <c r="E885" s="36"/>
      <c r="F885" s="36"/>
      <c r="G885" s="36"/>
      <c r="H885" s="36"/>
      <c r="I885" s="1" t="str">
        <f aca="false">IF($A885="","",IFERROR(IF(ISBLANK(INDEX(SprintPlanning[Sprint],MATCH($A885,SprintPlanning[Requirement ID],0))),"To Plan",INDEX(SprintPlanning[Sprint],MATCH($A885,SprintPlanning[Requirement ID],0))),"To Plan"))</f>
        <v/>
      </c>
      <c r="J885" s="36"/>
      <c r="K885" s="1" t="str">
        <f aca="false">IFERROR(IF(ISBLANK(INDEX(Release[Release],MATCH($A885,Release[Requirement ID],0))),"",INDEX(Release[Release],MATCH($A885,Release[Requirement ID],0))),"")</f>
        <v/>
      </c>
      <c r="L885" s="36"/>
      <c r="M885" s="36"/>
      <c r="P885" s="1" t="n">
        <f aca="false">IFERROR(VALUE(MID($A885,5,4)),0)</f>
        <v>0</v>
      </c>
      <c r="Q885" s="1" t="str">
        <f aca="false">IF(B885="","","NEW-"&amp;TEXT(MAX($P$2:$P884,Lists!$N$2)+1,"0000"))</f>
        <v/>
      </c>
    </row>
    <row r="886" customFormat="false" ht="15" hidden="false" customHeight="true" outlineLevel="0" collapsed="false">
      <c r="A886" s="35" t="str">
        <f aca="false">IF(AND(B886="",C886="",D886="",E886="",F886="",G886="",H886="",J886="",L886="",M886="",N886=""),"",Q886)</f>
        <v/>
      </c>
      <c r="B886" s="36"/>
      <c r="C886" s="36"/>
      <c r="D886" s="36"/>
      <c r="E886" s="36"/>
      <c r="F886" s="36"/>
      <c r="G886" s="36"/>
      <c r="H886" s="36"/>
      <c r="I886" s="1" t="str">
        <f aca="false">IF($A886="","",IFERROR(IF(ISBLANK(INDEX(SprintPlanning[Sprint],MATCH($A886,SprintPlanning[Requirement ID],0))),"To Plan",INDEX(SprintPlanning[Sprint],MATCH($A886,SprintPlanning[Requirement ID],0))),"To Plan"))</f>
        <v/>
      </c>
      <c r="J886" s="36"/>
      <c r="K886" s="1" t="str">
        <f aca="false">IFERROR(IF(ISBLANK(INDEX(Release[Release],MATCH($A886,Release[Requirement ID],0))),"",INDEX(Release[Release],MATCH($A886,Release[Requirement ID],0))),"")</f>
        <v/>
      </c>
      <c r="L886" s="36"/>
      <c r="M886" s="36"/>
      <c r="P886" s="1" t="n">
        <f aca="false">IFERROR(VALUE(MID($A886,5,4)),0)</f>
        <v>0</v>
      </c>
      <c r="Q886" s="1" t="str">
        <f aca="false">IF(B886="","","NEW-"&amp;TEXT(MAX($P$2:$P885,Lists!$N$2)+1,"0000"))</f>
        <v/>
      </c>
    </row>
    <row r="887" customFormat="false" ht="15" hidden="false" customHeight="true" outlineLevel="0" collapsed="false">
      <c r="A887" s="35" t="str">
        <f aca="false">IF(AND(B887="",C887="",D887="",E887="",F887="",G887="",H887="",J887="",L887="",M887="",N887=""),"",Q887)</f>
        <v/>
      </c>
      <c r="B887" s="36"/>
      <c r="C887" s="36"/>
      <c r="D887" s="36"/>
      <c r="E887" s="36"/>
      <c r="F887" s="36"/>
      <c r="G887" s="36"/>
      <c r="H887" s="36"/>
      <c r="I887" s="1" t="str">
        <f aca="false">IF($A887="","",IFERROR(IF(ISBLANK(INDEX(SprintPlanning[Sprint],MATCH($A887,SprintPlanning[Requirement ID],0))),"To Plan",INDEX(SprintPlanning[Sprint],MATCH($A887,SprintPlanning[Requirement ID],0))),"To Plan"))</f>
        <v/>
      </c>
      <c r="J887" s="36"/>
      <c r="K887" s="1" t="str">
        <f aca="false">IFERROR(IF(ISBLANK(INDEX(Release[Release],MATCH($A887,Release[Requirement ID],0))),"",INDEX(Release[Release],MATCH($A887,Release[Requirement ID],0))),"")</f>
        <v/>
      </c>
      <c r="L887" s="36"/>
      <c r="M887" s="36"/>
      <c r="P887" s="1" t="n">
        <f aca="false">IFERROR(VALUE(MID($A887,5,4)),0)</f>
        <v>0</v>
      </c>
      <c r="Q887" s="1" t="str">
        <f aca="false">IF(B887="","","NEW-"&amp;TEXT(MAX($P$2:$P886,Lists!$N$2)+1,"0000"))</f>
        <v/>
      </c>
    </row>
    <row r="888" customFormat="false" ht="15" hidden="false" customHeight="true" outlineLevel="0" collapsed="false">
      <c r="A888" s="35" t="str">
        <f aca="false">IF(AND(B888="",C888="",D888="",E888="",F888="",G888="",H888="",J888="",L888="",M888="",N888=""),"",Q888)</f>
        <v/>
      </c>
      <c r="B888" s="36"/>
      <c r="C888" s="36"/>
      <c r="D888" s="36"/>
      <c r="E888" s="36"/>
      <c r="F888" s="36"/>
      <c r="G888" s="36"/>
      <c r="H888" s="36"/>
      <c r="I888" s="1" t="str">
        <f aca="false">IF($A888="","",IFERROR(IF(ISBLANK(INDEX(SprintPlanning[Sprint],MATCH($A888,SprintPlanning[Requirement ID],0))),"To Plan",INDEX(SprintPlanning[Sprint],MATCH($A888,SprintPlanning[Requirement ID],0))),"To Plan"))</f>
        <v/>
      </c>
      <c r="J888" s="36"/>
      <c r="K888" s="1" t="str">
        <f aca="false">IFERROR(IF(ISBLANK(INDEX(Release[Release],MATCH($A888,Release[Requirement ID],0))),"",INDEX(Release[Release],MATCH($A888,Release[Requirement ID],0))),"")</f>
        <v/>
      </c>
      <c r="L888" s="36"/>
      <c r="M888" s="36"/>
      <c r="P888" s="1" t="n">
        <f aca="false">IFERROR(VALUE(MID($A888,5,4)),0)</f>
        <v>0</v>
      </c>
      <c r="Q888" s="1" t="str">
        <f aca="false">IF(B888="","","NEW-"&amp;TEXT(MAX($P$2:$P887,Lists!$N$2)+1,"0000"))</f>
        <v/>
      </c>
    </row>
    <row r="889" customFormat="false" ht="15" hidden="false" customHeight="true" outlineLevel="0" collapsed="false">
      <c r="A889" s="35" t="str">
        <f aca="false">IF(AND(B889="",C889="",D889="",E889="",F889="",G889="",H889="",J889="",L889="",M889="",N889=""),"",Q889)</f>
        <v/>
      </c>
      <c r="B889" s="36"/>
      <c r="C889" s="36"/>
      <c r="D889" s="36"/>
      <c r="E889" s="36"/>
      <c r="F889" s="36"/>
      <c r="G889" s="36"/>
      <c r="H889" s="36"/>
      <c r="I889" s="1" t="str">
        <f aca="false">IF($A889="","",IFERROR(IF(ISBLANK(INDEX(SprintPlanning[Sprint],MATCH($A889,SprintPlanning[Requirement ID],0))),"To Plan",INDEX(SprintPlanning[Sprint],MATCH($A889,SprintPlanning[Requirement ID],0))),"To Plan"))</f>
        <v/>
      </c>
      <c r="J889" s="36"/>
      <c r="K889" s="1" t="str">
        <f aca="false">IFERROR(IF(ISBLANK(INDEX(Release[Release],MATCH($A889,Release[Requirement ID],0))),"",INDEX(Release[Release],MATCH($A889,Release[Requirement ID],0))),"")</f>
        <v/>
      </c>
      <c r="L889" s="36"/>
      <c r="M889" s="36"/>
      <c r="P889" s="1" t="n">
        <f aca="false">IFERROR(VALUE(MID($A889,5,4)),0)</f>
        <v>0</v>
      </c>
      <c r="Q889" s="1" t="str">
        <f aca="false">IF(B889="","","NEW-"&amp;TEXT(MAX($P$2:$P888,Lists!$N$2)+1,"0000"))</f>
        <v/>
      </c>
    </row>
    <row r="890" customFormat="false" ht="15" hidden="false" customHeight="true" outlineLevel="0" collapsed="false">
      <c r="A890" s="35" t="str">
        <f aca="false">IF(AND(B890="",C890="",D890="",E890="",F890="",G890="",H890="",J890="",L890="",M890="",N890=""),"",Q890)</f>
        <v/>
      </c>
      <c r="B890" s="36"/>
      <c r="C890" s="36"/>
      <c r="D890" s="36"/>
      <c r="E890" s="36"/>
      <c r="F890" s="36"/>
      <c r="G890" s="36"/>
      <c r="H890" s="36"/>
      <c r="I890" s="1" t="str">
        <f aca="false">IF($A890="","",IFERROR(IF(ISBLANK(INDEX(SprintPlanning[Sprint],MATCH($A890,SprintPlanning[Requirement ID],0))),"To Plan",INDEX(SprintPlanning[Sprint],MATCH($A890,SprintPlanning[Requirement ID],0))),"To Plan"))</f>
        <v/>
      </c>
      <c r="J890" s="36"/>
      <c r="K890" s="1" t="str">
        <f aca="false">IFERROR(IF(ISBLANK(INDEX(Release[Release],MATCH($A890,Release[Requirement ID],0))),"",INDEX(Release[Release],MATCH($A890,Release[Requirement ID],0))),"")</f>
        <v/>
      </c>
      <c r="L890" s="36"/>
      <c r="M890" s="36"/>
      <c r="P890" s="1" t="n">
        <f aca="false">IFERROR(VALUE(MID($A890,5,4)),0)</f>
        <v>0</v>
      </c>
      <c r="Q890" s="1" t="str">
        <f aca="false">IF(B890="","","NEW-"&amp;TEXT(MAX($P$2:$P889,Lists!$N$2)+1,"0000"))</f>
        <v/>
      </c>
    </row>
    <row r="891" customFormat="false" ht="15" hidden="false" customHeight="true" outlineLevel="0" collapsed="false">
      <c r="A891" s="35" t="str">
        <f aca="false">IF(AND(B891="",C891="",D891="",E891="",F891="",G891="",H891="",J891="",L891="",M891="",N891=""),"",Q891)</f>
        <v/>
      </c>
      <c r="B891" s="36"/>
      <c r="C891" s="36"/>
      <c r="D891" s="36"/>
      <c r="E891" s="36"/>
      <c r="F891" s="36"/>
      <c r="G891" s="36"/>
      <c r="H891" s="36"/>
      <c r="I891" s="1" t="str">
        <f aca="false">IF($A891="","",IFERROR(IF(ISBLANK(INDEX(SprintPlanning[Sprint],MATCH($A891,SprintPlanning[Requirement ID],0))),"To Plan",INDEX(SprintPlanning[Sprint],MATCH($A891,SprintPlanning[Requirement ID],0))),"To Plan"))</f>
        <v/>
      </c>
      <c r="J891" s="36"/>
      <c r="K891" s="1" t="str">
        <f aca="false">IFERROR(IF(ISBLANK(INDEX(Release[Release],MATCH($A891,Release[Requirement ID],0))),"",INDEX(Release[Release],MATCH($A891,Release[Requirement ID],0))),"")</f>
        <v/>
      </c>
      <c r="L891" s="36"/>
      <c r="M891" s="36"/>
      <c r="P891" s="1" t="n">
        <f aca="false">IFERROR(VALUE(MID($A891,5,4)),0)</f>
        <v>0</v>
      </c>
      <c r="Q891" s="1" t="str">
        <f aca="false">IF(B891="","","NEW-"&amp;TEXT(MAX($P$2:$P890,Lists!$N$2)+1,"0000"))</f>
        <v/>
      </c>
    </row>
    <row r="892" customFormat="false" ht="15" hidden="false" customHeight="true" outlineLevel="0" collapsed="false">
      <c r="A892" s="35" t="str">
        <f aca="false">IF(AND(B892="",C892="",D892="",E892="",F892="",G892="",H892="",J892="",L892="",M892="",N892=""),"",Q892)</f>
        <v/>
      </c>
      <c r="B892" s="36"/>
      <c r="C892" s="36"/>
      <c r="D892" s="36"/>
      <c r="E892" s="36"/>
      <c r="F892" s="36"/>
      <c r="G892" s="36"/>
      <c r="H892" s="36"/>
      <c r="I892" s="1" t="str">
        <f aca="false">IF($A892="","",IFERROR(IF(ISBLANK(INDEX(SprintPlanning[Sprint],MATCH($A892,SprintPlanning[Requirement ID],0))),"To Plan",INDEX(SprintPlanning[Sprint],MATCH($A892,SprintPlanning[Requirement ID],0))),"To Plan"))</f>
        <v/>
      </c>
      <c r="J892" s="36"/>
      <c r="K892" s="1" t="str">
        <f aca="false">IFERROR(IF(ISBLANK(INDEX(Release[Release],MATCH($A892,Release[Requirement ID],0))),"",INDEX(Release[Release],MATCH($A892,Release[Requirement ID],0))),"")</f>
        <v/>
      </c>
      <c r="L892" s="36"/>
      <c r="M892" s="36"/>
      <c r="P892" s="1" t="n">
        <f aca="false">IFERROR(VALUE(MID($A892,5,4)),0)</f>
        <v>0</v>
      </c>
      <c r="Q892" s="1" t="str">
        <f aca="false">IF(B892="","","NEW-"&amp;TEXT(MAX($P$2:$P891,Lists!$N$2)+1,"0000"))</f>
        <v/>
      </c>
    </row>
    <row r="893" customFormat="false" ht="15" hidden="false" customHeight="true" outlineLevel="0" collapsed="false">
      <c r="A893" s="35" t="str">
        <f aca="false">IF(AND(B893="",C893="",D893="",E893="",F893="",G893="",H893="",J893="",L893="",M893="",N893=""),"",Q893)</f>
        <v/>
      </c>
      <c r="B893" s="36"/>
      <c r="C893" s="36"/>
      <c r="D893" s="36"/>
      <c r="E893" s="36"/>
      <c r="F893" s="36"/>
      <c r="G893" s="36"/>
      <c r="H893" s="36"/>
      <c r="I893" s="1" t="str">
        <f aca="false">IF($A893="","",IFERROR(IF(ISBLANK(INDEX(SprintPlanning[Sprint],MATCH($A893,SprintPlanning[Requirement ID],0))),"To Plan",INDEX(SprintPlanning[Sprint],MATCH($A893,SprintPlanning[Requirement ID],0))),"To Plan"))</f>
        <v/>
      </c>
      <c r="J893" s="36"/>
      <c r="K893" s="1" t="str">
        <f aca="false">IFERROR(IF(ISBLANK(INDEX(Release[Release],MATCH($A893,Release[Requirement ID],0))),"",INDEX(Release[Release],MATCH($A893,Release[Requirement ID],0))),"")</f>
        <v/>
      </c>
      <c r="L893" s="36"/>
      <c r="M893" s="36"/>
      <c r="P893" s="1" t="n">
        <f aca="false">IFERROR(VALUE(MID($A893,5,4)),0)</f>
        <v>0</v>
      </c>
      <c r="Q893" s="1" t="str">
        <f aca="false">IF(B893="","","NEW-"&amp;TEXT(MAX($P$2:$P892,Lists!$N$2)+1,"0000"))</f>
        <v/>
      </c>
    </row>
    <row r="894" customFormat="false" ht="15" hidden="false" customHeight="true" outlineLevel="0" collapsed="false">
      <c r="A894" s="35" t="str">
        <f aca="false">IF(AND(B894="",C894="",D894="",E894="",F894="",G894="",H894="",J894="",L894="",M894="",N894=""),"",Q894)</f>
        <v/>
      </c>
      <c r="B894" s="36"/>
      <c r="C894" s="36"/>
      <c r="D894" s="36"/>
      <c r="E894" s="36"/>
      <c r="F894" s="36"/>
      <c r="G894" s="36"/>
      <c r="H894" s="36"/>
      <c r="I894" s="1" t="str">
        <f aca="false">IF($A894="","",IFERROR(IF(ISBLANK(INDEX(SprintPlanning[Sprint],MATCH($A894,SprintPlanning[Requirement ID],0))),"To Plan",INDEX(SprintPlanning[Sprint],MATCH($A894,SprintPlanning[Requirement ID],0))),"To Plan"))</f>
        <v/>
      </c>
      <c r="J894" s="36"/>
      <c r="K894" s="1" t="str">
        <f aca="false">IFERROR(IF(ISBLANK(INDEX(Release[Release],MATCH($A894,Release[Requirement ID],0))),"",INDEX(Release[Release],MATCH($A894,Release[Requirement ID],0))),"")</f>
        <v/>
      </c>
      <c r="L894" s="36"/>
      <c r="M894" s="36"/>
      <c r="P894" s="1" t="n">
        <f aca="false">IFERROR(VALUE(MID($A894,5,4)),0)</f>
        <v>0</v>
      </c>
      <c r="Q894" s="1" t="str">
        <f aca="false">IF(B894="","","NEW-"&amp;TEXT(MAX($P$2:$P893,Lists!$N$2)+1,"0000"))</f>
        <v/>
      </c>
    </row>
    <row r="895" customFormat="false" ht="15" hidden="false" customHeight="true" outlineLevel="0" collapsed="false">
      <c r="A895" s="35" t="str">
        <f aca="false">IF(AND(B895="",C895="",D895="",E895="",F895="",G895="",H895="",J895="",L895="",M895="",N895=""),"",Q895)</f>
        <v/>
      </c>
      <c r="B895" s="36"/>
      <c r="C895" s="36"/>
      <c r="D895" s="36"/>
      <c r="E895" s="36"/>
      <c r="F895" s="36"/>
      <c r="G895" s="36"/>
      <c r="H895" s="36"/>
      <c r="I895" s="1" t="str">
        <f aca="false">IF($A895="","",IFERROR(IF(ISBLANK(INDEX(SprintPlanning[Sprint],MATCH($A895,SprintPlanning[Requirement ID],0))),"To Plan",INDEX(SprintPlanning[Sprint],MATCH($A895,SprintPlanning[Requirement ID],0))),"To Plan"))</f>
        <v/>
      </c>
      <c r="J895" s="36"/>
      <c r="K895" s="1" t="str">
        <f aca="false">IFERROR(IF(ISBLANK(INDEX(Release[Release],MATCH($A895,Release[Requirement ID],0))),"",INDEX(Release[Release],MATCH($A895,Release[Requirement ID],0))),"")</f>
        <v/>
      </c>
      <c r="L895" s="36"/>
      <c r="M895" s="36"/>
      <c r="P895" s="1" t="n">
        <f aca="false">IFERROR(VALUE(MID($A895,5,4)),0)</f>
        <v>0</v>
      </c>
      <c r="Q895" s="1" t="str">
        <f aca="false">IF(B895="","","NEW-"&amp;TEXT(MAX($P$2:$P894,Lists!$N$2)+1,"0000"))</f>
        <v/>
      </c>
    </row>
    <row r="896" customFormat="false" ht="15" hidden="false" customHeight="true" outlineLevel="0" collapsed="false">
      <c r="A896" s="35" t="str">
        <f aca="false">IF(AND(B896="",C896="",D896="",E896="",F896="",G896="",H896="",J896="",L896="",M896="",N896=""),"",Q896)</f>
        <v/>
      </c>
      <c r="B896" s="36"/>
      <c r="C896" s="36"/>
      <c r="D896" s="36"/>
      <c r="E896" s="36"/>
      <c r="F896" s="36"/>
      <c r="G896" s="36"/>
      <c r="H896" s="36"/>
      <c r="I896" s="1" t="str">
        <f aca="false">IF($A896="","",IFERROR(IF(ISBLANK(INDEX(SprintPlanning[Sprint],MATCH($A896,SprintPlanning[Requirement ID],0))),"To Plan",INDEX(SprintPlanning[Sprint],MATCH($A896,SprintPlanning[Requirement ID],0))),"To Plan"))</f>
        <v/>
      </c>
      <c r="J896" s="36"/>
      <c r="K896" s="1" t="str">
        <f aca="false">IFERROR(IF(ISBLANK(INDEX(Release[Release],MATCH($A896,Release[Requirement ID],0))),"",INDEX(Release[Release],MATCH($A896,Release[Requirement ID],0))),"")</f>
        <v/>
      </c>
      <c r="L896" s="36"/>
      <c r="M896" s="36"/>
      <c r="P896" s="1" t="n">
        <f aca="false">IFERROR(VALUE(MID($A896,5,4)),0)</f>
        <v>0</v>
      </c>
      <c r="Q896" s="1" t="str">
        <f aca="false">IF(B896="","","NEW-"&amp;TEXT(MAX($P$2:$P895,Lists!$N$2)+1,"0000"))</f>
        <v/>
      </c>
    </row>
    <row r="897" customFormat="false" ht="15" hidden="false" customHeight="true" outlineLevel="0" collapsed="false">
      <c r="A897" s="35" t="str">
        <f aca="false">IF(AND(B897="",C897="",D897="",E897="",F897="",G897="",H897="",J897="",L897="",M897="",N897=""),"",Q897)</f>
        <v/>
      </c>
      <c r="B897" s="36"/>
      <c r="C897" s="36"/>
      <c r="D897" s="36"/>
      <c r="E897" s="36"/>
      <c r="F897" s="36"/>
      <c r="G897" s="36"/>
      <c r="H897" s="36"/>
      <c r="I897" s="1" t="str">
        <f aca="false">IF($A897="","",IFERROR(IF(ISBLANK(INDEX(SprintPlanning[Sprint],MATCH($A897,SprintPlanning[Requirement ID],0))),"To Plan",INDEX(SprintPlanning[Sprint],MATCH($A897,SprintPlanning[Requirement ID],0))),"To Plan"))</f>
        <v/>
      </c>
      <c r="J897" s="36"/>
      <c r="K897" s="1" t="str">
        <f aca="false">IFERROR(IF(ISBLANK(INDEX(Release[Release],MATCH($A897,Release[Requirement ID],0))),"",INDEX(Release[Release],MATCH($A897,Release[Requirement ID],0))),"")</f>
        <v/>
      </c>
      <c r="L897" s="36"/>
      <c r="M897" s="36"/>
      <c r="P897" s="1" t="n">
        <f aca="false">IFERROR(VALUE(MID($A897,5,4)),0)</f>
        <v>0</v>
      </c>
      <c r="Q897" s="1" t="str">
        <f aca="false">IF(B897="","","NEW-"&amp;TEXT(MAX($P$2:$P896,Lists!$N$2)+1,"0000"))</f>
        <v/>
      </c>
    </row>
    <row r="898" customFormat="false" ht="15" hidden="false" customHeight="true" outlineLevel="0" collapsed="false">
      <c r="A898" s="35" t="str">
        <f aca="false">IF(AND(B898="",C898="",D898="",E898="",F898="",G898="",H898="",J898="",L898="",M898="",N898=""),"",Q898)</f>
        <v/>
      </c>
      <c r="B898" s="36"/>
      <c r="C898" s="36"/>
      <c r="D898" s="36"/>
      <c r="E898" s="36"/>
      <c r="F898" s="36"/>
      <c r="G898" s="36"/>
      <c r="H898" s="36"/>
      <c r="I898" s="1" t="str">
        <f aca="false">IF($A898="","",IFERROR(IF(ISBLANK(INDEX(SprintPlanning[Sprint],MATCH($A898,SprintPlanning[Requirement ID],0))),"To Plan",INDEX(SprintPlanning[Sprint],MATCH($A898,SprintPlanning[Requirement ID],0))),"To Plan"))</f>
        <v/>
      </c>
      <c r="J898" s="36"/>
      <c r="K898" s="1" t="str">
        <f aca="false">IFERROR(IF(ISBLANK(INDEX(Release[Release],MATCH($A898,Release[Requirement ID],0))),"",INDEX(Release[Release],MATCH($A898,Release[Requirement ID],0))),"")</f>
        <v/>
      </c>
      <c r="L898" s="36"/>
      <c r="M898" s="36"/>
      <c r="P898" s="1" t="n">
        <f aca="false">IFERROR(VALUE(MID($A898,5,4)),0)</f>
        <v>0</v>
      </c>
      <c r="Q898" s="1" t="str">
        <f aca="false">IF(B898="","","NEW-"&amp;TEXT(MAX($P$2:$P897,Lists!$N$2)+1,"0000"))</f>
        <v/>
      </c>
    </row>
    <row r="899" customFormat="false" ht="15" hidden="false" customHeight="true" outlineLevel="0" collapsed="false">
      <c r="A899" s="35" t="str">
        <f aca="false">IF(AND(B899="",C899="",D899="",E899="",F899="",G899="",H899="",J899="",L899="",M899="",N899=""),"",Q899)</f>
        <v/>
      </c>
      <c r="B899" s="36"/>
      <c r="C899" s="36"/>
      <c r="D899" s="36"/>
      <c r="E899" s="36"/>
      <c r="F899" s="36"/>
      <c r="G899" s="36"/>
      <c r="H899" s="36"/>
      <c r="I899" s="1" t="str">
        <f aca="false">IF($A899="","",IFERROR(IF(ISBLANK(INDEX(SprintPlanning[Sprint],MATCH($A899,SprintPlanning[Requirement ID],0))),"To Plan",INDEX(SprintPlanning[Sprint],MATCH($A899,SprintPlanning[Requirement ID],0))),"To Plan"))</f>
        <v/>
      </c>
      <c r="J899" s="36"/>
      <c r="K899" s="1" t="str">
        <f aca="false">IFERROR(IF(ISBLANK(INDEX(Release[Release],MATCH($A899,Release[Requirement ID],0))),"",INDEX(Release[Release],MATCH($A899,Release[Requirement ID],0))),"")</f>
        <v/>
      </c>
      <c r="L899" s="36"/>
      <c r="M899" s="36"/>
      <c r="P899" s="1" t="n">
        <f aca="false">IFERROR(VALUE(MID($A899,5,4)),0)</f>
        <v>0</v>
      </c>
      <c r="Q899" s="1" t="str">
        <f aca="false">IF(B899="","","NEW-"&amp;TEXT(MAX($P$2:$P898,Lists!$N$2)+1,"0000"))</f>
        <v/>
      </c>
    </row>
    <row r="900" customFormat="false" ht="15" hidden="false" customHeight="true" outlineLevel="0" collapsed="false">
      <c r="A900" s="35" t="str">
        <f aca="false">IF(AND(B900="",C900="",D900="",E900="",F900="",G900="",H900="",J900="",L900="",M900="",N900=""),"",Q900)</f>
        <v/>
      </c>
      <c r="B900" s="36"/>
      <c r="C900" s="36"/>
      <c r="D900" s="36"/>
      <c r="E900" s="36"/>
      <c r="F900" s="36"/>
      <c r="G900" s="36"/>
      <c r="H900" s="36"/>
      <c r="I900" s="1" t="str">
        <f aca="false">IF($A900="","",IFERROR(IF(ISBLANK(INDEX(SprintPlanning[Sprint],MATCH($A900,SprintPlanning[Requirement ID],0))),"To Plan",INDEX(SprintPlanning[Sprint],MATCH($A900,SprintPlanning[Requirement ID],0))),"To Plan"))</f>
        <v/>
      </c>
      <c r="J900" s="36"/>
      <c r="K900" s="1" t="str">
        <f aca="false">IFERROR(IF(ISBLANK(INDEX(Release[Release],MATCH($A900,Release[Requirement ID],0))),"",INDEX(Release[Release],MATCH($A900,Release[Requirement ID],0))),"")</f>
        <v/>
      </c>
      <c r="L900" s="36"/>
      <c r="M900" s="36"/>
      <c r="P900" s="1" t="n">
        <f aca="false">IFERROR(VALUE(MID($A900,5,4)),0)</f>
        <v>0</v>
      </c>
      <c r="Q900" s="1" t="str">
        <f aca="false">IF(B900="","","NEW-"&amp;TEXT(MAX($P$2:$P899,Lists!$N$2)+1,"0000"))</f>
        <v/>
      </c>
    </row>
    <row r="901" customFormat="false" ht="15" hidden="false" customHeight="true" outlineLevel="0" collapsed="false">
      <c r="A901" s="35" t="str">
        <f aca="false">IF(AND(B901="",C901="",D901="",E901="",F901="",G901="",H901="",J901="",L901="",M901="",N901=""),"",Q901)</f>
        <v/>
      </c>
      <c r="B901" s="36"/>
      <c r="C901" s="36"/>
      <c r="D901" s="36"/>
      <c r="E901" s="36"/>
      <c r="F901" s="36"/>
      <c r="G901" s="36"/>
      <c r="H901" s="36"/>
      <c r="I901" s="1" t="str">
        <f aca="false">IF($A901="","",IFERROR(IF(ISBLANK(INDEX(SprintPlanning[Sprint],MATCH($A901,SprintPlanning[Requirement ID],0))),"To Plan",INDEX(SprintPlanning[Sprint],MATCH($A901,SprintPlanning[Requirement ID],0))),"To Plan"))</f>
        <v/>
      </c>
      <c r="J901" s="36"/>
      <c r="K901" s="1" t="str">
        <f aca="false">IFERROR(IF(ISBLANK(INDEX(Release[Release],MATCH($A901,Release[Requirement ID],0))),"",INDEX(Release[Release],MATCH($A901,Release[Requirement ID],0))),"")</f>
        <v/>
      </c>
      <c r="L901" s="36"/>
      <c r="M901" s="36"/>
      <c r="P901" s="1" t="n">
        <f aca="false">IFERROR(VALUE(MID($A901,5,4)),0)</f>
        <v>0</v>
      </c>
      <c r="Q901" s="1" t="str">
        <f aca="false">IF(B901="","","NEW-"&amp;TEXT(MAX($P$2:$P900,Lists!$N$2)+1,"0000"))</f>
        <v/>
      </c>
    </row>
    <row r="902" customFormat="false" ht="15" hidden="false" customHeight="true" outlineLevel="0" collapsed="false">
      <c r="A902" s="35" t="str">
        <f aca="false">IF(AND(B902="",C902="",D902="",E902="",F902="",G902="",H902="",J902="",L902="",M902="",N902=""),"",Q902)</f>
        <v/>
      </c>
      <c r="B902" s="36"/>
      <c r="C902" s="36"/>
      <c r="D902" s="36"/>
      <c r="E902" s="36"/>
      <c r="F902" s="36"/>
      <c r="G902" s="36"/>
      <c r="H902" s="36"/>
      <c r="I902" s="1" t="str">
        <f aca="false">IF($A902="","",IFERROR(IF(ISBLANK(INDEX(SprintPlanning[Sprint],MATCH($A902,SprintPlanning[Requirement ID],0))),"To Plan",INDEX(SprintPlanning[Sprint],MATCH($A902,SprintPlanning[Requirement ID],0))),"To Plan"))</f>
        <v/>
      </c>
      <c r="J902" s="36"/>
      <c r="K902" s="1" t="str">
        <f aca="false">IFERROR(IF(ISBLANK(INDEX(Release[Release],MATCH($A902,Release[Requirement ID],0))),"",INDEX(Release[Release],MATCH($A902,Release[Requirement ID],0))),"")</f>
        <v/>
      </c>
      <c r="L902" s="36"/>
      <c r="M902" s="36"/>
      <c r="P902" s="1" t="n">
        <f aca="false">IFERROR(VALUE(MID($A902,5,4)),0)</f>
        <v>0</v>
      </c>
      <c r="Q902" s="1" t="str">
        <f aca="false">IF(B902="","","NEW-"&amp;TEXT(MAX($P$2:$P901,Lists!$N$2)+1,"0000"))</f>
        <v/>
      </c>
    </row>
    <row r="903" customFormat="false" ht="15" hidden="false" customHeight="true" outlineLevel="0" collapsed="false">
      <c r="A903" s="35" t="str">
        <f aca="false">IF(AND(B903="",C903="",D903="",E903="",F903="",G903="",H903="",J903="",L903="",M903="",N903=""),"",Q903)</f>
        <v/>
      </c>
      <c r="B903" s="36"/>
      <c r="C903" s="36"/>
      <c r="D903" s="36"/>
      <c r="E903" s="36"/>
      <c r="F903" s="36"/>
      <c r="G903" s="36"/>
      <c r="H903" s="36"/>
      <c r="I903" s="1" t="str">
        <f aca="false">IF($A903="","",IFERROR(IF(ISBLANK(INDEX(SprintPlanning[Sprint],MATCH($A903,SprintPlanning[Requirement ID],0))),"To Plan",INDEX(SprintPlanning[Sprint],MATCH($A903,SprintPlanning[Requirement ID],0))),"To Plan"))</f>
        <v/>
      </c>
      <c r="J903" s="36"/>
      <c r="K903" s="1" t="str">
        <f aca="false">IFERROR(IF(ISBLANK(INDEX(Release[Release],MATCH($A903,Release[Requirement ID],0))),"",INDEX(Release[Release],MATCH($A903,Release[Requirement ID],0))),"")</f>
        <v/>
      </c>
      <c r="L903" s="36"/>
      <c r="M903" s="36"/>
      <c r="P903" s="1" t="n">
        <f aca="false">IFERROR(VALUE(MID($A903,5,4)),0)</f>
        <v>0</v>
      </c>
      <c r="Q903" s="1" t="str">
        <f aca="false">IF(B903="","","NEW-"&amp;TEXT(MAX($P$2:$P902,Lists!$N$2)+1,"0000"))</f>
        <v/>
      </c>
    </row>
    <row r="904" customFormat="false" ht="15" hidden="false" customHeight="true" outlineLevel="0" collapsed="false">
      <c r="A904" s="35" t="str">
        <f aca="false">IF(AND(B904="",C904="",D904="",E904="",F904="",G904="",H904="",J904="",L904="",M904="",N904=""),"",Q904)</f>
        <v/>
      </c>
      <c r="B904" s="36"/>
      <c r="C904" s="36"/>
      <c r="D904" s="36"/>
      <c r="E904" s="36"/>
      <c r="F904" s="36"/>
      <c r="G904" s="36"/>
      <c r="H904" s="36"/>
      <c r="I904" s="1" t="str">
        <f aca="false">IF($A904="","",IFERROR(IF(ISBLANK(INDEX(SprintPlanning[Sprint],MATCH($A904,SprintPlanning[Requirement ID],0))),"To Plan",INDEX(SprintPlanning[Sprint],MATCH($A904,SprintPlanning[Requirement ID],0))),"To Plan"))</f>
        <v/>
      </c>
      <c r="J904" s="36"/>
      <c r="K904" s="1" t="str">
        <f aca="false">IFERROR(IF(ISBLANK(INDEX(Release[Release],MATCH($A904,Release[Requirement ID],0))),"",INDEX(Release[Release],MATCH($A904,Release[Requirement ID],0))),"")</f>
        <v/>
      </c>
      <c r="L904" s="36"/>
      <c r="M904" s="36"/>
      <c r="P904" s="1" t="n">
        <f aca="false">IFERROR(VALUE(MID($A904,5,4)),0)</f>
        <v>0</v>
      </c>
      <c r="Q904" s="1" t="str">
        <f aca="false">IF(B904="","","NEW-"&amp;TEXT(MAX($P$2:$P903,Lists!$N$2)+1,"0000"))</f>
        <v/>
      </c>
    </row>
    <row r="905" customFormat="false" ht="15" hidden="false" customHeight="true" outlineLevel="0" collapsed="false">
      <c r="A905" s="35" t="str">
        <f aca="false">IF(AND(B905="",C905="",D905="",E905="",F905="",G905="",H905="",J905="",L905="",M905="",N905=""),"",Q905)</f>
        <v/>
      </c>
      <c r="B905" s="36"/>
      <c r="C905" s="36"/>
      <c r="D905" s="36"/>
      <c r="E905" s="36"/>
      <c r="F905" s="36"/>
      <c r="G905" s="36"/>
      <c r="H905" s="36"/>
      <c r="I905" s="1" t="str">
        <f aca="false">IF($A905="","",IFERROR(IF(ISBLANK(INDEX(SprintPlanning[Sprint],MATCH($A905,SprintPlanning[Requirement ID],0))),"To Plan",INDEX(SprintPlanning[Sprint],MATCH($A905,SprintPlanning[Requirement ID],0))),"To Plan"))</f>
        <v/>
      </c>
      <c r="J905" s="36"/>
      <c r="K905" s="1" t="str">
        <f aca="false">IFERROR(IF(ISBLANK(INDEX(Release[Release],MATCH($A905,Release[Requirement ID],0))),"",INDEX(Release[Release],MATCH($A905,Release[Requirement ID],0))),"")</f>
        <v/>
      </c>
      <c r="L905" s="36"/>
      <c r="M905" s="36"/>
      <c r="P905" s="1" t="n">
        <f aca="false">IFERROR(VALUE(MID($A905,5,4)),0)</f>
        <v>0</v>
      </c>
      <c r="Q905" s="1" t="str">
        <f aca="false">IF(B905="","","NEW-"&amp;TEXT(MAX($P$2:$P904,Lists!$N$2)+1,"0000"))</f>
        <v/>
      </c>
    </row>
    <row r="906" customFormat="false" ht="15" hidden="false" customHeight="true" outlineLevel="0" collapsed="false">
      <c r="A906" s="35" t="str">
        <f aca="false">IF(AND(B906="",C906="",D906="",E906="",F906="",G906="",H906="",J906="",L906="",M906="",N906=""),"",Q906)</f>
        <v/>
      </c>
      <c r="B906" s="36"/>
      <c r="C906" s="36"/>
      <c r="D906" s="36"/>
      <c r="E906" s="36"/>
      <c r="F906" s="36"/>
      <c r="G906" s="36"/>
      <c r="H906" s="36"/>
      <c r="I906" s="1" t="str">
        <f aca="false">IF($A906="","",IFERROR(IF(ISBLANK(INDEX(SprintPlanning[Sprint],MATCH($A906,SprintPlanning[Requirement ID],0))),"To Plan",INDEX(SprintPlanning[Sprint],MATCH($A906,SprintPlanning[Requirement ID],0))),"To Plan"))</f>
        <v/>
      </c>
      <c r="J906" s="36"/>
      <c r="K906" s="1" t="str">
        <f aca="false">IFERROR(IF(ISBLANK(INDEX(Release[Release],MATCH($A906,Release[Requirement ID],0))),"",INDEX(Release[Release],MATCH($A906,Release[Requirement ID],0))),"")</f>
        <v/>
      </c>
      <c r="L906" s="36"/>
      <c r="M906" s="36"/>
      <c r="P906" s="1" t="n">
        <f aca="false">IFERROR(VALUE(MID($A906,5,4)),0)</f>
        <v>0</v>
      </c>
      <c r="Q906" s="1" t="str">
        <f aca="false">IF(B906="","","NEW-"&amp;TEXT(MAX($P$2:$P905,Lists!$N$2)+1,"0000"))</f>
        <v/>
      </c>
    </row>
    <row r="907" customFormat="false" ht="15" hidden="false" customHeight="true" outlineLevel="0" collapsed="false">
      <c r="A907" s="35" t="str">
        <f aca="false">IF(AND(B907="",C907="",D907="",E907="",F907="",G907="",H907="",J907="",L907="",M907="",N907=""),"",Q907)</f>
        <v/>
      </c>
      <c r="B907" s="36"/>
      <c r="C907" s="36"/>
      <c r="D907" s="36"/>
      <c r="E907" s="36"/>
      <c r="F907" s="36"/>
      <c r="G907" s="36"/>
      <c r="H907" s="36"/>
      <c r="I907" s="1" t="str">
        <f aca="false">IF($A907="","",IFERROR(IF(ISBLANK(INDEX(SprintPlanning[Sprint],MATCH($A907,SprintPlanning[Requirement ID],0))),"To Plan",INDEX(SprintPlanning[Sprint],MATCH($A907,SprintPlanning[Requirement ID],0))),"To Plan"))</f>
        <v/>
      </c>
      <c r="J907" s="36"/>
      <c r="K907" s="1" t="str">
        <f aca="false">IFERROR(IF(ISBLANK(INDEX(Release[Release],MATCH($A907,Release[Requirement ID],0))),"",INDEX(Release[Release],MATCH($A907,Release[Requirement ID],0))),"")</f>
        <v/>
      </c>
      <c r="L907" s="36"/>
      <c r="M907" s="36"/>
      <c r="P907" s="1" t="n">
        <f aca="false">IFERROR(VALUE(MID($A907,5,4)),0)</f>
        <v>0</v>
      </c>
      <c r="Q907" s="1" t="str">
        <f aca="false">IF(B907="","","NEW-"&amp;TEXT(MAX($P$2:$P906,Lists!$N$2)+1,"0000"))</f>
        <v/>
      </c>
    </row>
    <row r="908" customFormat="false" ht="15" hidden="false" customHeight="true" outlineLevel="0" collapsed="false">
      <c r="A908" s="35" t="str">
        <f aca="false">IF(AND(B908="",C908="",D908="",E908="",F908="",G908="",H908="",J908="",L908="",M908="",N908=""),"",Q908)</f>
        <v/>
      </c>
      <c r="B908" s="36"/>
      <c r="C908" s="36"/>
      <c r="D908" s="36"/>
      <c r="E908" s="36"/>
      <c r="F908" s="36"/>
      <c r="G908" s="36"/>
      <c r="H908" s="36"/>
      <c r="I908" s="1" t="str">
        <f aca="false">IF($A908="","",IFERROR(IF(ISBLANK(INDEX(SprintPlanning[Sprint],MATCH($A908,SprintPlanning[Requirement ID],0))),"To Plan",INDEX(SprintPlanning[Sprint],MATCH($A908,SprintPlanning[Requirement ID],0))),"To Plan"))</f>
        <v/>
      </c>
      <c r="J908" s="36"/>
      <c r="K908" s="1" t="str">
        <f aca="false">IFERROR(IF(ISBLANK(INDEX(Release[Release],MATCH($A908,Release[Requirement ID],0))),"",INDEX(Release[Release],MATCH($A908,Release[Requirement ID],0))),"")</f>
        <v/>
      </c>
      <c r="L908" s="36"/>
      <c r="M908" s="36"/>
      <c r="P908" s="1" t="n">
        <f aca="false">IFERROR(VALUE(MID($A908,5,4)),0)</f>
        <v>0</v>
      </c>
      <c r="Q908" s="1" t="str">
        <f aca="false">IF(B908="","","NEW-"&amp;TEXT(MAX($P$2:$P907,Lists!$N$2)+1,"0000"))</f>
        <v/>
      </c>
    </row>
    <row r="909" customFormat="false" ht="15" hidden="false" customHeight="true" outlineLevel="0" collapsed="false">
      <c r="A909" s="35" t="str">
        <f aca="false">IF(AND(B909="",C909="",D909="",E909="",F909="",G909="",H909="",J909="",L909="",M909="",N909=""),"",Q909)</f>
        <v/>
      </c>
      <c r="B909" s="36"/>
      <c r="C909" s="36"/>
      <c r="D909" s="36"/>
      <c r="E909" s="36"/>
      <c r="F909" s="36"/>
      <c r="G909" s="36"/>
      <c r="H909" s="36"/>
      <c r="I909" s="1" t="str">
        <f aca="false">IF($A909="","",IFERROR(IF(ISBLANK(INDEX(SprintPlanning[Sprint],MATCH($A909,SprintPlanning[Requirement ID],0))),"To Plan",INDEX(SprintPlanning[Sprint],MATCH($A909,SprintPlanning[Requirement ID],0))),"To Plan"))</f>
        <v/>
      </c>
      <c r="J909" s="36"/>
      <c r="K909" s="1" t="str">
        <f aca="false">IFERROR(IF(ISBLANK(INDEX(Release[Release],MATCH($A909,Release[Requirement ID],0))),"",INDEX(Release[Release],MATCH($A909,Release[Requirement ID],0))),"")</f>
        <v/>
      </c>
      <c r="L909" s="36"/>
      <c r="M909" s="36"/>
      <c r="P909" s="1" t="n">
        <f aca="false">IFERROR(VALUE(MID($A909,5,4)),0)</f>
        <v>0</v>
      </c>
      <c r="Q909" s="1" t="str">
        <f aca="false">IF(B909="","","NEW-"&amp;TEXT(MAX($P$2:$P908,Lists!$N$2)+1,"0000"))</f>
        <v/>
      </c>
    </row>
    <row r="910" customFormat="false" ht="15" hidden="false" customHeight="true" outlineLevel="0" collapsed="false">
      <c r="A910" s="35" t="str">
        <f aca="false">IF(AND(B910="",C910="",D910="",E910="",F910="",G910="",H910="",J910="",L910="",M910="",N910=""),"",Q910)</f>
        <v/>
      </c>
      <c r="B910" s="36"/>
      <c r="C910" s="36"/>
      <c r="D910" s="36"/>
      <c r="E910" s="36"/>
      <c r="F910" s="36"/>
      <c r="G910" s="36"/>
      <c r="H910" s="36"/>
      <c r="I910" s="1" t="str">
        <f aca="false">IF($A910="","",IFERROR(IF(ISBLANK(INDEX(SprintPlanning[Sprint],MATCH($A910,SprintPlanning[Requirement ID],0))),"To Plan",INDEX(SprintPlanning[Sprint],MATCH($A910,SprintPlanning[Requirement ID],0))),"To Plan"))</f>
        <v/>
      </c>
      <c r="J910" s="36"/>
      <c r="K910" s="1" t="str">
        <f aca="false">IFERROR(IF(ISBLANK(INDEX(Release[Release],MATCH($A910,Release[Requirement ID],0))),"",INDEX(Release[Release],MATCH($A910,Release[Requirement ID],0))),"")</f>
        <v/>
      </c>
      <c r="L910" s="36"/>
      <c r="M910" s="36"/>
      <c r="P910" s="1" t="n">
        <f aca="false">IFERROR(VALUE(MID($A910,5,4)),0)</f>
        <v>0</v>
      </c>
      <c r="Q910" s="1" t="str">
        <f aca="false">IF(B910="","","NEW-"&amp;TEXT(MAX($P$2:$P909,Lists!$N$2)+1,"0000"))</f>
        <v/>
      </c>
    </row>
    <row r="911" customFormat="false" ht="15" hidden="false" customHeight="true" outlineLevel="0" collapsed="false">
      <c r="A911" s="35" t="str">
        <f aca="false">IF(AND(B911="",C911="",D911="",E911="",F911="",G911="",H911="",J911="",L911="",M911="",N911=""),"",Q911)</f>
        <v/>
      </c>
      <c r="B911" s="36"/>
      <c r="C911" s="36"/>
      <c r="D911" s="36"/>
      <c r="E911" s="36"/>
      <c r="F911" s="36"/>
      <c r="G911" s="36"/>
      <c r="H911" s="36"/>
      <c r="I911" s="1" t="str">
        <f aca="false">IF($A911="","",IFERROR(IF(ISBLANK(INDEX(SprintPlanning[Sprint],MATCH($A911,SprintPlanning[Requirement ID],0))),"To Plan",INDEX(SprintPlanning[Sprint],MATCH($A911,SprintPlanning[Requirement ID],0))),"To Plan"))</f>
        <v/>
      </c>
      <c r="J911" s="36"/>
      <c r="K911" s="1" t="str">
        <f aca="false">IFERROR(IF(ISBLANK(INDEX(Release[Release],MATCH($A911,Release[Requirement ID],0))),"",INDEX(Release[Release],MATCH($A911,Release[Requirement ID],0))),"")</f>
        <v/>
      </c>
      <c r="L911" s="36"/>
      <c r="M911" s="36"/>
      <c r="P911" s="1" t="n">
        <f aca="false">IFERROR(VALUE(MID($A911,5,4)),0)</f>
        <v>0</v>
      </c>
      <c r="Q911" s="1" t="str">
        <f aca="false">IF(B911="","","NEW-"&amp;TEXT(MAX($P$2:$P910,Lists!$N$2)+1,"0000"))</f>
        <v/>
      </c>
    </row>
    <row r="912" customFormat="false" ht="15" hidden="false" customHeight="true" outlineLevel="0" collapsed="false">
      <c r="A912" s="35" t="str">
        <f aca="false">IF(AND(B912="",C912="",D912="",E912="",F912="",G912="",H912="",J912="",L912="",M912="",N912=""),"",Q912)</f>
        <v/>
      </c>
      <c r="B912" s="36"/>
      <c r="C912" s="36"/>
      <c r="D912" s="36"/>
      <c r="E912" s="36"/>
      <c r="F912" s="36"/>
      <c r="G912" s="36"/>
      <c r="H912" s="36"/>
      <c r="I912" s="1" t="str">
        <f aca="false">IF($A912="","",IFERROR(IF(ISBLANK(INDEX(SprintPlanning[Sprint],MATCH($A912,SprintPlanning[Requirement ID],0))),"To Plan",INDEX(SprintPlanning[Sprint],MATCH($A912,SprintPlanning[Requirement ID],0))),"To Plan"))</f>
        <v/>
      </c>
      <c r="J912" s="36"/>
      <c r="K912" s="1" t="str">
        <f aca="false">IFERROR(IF(ISBLANK(INDEX(Release[Release],MATCH($A912,Release[Requirement ID],0))),"",INDEX(Release[Release],MATCH($A912,Release[Requirement ID],0))),"")</f>
        <v/>
      </c>
      <c r="L912" s="36"/>
      <c r="M912" s="36"/>
      <c r="P912" s="1" t="n">
        <f aca="false">IFERROR(VALUE(MID($A912,5,4)),0)</f>
        <v>0</v>
      </c>
      <c r="Q912" s="1" t="str">
        <f aca="false">IF(B912="","","NEW-"&amp;TEXT(MAX($P$2:$P911,Lists!$N$2)+1,"0000"))</f>
        <v/>
      </c>
    </row>
    <row r="913" customFormat="false" ht="15" hidden="false" customHeight="true" outlineLevel="0" collapsed="false">
      <c r="A913" s="35" t="str">
        <f aca="false">IF(AND(B913="",C913="",D913="",E913="",F913="",G913="",H913="",J913="",L913="",M913="",N913=""),"",Q913)</f>
        <v/>
      </c>
      <c r="B913" s="36"/>
      <c r="C913" s="36"/>
      <c r="D913" s="36"/>
      <c r="E913" s="36"/>
      <c r="F913" s="36"/>
      <c r="G913" s="36"/>
      <c r="H913" s="36"/>
      <c r="I913" s="1" t="str">
        <f aca="false">IF($A913="","",IFERROR(IF(ISBLANK(INDEX(SprintPlanning[Sprint],MATCH($A913,SprintPlanning[Requirement ID],0))),"To Plan",INDEX(SprintPlanning[Sprint],MATCH($A913,SprintPlanning[Requirement ID],0))),"To Plan"))</f>
        <v/>
      </c>
      <c r="J913" s="36"/>
      <c r="K913" s="1" t="str">
        <f aca="false">IFERROR(IF(ISBLANK(INDEX(Release[Release],MATCH($A913,Release[Requirement ID],0))),"",INDEX(Release[Release],MATCH($A913,Release[Requirement ID],0))),"")</f>
        <v/>
      </c>
      <c r="L913" s="36"/>
      <c r="M913" s="36"/>
      <c r="P913" s="1" t="n">
        <f aca="false">IFERROR(VALUE(MID($A913,5,4)),0)</f>
        <v>0</v>
      </c>
      <c r="Q913" s="1" t="str">
        <f aca="false">IF(B913="","","NEW-"&amp;TEXT(MAX($P$2:$P912,Lists!$N$2)+1,"0000"))</f>
        <v/>
      </c>
    </row>
    <row r="914" customFormat="false" ht="15" hidden="false" customHeight="true" outlineLevel="0" collapsed="false">
      <c r="A914" s="35" t="str">
        <f aca="false">IF(AND(B914="",C914="",D914="",E914="",F914="",G914="",H914="",J914="",L914="",M914="",N914=""),"",Q914)</f>
        <v/>
      </c>
      <c r="B914" s="36"/>
      <c r="C914" s="36"/>
      <c r="D914" s="36"/>
      <c r="E914" s="36"/>
      <c r="F914" s="36"/>
      <c r="G914" s="36"/>
      <c r="H914" s="36"/>
      <c r="I914" s="1" t="str">
        <f aca="false">IF($A914="","",IFERROR(IF(ISBLANK(INDEX(SprintPlanning[Sprint],MATCH($A914,SprintPlanning[Requirement ID],0))),"To Plan",INDEX(SprintPlanning[Sprint],MATCH($A914,SprintPlanning[Requirement ID],0))),"To Plan"))</f>
        <v/>
      </c>
      <c r="J914" s="36"/>
      <c r="K914" s="1" t="str">
        <f aca="false">IFERROR(IF(ISBLANK(INDEX(Release[Release],MATCH($A914,Release[Requirement ID],0))),"",INDEX(Release[Release],MATCH($A914,Release[Requirement ID],0))),"")</f>
        <v/>
      </c>
      <c r="L914" s="36"/>
      <c r="M914" s="36"/>
      <c r="P914" s="1" t="n">
        <f aca="false">IFERROR(VALUE(MID($A914,5,4)),0)</f>
        <v>0</v>
      </c>
      <c r="Q914" s="1" t="str">
        <f aca="false">IF(B914="","","NEW-"&amp;TEXT(MAX($P$2:$P913,Lists!$N$2)+1,"0000"))</f>
        <v/>
      </c>
    </row>
    <row r="915" customFormat="false" ht="15" hidden="false" customHeight="true" outlineLevel="0" collapsed="false">
      <c r="A915" s="35" t="str">
        <f aca="false">IF(AND(B915="",C915="",D915="",E915="",F915="",G915="",H915="",J915="",L915="",M915="",N915=""),"",Q915)</f>
        <v/>
      </c>
      <c r="B915" s="36"/>
      <c r="C915" s="36"/>
      <c r="D915" s="36"/>
      <c r="E915" s="36"/>
      <c r="F915" s="36"/>
      <c r="G915" s="36"/>
      <c r="H915" s="36"/>
      <c r="I915" s="1" t="str">
        <f aca="false">IF($A915="","",IFERROR(IF(ISBLANK(INDEX(SprintPlanning[Sprint],MATCH($A915,SprintPlanning[Requirement ID],0))),"To Plan",INDEX(SprintPlanning[Sprint],MATCH($A915,SprintPlanning[Requirement ID],0))),"To Plan"))</f>
        <v/>
      </c>
      <c r="J915" s="36"/>
      <c r="K915" s="1" t="str">
        <f aca="false">IFERROR(IF(ISBLANK(INDEX(Release[Release],MATCH($A915,Release[Requirement ID],0))),"",INDEX(Release[Release],MATCH($A915,Release[Requirement ID],0))),"")</f>
        <v/>
      </c>
      <c r="L915" s="36"/>
      <c r="M915" s="36"/>
      <c r="P915" s="1" t="n">
        <f aca="false">IFERROR(VALUE(MID($A915,5,4)),0)</f>
        <v>0</v>
      </c>
      <c r="Q915" s="1" t="str">
        <f aca="false">IF(B915="","","NEW-"&amp;TEXT(MAX($P$2:$P914,Lists!$N$2)+1,"0000"))</f>
        <v/>
      </c>
    </row>
    <row r="916" customFormat="false" ht="15" hidden="false" customHeight="true" outlineLevel="0" collapsed="false">
      <c r="A916" s="35" t="str">
        <f aca="false">IF(AND(B916="",C916="",D916="",E916="",F916="",G916="",H916="",J916="",L916="",M916="",N916=""),"",Q916)</f>
        <v/>
      </c>
      <c r="B916" s="36"/>
      <c r="C916" s="36"/>
      <c r="D916" s="36"/>
      <c r="E916" s="36"/>
      <c r="F916" s="36"/>
      <c r="G916" s="36"/>
      <c r="H916" s="36"/>
      <c r="I916" s="1" t="str">
        <f aca="false">IF($A916="","",IFERROR(IF(ISBLANK(INDEX(SprintPlanning[Sprint],MATCH($A916,SprintPlanning[Requirement ID],0))),"To Plan",INDEX(SprintPlanning[Sprint],MATCH($A916,SprintPlanning[Requirement ID],0))),"To Plan"))</f>
        <v/>
      </c>
      <c r="J916" s="36"/>
      <c r="K916" s="1" t="str">
        <f aca="false">IFERROR(IF(ISBLANK(INDEX(Release[Release],MATCH($A916,Release[Requirement ID],0))),"",INDEX(Release[Release],MATCH($A916,Release[Requirement ID],0))),"")</f>
        <v/>
      </c>
      <c r="L916" s="36"/>
      <c r="M916" s="36"/>
      <c r="P916" s="1" t="n">
        <f aca="false">IFERROR(VALUE(MID($A916,5,4)),0)</f>
        <v>0</v>
      </c>
      <c r="Q916" s="1" t="str">
        <f aca="false">IF(B916="","","NEW-"&amp;TEXT(MAX($P$2:$P915,Lists!$N$2)+1,"0000"))</f>
        <v/>
      </c>
    </row>
    <row r="917" customFormat="false" ht="15" hidden="false" customHeight="true" outlineLevel="0" collapsed="false">
      <c r="A917" s="35" t="str">
        <f aca="false">IF(AND(B917="",C917="",D917="",E917="",F917="",G917="",H917="",J917="",L917="",M917="",N917=""),"",Q917)</f>
        <v/>
      </c>
      <c r="B917" s="36"/>
      <c r="C917" s="36"/>
      <c r="D917" s="36"/>
      <c r="E917" s="36"/>
      <c r="F917" s="36"/>
      <c r="G917" s="36"/>
      <c r="H917" s="36"/>
      <c r="I917" s="1" t="str">
        <f aca="false">IF($A917="","",IFERROR(IF(ISBLANK(INDEX(SprintPlanning[Sprint],MATCH($A917,SprintPlanning[Requirement ID],0))),"To Plan",INDEX(SprintPlanning[Sprint],MATCH($A917,SprintPlanning[Requirement ID],0))),"To Plan"))</f>
        <v/>
      </c>
      <c r="J917" s="36"/>
      <c r="K917" s="1" t="str">
        <f aca="false">IFERROR(IF(ISBLANK(INDEX(Release[Release],MATCH($A917,Release[Requirement ID],0))),"",INDEX(Release[Release],MATCH($A917,Release[Requirement ID],0))),"")</f>
        <v/>
      </c>
      <c r="L917" s="36"/>
      <c r="M917" s="36"/>
      <c r="P917" s="1" t="n">
        <f aca="false">IFERROR(VALUE(MID($A917,5,4)),0)</f>
        <v>0</v>
      </c>
      <c r="Q917" s="1" t="str">
        <f aca="false">IF(B917="","","NEW-"&amp;TEXT(MAX($P$2:$P916,Lists!$N$2)+1,"0000"))</f>
        <v/>
      </c>
    </row>
    <row r="918" customFormat="false" ht="15" hidden="false" customHeight="true" outlineLevel="0" collapsed="false">
      <c r="A918" s="35" t="str">
        <f aca="false">IF(AND(B918="",C918="",D918="",E918="",F918="",G918="",H918="",J918="",L918="",M918="",N918=""),"",Q918)</f>
        <v/>
      </c>
      <c r="B918" s="36"/>
      <c r="C918" s="36"/>
      <c r="D918" s="36"/>
      <c r="E918" s="36"/>
      <c r="F918" s="36"/>
      <c r="G918" s="36"/>
      <c r="H918" s="36"/>
      <c r="I918" s="1" t="str">
        <f aca="false">IF($A918="","",IFERROR(IF(ISBLANK(INDEX(SprintPlanning[Sprint],MATCH($A918,SprintPlanning[Requirement ID],0))),"To Plan",INDEX(SprintPlanning[Sprint],MATCH($A918,SprintPlanning[Requirement ID],0))),"To Plan"))</f>
        <v/>
      </c>
      <c r="J918" s="36"/>
      <c r="K918" s="1" t="str">
        <f aca="false">IFERROR(IF(ISBLANK(INDEX(Release[Release],MATCH($A918,Release[Requirement ID],0))),"",INDEX(Release[Release],MATCH($A918,Release[Requirement ID],0))),"")</f>
        <v/>
      </c>
      <c r="L918" s="36"/>
      <c r="M918" s="36"/>
      <c r="P918" s="1" t="n">
        <f aca="false">IFERROR(VALUE(MID($A918,5,4)),0)</f>
        <v>0</v>
      </c>
      <c r="Q918" s="1" t="str">
        <f aca="false">IF(B918="","","NEW-"&amp;TEXT(MAX($P$2:$P917,Lists!$N$2)+1,"0000"))</f>
        <v/>
      </c>
    </row>
    <row r="919" customFormat="false" ht="15" hidden="false" customHeight="true" outlineLevel="0" collapsed="false">
      <c r="A919" s="35" t="str">
        <f aca="false">IF(AND(B919="",C919="",D919="",E919="",F919="",G919="",H919="",J919="",L919="",M919="",N919=""),"",Q919)</f>
        <v/>
      </c>
      <c r="B919" s="36"/>
      <c r="C919" s="36"/>
      <c r="D919" s="36"/>
      <c r="E919" s="36"/>
      <c r="F919" s="36"/>
      <c r="G919" s="36"/>
      <c r="H919" s="36"/>
      <c r="I919" s="1" t="str">
        <f aca="false">IF($A919="","",IFERROR(IF(ISBLANK(INDEX(SprintPlanning[Sprint],MATCH($A919,SprintPlanning[Requirement ID],0))),"To Plan",INDEX(SprintPlanning[Sprint],MATCH($A919,SprintPlanning[Requirement ID],0))),"To Plan"))</f>
        <v/>
      </c>
      <c r="J919" s="36"/>
      <c r="K919" s="1" t="str">
        <f aca="false">IFERROR(IF(ISBLANK(INDEX(Release[Release],MATCH($A919,Release[Requirement ID],0))),"",INDEX(Release[Release],MATCH($A919,Release[Requirement ID],0))),"")</f>
        <v/>
      </c>
      <c r="L919" s="36"/>
      <c r="M919" s="36"/>
      <c r="P919" s="1" t="n">
        <f aca="false">IFERROR(VALUE(MID($A919,5,4)),0)</f>
        <v>0</v>
      </c>
      <c r="Q919" s="1" t="str">
        <f aca="false">IF(B919="","","NEW-"&amp;TEXT(MAX($P$2:$P918,Lists!$N$2)+1,"0000"))</f>
        <v/>
      </c>
    </row>
    <row r="920" customFormat="false" ht="15" hidden="false" customHeight="true" outlineLevel="0" collapsed="false">
      <c r="A920" s="35" t="str">
        <f aca="false">IF(AND(B920="",C920="",D920="",E920="",F920="",G920="",H920="",J920="",L920="",M920="",N920=""),"",Q920)</f>
        <v/>
      </c>
      <c r="B920" s="36"/>
      <c r="C920" s="36"/>
      <c r="D920" s="36"/>
      <c r="E920" s="36"/>
      <c r="F920" s="36"/>
      <c r="G920" s="36"/>
      <c r="H920" s="36"/>
      <c r="I920" s="1" t="str">
        <f aca="false">IF($A920="","",IFERROR(IF(ISBLANK(INDEX(SprintPlanning[Sprint],MATCH($A920,SprintPlanning[Requirement ID],0))),"To Plan",INDEX(SprintPlanning[Sprint],MATCH($A920,SprintPlanning[Requirement ID],0))),"To Plan"))</f>
        <v/>
      </c>
      <c r="J920" s="36"/>
      <c r="K920" s="1" t="str">
        <f aca="false">IFERROR(IF(ISBLANK(INDEX(Release[Release],MATCH($A920,Release[Requirement ID],0))),"",INDEX(Release[Release],MATCH($A920,Release[Requirement ID],0))),"")</f>
        <v/>
      </c>
      <c r="L920" s="36"/>
      <c r="M920" s="36"/>
      <c r="P920" s="1" t="n">
        <f aca="false">IFERROR(VALUE(MID($A920,5,4)),0)</f>
        <v>0</v>
      </c>
      <c r="Q920" s="1" t="str">
        <f aca="false">IF(B920="","","NEW-"&amp;TEXT(MAX($P$2:$P919,Lists!$N$2)+1,"0000"))</f>
        <v/>
      </c>
    </row>
    <row r="921" customFormat="false" ht="15" hidden="false" customHeight="true" outlineLevel="0" collapsed="false">
      <c r="A921" s="35" t="str">
        <f aca="false">IF(AND(B921="",C921="",D921="",E921="",F921="",G921="",H921="",J921="",L921="",M921="",N921=""),"",Q921)</f>
        <v/>
      </c>
      <c r="B921" s="36"/>
      <c r="C921" s="36"/>
      <c r="D921" s="36"/>
      <c r="E921" s="36"/>
      <c r="F921" s="36"/>
      <c r="G921" s="36"/>
      <c r="H921" s="36"/>
      <c r="I921" s="1" t="str">
        <f aca="false">IF($A921="","",IFERROR(IF(ISBLANK(INDEX(SprintPlanning[Sprint],MATCH($A921,SprintPlanning[Requirement ID],0))),"To Plan",INDEX(SprintPlanning[Sprint],MATCH($A921,SprintPlanning[Requirement ID],0))),"To Plan"))</f>
        <v/>
      </c>
      <c r="J921" s="36"/>
      <c r="K921" s="1" t="str">
        <f aca="false">IFERROR(IF(ISBLANK(INDEX(Release[Release],MATCH($A921,Release[Requirement ID],0))),"",INDEX(Release[Release],MATCH($A921,Release[Requirement ID],0))),"")</f>
        <v/>
      </c>
      <c r="L921" s="36"/>
      <c r="M921" s="36"/>
      <c r="P921" s="1" t="n">
        <f aca="false">IFERROR(VALUE(MID($A921,5,4)),0)</f>
        <v>0</v>
      </c>
      <c r="Q921" s="1" t="str">
        <f aca="false">IF(B921="","","NEW-"&amp;TEXT(MAX($P$2:$P920,Lists!$N$2)+1,"0000"))</f>
        <v/>
      </c>
    </row>
    <row r="922" customFormat="false" ht="15" hidden="false" customHeight="true" outlineLevel="0" collapsed="false">
      <c r="A922" s="35" t="str">
        <f aca="false">IF(AND(B922="",C922="",D922="",E922="",F922="",G922="",H922="",J922="",L922="",M922="",N922=""),"",Q922)</f>
        <v/>
      </c>
      <c r="B922" s="36"/>
      <c r="C922" s="36"/>
      <c r="D922" s="36"/>
      <c r="E922" s="36"/>
      <c r="F922" s="36"/>
      <c r="G922" s="36"/>
      <c r="H922" s="36"/>
      <c r="I922" s="1" t="str">
        <f aca="false">IF($A922="","",IFERROR(IF(ISBLANK(INDEX(SprintPlanning[Sprint],MATCH($A922,SprintPlanning[Requirement ID],0))),"To Plan",INDEX(SprintPlanning[Sprint],MATCH($A922,SprintPlanning[Requirement ID],0))),"To Plan"))</f>
        <v/>
      </c>
      <c r="J922" s="36"/>
      <c r="K922" s="1" t="str">
        <f aca="false">IFERROR(IF(ISBLANK(INDEX(Release[Release],MATCH($A922,Release[Requirement ID],0))),"",INDEX(Release[Release],MATCH($A922,Release[Requirement ID],0))),"")</f>
        <v/>
      </c>
      <c r="L922" s="36"/>
      <c r="M922" s="36"/>
      <c r="P922" s="1" t="n">
        <f aca="false">IFERROR(VALUE(MID($A922,5,4)),0)</f>
        <v>0</v>
      </c>
      <c r="Q922" s="1" t="str">
        <f aca="false">IF(B922="","","NEW-"&amp;TEXT(MAX($P$2:$P921,Lists!$N$2)+1,"0000"))</f>
        <v/>
      </c>
    </row>
    <row r="923" customFormat="false" ht="15" hidden="false" customHeight="true" outlineLevel="0" collapsed="false">
      <c r="A923" s="35" t="str">
        <f aca="false">IF(AND(B923="",C923="",D923="",E923="",F923="",G923="",H923="",J923="",L923="",M923="",N923=""),"",Q923)</f>
        <v/>
      </c>
      <c r="B923" s="36"/>
      <c r="C923" s="36"/>
      <c r="D923" s="36"/>
      <c r="E923" s="36"/>
      <c r="F923" s="36"/>
      <c r="G923" s="36"/>
      <c r="H923" s="36"/>
      <c r="I923" s="1" t="str">
        <f aca="false">IF($A923="","",IFERROR(IF(ISBLANK(INDEX(SprintPlanning[Sprint],MATCH($A923,SprintPlanning[Requirement ID],0))),"To Plan",INDEX(SprintPlanning[Sprint],MATCH($A923,SprintPlanning[Requirement ID],0))),"To Plan"))</f>
        <v/>
      </c>
      <c r="J923" s="36"/>
      <c r="K923" s="1" t="str">
        <f aca="false">IFERROR(IF(ISBLANK(INDEX(Release[Release],MATCH($A923,Release[Requirement ID],0))),"",INDEX(Release[Release],MATCH($A923,Release[Requirement ID],0))),"")</f>
        <v/>
      </c>
      <c r="L923" s="36"/>
      <c r="M923" s="36"/>
      <c r="P923" s="1" t="n">
        <f aca="false">IFERROR(VALUE(MID($A923,5,4)),0)</f>
        <v>0</v>
      </c>
      <c r="Q923" s="1" t="str">
        <f aca="false">IF(B923="","","NEW-"&amp;TEXT(MAX($P$2:$P922,Lists!$N$2)+1,"0000"))</f>
        <v/>
      </c>
    </row>
    <row r="924" customFormat="false" ht="15" hidden="false" customHeight="true" outlineLevel="0" collapsed="false">
      <c r="A924" s="35" t="str">
        <f aca="false">IF(AND(B924="",C924="",D924="",E924="",F924="",G924="",H924="",J924="",L924="",M924="",N924=""),"",Q924)</f>
        <v/>
      </c>
      <c r="B924" s="36"/>
      <c r="C924" s="36"/>
      <c r="D924" s="36"/>
      <c r="E924" s="36"/>
      <c r="F924" s="36"/>
      <c r="G924" s="36"/>
      <c r="H924" s="36"/>
      <c r="I924" s="1" t="str">
        <f aca="false">IF($A924="","",IFERROR(IF(ISBLANK(INDEX(SprintPlanning[Sprint],MATCH($A924,SprintPlanning[Requirement ID],0))),"To Plan",INDEX(SprintPlanning[Sprint],MATCH($A924,SprintPlanning[Requirement ID],0))),"To Plan"))</f>
        <v/>
      </c>
      <c r="J924" s="36"/>
      <c r="K924" s="1" t="str">
        <f aca="false">IFERROR(IF(ISBLANK(INDEX(Release[Release],MATCH($A924,Release[Requirement ID],0))),"",INDEX(Release[Release],MATCH($A924,Release[Requirement ID],0))),"")</f>
        <v/>
      </c>
      <c r="L924" s="36"/>
      <c r="M924" s="36"/>
      <c r="P924" s="1" t="n">
        <f aca="false">IFERROR(VALUE(MID($A924,5,4)),0)</f>
        <v>0</v>
      </c>
      <c r="Q924" s="1" t="str">
        <f aca="false">IF(B924="","","NEW-"&amp;TEXT(MAX($P$2:$P923,Lists!$N$2)+1,"0000"))</f>
        <v/>
      </c>
    </row>
    <row r="925" customFormat="false" ht="15" hidden="false" customHeight="true" outlineLevel="0" collapsed="false">
      <c r="A925" s="35" t="str">
        <f aca="false">IF(AND(B925="",C925="",D925="",E925="",F925="",G925="",H925="",J925="",L925="",M925="",N925=""),"",Q925)</f>
        <v/>
      </c>
      <c r="B925" s="36"/>
      <c r="C925" s="36"/>
      <c r="D925" s="36"/>
      <c r="E925" s="36"/>
      <c r="F925" s="36"/>
      <c r="G925" s="36"/>
      <c r="H925" s="36"/>
      <c r="I925" s="1" t="str">
        <f aca="false">IF($A925="","",IFERROR(IF(ISBLANK(INDEX(SprintPlanning[Sprint],MATCH($A925,SprintPlanning[Requirement ID],0))),"To Plan",INDEX(SprintPlanning[Sprint],MATCH($A925,SprintPlanning[Requirement ID],0))),"To Plan"))</f>
        <v/>
      </c>
      <c r="J925" s="36"/>
      <c r="K925" s="1" t="str">
        <f aca="false">IFERROR(IF(ISBLANK(INDEX(Release[Release],MATCH($A925,Release[Requirement ID],0))),"",INDEX(Release[Release],MATCH($A925,Release[Requirement ID],0))),"")</f>
        <v/>
      </c>
      <c r="L925" s="36"/>
      <c r="M925" s="36"/>
      <c r="P925" s="1" t="n">
        <f aca="false">IFERROR(VALUE(MID($A925,5,4)),0)</f>
        <v>0</v>
      </c>
      <c r="Q925" s="1" t="str">
        <f aca="false">IF(B925="","","NEW-"&amp;TEXT(MAX($P$2:$P924,Lists!$N$2)+1,"0000"))</f>
        <v/>
      </c>
    </row>
    <row r="926" customFormat="false" ht="15" hidden="false" customHeight="true" outlineLevel="0" collapsed="false">
      <c r="A926" s="35" t="str">
        <f aca="false">IF(AND(B926="",C926="",D926="",E926="",F926="",G926="",H926="",J926="",L926="",M926="",N926=""),"",Q926)</f>
        <v/>
      </c>
      <c r="B926" s="36"/>
      <c r="C926" s="36"/>
      <c r="D926" s="36"/>
      <c r="E926" s="36"/>
      <c r="F926" s="36"/>
      <c r="G926" s="36"/>
      <c r="H926" s="36"/>
      <c r="I926" s="1" t="str">
        <f aca="false">IF($A926="","",IFERROR(IF(ISBLANK(INDEX(SprintPlanning[Sprint],MATCH($A926,SprintPlanning[Requirement ID],0))),"To Plan",INDEX(SprintPlanning[Sprint],MATCH($A926,SprintPlanning[Requirement ID],0))),"To Plan"))</f>
        <v/>
      </c>
      <c r="J926" s="36"/>
      <c r="K926" s="1" t="str">
        <f aca="false">IFERROR(IF(ISBLANK(INDEX(Release[Release],MATCH($A926,Release[Requirement ID],0))),"",INDEX(Release[Release],MATCH($A926,Release[Requirement ID],0))),"")</f>
        <v/>
      </c>
      <c r="L926" s="36"/>
      <c r="M926" s="36"/>
      <c r="P926" s="1" t="n">
        <f aca="false">IFERROR(VALUE(MID($A926,5,4)),0)</f>
        <v>0</v>
      </c>
      <c r="Q926" s="1" t="str">
        <f aca="false">IF(B926="","","NEW-"&amp;TEXT(MAX($P$2:$P925,Lists!$N$2)+1,"0000"))</f>
        <v/>
      </c>
    </row>
    <row r="927" customFormat="false" ht="15" hidden="false" customHeight="true" outlineLevel="0" collapsed="false">
      <c r="A927" s="35" t="str">
        <f aca="false">IF(AND(B927="",C927="",D927="",E927="",F927="",G927="",H927="",J927="",L927="",M927="",N927=""),"",Q927)</f>
        <v/>
      </c>
      <c r="B927" s="36"/>
      <c r="C927" s="36"/>
      <c r="D927" s="36"/>
      <c r="E927" s="36"/>
      <c r="F927" s="36"/>
      <c r="G927" s="36"/>
      <c r="H927" s="36"/>
      <c r="I927" s="1" t="str">
        <f aca="false">IF($A927="","",IFERROR(IF(ISBLANK(INDEX(SprintPlanning[Sprint],MATCH($A927,SprintPlanning[Requirement ID],0))),"To Plan",INDEX(SprintPlanning[Sprint],MATCH($A927,SprintPlanning[Requirement ID],0))),"To Plan"))</f>
        <v/>
      </c>
      <c r="J927" s="36"/>
      <c r="K927" s="1" t="str">
        <f aca="false">IFERROR(IF(ISBLANK(INDEX(Release[Release],MATCH($A927,Release[Requirement ID],0))),"",INDEX(Release[Release],MATCH($A927,Release[Requirement ID],0))),"")</f>
        <v/>
      </c>
      <c r="L927" s="36"/>
      <c r="M927" s="36"/>
      <c r="P927" s="1" t="n">
        <f aca="false">IFERROR(VALUE(MID($A927,5,4)),0)</f>
        <v>0</v>
      </c>
      <c r="Q927" s="1" t="str">
        <f aca="false">IF(B927="","","NEW-"&amp;TEXT(MAX($P$2:$P926,Lists!$N$2)+1,"0000"))</f>
        <v/>
      </c>
    </row>
    <row r="928" customFormat="false" ht="15" hidden="false" customHeight="true" outlineLevel="0" collapsed="false">
      <c r="A928" s="35" t="str">
        <f aca="false">IF(AND(B928="",C928="",D928="",E928="",F928="",G928="",H928="",J928="",L928="",M928="",N928=""),"",Q928)</f>
        <v/>
      </c>
      <c r="B928" s="36"/>
      <c r="C928" s="36"/>
      <c r="D928" s="36"/>
      <c r="E928" s="36"/>
      <c r="F928" s="36"/>
      <c r="G928" s="36"/>
      <c r="H928" s="36"/>
      <c r="I928" s="1" t="str">
        <f aca="false">IF($A928="","",IFERROR(IF(ISBLANK(INDEX(SprintPlanning[Sprint],MATCH($A928,SprintPlanning[Requirement ID],0))),"To Plan",INDEX(SprintPlanning[Sprint],MATCH($A928,SprintPlanning[Requirement ID],0))),"To Plan"))</f>
        <v/>
      </c>
      <c r="J928" s="36"/>
      <c r="K928" s="1" t="str">
        <f aca="false">IFERROR(IF(ISBLANK(INDEX(Release[Release],MATCH($A928,Release[Requirement ID],0))),"",INDEX(Release[Release],MATCH($A928,Release[Requirement ID],0))),"")</f>
        <v/>
      </c>
      <c r="L928" s="36"/>
      <c r="M928" s="36"/>
      <c r="P928" s="1" t="n">
        <f aca="false">IFERROR(VALUE(MID($A928,5,4)),0)</f>
        <v>0</v>
      </c>
      <c r="Q928" s="1" t="str">
        <f aca="false">IF(B928="","","NEW-"&amp;TEXT(MAX($P$2:$P927,Lists!$N$2)+1,"0000"))</f>
        <v/>
      </c>
    </row>
    <row r="929" customFormat="false" ht="15" hidden="false" customHeight="true" outlineLevel="0" collapsed="false">
      <c r="A929" s="35" t="str">
        <f aca="false">IF(AND(B929="",C929="",D929="",E929="",F929="",G929="",H929="",J929="",L929="",M929="",N929=""),"",Q929)</f>
        <v/>
      </c>
      <c r="B929" s="36"/>
      <c r="C929" s="36"/>
      <c r="D929" s="36"/>
      <c r="E929" s="36"/>
      <c r="F929" s="36"/>
      <c r="G929" s="36"/>
      <c r="H929" s="36"/>
      <c r="I929" s="1" t="str">
        <f aca="false">IF($A929="","",IFERROR(IF(ISBLANK(INDEX(SprintPlanning[Sprint],MATCH($A929,SprintPlanning[Requirement ID],0))),"To Plan",INDEX(SprintPlanning[Sprint],MATCH($A929,SprintPlanning[Requirement ID],0))),"To Plan"))</f>
        <v/>
      </c>
      <c r="J929" s="36"/>
      <c r="K929" s="1" t="str">
        <f aca="false">IFERROR(IF(ISBLANK(INDEX(Release[Release],MATCH($A929,Release[Requirement ID],0))),"",INDEX(Release[Release],MATCH($A929,Release[Requirement ID],0))),"")</f>
        <v/>
      </c>
      <c r="L929" s="36"/>
      <c r="M929" s="36"/>
      <c r="P929" s="1" t="n">
        <f aca="false">IFERROR(VALUE(MID($A929,5,4)),0)</f>
        <v>0</v>
      </c>
      <c r="Q929" s="1" t="str">
        <f aca="false">IF(B929="","","NEW-"&amp;TEXT(MAX($P$2:$P928,Lists!$N$2)+1,"0000"))</f>
        <v/>
      </c>
    </row>
    <row r="930" customFormat="false" ht="15" hidden="false" customHeight="true" outlineLevel="0" collapsed="false">
      <c r="A930" s="35" t="str">
        <f aca="false">IF(AND(B930="",C930="",D930="",E930="",F930="",G930="",H930="",J930="",L930="",M930="",N930=""),"",Q930)</f>
        <v/>
      </c>
      <c r="B930" s="36"/>
      <c r="C930" s="36"/>
      <c r="D930" s="36"/>
      <c r="E930" s="36"/>
      <c r="F930" s="36"/>
      <c r="G930" s="36"/>
      <c r="H930" s="36"/>
      <c r="I930" s="1" t="str">
        <f aca="false">IF($A930="","",IFERROR(IF(ISBLANK(INDEX(SprintPlanning[Sprint],MATCH($A930,SprintPlanning[Requirement ID],0))),"To Plan",INDEX(SprintPlanning[Sprint],MATCH($A930,SprintPlanning[Requirement ID],0))),"To Plan"))</f>
        <v/>
      </c>
      <c r="J930" s="36"/>
      <c r="K930" s="1" t="str">
        <f aca="false">IFERROR(IF(ISBLANK(INDEX(Release[Release],MATCH($A930,Release[Requirement ID],0))),"",INDEX(Release[Release],MATCH($A930,Release[Requirement ID],0))),"")</f>
        <v/>
      </c>
      <c r="L930" s="36"/>
      <c r="M930" s="36"/>
      <c r="P930" s="1" t="n">
        <f aca="false">IFERROR(VALUE(MID($A930,5,4)),0)</f>
        <v>0</v>
      </c>
      <c r="Q930" s="1" t="str">
        <f aca="false">IF(B930="","","NEW-"&amp;TEXT(MAX($P$2:$P929,Lists!$N$2)+1,"0000"))</f>
        <v/>
      </c>
    </row>
    <row r="931" customFormat="false" ht="15" hidden="false" customHeight="true" outlineLevel="0" collapsed="false">
      <c r="A931" s="35" t="str">
        <f aca="false">IF(AND(B931="",C931="",D931="",E931="",F931="",G931="",H931="",J931="",L931="",M931="",N931=""),"",Q931)</f>
        <v/>
      </c>
      <c r="B931" s="36"/>
      <c r="C931" s="36"/>
      <c r="D931" s="36"/>
      <c r="E931" s="36"/>
      <c r="F931" s="36"/>
      <c r="G931" s="36"/>
      <c r="H931" s="36"/>
      <c r="I931" s="1" t="str">
        <f aca="false">IF($A931="","",IFERROR(IF(ISBLANK(INDEX(SprintPlanning[Sprint],MATCH($A931,SprintPlanning[Requirement ID],0))),"To Plan",INDEX(SprintPlanning[Sprint],MATCH($A931,SprintPlanning[Requirement ID],0))),"To Plan"))</f>
        <v/>
      </c>
      <c r="J931" s="36"/>
      <c r="K931" s="1" t="str">
        <f aca="false">IFERROR(IF(ISBLANK(INDEX(Release[Release],MATCH($A931,Release[Requirement ID],0))),"",INDEX(Release[Release],MATCH($A931,Release[Requirement ID],0))),"")</f>
        <v/>
      </c>
      <c r="L931" s="36"/>
      <c r="M931" s="36"/>
      <c r="P931" s="1" t="n">
        <f aca="false">IFERROR(VALUE(MID($A931,5,4)),0)</f>
        <v>0</v>
      </c>
      <c r="Q931" s="1" t="str">
        <f aca="false">IF(B931="","","NEW-"&amp;TEXT(MAX($P$2:$P930,Lists!$N$2)+1,"0000"))</f>
        <v/>
      </c>
    </row>
    <row r="932" customFormat="false" ht="15" hidden="false" customHeight="true" outlineLevel="0" collapsed="false">
      <c r="A932" s="35" t="str">
        <f aca="false">IF(AND(B932="",C932="",D932="",E932="",F932="",G932="",H932="",J932="",L932="",M932="",N932=""),"",Q932)</f>
        <v/>
      </c>
      <c r="B932" s="36"/>
      <c r="C932" s="36"/>
      <c r="D932" s="36"/>
      <c r="E932" s="36"/>
      <c r="F932" s="36"/>
      <c r="G932" s="36"/>
      <c r="H932" s="36"/>
      <c r="I932" s="1" t="str">
        <f aca="false">IF($A932="","",IFERROR(IF(ISBLANK(INDEX(SprintPlanning[Sprint],MATCH($A932,SprintPlanning[Requirement ID],0))),"To Plan",INDEX(SprintPlanning[Sprint],MATCH($A932,SprintPlanning[Requirement ID],0))),"To Plan"))</f>
        <v/>
      </c>
      <c r="J932" s="36"/>
      <c r="K932" s="1" t="str">
        <f aca="false">IFERROR(IF(ISBLANK(INDEX(Release[Release],MATCH($A932,Release[Requirement ID],0))),"",INDEX(Release[Release],MATCH($A932,Release[Requirement ID],0))),"")</f>
        <v/>
      </c>
      <c r="L932" s="36"/>
      <c r="M932" s="36"/>
      <c r="P932" s="1" t="n">
        <f aca="false">IFERROR(VALUE(MID($A932,5,4)),0)</f>
        <v>0</v>
      </c>
      <c r="Q932" s="1" t="str">
        <f aca="false">IF(B932="","","NEW-"&amp;TEXT(MAX($P$2:$P931,Lists!$N$2)+1,"0000"))</f>
        <v/>
      </c>
    </row>
    <row r="933" customFormat="false" ht="15" hidden="false" customHeight="true" outlineLevel="0" collapsed="false">
      <c r="A933" s="35" t="str">
        <f aca="false">IF(AND(B933="",C933="",D933="",E933="",F933="",G933="",H933="",J933="",L933="",M933="",N933=""),"",Q933)</f>
        <v/>
      </c>
      <c r="B933" s="36"/>
      <c r="C933" s="36"/>
      <c r="D933" s="36"/>
      <c r="E933" s="36"/>
      <c r="F933" s="36"/>
      <c r="G933" s="36"/>
      <c r="H933" s="36"/>
      <c r="I933" s="1" t="str">
        <f aca="false">IF($A933="","",IFERROR(IF(ISBLANK(INDEX(SprintPlanning[Sprint],MATCH($A933,SprintPlanning[Requirement ID],0))),"To Plan",INDEX(SprintPlanning[Sprint],MATCH($A933,SprintPlanning[Requirement ID],0))),"To Plan"))</f>
        <v/>
      </c>
      <c r="J933" s="36"/>
      <c r="K933" s="1" t="str">
        <f aca="false">IFERROR(IF(ISBLANK(INDEX(Release[Release],MATCH($A933,Release[Requirement ID],0))),"",INDEX(Release[Release],MATCH($A933,Release[Requirement ID],0))),"")</f>
        <v/>
      </c>
      <c r="L933" s="36"/>
      <c r="M933" s="36"/>
      <c r="P933" s="1" t="n">
        <f aca="false">IFERROR(VALUE(MID($A933,5,4)),0)</f>
        <v>0</v>
      </c>
      <c r="Q933" s="1" t="str">
        <f aca="false">IF(B933="","","NEW-"&amp;TEXT(MAX($P$2:$P932,Lists!$N$2)+1,"0000"))</f>
        <v/>
      </c>
    </row>
    <row r="934" customFormat="false" ht="15" hidden="false" customHeight="true" outlineLevel="0" collapsed="false">
      <c r="A934" s="35" t="str">
        <f aca="false">IF(AND(B934="",C934="",D934="",E934="",F934="",G934="",H934="",J934="",L934="",M934="",N934=""),"",Q934)</f>
        <v/>
      </c>
      <c r="B934" s="36"/>
      <c r="C934" s="36"/>
      <c r="D934" s="36"/>
      <c r="E934" s="36"/>
      <c r="F934" s="36"/>
      <c r="G934" s="36"/>
      <c r="H934" s="36"/>
      <c r="I934" s="1" t="str">
        <f aca="false">IF($A934="","",IFERROR(IF(ISBLANK(INDEX(SprintPlanning[Sprint],MATCH($A934,SprintPlanning[Requirement ID],0))),"To Plan",INDEX(SprintPlanning[Sprint],MATCH($A934,SprintPlanning[Requirement ID],0))),"To Plan"))</f>
        <v/>
      </c>
      <c r="J934" s="36"/>
      <c r="K934" s="1" t="str">
        <f aca="false">IFERROR(IF(ISBLANK(INDEX(Release[Release],MATCH($A934,Release[Requirement ID],0))),"",INDEX(Release[Release],MATCH($A934,Release[Requirement ID],0))),"")</f>
        <v/>
      </c>
      <c r="L934" s="36"/>
      <c r="M934" s="36"/>
      <c r="P934" s="1" t="n">
        <f aca="false">IFERROR(VALUE(MID($A934,5,4)),0)</f>
        <v>0</v>
      </c>
      <c r="Q934" s="1" t="str">
        <f aca="false">IF(B934="","","NEW-"&amp;TEXT(MAX($P$2:$P933,Lists!$N$2)+1,"0000"))</f>
        <v/>
      </c>
    </row>
    <row r="935" customFormat="false" ht="15" hidden="false" customHeight="true" outlineLevel="0" collapsed="false">
      <c r="A935" s="35" t="str">
        <f aca="false">IF(AND(B935="",C935="",D935="",E935="",F935="",G935="",H935="",J935="",L935="",M935="",N935=""),"",Q935)</f>
        <v/>
      </c>
      <c r="B935" s="36"/>
      <c r="C935" s="36"/>
      <c r="D935" s="36"/>
      <c r="E935" s="36"/>
      <c r="F935" s="36"/>
      <c r="G935" s="36"/>
      <c r="H935" s="36"/>
      <c r="I935" s="1" t="str">
        <f aca="false">IF($A935="","",IFERROR(IF(ISBLANK(INDEX(SprintPlanning[Sprint],MATCH($A935,SprintPlanning[Requirement ID],0))),"To Plan",INDEX(SprintPlanning[Sprint],MATCH($A935,SprintPlanning[Requirement ID],0))),"To Plan"))</f>
        <v/>
      </c>
      <c r="J935" s="36"/>
      <c r="K935" s="1" t="str">
        <f aca="false">IFERROR(IF(ISBLANK(INDEX(Release[Release],MATCH($A935,Release[Requirement ID],0))),"",INDEX(Release[Release],MATCH($A935,Release[Requirement ID],0))),"")</f>
        <v/>
      </c>
      <c r="L935" s="36"/>
      <c r="M935" s="36"/>
      <c r="P935" s="1" t="n">
        <f aca="false">IFERROR(VALUE(MID($A935,5,4)),0)</f>
        <v>0</v>
      </c>
      <c r="Q935" s="1" t="str">
        <f aca="false">IF(B935="","","NEW-"&amp;TEXT(MAX($P$2:$P934,Lists!$N$2)+1,"0000"))</f>
        <v/>
      </c>
    </row>
    <row r="936" customFormat="false" ht="15" hidden="false" customHeight="true" outlineLevel="0" collapsed="false">
      <c r="A936" s="35" t="str">
        <f aca="false">IF(AND(B936="",C936="",D936="",E936="",F936="",G936="",H936="",J936="",L936="",M936="",N936=""),"",Q936)</f>
        <v/>
      </c>
      <c r="B936" s="36"/>
      <c r="C936" s="36"/>
      <c r="D936" s="36"/>
      <c r="E936" s="36"/>
      <c r="F936" s="36"/>
      <c r="G936" s="36"/>
      <c r="H936" s="36"/>
      <c r="I936" s="1" t="str">
        <f aca="false">IF($A936="","",IFERROR(IF(ISBLANK(INDEX(SprintPlanning[Sprint],MATCH($A936,SprintPlanning[Requirement ID],0))),"To Plan",INDEX(SprintPlanning[Sprint],MATCH($A936,SprintPlanning[Requirement ID],0))),"To Plan"))</f>
        <v/>
      </c>
      <c r="J936" s="36"/>
      <c r="K936" s="1" t="str">
        <f aca="false">IFERROR(IF(ISBLANK(INDEX(Release[Release],MATCH($A936,Release[Requirement ID],0))),"",INDEX(Release[Release],MATCH($A936,Release[Requirement ID],0))),"")</f>
        <v/>
      </c>
      <c r="L936" s="36"/>
      <c r="M936" s="36"/>
      <c r="P936" s="1" t="n">
        <f aca="false">IFERROR(VALUE(MID($A936,5,4)),0)</f>
        <v>0</v>
      </c>
      <c r="Q936" s="1" t="str">
        <f aca="false">IF(B936="","","NEW-"&amp;TEXT(MAX($P$2:$P935,Lists!$N$2)+1,"0000"))</f>
        <v/>
      </c>
    </row>
    <row r="937" customFormat="false" ht="15" hidden="false" customHeight="true" outlineLevel="0" collapsed="false">
      <c r="A937" s="35" t="str">
        <f aca="false">IF(AND(B937="",C937="",D937="",E937="",F937="",G937="",H937="",J937="",L937="",M937="",N937=""),"",Q937)</f>
        <v/>
      </c>
      <c r="B937" s="36"/>
      <c r="C937" s="36"/>
      <c r="D937" s="36"/>
      <c r="E937" s="36"/>
      <c r="F937" s="36"/>
      <c r="G937" s="36"/>
      <c r="H937" s="36"/>
      <c r="I937" s="1" t="str">
        <f aca="false">IF($A937="","",IFERROR(IF(ISBLANK(INDEX(SprintPlanning[Sprint],MATCH($A937,SprintPlanning[Requirement ID],0))),"To Plan",INDEX(SprintPlanning[Sprint],MATCH($A937,SprintPlanning[Requirement ID],0))),"To Plan"))</f>
        <v/>
      </c>
      <c r="J937" s="36"/>
      <c r="K937" s="1" t="str">
        <f aca="false">IFERROR(IF(ISBLANK(INDEX(Release[Release],MATCH($A937,Release[Requirement ID],0))),"",INDEX(Release[Release],MATCH($A937,Release[Requirement ID],0))),"")</f>
        <v/>
      </c>
      <c r="L937" s="36"/>
      <c r="M937" s="36"/>
      <c r="P937" s="1" t="n">
        <f aca="false">IFERROR(VALUE(MID($A937,5,4)),0)</f>
        <v>0</v>
      </c>
      <c r="Q937" s="1" t="str">
        <f aca="false">IF(B937="","","NEW-"&amp;TEXT(MAX($P$2:$P936,Lists!$N$2)+1,"0000"))</f>
        <v/>
      </c>
    </row>
    <row r="938" customFormat="false" ht="15" hidden="false" customHeight="true" outlineLevel="0" collapsed="false">
      <c r="A938" s="35" t="str">
        <f aca="false">IF(AND(B938="",C938="",D938="",E938="",F938="",G938="",H938="",J938="",L938="",M938="",N938=""),"",Q938)</f>
        <v/>
      </c>
      <c r="B938" s="36"/>
      <c r="C938" s="36"/>
      <c r="D938" s="36"/>
      <c r="E938" s="36"/>
      <c r="F938" s="36"/>
      <c r="G938" s="36"/>
      <c r="H938" s="36"/>
      <c r="I938" s="1" t="str">
        <f aca="false">IF($A938="","",IFERROR(IF(ISBLANK(INDEX(SprintPlanning[Sprint],MATCH($A938,SprintPlanning[Requirement ID],0))),"To Plan",INDEX(SprintPlanning[Sprint],MATCH($A938,SprintPlanning[Requirement ID],0))),"To Plan"))</f>
        <v/>
      </c>
      <c r="J938" s="36"/>
      <c r="K938" s="1" t="str">
        <f aca="false">IFERROR(IF(ISBLANK(INDEX(Release[Release],MATCH($A938,Release[Requirement ID],0))),"",INDEX(Release[Release],MATCH($A938,Release[Requirement ID],0))),"")</f>
        <v/>
      </c>
      <c r="L938" s="36"/>
      <c r="M938" s="36"/>
      <c r="P938" s="1" t="n">
        <f aca="false">IFERROR(VALUE(MID($A938,5,4)),0)</f>
        <v>0</v>
      </c>
      <c r="Q938" s="1" t="str">
        <f aca="false">IF(B938="","","NEW-"&amp;TEXT(MAX($P$2:$P937,Lists!$N$2)+1,"0000"))</f>
        <v/>
      </c>
    </row>
    <row r="939" customFormat="false" ht="15" hidden="false" customHeight="true" outlineLevel="0" collapsed="false">
      <c r="A939" s="35" t="str">
        <f aca="false">IF(AND(B939="",C939="",D939="",E939="",F939="",G939="",H939="",J939="",L939="",M939="",N939=""),"",Q939)</f>
        <v/>
      </c>
      <c r="B939" s="36"/>
      <c r="C939" s="36"/>
      <c r="D939" s="36"/>
      <c r="E939" s="36"/>
      <c r="F939" s="36"/>
      <c r="G939" s="36"/>
      <c r="H939" s="36"/>
      <c r="I939" s="1" t="str">
        <f aca="false">IF($A939="","",IFERROR(IF(ISBLANK(INDEX(SprintPlanning[Sprint],MATCH($A939,SprintPlanning[Requirement ID],0))),"To Plan",INDEX(SprintPlanning[Sprint],MATCH($A939,SprintPlanning[Requirement ID],0))),"To Plan"))</f>
        <v/>
      </c>
      <c r="J939" s="36"/>
      <c r="K939" s="1" t="str">
        <f aca="false">IFERROR(IF(ISBLANK(INDEX(Release[Release],MATCH($A939,Release[Requirement ID],0))),"",INDEX(Release[Release],MATCH($A939,Release[Requirement ID],0))),"")</f>
        <v/>
      </c>
      <c r="L939" s="36"/>
      <c r="M939" s="36"/>
      <c r="P939" s="1" t="n">
        <f aca="false">IFERROR(VALUE(MID($A939,5,4)),0)</f>
        <v>0</v>
      </c>
      <c r="Q939" s="1" t="str">
        <f aca="false">IF(B939="","","NEW-"&amp;TEXT(MAX($P$2:$P938,Lists!$N$2)+1,"0000"))</f>
        <v/>
      </c>
    </row>
    <row r="940" customFormat="false" ht="15" hidden="false" customHeight="true" outlineLevel="0" collapsed="false">
      <c r="A940" s="35" t="str">
        <f aca="false">IF(AND(B940="",C940="",D940="",E940="",F940="",G940="",H940="",J940="",L940="",M940="",N940=""),"",Q940)</f>
        <v/>
      </c>
      <c r="B940" s="36"/>
      <c r="C940" s="36"/>
      <c r="D940" s="36"/>
      <c r="E940" s="36"/>
      <c r="F940" s="36"/>
      <c r="G940" s="36"/>
      <c r="H940" s="36"/>
      <c r="I940" s="1" t="str">
        <f aca="false">IF($A940="","",IFERROR(IF(ISBLANK(INDEX(SprintPlanning[Sprint],MATCH($A940,SprintPlanning[Requirement ID],0))),"To Plan",INDEX(SprintPlanning[Sprint],MATCH($A940,SprintPlanning[Requirement ID],0))),"To Plan"))</f>
        <v/>
      </c>
      <c r="J940" s="36"/>
      <c r="K940" s="1" t="str">
        <f aca="false">IFERROR(IF(ISBLANK(INDEX(Release[Release],MATCH($A940,Release[Requirement ID],0))),"",INDEX(Release[Release],MATCH($A940,Release[Requirement ID],0))),"")</f>
        <v/>
      </c>
      <c r="L940" s="36"/>
      <c r="M940" s="36"/>
      <c r="P940" s="1" t="n">
        <f aca="false">IFERROR(VALUE(MID($A940,5,4)),0)</f>
        <v>0</v>
      </c>
      <c r="Q940" s="1" t="str">
        <f aca="false">IF(B940="","","NEW-"&amp;TEXT(MAX($P$2:$P939,Lists!$N$2)+1,"0000"))</f>
        <v/>
      </c>
    </row>
    <row r="941" customFormat="false" ht="15" hidden="false" customHeight="true" outlineLevel="0" collapsed="false">
      <c r="A941" s="35" t="str">
        <f aca="false">IF(AND(B941="",C941="",D941="",E941="",F941="",G941="",H941="",J941="",L941="",M941="",N941=""),"",Q941)</f>
        <v/>
      </c>
      <c r="B941" s="36"/>
      <c r="C941" s="36"/>
      <c r="D941" s="36"/>
      <c r="E941" s="36"/>
      <c r="F941" s="36"/>
      <c r="G941" s="36"/>
      <c r="H941" s="36"/>
      <c r="I941" s="1" t="str">
        <f aca="false">IF($A941="","",IFERROR(IF(ISBLANK(INDEX(SprintPlanning[Sprint],MATCH($A941,SprintPlanning[Requirement ID],0))),"To Plan",INDEX(SprintPlanning[Sprint],MATCH($A941,SprintPlanning[Requirement ID],0))),"To Plan"))</f>
        <v/>
      </c>
      <c r="J941" s="36"/>
      <c r="K941" s="1" t="str">
        <f aca="false">IFERROR(IF(ISBLANK(INDEX(Release[Release],MATCH($A941,Release[Requirement ID],0))),"",INDEX(Release[Release],MATCH($A941,Release[Requirement ID],0))),"")</f>
        <v/>
      </c>
      <c r="L941" s="36"/>
      <c r="M941" s="36"/>
      <c r="P941" s="1" t="n">
        <f aca="false">IFERROR(VALUE(MID($A941,5,4)),0)</f>
        <v>0</v>
      </c>
      <c r="Q941" s="1" t="str">
        <f aca="false">IF(B941="","","NEW-"&amp;TEXT(MAX($P$2:$P940,Lists!$N$2)+1,"0000"))</f>
        <v/>
      </c>
    </row>
    <row r="942" customFormat="false" ht="15" hidden="false" customHeight="true" outlineLevel="0" collapsed="false">
      <c r="A942" s="35" t="str">
        <f aca="false">IF(AND(B942="",C942="",D942="",E942="",F942="",G942="",H942="",J942="",L942="",M942="",N942=""),"",Q942)</f>
        <v/>
      </c>
      <c r="B942" s="36"/>
      <c r="C942" s="36"/>
      <c r="D942" s="36"/>
      <c r="E942" s="36"/>
      <c r="F942" s="36"/>
      <c r="G942" s="36"/>
      <c r="H942" s="36"/>
      <c r="I942" s="1" t="str">
        <f aca="false">IF($A942="","",IFERROR(IF(ISBLANK(INDEX(SprintPlanning[Sprint],MATCH($A942,SprintPlanning[Requirement ID],0))),"To Plan",INDEX(SprintPlanning[Sprint],MATCH($A942,SprintPlanning[Requirement ID],0))),"To Plan"))</f>
        <v/>
      </c>
      <c r="J942" s="36"/>
      <c r="K942" s="1" t="str">
        <f aca="false">IFERROR(IF(ISBLANK(INDEX(Release[Release],MATCH($A942,Release[Requirement ID],0))),"",INDEX(Release[Release],MATCH($A942,Release[Requirement ID],0))),"")</f>
        <v/>
      </c>
      <c r="L942" s="36"/>
      <c r="M942" s="36"/>
      <c r="P942" s="1" t="n">
        <f aca="false">IFERROR(VALUE(MID($A942,5,4)),0)</f>
        <v>0</v>
      </c>
      <c r="Q942" s="1" t="str">
        <f aca="false">IF(B942="","","NEW-"&amp;TEXT(MAX($P$2:$P941,Lists!$N$2)+1,"0000"))</f>
        <v/>
      </c>
    </row>
    <row r="943" customFormat="false" ht="15" hidden="false" customHeight="true" outlineLevel="0" collapsed="false">
      <c r="A943" s="35" t="str">
        <f aca="false">IF(AND(B943="",C943="",D943="",E943="",F943="",G943="",H943="",J943="",L943="",M943="",N943=""),"",Q943)</f>
        <v/>
      </c>
      <c r="B943" s="36"/>
      <c r="C943" s="36"/>
      <c r="D943" s="36"/>
      <c r="E943" s="36"/>
      <c r="F943" s="36"/>
      <c r="G943" s="36"/>
      <c r="H943" s="36"/>
      <c r="I943" s="1" t="str">
        <f aca="false">IF($A943="","",IFERROR(IF(ISBLANK(INDEX(SprintPlanning[Sprint],MATCH($A943,SprintPlanning[Requirement ID],0))),"To Plan",INDEX(SprintPlanning[Sprint],MATCH($A943,SprintPlanning[Requirement ID],0))),"To Plan"))</f>
        <v/>
      </c>
      <c r="J943" s="36"/>
      <c r="K943" s="1" t="str">
        <f aca="false">IFERROR(IF(ISBLANK(INDEX(Release[Release],MATCH($A943,Release[Requirement ID],0))),"",INDEX(Release[Release],MATCH($A943,Release[Requirement ID],0))),"")</f>
        <v/>
      </c>
      <c r="L943" s="36"/>
      <c r="M943" s="36"/>
      <c r="P943" s="1" t="n">
        <f aca="false">IFERROR(VALUE(MID($A943,5,4)),0)</f>
        <v>0</v>
      </c>
      <c r="Q943" s="1" t="str">
        <f aca="false">IF(B943="","","NEW-"&amp;TEXT(MAX($P$2:$P942,Lists!$N$2)+1,"0000"))</f>
        <v/>
      </c>
    </row>
    <row r="944" customFormat="false" ht="15" hidden="false" customHeight="true" outlineLevel="0" collapsed="false">
      <c r="A944" s="35" t="str">
        <f aca="false">IF(AND(B944="",C944="",D944="",E944="",F944="",G944="",H944="",J944="",L944="",M944="",N944=""),"",Q944)</f>
        <v/>
      </c>
      <c r="B944" s="36"/>
      <c r="C944" s="36"/>
      <c r="D944" s="36"/>
      <c r="E944" s="36"/>
      <c r="F944" s="36"/>
      <c r="G944" s="36"/>
      <c r="H944" s="36"/>
      <c r="I944" s="1" t="str">
        <f aca="false">IF($A944="","",IFERROR(IF(ISBLANK(INDEX(SprintPlanning[Sprint],MATCH($A944,SprintPlanning[Requirement ID],0))),"To Plan",INDEX(SprintPlanning[Sprint],MATCH($A944,SprintPlanning[Requirement ID],0))),"To Plan"))</f>
        <v/>
      </c>
      <c r="J944" s="36"/>
      <c r="K944" s="1" t="str">
        <f aca="false">IFERROR(IF(ISBLANK(INDEX(Release[Release],MATCH($A944,Release[Requirement ID],0))),"",INDEX(Release[Release],MATCH($A944,Release[Requirement ID],0))),"")</f>
        <v/>
      </c>
      <c r="L944" s="36"/>
      <c r="M944" s="36"/>
      <c r="P944" s="1" t="n">
        <f aca="false">IFERROR(VALUE(MID($A944,5,4)),0)</f>
        <v>0</v>
      </c>
      <c r="Q944" s="1" t="str">
        <f aca="false">IF(B944="","","NEW-"&amp;TEXT(MAX($P$2:$P943,Lists!$N$2)+1,"0000"))</f>
        <v/>
      </c>
    </row>
    <row r="945" customFormat="false" ht="15" hidden="false" customHeight="true" outlineLevel="0" collapsed="false">
      <c r="A945" s="35" t="str">
        <f aca="false">IF(AND(B945="",C945="",D945="",E945="",F945="",G945="",H945="",J945="",L945="",M945="",N945=""),"",Q945)</f>
        <v/>
      </c>
      <c r="B945" s="36"/>
      <c r="C945" s="36"/>
      <c r="D945" s="36"/>
      <c r="E945" s="36"/>
      <c r="F945" s="36"/>
      <c r="G945" s="36"/>
      <c r="H945" s="36"/>
      <c r="I945" s="1" t="str">
        <f aca="false">IF($A945="","",IFERROR(IF(ISBLANK(INDEX(SprintPlanning[Sprint],MATCH($A945,SprintPlanning[Requirement ID],0))),"To Plan",INDEX(SprintPlanning[Sprint],MATCH($A945,SprintPlanning[Requirement ID],0))),"To Plan"))</f>
        <v/>
      </c>
      <c r="J945" s="36"/>
      <c r="K945" s="1" t="str">
        <f aca="false">IFERROR(IF(ISBLANK(INDEX(Release[Release],MATCH($A945,Release[Requirement ID],0))),"",INDEX(Release[Release],MATCH($A945,Release[Requirement ID],0))),"")</f>
        <v/>
      </c>
      <c r="L945" s="36"/>
      <c r="M945" s="36"/>
      <c r="P945" s="1" t="n">
        <f aca="false">IFERROR(VALUE(MID($A945,5,4)),0)</f>
        <v>0</v>
      </c>
      <c r="Q945" s="1" t="str">
        <f aca="false">IF(B945="","","NEW-"&amp;TEXT(MAX($P$2:$P944,Lists!$N$2)+1,"0000"))</f>
        <v/>
      </c>
    </row>
    <row r="946" customFormat="false" ht="15" hidden="false" customHeight="true" outlineLevel="0" collapsed="false">
      <c r="A946" s="35" t="str">
        <f aca="false">IF(AND(B946="",C946="",D946="",E946="",F946="",G946="",H946="",J946="",L946="",M946="",N946=""),"",Q946)</f>
        <v/>
      </c>
      <c r="B946" s="36"/>
      <c r="C946" s="36"/>
      <c r="D946" s="36"/>
      <c r="E946" s="36"/>
      <c r="F946" s="36"/>
      <c r="G946" s="36"/>
      <c r="H946" s="36"/>
      <c r="I946" s="1" t="str">
        <f aca="false">IF($A946="","",IFERROR(IF(ISBLANK(INDEX(SprintPlanning[Sprint],MATCH($A946,SprintPlanning[Requirement ID],0))),"To Plan",INDEX(SprintPlanning[Sprint],MATCH($A946,SprintPlanning[Requirement ID],0))),"To Plan"))</f>
        <v/>
      </c>
      <c r="J946" s="36"/>
      <c r="K946" s="1" t="str">
        <f aca="false">IFERROR(IF(ISBLANK(INDEX(Release[Release],MATCH($A946,Release[Requirement ID],0))),"",INDEX(Release[Release],MATCH($A946,Release[Requirement ID],0))),"")</f>
        <v/>
      </c>
      <c r="L946" s="36"/>
      <c r="M946" s="36"/>
      <c r="P946" s="1" t="n">
        <f aca="false">IFERROR(VALUE(MID($A946,5,4)),0)</f>
        <v>0</v>
      </c>
      <c r="Q946" s="1" t="str">
        <f aca="false">IF(B946="","","NEW-"&amp;TEXT(MAX($P$2:$P945,Lists!$N$2)+1,"0000"))</f>
        <v/>
      </c>
    </row>
    <row r="947" customFormat="false" ht="15" hidden="false" customHeight="true" outlineLevel="0" collapsed="false">
      <c r="A947" s="35" t="str">
        <f aca="false">IF(AND(B947="",C947="",D947="",E947="",F947="",G947="",H947="",J947="",L947="",M947="",N947=""),"",Q947)</f>
        <v/>
      </c>
      <c r="B947" s="36"/>
      <c r="C947" s="36"/>
      <c r="D947" s="36"/>
      <c r="E947" s="36"/>
      <c r="F947" s="36"/>
      <c r="G947" s="36"/>
      <c r="H947" s="36"/>
      <c r="I947" s="1" t="str">
        <f aca="false">IF($A947="","",IFERROR(IF(ISBLANK(INDEX(SprintPlanning[Sprint],MATCH($A947,SprintPlanning[Requirement ID],0))),"To Plan",INDEX(SprintPlanning[Sprint],MATCH($A947,SprintPlanning[Requirement ID],0))),"To Plan"))</f>
        <v/>
      </c>
      <c r="J947" s="36"/>
      <c r="K947" s="1" t="str">
        <f aca="false">IFERROR(IF(ISBLANK(INDEX(Release[Release],MATCH($A947,Release[Requirement ID],0))),"",INDEX(Release[Release],MATCH($A947,Release[Requirement ID],0))),"")</f>
        <v/>
      </c>
      <c r="L947" s="36"/>
      <c r="M947" s="36"/>
      <c r="P947" s="1" t="n">
        <f aca="false">IFERROR(VALUE(MID($A947,5,4)),0)</f>
        <v>0</v>
      </c>
      <c r="Q947" s="1" t="str">
        <f aca="false">IF(B947="","","NEW-"&amp;TEXT(MAX($P$2:$P946,Lists!$N$2)+1,"0000"))</f>
        <v/>
      </c>
    </row>
    <row r="948" customFormat="false" ht="15" hidden="false" customHeight="true" outlineLevel="0" collapsed="false">
      <c r="A948" s="35" t="str">
        <f aca="false">IF(AND(B948="",C948="",D948="",E948="",F948="",G948="",H948="",J948="",L948="",M948="",N948=""),"",Q948)</f>
        <v/>
      </c>
      <c r="B948" s="36"/>
      <c r="C948" s="36"/>
      <c r="D948" s="36"/>
      <c r="E948" s="36"/>
      <c r="F948" s="36"/>
      <c r="G948" s="36"/>
      <c r="H948" s="36"/>
      <c r="I948" s="1" t="str">
        <f aca="false">IF($A948="","",IFERROR(IF(ISBLANK(INDEX(SprintPlanning[Sprint],MATCH($A948,SprintPlanning[Requirement ID],0))),"To Plan",INDEX(SprintPlanning[Sprint],MATCH($A948,SprintPlanning[Requirement ID],0))),"To Plan"))</f>
        <v/>
      </c>
      <c r="J948" s="36"/>
      <c r="K948" s="1" t="str">
        <f aca="false">IFERROR(IF(ISBLANK(INDEX(Release[Release],MATCH($A948,Release[Requirement ID],0))),"",INDEX(Release[Release],MATCH($A948,Release[Requirement ID],0))),"")</f>
        <v/>
      </c>
      <c r="L948" s="36"/>
      <c r="M948" s="36"/>
      <c r="P948" s="1" t="n">
        <f aca="false">IFERROR(VALUE(MID($A948,5,4)),0)</f>
        <v>0</v>
      </c>
      <c r="Q948" s="1" t="str">
        <f aca="false">IF(B948="","","NEW-"&amp;TEXT(MAX($P$2:$P947,Lists!$N$2)+1,"0000"))</f>
        <v/>
      </c>
    </row>
    <row r="949" customFormat="false" ht="15" hidden="false" customHeight="true" outlineLevel="0" collapsed="false">
      <c r="A949" s="35" t="str">
        <f aca="false">IF(AND(B949="",C949="",D949="",E949="",F949="",G949="",H949="",J949="",L949="",M949="",N949=""),"",Q949)</f>
        <v/>
      </c>
      <c r="B949" s="36"/>
      <c r="C949" s="36"/>
      <c r="D949" s="36"/>
      <c r="E949" s="36"/>
      <c r="F949" s="36"/>
      <c r="G949" s="36"/>
      <c r="H949" s="36"/>
      <c r="I949" s="1" t="str">
        <f aca="false">IF($A949="","",IFERROR(IF(ISBLANK(INDEX(SprintPlanning[Sprint],MATCH($A949,SprintPlanning[Requirement ID],0))),"To Plan",INDEX(SprintPlanning[Sprint],MATCH($A949,SprintPlanning[Requirement ID],0))),"To Plan"))</f>
        <v/>
      </c>
      <c r="J949" s="36"/>
      <c r="K949" s="1" t="str">
        <f aca="false">IFERROR(IF(ISBLANK(INDEX(Release[Release],MATCH($A949,Release[Requirement ID],0))),"",INDEX(Release[Release],MATCH($A949,Release[Requirement ID],0))),"")</f>
        <v/>
      </c>
      <c r="L949" s="36"/>
      <c r="M949" s="36"/>
      <c r="P949" s="1" t="n">
        <f aca="false">IFERROR(VALUE(MID($A949,5,4)),0)</f>
        <v>0</v>
      </c>
      <c r="Q949" s="1" t="str">
        <f aca="false">IF(B949="","","NEW-"&amp;TEXT(MAX($P$2:$P948,Lists!$N$2)+1,"0000"))</f>
        <v/>
      </c>
    </row>
    <row r="950" customFormat="false" ht="15" hidden="false" customHeight="true" outlineLevel="0" collapsed="false">
      <c r="A950" s="35" t="str">
        <f aca="false">IF(AND(B950="",C950="",D950="",E950="",F950="",G950="",H950="",J950="",L950="",M950="",N950=""),"",Q950)</f>
        <v/>
      </c>
      <c r="B950" s="36"/>
      <c r="C950" s="36"/>
      <c r="D950" s="36"/>
      <c r="E950" s="36"/>
      <c r="F950" s="36"/>
      <c r="G950" s="36"/>
      <c r="H950" s="36"/>
      <c r="I950" s="1" t="str">
        <f aca="false">IF($A950="","",IFERROR(IF(ISBLANK(INDEX(SprintPlanning[Sprint],MATCH($A950,SprintPlanning[Requirement ID],0))),"To Plan",INDEX(SprintPlanning[Sprint],MATCH($A950,SprintPlanning[Requirement ID],0))),"To Plan"))</f>
        <v/>
      </c>
      <c r="J950" s="36"/>
      <c r="K950" s="1" t="str">
        <f aca="false">IFERROR(IF(ISBLANK(INDEX(Release[Release],MATCH($A950,Release[Requirement ID],0))),"",INDEX(Release[Release],MATCH($A950,Release[Requirement ID],0))),"")</f>
        <v/>
      </c>
      <c r="L950" s="36"/>
      <c r="M950" s="36"/>
      <c r="P950" s="1" t="n">
        <f aca="false">IFERROR(VALUE(MID($A950,5,4)),0)</f>
        <v>0</v>
      </c>
      <c r="Q950" s="1" t="str">
        <f aca="false">IF(B950="","","NEW-"&amp;TEXT(MAX($P$2:$P949,Lists!$N$2)+1,"0000"))</f>
        <v/>
      </c>
    </row>
    <row r="951" customFormat="false" ht="15" hidden="false" customHeight="true" outlineLevel="0" collapsed="false">
      <c r="A951" s="35" t="str">
        <f aca="false">IF(AND(B951="",C951="",D951="",E951="",F951="",G951="",H951="",J951="",L951="",M951="",N951=""),"",Q951)</f>
        <v/>
      </c>
      <c r="B951" s="36"/>
      <c r="C951" s="36"/>
      <c r="D951" s="36"/>
      <c r="E951" s="36"/>
      <c r="F951" s="36"/>
      <c r="G951" s="36"/>
      <c r="H951" s="36"/>
      <c r="I951" s="1" t="str">
        <f aca="false">IF($A951="","",IFERROR(IF(ISBLANK(INDEX(SprintPlanning[Sprint],MATCH($A951,SprintPlanning[Requirement ID],0))),"To Plan",INDEX(SprintPlanning[Sprint],MATCH($A951,SprintPlanning[Requirement ID],0))),"To Plan"))</f>
        <v/>
      </c>
      <c r="J951" s="36"/>
      <c r="K951" s="1" t="str">
        <f aca="false">IFERROR(IF(ISBLANK(INDEX(Release[Release],MATCH($A951,Release[Requirement ID],0))),"",INDEX(Release[Release],MATCH($A951,Release[Requirement ID],0))),"")</f>
        <v/>
      </c>
      <c r="L951" s="36"/>
      <c r="M951" s="36"/>
      <c r="P951" s="1" t="n">
        <f aca="false">IFERROR(VALUE(MID($A951,5,4)),0)</f>
        <v>0</v>
      </c>
      <c r="Q951" s="1" t="str">
        <f aca="false">IF(B951="","","NEW-"&amp;TEXT(MAX($P$2:$P950,Lists!$N$2)+1,"0000"))</f>
        <v/>
      </c>
    </row>
    <row r="952" customFormat="false" ht="15" hidden="false" customHeight="true" outlineLevel="0" collapsed="false">
      <c r="A952" s="35" t="str">
        <f aca="false">IF(AND(B952="",C952="",D952="",E952="",F952="",G952="",H952="",J952="",L952="",M952="",N952=""),"",Q952)</f>
        <v/>
      </c>
      <c r="B952" s="36"/>
      <c r="C952" s="36"/>
      <c r="D952" s="36"/>
      <c r="E952" s="36"/>
      <c r="F952" s="36"/>
      <c r="G952" s="36"/>
      <c r="H952" s="36"/>
      <c r="I952" s="1" t="str">
        <f aca="false">IF($A952="","",IFERROR(IF(ISBLANK(INDEX(SprintPlanning[Sprint],MATCH($A952,SprintPlanning[Requirement ID],0))),"To Plan",INDEX(SprintPlanning[Sprint],MATCH($A952,SprintPlanning[Requirement ID],0))),"To Plan"))</f>
        <v/>
      </c>
      <c r="J952" s="36"/>
      <c r="K952" s="1" t="str">
        <f aca="false">IFERROR(IF(ISBLANK(INDEX(Release[Release],MATCH($A952,Release[Requirement ID],0))),"",INDEX(Release[Release],MATCH($A952,Release[Requirement ID],0))),"")</f>
        <v/>
      </c>
      <c r="L952" s="36"/>
      <c r="M952" s="36"/>
      <c r="P952" s="1" t="n">
        <f aca="false">IFERROR(VALUE(MID($A952,5,4)),0)</f>
        <v>0</v>
      </c>
      <c r="Q952" s="1" t="str">
        <f aca="false">IF(B952="","","NEW-"&amp;TEXT(MAX($P$2:$P951,Lists!$N$2)+1,"0000"))</f>
        <v/>
      </c>
    </row>
    <row r="953" customFormat="false" ht="15" hidden="false" customHeight="true" outlineLevel="0" collapsed="false">
      <c r="A953" s="35" t="str">
        <f aca="false">IF(AND(B953="",C953="",D953="",E953="",F953="",G953="",H953="",J953="",L953="",M953="",N953=""),"",Q953)</f>
        <v/>
      </c>
      <c r="B953" s="36"/>
      <c r="C953" s="36"/>
      <c r="D953" s="36"/>
      <c r="E953" s="36"/>
      <c r="F953" s="36"/>
      <c r="G953" s="36"/>
      <c r="H953" s="36"/>
      <c r="I953" s="1" t="str">
        <f aca="false">IF($A953="","",IFERROR(IF(ISBLANK(INDEX(SprintPlanning[Sprint],MATCH($A953,SprintPlanning[Requirement ID],0))),"To Plan",INDEX(SprintPlanning[Sprint],MATCH($A953,SprintPlanning[Requirement ID],0))),"To Plan"))</f>
        <v/>
      </c>
      <c r="J953" s="36"/>
      <c r="K953" s="1" t="str">
        <f aca="false">IFERROR(IF(ISBLANK(INDEX(Release[Release],MATCH($A953,Release[Requirement ID],0))),"",INDEX(Release[Release],MATCH($A953,Release[Requirement ID],0))),"")</f>
        <v/>
      </c>
      <c r="L953" s="36"/>
      <c r="M953" s="36"/>
      <c r="P953" s="1" t="n">
        <f aca="false">IFERROR(VALUE(MID($A953,5,4)),0)</f>
        <v>0</v>
      </c>
      <c r="Q953" s="1" t="str">
        <f aca="false">IF(B953="","","NEW-"&amp;TEXT(MAX($P$2:$P952,Lists!$N$2)+1,"0000"))</f>
        <v/>
      </c>
    </row>
    <row r="954" customFormat="false" ht="15" hidden="false" customHeight="true" outlineLevel="0" collapsed="false">
      <c r="A954" s="35" t="str">
        <f aca="false">IF(AND(B954="",C954="",D954="",E954="",F954="",G954="",H954="",J954="",L954="",M954="",N954=""),"",Q954)</f>
        <v/>
      </c>
      <c r="B954" s="36"/>
      <c r="C954" s="36"/>
      <c r="D954" s="36"/>
      <c r="E954" s="36"/>
      <c r="F954" s="36"/>
      <c r="G954" s="36"/>
      <c r="H954" s="36"/>
      <c r="I954" s="1" t="str">
        <f aca="false">IF($A954="","",IFERROR(IF(ISBLANK(INDEX(SprintPlanning[Sprint],MATCH($A954,SprintPlanning[Requirement ID],0))),"To Plan",INDEX(SprintPlanning[Sprint],MATCH($A954,SprintPlanning[Requirement ID],0))),"To Plan"))</f>
        <v/>
      </c>
      <c r="J954" s="36"/>
      <c r="K954" s="1" t="str">
        <f aca="false">IFERROR(IF(ISBLANK(INDEX(Release[Release],MATCH($A954,Release[Requirement ID],0))),"",INDEX(Release[Release],MATCH($A954,Release[Requirement ID],0))),"")</f>
        <v/>
      </c>
      <c r="L954" s="36"/>
      <c r="M954" s="36"/>
      <c r="P954" s="1" t="n">
        <f aca="false">IFERROR(VALUE(MID($A954,5,4)),0)</f>
        <v>0</v>
      </c>
      <c r="Q954" s="1" t="str">
        <f aca="false">IF(B954="","","NEW-"&amp;TEXT(MAX($P$2:$P953,Lists!$N$2)+1,"0000"))</f>
        <v/>
      </c>
    </row>
    <row r="955" customFormat="false" ht="15" hidden="false" customHeight="true" outlineLevel="0" collapsed="false">
      <c r="A955" s="35" t="str">
        <f aca="false">IF(AND(B955="",C955="",D955="",E955="",F955="",G955="",H955="",J955="",L955="",M955="",N955=""),"",Q955)</f>
        <v/>
      </c>
      <c r="B955" s="36"/>
      <c r="C955" s="36"/>
      <c r="D955" s="36"/>
      <c r="E955" s="36"/>
      <c r="F955" s="36"/>
      <c r="G955" s="36"/>
      <c r="H955" s="36"/>
      <c r="I955" s="1" t="str">
        <f aca="false">IF($A955="","",IFERROR(IF(ISBLANK(INDEX(SprintPlanning[Sprint],MATCH($A955,SprintPlanning[Requirement ID],0))),"To Plan",INDEX(SprintPlanning[Sprint],MATCH($A955,SprintPlanning[Requirement ID],0))),"To Plan"))</f>
        <v/>
      </c>
      <c r="J955" s="36"/>
      <c r="K955" s="1" t="str">
        <f aca="false">IFERROR(IF(ISBLANK(INDEX(Release[Release],MATCH($A955,Release[Requirement ID],0))),"",INDEX(Release[Release],MATCH($A955,Release[Requirement ID],0))),"")</f>
        <v/>
      </c>
      <c r="L955" s="36"/>
      <c r="M955" s="36"/>
      <c r="P955" s="1" t="n">
        <f aca="false">IFERROR(VALUE(MID($A955,5,4)),0)</f>
        <v>0</v>
      </c>
      <c r="Q955" s="1" t="str">
        <f aca="false">IF(B955="","","NEW-"&amp;TEXT(MAX($P$2:$P954,Lists!$N$2)+1,"0000"))</f>
        <v/>
      </c>
    </row>
    <row r="956" customFormat="false" ht="15" hidden="false" customHeight="true" outlineLevel="0" collapsed="false">
      <c r="A956" s="1" t="str">
        <f aca="false">IF(AND(B956="",C956="",D956="",E956="",F956="",G956="",H956="",J956="",L956="",M956="",N956=""),"",Q956)</f>
        <v/>
      </c>
      <c r="I956" s="1" t="str">
        <f aca="false">IF($A956="","",IFERROR(IF(ISBLANK(INDEX(SprintPlanning[Sprint],MATCH($A956,SprintPlanning[Requirement ID],0))),"To Plan",INDEX(SprintPlanning[Sprint],MATCH($A956,SprintPlanning[Requirement ID],0))),"To Plan"))</f>
        <v/>
      </c>
      <c r="K956" s="1" t="str">
        <f aca="false">IFERROR(IF(ISBLANK(INDEX(Release[Release],MATCH($A956,Release[Requirement ID],0))),"",INDEX(Release[Release],MATCH($A956,Release[Requirement ID],0))),"")</f>
        <v/>
      </c>
      <c r="P956" s="1" t="n">
        <f aca="false">IFERROR(VALUE(MID($A956,5,4)),0)</f>
        <v>0</v>
      </c>
      <c r="Q956" s="1" t="str">
        <f aca="false">IF(B956="","","NEW-"&amp;TEXT(MAX($P$2:$P955,Lists!$N$2)+1,"0000"))</f>
        <v/>
      </c>
    </row>
    <row r="965" customFormat="false" ht="0.75" hidden="false" customHeight="true" outlineLevel="0" collapsed="false"/>
  </sheetData>
  <conditionalFormatting sqref="A106:K106 M106:Q106">
    <cfRule type="expression" priority="2" aboveAverage="0" equalAverage="0" bottom="0" percent="0" rank="0" text="" dxfId="10">
      <formula>$D106="US"</formula>
    </cfRule>
    <cfRule type="expression" priority="3" aboveAverage="0" equalAverage="0" bottom="0" percent="0" rank="0" text="" dxfId="11">
      <formula>$D106="MyMSC"</formula>
    </cfRule>
    <cfRule type="expression" priority="4" aboveAverage="0" equalAverage="0" bottom="0" percent="0" rank="0" text="" dxfId="12">
      <formula>$D106="Rollout"</formula>
    </cfRule>
    <cfRule type="expression" priority="5" aboveAverage="0" equalAverage="0" bottom="0" percent="0" rank="0" text="" dxfId="12">
      <formula>$D106="MVP Rollout"</formula>
    </cfRule>
    <cfRule type="expression" priority="6" aboveAverage="0" equalAverage="0" bottom="0" percent="0" rank="0" text="" dxfId="13">
      <formula>$D106="Backlog"</formula>
    </cfRule>
    <cfRule type="expression" priority="7" aboveAverage="0" equalAverage="0" bottom="0" percent="0" rank="0" text="" dxfId="13">
      <formula>$D106="Growth"</formula>
    </cfRule>
    <cfRule type="expression" priority="8" aboveAverage="0" equalAverage="0" bottom="0" percent="0" rank="0" text="" dxfId="14">
      <formula>$D106="Tech Enhancements"</formula>
    </cfRule>
    <cfRule type="expression" priority="9" aboveAverage="0" equalAverage="0" bottom="0" percent="0" rank="0" text="" dxfId="15">
      <formula>LEFT($D106,2)="PI"</formula>
    </cfRule>
  </conditionalFormatting>
  <conditionalFormatting sqref="A105:K105 M105:Q105">
    <cfRule type="expression" priority="10" aboveAverage="0" equalAverage="0" bottom="0" percent="0" rank="0" text="" dxfId="10">
      <formula>$D105="US"</formula>
    </cfRule>
    <cfRule type="expression" priority="11" aboveAverage="0" equalAverage="0" bottom="0" percent="0" rank="0" text="" dxfId="11">
      <formula>$D105="MyMSC"</formula>
    </cfRule>
    <cfRule type="expression" priority="12" aboveAverage="0" equalAverage="0" bottom="0" percent="0" rank="0" text="" dxfId="12">
      <formula>$D105="Rollout"</formula>
    </cfRule>
    <cfRule type="expression" priority="13" aboveAverage="0" equalAverage="0" bottom="0" percent="0" rank="0" text="" dxfId="12">
      <formula>$D105="MVP Rollout"</formula>
    </cfRule>
    <cfRule type="expression" priority="14" aboveAverage="0" equalAverage="0" bottom="0" percent="0" rank="0" text="" dxfId="13">
      <formula>$D105="Backlog"</formula>
    </cfRule>
    <cfRule type="expression" priority="15" aboveAverage="0" equalAverage="0" bottom="0" percent="0" rank="0" text="" dxfId="13">
      <formula>$D105="Growth"</formula>
    </cfRule>
    <cfRule type="expression" priority="16" aboveAverage="0" equalAverage="0" bottom="0" percent="0" rank="0" text="" dxfId="14">
      <formula>$D105="Tech Enhancements"</formula>
    </cfRule>
    <cfRule type="expression" priority="17" aboveAverage="0" equalAverage="0" bottom="0" percent="0" rank="0" text="" dxfId="15">
      <formula>LEFT($D105,2)="PI"</formula>
    </cfRule>
  </conditionalFormatting>
  <conditionalFormatting sqref="G104:H104">
    <cfRule type="expression" priority="18" aboveAverage="0" equalAverage="0" bottom="0" percent="0" rank="0" text="" dxfId="10">
      <formula>$D104="US"</formula>
    </cfRule>
    <cfRule type="expression" priority="19" aboveAverage="0" equalAverage="0" bottom="0" percent="0" rank="0" text="" dxfId="11">
      <formula>$D104="MyMSC"</formula>
    </cfRule>
    <cfRule type="expression" priority="20" aboveAverage="0" equalAverage="0" bottom="0" percent="0" rank="0" text="" dxfId="12">
      <formula>$D104="Rollout"</formula>
    </cfRule>
    <cfRule type="expression" priority="21" aboveAverage="0" equalAverage="0" bottom="0" percent="0" rank="0" text="" dxfId="12">
      <formula>$D104="MVP Rollout"</formula>
    </cfRule>
    <cfRule type="expression" priority="22" aboveAverage="0" equalAverage="0" bottom="0" percent="0" rank="0" text="" dxfId="13">
      <formula>$D104="Backlog"</formula>
    </cfRule>
    <cfRule type="expression" priority="23" aboveAverage="0" equalAverage="0" bottom="0" percent="0" rank="0" text="" dxfId="13">
      <formula>$D104="Growth"</formula>
    </cfRule>
    <cfRule type="expression" priority="24" aboveAverage="0" equalAverage="0" bottom="0" percent="0" rank="0" text="" dxfId="14">
      <formula>$D104="Tech Enhancements"</formula>
    </cfRule>
    <cfRule type="expression" priority="25" aboveAverage="0" equalAverage="0" bottom="0" percent="0" rank="0" text="" dxfId="15">
      <formula>LEFT($D104,2)="PI"</formula>
    </cfRule>
  </conditionalFormatting>
  <conditionalFormatting sqref="M103:M104">
    <cfRule type="expression" priority="26" aboveAverage="0" equalAverage="0" bottom="0" percent="0" rank="0" text="" dxfId="10">
      <formula>$D103="US"</formula>
    </cfRule>
    <cfRule type="expression" priority="27" aboveAverage="0" equalAverage="0" bottom="0" percent="0" rank="0" text="" dxfId="11">
      <formula>$D103="MyMSC"</formula>
    </cfRule>
    <cfRule type="expression" priority="28" aboveAverage="0" equalAverage="0" bottom="0" percent="0" rank="0" text="" dxfId="12">
      <formula>$D103="Rollout"</formula>
    </cfRule>
    <cfRule type="expression" priority="29" aboveAverage="0" equalAverage="0" bottom="0" percent="0" rank="0" text="" dxfId="12">
      <formula>$D103="MVP Rollout"</formula>
    </cfRule>
    <cfRule type="expression" priority="30" aboveAverage="0" equalAverage="0" bottom="0" percent="0" rank="0" text="" dxfId="13">
      <formula>$D103="Backlog"</formula>
    </cfRule>
    <cfRule type="expression" priority="31" aboveAverage="0" equalAverage="0" bottom="0" percent="0" rank="0" text="" dxfId="13">
      <formula>$D103="Growth"</formula>
    </cfRule>
    <cfRule type="expression" priority="32" aboveAverage="0" equalAverage="0" bottom="0" percent="0" rank="0" text="" dxfId="14">
      <formula>$D103="Tech Enhancements"</formula>
    </cfRule>
    <cfRule type="expression" priority="33" aboveAverage="0" equalAverage="0" bottom="0" percent="0" rank="0" text="" dxfId="15">
      <formula>LEFT($D103,2)="PI"</formula>
    </cfRule>
  </conditionalFormatting>
  <conditionalFormatting sqref="L93:L112">
    <cfRule type="expression" priority="34" aboveAverage="0" equalAverage="0" bottom="0" percent="0" rank="0" text="" dxfId="10">
      <formula>$D93="US"</formula>
    </cfRule>
    <cfRule type="expression" priority="35" aboveAverage="0" equalAverage="0" bottom="0" percent="0" rank="0" text="" dxfId="11">
      <formula>$D93="MyMSC"</formula>
    </cfRule>
    <cfRule type="expression" priority="36" aboveAverage="0" equalAverage="0" bottom="0" percent="0" rank="0" text="" dxfId="12">
      <formula>$D93="Rollout"</formula>
    </cfRule>
    <cfRule type="expression" priority="37" aboveAverage="0" equalAverage="0" bottom="0" percent="0" rank="0" text="" dxfId="12">
      <formula>$D93="MVP Rollout"</formula>
    </cfRule>
    <cfRule type="expression" priority="38" aboveAverage="0" equalAverage="0" bottom="0" percent="0" rank="0" text="" dxfId="13">
      <formula>$D93="Backlog"</formula>
    </cfRule>
    <cfRule type="expression" priority="39" aboveAverage="0" equalAverage="0" bottom="0" percent="0" rank="0" text="" dxfId="13">
      <formula>$D93="Growth"</formula>
    </cfRule>
    <cfRule type="expression" priority="40" aboveAverage="0" equalAverage="0" bottom="0" percent="0" rank="0" text="" dxfId="14">
      <formula>$D93="Tech Enhancements"</formula>
    </cfRule>
    <cfRule type="expression" priority="41" aboveAverage="0" equalAverage="0" bottom="0" percent="0" rank="0" text="" dxfId="15">
      <formula>LEFT($D93,2)="PI"</formula>
    </cfRule>
  </conditionalFormatting>
  <conditionalFormatting sqref="F98:F101">
    <cfRule type="expression" priority="42" aboveAverage="0" equalAverage="0" bottom="0" percent="0" rank="0" text="" dxfId="10">
      <formula>$D98="US"</formula>
    </cfRule>
    <cfRule type="expression" priority="43" aboveAverage="0" equalAverage="0" bottom="0" percent="0" rank="0" text="" dxfId="11">
      <formula>$D98="MyMSC"</formula>
    </cfRule>
    <cfRule type="expression" priority="44" aboveAverage="0" equalAverage="0" bottom="0" percent="0" rank="0" text="" dxfId="12">
      <formula>$D98="Rollout"</formula>
    </cfRule>
    <cfRule type="expression" priority="45" aboveAverage="0" equalAverage="0" bottom="0" percent="0" rank="0" text="" dxfId="12">
      <formula>$D98="MVP Rollout"</formula>
    </cfRule>
    <cfRule type="expression" priority="46" aboveAverage="0" equalAverage="0" bottom="0" percent="0" rank="0" text="" dxfId="13">
      <formula>$D98="Backlog"</formula>
    </cfRule>
    <cfRule type="expression" priority="47" aboveAverage="0" equalAverage="0" bottom="0" percent="0" rank="0" text="" dxfId="13">
      <formula>$D98="Growth"</formula>
    </cfRule>
    <cfRule type="expression" priority="48" aboveAverage="0" equalAverage="0" bottom="0" percent="0" rank="0" text="" dxfId="14">
      <formula>$D98="Tech Enhancements"</formula>
    </cfRule>
    <cfRule type="expression" priority="49" aboveAverage="0" equalAverage="0" bottom="0" percent="0" rank="0" text="" dxfId="15">
      <formula>LEFT($D98,2)="PI"</formula>
    </cfRule>
  </conditionalFormatting>
  <conditionalFormatting sqref="B98:B101">
    <cfRule type="expression" priority="50" aboveAverage="0" equalAverage="0" bottom="0" percent="0" rank="0" text="" dxfId="10">
      <formula>$D98="US"</formula>
    </cfRule>
    <cfRule type="expression" priority="51" aboveAverage="0" equalAverage="0" bottom="0" percent="0" rank="0" text="" dxfId="11">
      <formula>$D98="MyMSC"</formula>
    </cfRule>
    <cfRule type="expression" priority="52" aboveAverage="0" equalAverage="0" bottom="0" percent="0" rank="0" text="" dxfId="12">
      <formula>$D98="Rollout"</formula>
    </cfRule>
    <cfRule type="expression" priority="53" aboveAverage="0" equalAverage="0" bottom="0" percent="0" rank="0" text="" dxfId="12">
      <formula>$D98="MVP Rollout"</formula>
    </cfRule>
    <cfRule type="expression" priority="54" aboveAverage="0" equalAverage="0" bottom="0" percent="0" rank="0" text="" dxfId="13">
      <formula>$D98="Backlog"</formula>
    </cfRule>
    <cfRule type="expression" priority="55" aboveAverage="0" equalAverage="0" bottom="0" percent="0" rank="0" text="" dxfId="13">
      <formula>$D98="Growth"</formula>
    </cfRule>
    <cfRule type="expression" priority="56" aboveAverage="0" equalAverage="0" bottom="0" percent="0" rank="0" text="" dxfId="14">
      <formula>$D98="Tech Enhancements"</formula>
    </cfRule>
    <cfRule type="expression" priority="57" aboveAverage="0" equalAverage="0" bottom="0" percent="0" rank="0" text="" dxfId="15">
      <formula>LEFT($D98,2)="PI"</formula>
    </cfRule>
  </conditionalFormatting>
  <conditionalFormatting sqref="B96">
    <cfRule type="expression" priority="58" aboveAverage="0" equalAverage="0" bottom="0" percent="0" rank="0" text="" dxfId="10">
      <formula>$D96="US"</formula>
    </cfRule>
    <cfRule type="expression" priority="59" aboveAverage="0" equalAverage="0" bottom="0" percent="0" rank="0" text="" dxfId="11">
      <formula>$D96="MyMSC"</formula>
    </cfRule>
    <cfRule type="expression" priority="60" aboveAverage="0" equalAverage="0" bottom="0" percent="0" rank="0" text="" dxfId="12">
      <formula>$D96="Rollout"</formula>
    </cfRule>
    <cfRule type="expression" priority="61" aboveAverage="0" equalAverage="0" bottom="0" percent="0" rank="0" text="" dxfId="12">
      <formula>$D96="MVP Rollout"</formula>
    </cfRule>
    <cfRule type="expression" priority="62" aboveAverage="0" equalAverage="0" bottom="0" percent="0" rank="0" text="" dxfId="13">
      <formula>$D96="Backlog"</formula>
    </cfRule>
    <cfRule type="expression" priority="63" aboveAverage="0" equalAverage="0" bottom="0" percent="0" rank="0" text="" dxfId="13">
      <formula>$D96="Growth"</formula>
    </cfRule>
    <cfRule type="expression" priority="64" aboveAverage="0" equalAverage="0" bottom="0" percent="0" rank="0" text="" dxfId="14">
      <formula>$D96="Tech Enhancements"</formula>
    </cfRule>
    <cfRule type="expression" priority="65" aboveAverage="0" equalAverage="0" bottom="0" percent="0" rank="0" text="" dxfId="15">
      <formula>LEFT($D96,2)="PI"</formula>
    </cfRule>
  </conditionalFormatting>
  <conditionalFormatting sqref="A2:Q88 A89:L92 A97:K97 M89:Q98">
    <cfRule type="expression" priority="66" aboveAverage="0" equalAverage="0" bottom="0" percent="0" rank="0" text="" dxfId="10">
      <formula>$D2="US"</formula>
    </cfRule>
    <cfRule type="expression" priority="67" aboveAverage="0" equalAverage="0" bottom="0" percent="0" rank="0" text="" dxfId="11">
      <formula>$D2="MyMSC"</formula>
    </cfRule>
    <cfRule type="expression" priority="68" aboveAverage="0" equalAverage="0" bottom="0" percent="0" rank="0" text="" dxfId="12">
      <formula>$D2="Rollout"</formula>
    </cfRule>
    <cfRule type="expression" priority="69" aboveAverage="0" equalAverage="0" bottom="0" percent="0" rank="0" text="" dxfId="12">
      <formula>$D2="MVP Rollout"</formula>
    </cfRule>
    <cfRule type="expression" priority="70" aboveAverage="0" equalAverage="0" bottom="0" percent="0" rank="0" text="" dxfId="13">
      <formula>$D2="Backlog"</formula>
    </cfRule>
    <cfRule type="expression" priority="71" aboveAverage="0" equalAverage="0" bottom="0" percent="0" rank="0" text="" dxfId="13">
      <formula>$D2="Growth"</formula>
    </cfRule>
    <cfRule type="expression" priority="72" aboveAverage="0" equalAverage="0" bottom="0" percent="0" rank="0" text="" dxfId="14">
      <formula>$D2="Tech Enhancements"</formula>
    </cfRule>
    <cfRule type="expression" priority="73" aboveAverage="0" equalAverage="0" bottom="0" percent="0" rank="0" text="" dxfId="15">
      <formula>LEFT($D2,2)="PI"</formula>
    </cfRule>
  </conditionalFormatting>
  <conditionalFormatting sqref="A93:K94 A95:A96 A98:A101 A102:Q102 A103:K103 A104:F104 A107:K109 A110 A111:K112 A113:Q1629 C95:K96 C98:E101 C110:K110 G98:K98 G99:Q101 I104:K104 M107:Q112 N103:Q104">
    <cfRule type="expression" priority="74" aboveAverage="0" equalAverage="0" bottom="0" percent="0" rank="0" text="" dxfId="10">
      <formula>$D93="US"</formula>
    </cfRule>
    <cfRule type="expression" priority="75" aboveAverage="0" equalAverage="0" bottom="0" percent="0" rank="0" text="" dxfId="11">
      <formula>$D93="MyMSC"</formula>
    </cfRule>
    <cfRule type="expression" priority="76" aboveAverage="0" equalAverage="0" bottom="0" percent="0" rank="0" text="" dxfId="12">
      <formula>$D93="Rollout"</formula>
    </cfRule>
    <cfRule type="expression" priority="77" aboveAverage="0" equalAverage="0" bottom="0" percent="0" rank="0" text="" dxfId="12">
      <formula>$D93="MVP Rollout"</formula>
    </cfRule>
    <cfRule type="expression" priority="78" aboveAverage="0" equalAverage="0" bottom="0" percent="0" rank="0" text="" dxfId="13">
      <formula>$D93="Backlog"</formula>
    </cfRule>
    <cfRule type="expression" priority="79" aboveAverage="0" equalAverage="0" bottom="0" percent="0" rank="0" text="" dxfId="13">
      <formula>$D93="Growth"</formula>
    </cfRule>
    <cfRule type="expression" priority="80" aboveAverage="0" equalAverage="0" bottom="0" percent="0" rank="0" text="" dxfId="14">
      <formula>$D93="Tech Enhancements"</formula>
    </cfRule>
    <cfRule type="expression" priority="81" aboveAverage="0" equalAverage="0" bottom="0" percent="0" rank="0" text="" dxfId="15">
      <formula>LEFT($D93,2)="PI"</formula>
    </cfRule>
  </conditionalFormatting>
  <dataValidations count="6">
    <dataValidation allowBlank="true" errorStyle="stop" operator="between" showDropDown="false" showErrorMessage="false" showInputMessage="false" sqref="C2:C163 C165:C1129" type="list">
      <formula1>"Config,CR,New,TBC,Bug,Tech Task,Tech Story"</formula1>
      <formula2>0</formula2>
    </dataValidation>
    <dataValidation allowBlank="true" errorStyle="stop" operator="between" showDropDown="false" showErrorMessage="false" showInputMessage="false" sqref="E2:E105 G104 E106:E1129" type="list">
      <formula1>"ALL,DTS,MA,B2CW,S&amp;S,EPAM B2C,CHUB,CRMASIS,M4M"</formula1>
      <formula2>0</formula2>
    </dataValidation>
    <dataValidation allowBlank="true" errorStyle="stop" operator="between" showDropDown="false" showErrorMessage="false" showInputMessage="false" sqref="F2:F105 H104 F106:F1129" type="list">
      <formula1>"NEW,IN PROGRESS,DONE,ON HOLD,NA"</formula1>
      <formula2>0</formula2>
    </dataValidation>
    <dataValidation allowBlank="true" errorStyle="stop" operator="between" showDropDown="false" showErrorMessage="false" showInputMessage="false" sqref="G2:G103 G105:G1129" type="list">
      <formula1>"Critical,High,Medium,Low"</formula1>
      <formula2>0</formula2>
    </dataValidation>
    <dataValidation allowBlank="true" errorStyle="stop" operator="between" showDropDown="false" showErrorMessage="false" showInputMessage="false" sqref="M2:M1129" type="list">
      <formula1>"Yes,Created"</formula1>
      <formula2>0</formula2>
    </dataValidation>
    <dataValidation allowBlank="true" errorStyle="stop" operator="between" showDropDown="false" showErrorMessage="false" showInputMessage="false" sqref="D2:D1129" type="list">
      <formula1>"US,MyMSC,Growth,MVP Rollout,Cross,PI11,PI12,Backlog,Tech Enhancements,PP,HR,PI9,PI10,M4M"</formula1>
      <formula2>0</formula2>
    </dataValidation>
  </dataValidations>
  <hyperlinks>
    <hyperlink ref="N7" r:id="rId1" display="https://smartship.atlassian.net/browse/DTTP25-36678"/>
    <hyperlink ref="N8" r:id="rId2" display="https://smartship.atlassian.net/browse/DTTP25-36959"/>
    <hyperlink ref="N9" r:id="rId3" display="https://smartship.atlassian.net/browse/DTTP25-40357"/>
    <hyperlink ref="N13" r:id="rId4" display="https://smartship.atlassian.net/browse/DTTP25-41940"/>
    <hyperlink ref="N14" r:id="rId5" display="https://smartship.atlassian.net/browse/DTTP25-40356"/>
    <hyperlink ref="N15" r:id="rId6" display="https://smartship.atlassian.net/browse/DTTP25-41930"/>
    <hyperlink ref="N24" r:id="rId7" display="https://smartship.atlassian.net/browse/DTTP25-44114"/>
    <hyperlink ref="N72" r:id="rId8" display="https://smartship.atlassian.net/browse/DTTP25-41934"/>
    <hyperlink ref="N74" r:id="rId9" display="https://smartship.atlassian.net/browse/DTTP25-43299"/>
    <hyperlink ref="N76" r:id="rId10" display="https://smartship.atlassian.net/browse/DTTP25-43299"/>
    <hyperlink ref="N86" r:id="rId11" display="https://smartship.atlassian.net/browse/DTTP25-42997"/>
    <hyperlink ref="N89" r:id="rId12" display="https://smartship.atlassian.net/browse/MDTTPU-17466"/>
    <hyperlink ref="N91" r:id="rId13" display="https://smartship.atlassian.net/browse/MDTTPU-17651"/>
    <hyperlink ref="N94" r:id="rId14" display="https://smartship.atlassian.net/browse/DTTP25-43302"/>
    <hyperlink ref="N97" r:id="rId15" display="https://smartship.atlassian.net/browse/DTTP25-44262"/>
    <hyperlink ref="N103" r:id="rId16" display="https://smartship.atlassian.net/browse/DTTP25-44214"/>
    <hyperlink ref="N104" r:id="rId17" display="https://smartship.atlassian.net/browse/DTTP25-44234"/>
    <hyperlink ref="N105" r:id="rId18" display="https://smartship.atlassian.net/browse/DTTP25-44262"/>
    <hyperlink ref="N106" r:id="rId19" display="https://smartship.atlassian.net/browse/DTTP25-44262"/>
    <hyperlink ref="N109" r:id="rId20" display="https://smartship.atlassian.net/browse/DTTP25-44464"/>
    <hyperlink ref="N110" r:id="rId21" display="https://smartship.atlassian.net/browse/DTTP25-44467"/>
    <hyperlink ref="N111" r:id="rId22" display="https://smartship.atlassian.net/browse/DTTP25-44463"/>
    <hyperlink ref="N112" r:id="rId23" display="https://smartship.atlassian.net/browse/MDTTPU-181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 activePane="bottomLeft" state="frozen"/>
      <selection pane="topLeft" activeCell="A1" activeCellId="0" sqref="A1"/>
      <selection pane="bottomLeft" activeCell="G74" activeCellId="0" sqref="G7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2.42"/>
    <col collapsed="false" customWidth="true" hidden="false" outlineLevel="0" max="3" min="3" style="1" width="12"/>
    <col collapsed="false" customWidth="true" hidden="true" outlineLevel="0" max="4" min="4" style="1" width="9.86"/>
    <col collapsed="false" customWidth="true" hidden="tru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48.86"/>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6" min="16" style="1" width="22.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78</v>
      </c>
      <c r="F1" s="21" t="s">
        <v>381</v>
      </c>
      <c r="G1" s="21" t="s">
        <v>382</v>
      </c>
      <c r="H1" s="21" t="s">
        <v>74</v>
      </c>
      <c r="I1" s="22" t="s">
        <v>71</v>
      </c>
      <c r="J1" s="22" t="s">
        <v>72</v>
      </c>
      <c r="K1" s="21" t="s">
        <v>383</v>
      </c>
      <c r="L1" s="21" t="s">
        <v>384</v>
      </c>
      <c r="M1" s="21" t="s">
        <v>385</v>
      </c>
      <c r="N1" s="21" t="s">
        <v>386</v>
      </c>
      <c r="O1" s="43" t="s">
        <v>387</v>
      </c>
      <c r="P1" s="19" t="s">
        <v>388</v>
      </c>
      <c r="Q1" s="19" t="s">
        <v>79</v>
      </c>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IFERROR(IF(ISBLANK(INDEX(Backlog[Stream Owner],MATCH($A2,Backlog[Requirement ID],0))),"",INDEX(Backlog[Stream Owner],MATCH($A2,Backlog[Requirement ID],0))),"")</f>
        <v>MA</v>
      </c>
      <c r="E2" s="26" t="str">
        <f aca="false">IFERROR(IF(ISBLANK(INDEX(Backlog[Jira Link],MATCH($A2,Backlog[Requirement ID],0))),"",INDEX(Backlog[Jira Link],MATCH($A2,Backlog[Requirement ID],0))),"")</f>
        <v/>
      </c>
      <c r="F2" s="24" t="s">
        <v>132</v>
      </c>
      <c r="G2" s="24" t="s">
        <v>132</v>
      </c>
      <c r="H2" s="30" t="str">
        <f aca="false">IFERROR(IF(ISBLANK(INDEX(SprintPlanning[Sprint],MATCH($A2,SprintPlanning[Requirement ID],0))),"",INDEX(SprintPlanning[Sprint],MATCH($A2,SprintPlanning[Requirement ID],0))),"")</f>
        <v>To Plan</v>
      </c>
      <c r="I2" s="26" t="str">
        <f aca="false">IFERROR(IF(ISBLANK(INDEX(Backlog[Status],MATCH($A2,Backlog[Requirement ID],0))),"",INDEX(Backlog[Status],MATCH($A2,Backlog[Requirement ID],0))),"")</f>
        <v>ON HOLD</v>
      </c>
      <c r="J2" s="26" t="str">
        <f aca="false">IFERROR(IF(ISBLANK(INDEX(Backlog[Priority],MATCH($A2,Backlog[Requirement ID],0))),"",INDEX(Backlog[Priority],MATCH($A2,Backlog[Requirement ID],0))),"")</f>
        <v>Medium</v>
      </c>
      <c r="K2" s="24" t="s">
        <v>389</v>
      </c>
      <c r="L2" s="44" t="s">
        <v>390</v>
      </c>
      <c r="M2" s="44"/>
      <c r="N2" s="24"/>
      <c r="O2" s="45"/>
      <c r="P2" s="46"/>
      <c r="Q2" s="46"/>
    </row>
    <row r="3" customFormat="false" ht="15" hidden="false" customHeight="true" outlineLevel="0" collapsed="false">
      <c r="A3" s="24" t="str">
        <f aca="false">Backlog!A3</f>
        <v>NEW-0064</v>
      </c>
      <c r="B3" s="26" t="str">
        <f aca="false">IFERROR(IF(ISBLANK(INDEX(Backlog[Requirement Name],MATCH($A3,Backlog[Requirement ID],0))),"",INDEX(Backlog[Requirement Name],MATCH($A3,Backlog[Requirement ID],0))),"")</f>
        <v>ZAF Rollout - Market Configurations in CHAIN1 &amp; CHAIN2 and PROD</v>
      </c>
      <c r="C3" s="26" t="str">
        <f aca="false">IFERROR(IF(ISBLANK(INDEX(Backlog[Stream],MATCH($A3,Backlog[Requirement ID],0))),"",INDEX(Backlog[Stream],MATCH($A3,Backlog[Requirement ID],0))),"")</f>
        <v>MVP Rollout</v>
      </c>
      <c r="D3" s="26" t="str">
        <f aca="false">IFERROR(IF(ISBLANK(INDEX(Backlog[Stream Owner],MATCH($A3,Backlog[Requirement ID],0))),"",INDEX(Backlog[Stream Owner],MATCH($A3,Backlog[Requirement ID],0))),"")</f>
        <v>B2CW</v>
      </c>
      <c r="E3" s="26" t="str">
        <f aca="false">IFERROR(IF(ISBLANK(INDEX(Backlog[Jira Link],MATCH($A3,Backlog[Requirement ID],0))),"",INDEX(Backlog[Jira Link],MATCH($A3,Backlog[Requirement ID],0))),"")</f>
        <v>https://smartship.atlassian.net/browse/DTTP25-41351</v>
      </c>
      <c r="F3" s="24" t="s">
        <v>132</v>
      </c>
      <c r="G3" s="24" t="s">
        <v>132</v>
      </c>
      <c r="H3" s="30" t="str">
        <f aca="false">IFERROR(IF(ISBLANK(INDEX(SprintPlanning[Sprint],MATCH($A3,SprintPlanning[Requirement ID],0))),"",INDEX(SprintPlanning[Sprint],MATCH($A3,SprintPlanning[Requirement ID],0))),"")</f>
        <v>To Plan</v>
      </c>
      <c r="I3" s="47" t="str">
        <f aca="false">IFERROR(IF(ISBLANK(INDEX(Backlog[Status],MATCH($A3,Backlog[Requirement ID],0))),"",INDEX(Backlog[Status],MATCH($A3,Backlog[Requirement ID],0))),"")</f>
        <v>NEW</v>
      </c>
      <c r="J3" s="47" t="str">
        <f aca="false">IFERROR(IF(ISBLANK(INDEX(Backlog[Priority],MATCH($A3,Backlog[Requirement ID],0))),"",INDEX(Backlog[Priority],MATCH($A3,Backlog[Requirement ID],0))),"")</f>
        <v>Medium</v>
      </c>
      <c r="K3" s="24" t="s">
        <v>391</v>
      </c>
      <c r="L3" s="44" t="s">
        <v>392</v>
      </c>
      <c r="M3" s="44" t="s">
        <v>393</v>
      </c>
      <c r="N3" s="24"/>
      <c r="O3" s="45"/>
      <c r="P3" s="46" t="s">
        <v>394</v>
      </c>
      <c r="Q3" s="46"/>
    </row>
    <row r="4" customFormat="false" ht="15" hidden="false" customHeight="true" outlineLevel="0" collapsed="false">
      <c r="A4" s="24" t="str">
        <f aca="false">Backlog!A4</f>
        <v>NEW-0077</v>
      </c>
      <c r="B4" s="26" t="str">
        <f aca="false">IFERROR(IF(ISBLANK(INDEX(Backlog[Requirement Name],MATCH($A4,Backlog[Requirement ID],0))),"",INDEX(Backlog[Requirement Name],MATCH($A4,Backlog[Requirement ID],0))),"")</f>
        <v>Nordics SWE, DEN, NOR, FIN Rollout - Market Configurations in CHAIN1 &amp; CHAIN2</v>
      </c>
      <c r="C4" s="26" t="str">
        <f aca="false">IFERROR(IF(ISBLANK(INDEX(Backlog[Stream],MATCH($A4,Backlog[Requirement ID],0))),"",INDEX(Backlog[Stream],MATCH($A4,Backlog[Requirement ID],0))),"")</f>
        <v>MVP Rollout</v>
      </c>
      <c r="D4" s="26" t="str">
        <f aca="false">IFERROR(IF(ISBLANK(INDEX(Backlog[Stream Owner],MATCH($A4,Backlog[Requirement ID],0))),"",INDEX(Backlog[Stream Owner],MATCH($A4,Backlog[Requirement ID],0))),"")</f>
        <v>B2CW</v>
      </c>
      <c r="E4" s="26" t="str">
        <f aca="false">IFERROR(IF(ISBLANK(INDEX(Backlog[Jira Link],MATCH($A4,Backlog[Requirement ID],0))),"",INDEX(Backlog[Jira Link],MATCH($A4,Backlog[Requirement ID],0))),"")</f>
        <v>https://smartship.atlassian.net/browse/DTTP25-37831</v>
      </c>
      <c r="F4" s="24" t="s">
        <v>132</v>
      </c>
      <c r="G4" s="24" t="s">
        <v>395</v>
      </c>
      <c r="H4" s="30" t="str">
        <f aca="false">IFERROR(IF(ISBLANK(INDEX(SprintPlanning[Sprint],MATCH($A4,SprintPlanning[Requirement ID],0))),"",INDEX(SprintPlanning[Sprint],MATCH($A4,SprintPlanning[Requirement ID],0))),"")</f>
        <v>To Plan</v>
      </c>
      <c r="I4" s="26" t="str">
        <f aca="false">IFERROR(IF(ISBLANK(INDEX(Backlog[Status],MATCH($A4,Backlog[Requirement ID],0))),"",INDEX(Backlog[Status],MATCH($A4,Backlog[Requirement ID],0))),"")</f>
        <v>NEW</v>
      </c>
      <c r="J4" s="26" t="str">
        <f aca="false">IFERROR(IF(ISBLANK(INDEX(Backlog[Priority],MATCH($A4,Backlog[Requirement ID],0))),"",INDEX(Backlog[Priority],MATCH($A4,Backlog[Requirement ID],0))),"")</f>
        <v>Medium</v>
      </c>
      <c r="K4" s="24"/>
      <c r="L4" s="44"/>
      <c r="M4" s="44"/>
      <c r="N4" s="24"/>
      <c r="O4" s="45"/>
      <c r="P4" s="46"/>
      <c r="Q4" s="46"/>
    </row>
    <row r="5" customFormat="false" ht="15" hidden="false" customHeight="true" outlineLevel="0" collapsed="false">
      <c r="A5" s="24" t="str">
        <f aca="false">Backlog!A5</f>
        <v>NEW-0078</v>
      </c>
      <c r="B5" s="26"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IFERROR(IF(ISBLANK(INDEX(Backlog[Stream Owner],MATCH($A5,Backlog[Requirement ID],0))),"",INDEX(Backlog[Stream Owner],MATCH($A5,Backlog[Requirement ID],0))),"")</f>
        <v>B2CW</v>
      </c>
      <c r="E5" s="26" t="str">
        <f aca="false">IFERROR(IF(ISBLANK(INDEX(Backlog[Jira Link],MATCH($A5,Backlog[Requirement ID],0))),"",INDEX(Backlog[Jira Link],MATCH($A5,Backlog[Requirement ID],0))),"")</f>
        <v>https://smartship.atlassian.net/browse/DTTP25-37831</v>
      </c>
      <c r="F5" s="24" t="s">
        <v>132</v>
      </c>
      <c r="G5" s="24" t="s">
        <v>132</v>
      </c>
      <c r="H5" s="30" t="str">
        <f aca="false">IFERROR(IF(ISBLANK(INDEX(SprintPlanning[Sprint],MATCH($A5,SprintPlanning[Requirement ID],0))),"",INDEX(SprintPlanning[Sprint],MATCH($A5,SprintPlanning[Requirement ID],0))),"")</f>
        <v>To Plan</v>
      </c>
      <c r="I5" s="26" t="str">
        <f aca="false">IFERROR(IF(ISBLANK(INDEX(Backlog[Status],MATCH($A5,Backlog[Requirement ID],0))),"",INDEX(Backlog[Status],MATCH($A5,Backlog[Requirement ID],0))),"")</f>
        <v>NEW</v>
      </c>
      <c r="J5" s="26" t="str">
        <f aca="false">IFERROR(IF(ISBLANK(INDEX(Backlog[Priority],MATCH($A5,Backlog[Requirement ID],0))),"",INDEX(Backlog[Priority],MATCH($A5,Backlog[Requirement ID],0))),"")</f>
        <v>Medium</v>
      </c>
      <c r="K5" s="24"/>
      <c r="L5" s="44"/>
      <c r="M5" s="44"/>
      <c r="N5" s="24"/>
      <c r="O5" s="45"/>
      <c r="P5" s="46"/>
      <c r="Q5" s="46"/>
    </row>
    <row r="6" customFormat="false" ht="15" hidden="false" customHeight="true" outlineLevel="0" collapsed="false">
      <c r="A6" s="24" t="str">
        <f aca="false">Backlog!A6</f>
        <v>NEW-0410</v>
      </c>
      <c r="B6" s="26"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IFERROR(IF(ISBLANK(INDEX(Backlog[Stream Owner],MATCH($A6,Backlog[Requirement ID],0))),"",INDEX(Backlog[Stream Owner],MATCH($A6,Backlog[Requirement ID],0))),"")</f>
        <v>B2CW</v>
      </c>
      <c r="E6" s="26" t="str">
        <f aca="false">IFERROR(IF(ISBLANK(INDEX(Backlog[Jira Link],MATCH($A6,Backlog[Requirement ID],0))),"",INDEX(Backlog[Jira Link],MATCH($A6,Backlog[Requirement ID],0))),"")</f>
        <v>https://smartship.atlassian.net/browse/MDTTPU-15254</v>
      </c>
      <c r="F6" s="24" t="s">
        <v>396</v>
      </c>
      <c r="G6" s="24" t="s">
        <v>396</v>
      </c>
      <c r="H6" s="30" t="str">
        <f aca="false">IFERROR(IF(ISBLANK(INDEX(SprintPlanning[Sprint],MATCH($A6,SprintPlanning[Requirement ID],0))),"",INDEX(SprintPlanning[Sprint],MATCH($A6,SprintPlanning[Requirement ID],0))),"")</f>
        <v>To Plan</v>
      </c>
      <c r="I6" s="26" t="str">
        <f aca="false">IFERROR(IF(ISBLANK(INDEX(Backlog[Status],MATCH($A6,Backlog[Requirement ID],0))),"",INDEX(Backlog[Status],MATCH($A6,Backlog[Requirement ID],0))),"")</f>
        <v>ON HOLD</v>
      </c>
      <c r="J6" s="26" t="str">
        <f aca="false">IFERROR(IF(ISBLANK(INDEX(Backlog[Priority],MATCH($A6,Backlog[Requirement ID],0))),"",INDEX(Backlog[Priority],MATCH($A6,Backlog[Requirement ID],0))),"")</f>
        <v>High</v>
      </c>
      <c r="K6" s="24"/>
      <c r="L6" s="44"/>
      <c r="M6" s="44"/>
      <c r="N6" s="24"/>
      <c r="O6" s="45"/>
      <c r="P6" s="46"/>
      <c r="Q6" s="46"/>
    </row>
    <row r="7" customFormat="false" ht="15" hidden="false" customHeight="true" outlineLevel="0" collapsed="false">
      <c r="A7" s="24" t="str">
        <f aca="false">Backlog!A7</f>
        <v>NEW-0001</v>
      </c>
      <c r="B7" s="26" t="str">
        <f aca="false">IFERROR(IF(ISBLANK(INDEX(Backlog[Requirement Name],MATCH($A7,Backlog[Requirement ID],0))),"",INDEX(Backlog[Requirement Name],MATCH($A7,Backlog[Requirement ID],0))),"")</f>
        <v>Whatsapp Subscription (Phase 1)</v>
      </c>
      <c r="C7" s="26" t="str">
        <f aca="false">IFERROR(IF(ISBLANK(INDEX(Backlog[Stream],MATCH($A7,Backlog[Requirement ID],0))),"",INDEX(Backlog[Stream],MATCH($A7,Backlog[Requirement ID],0))),"")</f>
        <v>Backlog</v>
      </c>
      <c r="D7" s="26" t="str">
        <f aca="false">IFERROR(IF(ISBLANK(INDEX(Backlog[Stream Owner],MATCH($A7,Backlog[Requirement ID],0))),"",INDEX(Backlog[Stream Owner],MATCH($A7,Backlog[Requirement ID],0))),"")</f>
        <v>MA</v>
      </c>
      <c r="E7" s="26" t="str">
        <f aca="false">IFERROR(IF(ISBLANK(INDEX(Backlog[Jira Link],MATCH($A7,Backlog[Requirement ID],0))),"",INDEX(Backlog[Jira Link],MATCH($A7,Backlog[Requirement ID],0))),"")</f>
        <v>https://smartship.atlassian.net/browse/DTTP25-36678</v>
      </c>
      <c r="F7" s="24" t="s">
        <v>395</v>
      </c>
      <c r="G7" s="24" t="s">
        <v>395</v>
      </c>
      <c r="H7" s="30" t="str">
        <f aca="false">IFERROR(IF(ISBLANK(INDEX(SprintPlanning[Sprint],MATCH($A7,SprintPlanning[Requirement ID],0))),"",INDEX(SprintPlanning[Sprint],MATCH($A7,SprintPlanning[Requirement ID],0))),"")</f>
        <v>Sprint 14</v>
      </c>
      <c r="I7" s="26" t="str">
        <f aca="false">IFERROR(IF(ISBLANK(INDEX(Backlog[Status],MATCH($A7,Backlog[Requirement ID],0))),"",INDEX(Backlog[Status],MATCH($A7,Backlog[Requirement ID],0))),"")</f>
        <v>NEW</v>
      </c>
      <c r="J7" s="26" t="str">
        <f aca="false">IFERROR(IF(ISBLANK(INDEX(Backlog[Priority],MATCH($A7,Backlog[Requirement ID],0))),"",INDEX(Backlog[Priority],MATCH($A7,Backlog[Requirement ID],0))),"")</f>
        <v>Medium</v>
      </c>
      <c r="K7" s="24"/>
      <c r="L7" s="44" t="s">
        <v>397</v>
      </c>
      <c r="M7" s="32" t="s">
        <v>398</v>
      </c>
      <c r="N7" s="24"/>
      <c r="O7" s="45"/>
      <c r="P7" s="46" t="s">
        <v>399</v>
      </c>
      <c r="Q7" s="46"/>
    </row>
    <row r="8" customFormat="false" ht="15" hidden="false" customHeight="true" outlineLevel="0" collapsed="false">
      <c r="A8" s="24" t="str">
        <f aca="false">Backlog!A8</f>
        <v>NEW-0003</v>
      </c>
      <c r="B8" s="26" t="str">
        <f aca="false">IFERROR(IF(ISBLANK(INDEX(Backlog[Requirement Name],MATCH($A8,Backlog[Requirement ID],0))),"",INDEX(Backlog[Requirement Name],MATCH($A8,Backlog[Requirement ID],0))),"")</f>
        <v>Friends and Family INT 157</v>
      </c>
      <c r="C8" s="26" t="str">
        <f aca="false">IFERROR(IF(ISBLANK(INDEX(Backlog[Stream],MATCH($A8,Backlog[Requirement ID],0))),"",INDEX(Backlog[Stream],MATCH($A8,Backlog[Requirement ID],0))),"")</f>
        <v>Backlog</v>
      </c>
      <c r="D8" s="26" t="str">
        <f aca="false">IFERROR(IF(ISBLANK(INDEX(Backlog[Stream Owner],MATCH($A8,Backlog[Requirement ID],0))),"",INDEX(Backlog[Stream Owner],MATCH($A8,Backlog[Requirement ID],0))),"")</f>
        <v>S&amp;S</v>
      </c>
      <c r="E8" s="26" t="str">
        <f aca="false">IFERROR(IF(ISBLANK(INDEX(Backlog[Jira Link],MATCH($A8,Backlog[Requirement ID],0))),"",INDEX(Backlog[Jira Link],MATCH($A8,Backlog[Requirement ID],0))),"")</f>
        <v>https://smartship.atlassian.net/browse/DTTP25-36959</v>
      </c>
      <c r="F8" s="24" t="s">
        <v>395</v>
      </c>
      <c r="G8" s="24" t="s">
        <v>395</v>
      </c>
      <c r="H8" s="30" t="str">
        <f aca="false">IFERROR(IF(ISBLANK(INDEX(SprintPlanning[Sprint],MATCH($A8,SprintPlanning[Requirement ID],0))),"",INDEX(SprintPlanning[Sprint],MATCH($A8,SprintPlanning[Requirement ID],0))),"")</f>
        <v>Sprint 13</v>
      </c>
      <c r="I8" s="26" t="str">
        <f aca="false">IFERROR(IF(ISBLANK(INDEX(Backlog[Status],MATCH($A8,Backlog[Requirement ID],0))),"",INDEX(Backlog[Status],MATCH($A8,Backlog[Requirement ID],0))),"")</f>
        <v>NEW</v>
      </c>
      <c r="J8" s="26" t="str">
        <f aca="false">IFERROR(IF(ISBLANK(INDEX(Backlog[Priority],MATCH($A8,Backlog[Requirement ID],0))),"",INDEX(Backlog[Priority],MATCH($A8,Backlog[Requirement ID],0))),"")</f>
        <v>High</v>
      </c>
      <c r="K8" s="24"/>
      <c r="L8" s="44"/>
      <c r="M8" s="48"/>
      <c r="N8" s="24"/>
      <c r="O8" s="45"/>
      <c r="P8" s="46"/>
      <c r="Q8" s="46"/>
    </row>
    <row r="9" customFormat="false" ht="15" hidden="false" customHeight="true" outlineLevel="0" collapsed="false">
      <c r="A9" s="24" t="str">
        <f aca="false">Backlog!A9</f>
        <v>NEW-0030</v>
      </c>
      <c r="B9" s="26" t="str">
        <f aca="false">IFERROR(IF(ISBLANK(INDEX(Backlog[Requirement Name],MATCH($A9,Backlog[Requirement ID],0))),"",INDEX(Backlog[Requirement Name],MATCH($A9,Backlog[Requirement ID],0))),"")</f>
        <v>Handling of additional errors INT 139/ INT 140</v>
      </c>
      <c r="C9" s="26" t="str">
        <f aca="false">IFERROR(IF(ISBLANK(INDEX(Backlog[Stream],MATCH($A9,Backlog[Requirement ID],0))),"",INDEX(Backlog[Stream],MATCH($A9,Backlog[Requirement ID],0))),"")</f>
        <v>MyMSC</v>
      </c>
      <c r="D9" s="26" t="str">
        <f aca="false">IFERROR(IF(ISBLANK(INDEX(Backlog[Stream Owner],MATCH($A9,Backlog[Requirement ID],0))),"",INDEX(Backlog[Stream Owner],MATCH($A9,Backlog[Requirement ID],0))),"")</f>
        <v>B2CW</v>
      </c>
      <c r="E9" s="26" t="str">
        <f aca="false">IFERROR(IF(ISBLANK(INDEX(Backlog[Jira Link],MATCH($A9,Backlog[Requirement ID],0))),"",INDEX(Backlog[Jira Link],MATCH($A9,Backlog[Requirement ID],0))),"")</f>
        <v>https://smartship.atlassian.net/browse/DTTP25-40357</v>
      </c>
      <c r="F9" s="24" t="s">
        <v>395</v>
      </c>
      <c r="G9" s="24" t="s">
        <v>396</v>
      </c>
      <c r="H9" s="30" t="str">
        <f aca="false">IFERROR(IF(ISBLANK(INDEX(SprintPlanning[Sprint],MATCH($A9,SprintPlanning[Requirement ID],0))),"",INDEX(SprintPlanning[Sprint],MATCH($A9,SprintPlanning[Requirement ID],0))),"")</f>
        <v>To Plan</v>
      </c>
      <c r="I9" s="26" t="str">
        <f aca="false">IFERROR(IF(ISBLANK(INDEX(Backlog[Status],MATCH($A9,Backlog[Requirement ID],0))),"",INDEX(Backlog[Status],MATCH($A9,Backlog[Requirement ID],0))),"")</f>
        <v>ON HOLD</v>
      </c>
      <c r="J9" s="26" t="str">
        <f aca="false">IFERROR(IF(ISBLANK(INDEX(Backlog[Priority],MATCH($A9,Backlog[Requirement ID],0))),"",INDEX(Backlog[Priority],MATCH($A9,Backlog[Requirement ID],0))),"")</f>
        <v>Medium</v>
      </c>
      <c r="K9" s="24"/>
      <c r="L9" s="44"/>
      <c r="M9" s="44"/>
      <c r="N9" s="24"/>
      <c r="O9" s="45"/>
      <c r="P9" s="46"/>
      <c r="Q9" s="46"/>
    </row>
    <row r="10" customFormat="false" ht="15" hidden="false" customHeight="true" outlineLevel="0" collapsed="false">
      <c r="A10" s="24" t="str">
        <f aca="false">Backlog!A10</f>
        <v>NEW-0080</v>
      </c>
      <c r="B10" s="26" t="str">
        <f aca="false">IFERROR(IF(ISBLANK(INDEX(Backlog[Requirement Name],MATCH($A10,Backlog[Requirement ID],0))),"",INDEX(Backlog[Requirement Name],MATCH($A10,Backlog[Requirement ID],0))),"")</f>
        <v>Hypercare</v>
      </c>
      <c r="C10" s="26" t="str">
        <f aca="false">IFERROR(IF(ISBLANK(INDEX(Backlog[Stream],MATCH($A10,Backlog[Requirement ID],0))),"",INDEX(Backlog[Stream],MATCH($A10,Backlog[Requirement ID],0))),"")</f>
        <v>US</v>
      </c>
      <c r="D10" s="26" t="str">
        <f aca="false">IFERROR(IF(ISBLANK(INDEX(Backlog[Stream Owner],MATCH($A10,Backlog[Requirement ID],0))),"",INDEX(Backlog[Stream Owner],MATCH($A10,Backlog[Requirement ID],0))),"")</f>
        <v>ALL</v>
      </c>
      <c r="E10" s="26" t="str">
        <f aca="false">IFERROR(IF(ISBLANK(INDEX(Backlog[Jira Link],MATCH($A10,Backlog[Requirement ID],0))),"",INDEX(Backlog[Jira Link],MATCH($A10,Backlog[Requirement ID],0))),"")</f>
        <v/>
      </c>
      <c r="F10" s="24" t="s">
        <v>132</v>
      </c>
      <c r="G10" s="24" t="s">
        <v>132</v>
      </c>
      <c r="H10" s="30" t="str">
        <f aca="false">IFERROR(IF(ISBLANK(INDEX(SprintPlanning[Sprint],MATCH($A10,SprintPlanning[Requirement ID],0))),"",INDEX(SprintPlanning[Sprint],MATCH($A10,SprintPlanning[Requirement ID],0))),"")</f>
        <v>Sprint 12</v>
      </c>
      <c r="I10" s="26" t="str">
        <f aca="false">IFERROR(IF(ISBLANK(INDEX(Backlog[Status],MATCH($A10,Backlog[Requirement ID],0))),"",INDEX(Backlog[Status],MATCH($A10,Backlog[Requirement ID],0))),"")</f>
        <v>IN PROGRESS</v>
      </c>
      <c r="J10" s="26" t="str">
        <f aca="false">IFERROR(IF(ISBLANK(INDEX(Backlog[Priority],MATCH($A10,Backlog[Requirement ID],0))),"",INDEX(Backlog[Priority],MATCH($A10,Backlog[Requirement ID],0))),"")</f>
        <v>High</v>
      </c>
      <c r="K10" s="24"/>
      <c r="L10" s="44"/>
      <c r="M10" s="44"/>
      <c r="N10" s="24"/>
      <c r="O10" s="45"/>
      <c r="P10" s="46"/>
      <c r="Q10" s="46"/>
    </row>
    <row r="11" customFormat="false" ht="15" hidden="false" customHeight="true" outlineLevel="0" collapsed="false">
      <c r="A11" s="24" t="str">
        <f aca="false">Backlog!A11</f>
        <v>NEW-0085</v>
      </c>
      <c r="B11" s="26" t="str">
        <f aca="false">IFERROR(IF(ISBLANK(INDEX(Backlog[Requirement Name],MATCH($A11,Backlog[Requirement ID],0))),"",INDEX(Backlog[Requirement Name],MATCH($A11,Backlog[Requirement ID],0))),"")</f>
        <v>PI11-08 [CDP] [INTP-21] Lead Management - Option event creation in CDP</v>
      </c>
      <c r="C11" s="26" t="str">
        <f aca="false">IFERROR(IF(ISBLANK(INDEX(Backlog[Stream],MATCH($A11,Backlog[Requirement ID],0))),"",INDEX(Backlog[Stream],MATCH($A11,Backlog[Requirement ID],0))),"")</f>
        <v>PI11</v>
      </c>
      <c r="D11" s="26" t="str">
        <f aca="false">IFERROR(IF(ISBLANK(INDEX(Backlog[Stream Owner],MATCH($A11,Backlog[Requirement ID],0))),"",INDEX(Backlog[Stream Owner],MATCH($A11,Backlog[Requirement ID],0))),"")</f>
        <v>MA</v>
      </c>
      <c r="E11" s="26" t="str">
        <f aca="false">IFERROR(IF(ISBLANK(INDEX(Backlog[Jira Link],MATCH($A11,Backlog[Requirement ID],0))),"",INDEX(Backlog[Jira Link],MATCH($A11,Backlog[Requirement ID],0))),"")</f>
        <v>https://smartship.atlassian.net/browse/DTTP25-41937</v>
      </c>
      <c r="F11" s="24" t="s">
        <v>396</v>
      </c>
      <c r="G11" s="24" t="s">
        <v>396</v>
      </c>
      <c r="H11" s="30" t="str">
        <f aca="false">IFERROR(IF(ISBLANK(INDEX(SprintPlanning[Sprint],MATCH($A11,SprintPlanning[Requirement ID],0))),"",INDEX(SprintPlanning[Sprint],MATCH($A11,SprintPlanning[Requirement ID],0))),"")</f>
        <v>To Plan</v>
      </c>
      <c r="I11" s="26" t="str">
        <f aca="false">IFERROR(IF(ISBLANK(INDEX(Backlog[Status],MATCH($A11,Backlog[Requirement ID],0))),"",INDEX(Backlog[Status],MATCH($A11,Backlog[Requirement ID],0))),"")</f>
        <v>NEW</v>
      </c>
      <c r="J11" s="26" t="str">
        <f aca="false">IFERROR(IF(ISBLANK(INDEX(Backlog[Priority],MATCH($A11,Backlog[Requirement ID],0))),"",INDEX(Backlog[Priority],MATCH($A11,Backlog[Requirement ID],0))),"")</f>
        <v>Medium</v>
      </c>
      <c r="K11" s="24"/>
      <c r="L11" s="44"/>
      <c r="M11" s="44"/>
      <c r="N11" s="24"/>
      <c r="O11" s="45"/>
      <c r="P11" s="46"/>
      <c r="Q11" s="46"/>
    </row>
    <row r="12" customFormat="false" ht="15" hidden="false" customHeight="true" outlineLevel="0" collapsed="false">
      <c r="A12" s="24" t="str">
        <f aca="false">Backlog!A12</f>
        <v>NEW-0086</v>
      </c>
      <c r="B12" s="26"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IFERROR(IF(ISBLANK(INDEX(Backlog[Stream Owner],MATCH($A12,Backlog[Requirement ID],0))),"",INDEX(Backlog[Stream Owner],MATCH($A12,Backlog[Requirement ID],0))),"")</f>
        <v>MA</v>
      </c>
      <c r="E12" s="26" t="str">
        <f aca="false">IFERROR(IF(ISBLANK(INDEX(Backlog[Jira Link],MATCH($A12,Backlog[Requirement ID],0))),"",INDEX(Backlog[Jira Link],MATCH($A12,Backlog[Requirement ID],0))),"")</f>
        <v>https://smartship.atlassian.net/browse/DTTP25-41939</v>
      </c>
      <c r="F12" s="24" t="s">
        <v>396</v>
      </c>
      <c r="G12" s="24" t="s">
        <v>396</v>
      </c>
      <c r="H12" s="30" t="str">
        <f aca="false">IFERROR(IF(ISBLANK(INDEX(SprintPlanning[Sprint],MATCH($A12,SprintPlanning[Requirement ID],0))),"",INDEX(SprintPlanning[Sprint],MATCH($A12,SprintPlanning[Requirement ID],0))),"")</f>
        <v>To Plan</v>
      </c>
      <c r="I12" s="26" t="str">
        <f aca="false">IFERROR(IF(ISBLANK(INDEX(Backlog[Status],MATCH($A12,Backlog[Requirement ID],0))),"",INDEX(Backlog[Status],MATCH($A12,Backlog[Requirement ID],0))),"")</f>
        <v>NA</v>
      </c>
      <c r="J12" s="26" t="str">
        <f aca="false">IFERROR(IF(ISBLANK(INDEX(Backlog[Priority],MATCH($A12,Backlog[Requirement ID],0))),"",INDEX(Backlog[Priority],MATCH($A12,Backlog[Requirement ID],0))),"")</f>
        <v>Medium</v>
      </c>
      <c r="K12" s="24"/>
      <c r="L12" s="44"/>
      <c r="M12" s="44"/>
      <c r="N12" s="24"/>
      <c r="O12" s="45"/>
      <c r="P12" s="46"/>
      <c r="Q12" s="46"/>
    </row>
    <row r="13" customFormat="false" ht="15" hidden="false" customHeight="true" outlineLevel="0" collapsed="false">
      <c r="A13" s="24" t="str">
        <f aca="false">Backlog!A13</f>
        <v>NEW-0087</v>
      </c>
      <c r="B13" s="26" t="str">
        <f aca="false">IFERROR(IF(ISBLANK(INDEX(Backlog[Requirement Name],MATCH($A13,Backlog[Requirement ID],0))),"",INDEX(Backlog[Requirement Name],MATCH($A13,Backlog[Requirement ID],0))),"")</f>
        <v>PI11-12 [CDP/CRM] CRM2-11097 / [INTP-20] Lead Management - IRL Outbound Sources Activation &amp; Form Creation</v>
      </c>
      <c r="C13" s="26" t="str">
        <f aca="false">IFERROR(IF(ISBLANK(INDEX(Backlog[Stream],MATCH($A13,Backlog[Requirement ID],0))),"",INDEX(Backlog[Stream],MATCH($A13,Backlog[Requirement ID],0))),"")</f>
        <v>PI11</v>
      </c>
      <c r="D13" s="26" t="str">
        <f aca="false">IFERROR(IF(ISBLANK(INDEX(Backlog[Stream Owner],MATCH($A13,Backlog[Requirement ID],0))),"",INDEX(Backlog[Stream Owner],MATCH($A13,Backlog[Requirement ID],0))),"")</f>
        <v>MA</v>
      </c>
      <c r="E13" s="26" t="str">
        <f aca="false">IFERROR(IF(ISBLANK(INDEX(Backlog[Jira Link],MATCH($A13,Backlog[Requirement ID],0))),"",INDEX(Backlog[Jira Link],MATCH($A13,Backlog[Requirement ID],0))),"")</f>
        <v>https://smartship.atlassian.net/browse/DTTP25-41940</v>
      </c>
      <c r="F13" s="24" t="s">
        <v>396</v>
      </c>
      <c r="G13" s="24" t="s">
        <v>396</v>
      </c>
      <c r="H13" s="30" t="str">
        <f aca="false">IFERROR(IF(ISBLANK(INDEX(SprintPlanning[Sprint],MATCH($A13,SprintPlanning[Requirement ID],0))),"",INDEX(SprintPlanning[Sprint],MATCH($A13,SprintPlanning[Requirement ID],0))),"")</f>
        <v>To Plan</v>
      </c>
      <c r="I13" s="26" t="str">
        <f aca="false">IFERROR(IF(ISBLANK(INDEX(Backlog[Status],MATCH($A13,Backlog[Requirement ID],0))),"",INDEX(Backlog[Status],MATCH($A13,Backlog[Requirement ID],0))),"")</f>
        <v>NEW</v>
      </c>
      <c r="J13" s="26" t="str">
        <f aca="false">IFERROR(IF(ISBLANK(INDEX(Backlog[Priority],MATCH($A13,Backlog[Requirement ID],0))),"",INDEX(Backlog[Priority],MATCH($A13,Backlog[Requirement ID],0))),"")</f>
        <v>Medium</v>
      </c>
      <c r="K13" s="24"/>
      <c r="L13" s="44"/>
      <c r="M13" s="44"/>
      <c r="N13" s="24"/>
      <c r="O13" s="45"/>
      <c r="P13" s="46"/>
      <c r="Q13" s="46"/>
    </row>
    <row r="14" customFormat="false" ht="23.25" hidden="false" customHeight="true" outlineLevel="0" collapsed="false">
      <c r="A14" s="24" t="str">
        <f aca="false">Backlog!A14</f>
        <v>NEW-0316</v>
      </c>
      <c r="B14" s="26" t="str">
        <f aca="false">IFERROR(IF(ISBLANK(INDEX(Backlog[Requirement Name],MATCH($A14,Backlog[Requirement ID],0))),"",INDEX(Backlog[Requirement Name],MATCH($A14,Backlog[Requirement ID],0))),"")</f>
        <v>INT139 / INT140 / INT187 / INT188 / INT163 - speciality restaurants CR to handle dining inventory errors</v>
      </c>
      <c r="C14" s="26" t="str">
        <f aca="false">IFERROR(IF(ISBLANK(INDEX(Backlog[Stream],MATCH($A14,Backlog[Requirement ID],0))),"",INDEX(Backlog[Stream],MATCH($A14,Backlog[Requirement ID],0))),"")</f>
        <v>MyMSC</v>
      </c>
      <c r="D14" s="26" t="str">
        <f aca="false">IFERROR(IF(ISBLANK(INDEX(Backlog[Stream Owner],MATCH($A14,Backlog[Requirement ID],0))),"",INDEX(Backlog[Stream Owner],MATCH($A14,Backlog[Requirement ID],0))),"")</f>
        <v>B2CW</v>
      </c>
      <c r="E14" s="26" t="str">
        <f aca="false">IFERROR(IF(ISBLANK(INDEX(Backlog[Jira Link],MATCH($A14,Backlog[Requirement ID],0))),"",INDEX(Backlog[Jira Link],MATCH($A14,Backlog[Requirement ID],0))),"")</f>
        <v>https://smartship.atlassian.net/browse/DTTP25-40356</v>
      </c>
      <c r="F14" s="24" t="s">
        <v>395</v>
      </c>
      <c r="G14" s="24" t="s">
        <v>396</v>
      </c>
      <c r="H14" s="30" t="str">
        <f aca="false">IFERROR(IF(ISBLANK(INDEX(SprintPlanning[Sprint],MATCH($A14,SprintPlanning[Requirement ID],0))),"",INDEX(SprintPlanning[Sprint],MATCH($A14,SprintPlanning[Requirement ID],0))),"")</f>
        <v>Sprint 15</v>
      </c>
      <c r="I14" s="26" t="str">
        <f aca="false">IFERROR(IF(ISBLANK(INDEX(Backlog[Status],MATCH($A14,Backlog[Requirement ID],0))),"",INDEX(Backlog[Status],MATCH($A14,Backlog[Requirement ID],0))),"")</f>
        <v>ON HOLD</v>
      </c>
      <c r="J14" s="26" t="str">
        <f aca="false">IFERROR(IF(ISBLANK(INDEX(Backlog[Priority],MATCH($A14,Backlog[Requirement ID],0))),"",INDEX(Backlog[Priority],MATCH($A14,Backlog[Requirement ID],0))),"")</f>
        <v>Medium</v>
      </c>
      <c r="K14" s="24"/>
      <c r="L14" s="44"/>
      <c r="M14" s="44"/>
      <c r="N14" s="24"/>
      <c r="O14" s="45"/>
      <c r="P14" s="46"/>
      <c r="Q14" s="46"/>
    </row>
    <row r="15" customFormat="false" ht="15" hidden="false" customHeight="true" outlineLevel="0" collapsed="false">
      <c r="A15" s="24" t="str">
        <f aca="false">Backlog!A15</f>
        <v>NEW-0066</v>
      </c>
      <c r="B15" s="26" t="str">
        <f aca="false">IFERROR(IF(ISBLANK(INDEX(Backlog[Requirement Name],MATCH($A15,Backlog[Requirement ID],0))),"",INDEX(Backlog[Requirement Name],MATCH($A15,Backlog[Requirement ID],0))),"")</f>
        <v>PI11-03 [B2C] Flight Enhancement - DTTP25-38915</v>
      </c>
      <c r="C15" s="26" t="str">
        <f aca="false">IFERROR(IF(ISBLANK(INDEX(Backlog[Stream],MATCH($A15,Backlog[Requirement ID],0))),"",INDEX(Backlog[Stream],MATCH($A15,Backlog[Requirement ID],0))),"")</f>
        <v>PI11</v>
      </c>
      <c r="D15" s="26" t="str">
        <f aca="false">IFERROR(IF(ISBLANK(INDEX(Backlog[Stream Owner],MATCH($A15,Backlog[Requirement ID],0))),"",INDEX(Backlog[Stream Owner],MATCH($A15,Backlog[Requirement ID],0))),"")</f>
        <v>B2CW</v>
      </c>
      <c r="E15" s="26" t="str">
        <f aca="false">IFERROR(IF(ISBLANK(INDEX(Backlog[Jira Link],MATCH($A15,Backlog[Requirement ID],0))),"",INDEX(Backlog[Jira Link],MATCH($A15,Backlog[Requirement ID],0))),"")</f>
        <v>https://smartship.atlassian.net/browse/DTTP25-41930</v>
      </c>
      <c r="F15" s="24" t="s">
        <v>395</v>
      </c>
      <c r="G15" s="24" t="s">
        <v>396</v>
      </c>
      <c r="H15" s="30" t="str">
        <f aca="false">IFERROR(IF(ISBLANK(INDEX(SprintPlanning[Sprint],MATCH($A15,SprintPlanning[Requirement ID],0))),"",INDEX(SprintPlanning[Sprint],MATCH($A15,SprintPlanning[Requirement ID],0))),"")</f>
        <v>Sprint 13</v>
      </c>
      <c r="I15" s="26" t="str">
        <f aca="false">IFERROR(IF(ISBLANK(INDEX(Backlog[Status],MATCH($A15,Backlog[Requirement ID],0))),"",INDEX(Backlog[Status],MATCH($A15,Backlog[Requirement ID],0))),"")</f>
        <v>NEW</v>
      </c>
      <c r="J15" s="26" t="str">
        <f aca="false">IFERROR(IF(ISBLANK(INDEX(Backlog[Priority],MATCH($A15,Backlog[Requirement ID],0))),"",INDEX(Backlog[Priority],MATCH($A15,Backlog[Requirement ID],0))),"")</f>
        <v>High</v>
      </c>
      <c r="K15" s="24"/>
      <c r="L15" s="44"/>
      <c r="M15" s="44"/>
      <c r="N15" s="24"/>
      <c r="O15" s="45"/>
      <c r="P15" s="46"/>
      <c r="Q15" s="46"/>
    </row>
    <row r="16" customFormat="false" ht="15" hidden="false" customHeight="true" outlineLevel="0" collapsed="false">
      <c r="A16" s="24" t="str">
        <f aca="false">Backlog!A16</f>
        <v>NEW-0002</v>
      </c>
      <c r="B16" s="26" t="str">
        <f aca="false">IFERROR(IF(ISBLANK(INDEX(Backlog[Requirement Name],MATCH($A16,Backlog[Requirement ID],0))),"",INDEX(Backlog[Requirement Name],MATCH($A16,Backlog[Requirement ID],0))),"")</f>
        <v>Whatsapp Subscription (Phase 2)</v>
      </c>
      <c r="C16" s="26" t="str">
        <f aca="false">IFERROR(IF(ISBLANK(INDEX(Backlog[Stream],MATCH($A16,Backlog[Requirement ID],0))),"",INDEX(Backlog[Stream],MATCH($A16,Backlog[Requirement ID],0))),"")</f>
        <v>Backlog</v>
      </c>
      <c r="D16" s="26" t="str">
        <f aca="false">IFERROR(IF(ISBLANK(INDEX(Backlog[Stream Owner],MATCH($A16,Backlog[Requirement ID],0))),"",INDEX(Backlog[Stream Owner],MATCH($A16,Backlog[Requirement ID],0))),"")</f>
        <v>MA</v>
      </c>
      <c r="E16" s="26" t="str">
        <f aca="false">IFERROR(IF(ISBLANK(INDEX(Backlog[Jira Link],MATCH($A16,Backlog[Requirement ID],0))),"",INDEX(Backlog[Jira Link],MATCH($A16,Backlog[Requirement ID],0))),"")</f>
        <v/>
      </c>
      <c r="F16" s="24" t="s">
        <v>132</v>
      </c>
      <c r="G16" s="24" t="s">
        <v>132</v>
      </c>
      <c r="H16" s="30" t="str">
        <f aca="false">IFERROR(IF(ISBLANK(INDEX(SprintPlanning[Sprint],MATCH($A16,SprintPlanning[Requirement ID],0))),"",INDEX(SprintPlanning[Sprint],MATCH($A16,SprintPlanning[Requirement ID],0))),"")</f>
        <v>To Plan</v>
      </c>
      <c r="I16" s="26" t="str">
        <f aca="false">IFERROR(IF(ISBLANK(INDEX(Backlog[Status],MATCH($A16,Backlog[Requirement ID],0))),"",INDEX(Backlog[Status],MATCH($A16,Backlog[Requirement ID],0))),"")</f>
        <v>ON HOLD</v>
      </c>
      <c r="J16" s="26" t="str">
        <f aca="false">IFERROR(IF(ISBLANK(INDEX(Backlog[Priority],MATCH($A16,Backlog[Requirement ID],0))),"",INDEX(Backlog[Priority],MATCH($A16,Backlog[Requirement ID],0))),"")</f>
        <v>Medium</v>
      </c>
      <c r="K16" s="24"/>
      <c r="L16" s="44"/>
      <c r="M16" s="44"/>
      <c r="N16" s="24"/>
      <c r="O16" s="45"/>
      <c r="P16" s="46"/>
      <c r="Q16" s="46"/>
    </row>
    <row r="17" customFormat="false" ht="15" hidden="false" customHeight="true" outlineLevel="0" collapsed="false">
      <c r="A17" s="24" t="str">
        <f aca="false">Backlog!A17</f>
        <v>NEW-0005</v>
      </c>
      <c r="B17" s="26" t="str">
        <f aca="false">IFERROR(IF(ISBLANK(INDEX(Backlog[Requirement Name],MATCH($A17,Backlog[Requirement ID],0))),"",INDEX(Backlog[Requirement Name],MATCH($A17,Backlog[Requirement ID],0))),"")</f>
        <v>Handling multicabin booking</v>
      </c>
      <c r="C17" s="26" t="str">
        <f aca="false">IFERROR(IF(ISBLANK(INDEX(Backlog[Stream],MATCH($A17,Backlog[Requirement ID],0))),"",INDEX(Backlog[Stream],MATCH($A17,Backlog[Requirement ID],0))),"")</f>
        <v>Growth</v>
      </c>
      <c r="D17" s="26" t="str">
        <f aca="false">IFERROR(IF(ISBLANK(INDEX(Backlog[Stream Owner],MATCH($A17,Backlog[Requirement ID],0))),"",INDEX(Backlog[Stream Owner],MATCH($A17,Backlog[Requirement ID],0))),"")</f>
        <v>B2CW</v>
      </c>
      <c r="E17" s="26" t="str">
        <f aca="false">IFERROR(IF(ISBLANK(INDEX(Backlog[Jira Link],MATCH($A17,Backlog[Requirement ID],0))),"",INDEX(Backlog[Jira Link],MATCH($A17,Backlog[Requirement ID],0))),"")</f>
        <v/>
      </c>
      <c r="F17" s="24" t="s">
        <v>132</v>
      </c>
      <c r="G17" s="24" t="s">
        <v>132</v>
      </c>
      <c r="H17" s="30" t="str">
        <f aca="false">IFERROR(IF(ISBLANK(INDEX(SprintPlanning[Sprint],MATCH($A17,SprintPlanning[Requirement ID],0))),"",INDEX(SprintPlanning[Sprint],MATCH($A17,SprintPlanning[Requirement ID],0))),"")</f>
        <v>To Plan</v>
      </c>
      <c r="I17" s="26" t="str">
        <f aca="false">IFERROR(IF(ISBLANK(INDEX(Backlog[Status],MATCH($A17,Backlog[Requirement ID],0))),"",INDEX(Backlog[Status],MATCH($A17,Backlog[Requirement ID],0))),"")</f>
        <v>NEW</v>
      </c>
      <c r="J17" s="26" t="str">
        <f aca="false">IFERROR(IF(ISBLANK(INDEX(Backlog[Priority],MATCH($A17,Backlog[Requirement ID],0))),"",INDEX(Backlog[Priority],MATCH($A17,Backlog[Requirement ID],0))),"")</f>
        <v>Medium</v>
      </c>
      <c r="K17" s="24"/>
      <c r="L17" s="44"/>
      <c r="M17" s="44"/>
      <c r="N17" s="24"/>
      <c r="O17" s="45"/>
      <c r="P17" s="46"/>
      <c r="Q17" s="46"/>
    </row>
    <row r="18" customFormat="false" ht="15" hidden="false" customHeight="true" outlineLevel="0" collapsed="false">
      <c r="A18" s="24" t="str">
        <f aca="false">Backlog!A18</f>
        <v>NEW-0006</v>
      </c>
      <c r="B18" s="26" t="str">
        <f aca="false">IFERROR(IF(ISBLANK(INDEX(Backlog[Requirement Name],MATCH($A18,Backlog[Requirement ID],0))),"",INDEX(Backlog[Requirement Name],MATCH($A18,Backlog[Requirement ID],0))),"")</f>
        <v>New UWO Interface (decoupling) </v>
      </c>
      <c r="C18" s="26" t="str">
        <f aca="false">IFERROR(IF(ISBLANK(INDEX(Backlog[Stream],MATCH($A18,Backlog[Requirement ID],0))),"",INDEX(Backlog[Stream],MATCH($A18,Backlog[Requirement ID],0))),"")</f>
        <v>Growth</v>
      </c>
      <c r="D18" s="26" t="str">
        <f aca="false">IFERROR(IF(ISBLANK(INDEX(Backlog[Stream Owner],MATCH($A18,Backlog[Requirement ID],0))),"",INDEX(Backlog[Stream Owner],MATCH($A18,Backlog[Requirement ID],0))),"")</f>
        <v>B2CW</v>
      </c>
      <c r="E18" s="26" t="str">
        <f aca="false">IFERROR(IF(ISBLANK(INDEX(Backlog[Jira Link],MATCH($A18,Backlog[Requirement ID],0))),"",INDEX(Backlog[Jira Link],MATCH($A18,Backlog[Requirement ID],0))),"")</f>
        <v/>
      </c>
      <c r="F18" s="24" t="s">
        <v>396</v>
      </c>
      <c r="G18" s="24" t="s">
        <v>396</v>
      </c>
      <c r="H18" s="30" t="str">
        <f aca="false">IFERROR(IF(ISBLANK(INDEX(SprintPlanning[Sprint],MATCH($A18,SprintPlanning[Requirement ID],0))),"",INDEX(SprintPlanning[Sprint],MATCH($A18,SprintPlanning[Requirement ID],0))),"")</f>
        <v>To Plan</v>
      </c>
      <c r="I18" s="26" t="str">
        <f aca="false">IFERROR(IF(ISBLANK(INDEX(Backlog[Status],MATCH($A18,Backlog[Requirement ID],0))),"",INDEX(Backlog[Status],MATCH($A18,Backlog[Requirement ID],0))),"")</f>
        <v>NEW</v>
      </c>
      <c r="J18" s="26" t="str">
        <f aca="false">IFERROR(IF(ISBLANK(INDEX(Backlog[Priority],MATCH($A18,Backlog[Requirement ID],0))),"",INDEX(Backlog[Priority],MATCH($A18,Backlog[Requirement ID],0))),"")</f>
        <v>Medium</v>
      </c>
      <c r="K18" s="24"/>
      <c r="L18" s="44"/>
      <c r="M18" s="44"/>
      <c r="N18" s="24"/>
      <c r="O18" s="45"/>
      <c r="P18" s="46"/>
      <c r="Q18" s="46"/>
    </row>
    <row r="19" customFormat="false" ht="15" hidden="false" customHeight="true" outlineLevel="0" collapsed="false">
      <c r="A19" s="24" t="str">
        <f aca="false">Backlog!A19</f>
        <v>NEW-0007</v>
      </c>
      <c r="B19" s="26" t="str">
        <f aca="false">IFERROR(IF(ISBLANK(INDEX(Backlog[Requirement Name],MATCH($A19,Backlog[Requirement ID],0))),"",INDEX(Backlog[Requirement Name],MATCH($A19,Backlog[Requirement ID],0))),"")</f>
        <v>Update Hold option (decoupling)</v>
      </c>
      <c r="C19" s="26" t="str">
        <f aca="false">IFERROR(IF(ISBLANK(INDEX(Backlog[Stream],MATCH($A19,Backlog[Requirement ID],0))),"",INDEX(Backlog[Stream],MATCH($A19,Backlog[Requirement ID],0))),"")</f>
        <v>Growth</v>
      </c>
      <c r="D19" s="26" t="str">
        <f aca="false">IFERROR(IF(ISBLANK(INDEX(Backlog[Stream Owner],MATCH($A19,Backlog[Requirement ID],0))),"",INDEX(Backlog[Stream Owner],MATCH($A19,Backlog[Requirement ID],0))),"")</f>
        <v>B2CW</v>
      </c>
      <c r="E19" s="26" t="str">
        <f aca="false">IFERROR(IF(ISBLANK(INDEX(Backlog[Jira Link],MATCH($A19,Backlog[Requirement ID],0))),"",INDEX(Backlog[Jira Link],MATCH($A19,Backlog[Requirement ID],0))),"")</f>
        <v/>
      </c>
      <c r="F19" s="24" t="s">
        <v>396</v>
      </c>
      <c r="G19" s="24" t="s">
        <v>396</v>
      </c>
      <c r="H19" s="30" t="str">
        <f aca="false">IFERROR(IF(ISBLANK(INDEX(SprintPlanning[Sprint],MATCH($A19,SprintPlanning[Requirement ID],0))),"",INDEX(SprintPlanning[Sprint],MATCH($A19,SprintPlanning[Requirement ID],0))),"")</f>
        <v>To Plan</v>
      </c>
      <c r="I19" s="26" t="str">
        <f aca="false">IFERROR(IF(ISBLANK(INDEX(Backlog[Status],MATCH($A19,Backlog[Requirement ID],0))),"",INDEX(Backlog[Status],MATCH($A19,Backlog[Requirement ID],0))),"")</f>
        <v>NEW</v>
      </c>
      <c r="J19" s="26" t="str">
        <f aca="false">IFERROR(IF(ISBLANK(INDEX(Backlog[Priority],MATCH($A19,Backlog[Requirement ID],0))),"",INDEX(Backlog[Priority],MATCH($A19,Backlog[Requirement ID],0))),"")</f>
        <v>Medium</v>
      </c>
      <c r="K19" s="24"/>
      <c r="L19" s="44"/>
      <c r="M19" s="44"/>
      <c r="N19" s="24"/>
      <c r="O19" s="45"/>
      <c r="P19" s="46"/>
      <c r="Q19" s="46"/>
    </row>
    <row r="20" customFormat="false" ht="15" hidden="false" customHeight="true" outlineLevel="0" collapsed="false">
      <c r="A20" s="24" t="str">
        <f aca="false">Backlog!A20</f>
        <v>NEW-0011</v>
      </c>
      <c r="B20" s="26" t="str">
        <f aca="false">IFERROR(IF(ISBLANK(INDEX(Backlog[Requirement Name],MATCH($A20,Backlog[Requirement ID],0))),"",INDEX(Backlog[Requirement Name],MATCH($A20,Backlog[Requirement ID],0))),"")</f>
        <v>INT 101 - Cabin Selections (Booking Group Management) </v>
      </c>
      <c r="C20" s="26" t="str">
        <f aca="false">IFERROR(IF(ISBLANK(INDEX(Backlog[Stream],MATCH($A20,Backlog[Requirement ID],0))),"",INDEX(Backlog[Stream],MATCH($A20,Backlog[Requirement ID],0))),"")</f>
        <v>Growth</v>
      </c>
      <c r="D20" s="26" t="str">
        <f aca="false">IFERROR(IF(ISBLANK(INDEX(Backlog[Stream Owner],MATCH($A20,Backlog[Requirement ID],0))),"",INDEX(Backlog[Stream Owner],MATCH($A20,Backlog[Requirement ID],0))),"")</f>
        <v>S&amp;S</v>
      </c>
      <c r="E20" s="26" t="str">
        <f aca="false">IFERROR(IF(ISBLANK(INDEX(Backlog[Jira Link],MATCH($A20,Backlog[Requirement ID],0))),"",INDEX(Backlog[Jira Link],MATCH($A20,Backlog[Requirement ID],0))),"")</f>
        <v>https://smartship.atlassian.net/browse/MDTTPU-8135</v>
      </c>
      <c r="F20" s="24" t="s">
        <v>396</v>
      </c>
      <c r="G20" s="24" t="s">
        <v>396</v>
      </c>
      <c r="H20" s="30" t="str">
        <f aca="false">IFERROR(IF(ISBLANK(INDEX(SprintPlanning[Sprint],MATCH($A20,SprintPlanning[Requirement ID],0))),"",INDEX(SprintPlanning[Sprint],MATCH($A20,SprintPlanning[Requirement ID],0))),"")</f>
        <v>To Plan</v>
      </c>
      <c r="I20" s="26" t="str">
        <f aca="false">IFERROR(IF(ISBLANK(INDEX(Backlog[Status],MATCH($A20,Backlog[Requirement ID],0))),"",INDEX(Backlog[Status],MATCH($A20,Backlog[Requirement ID],0))),"")</f>
        <v>NEW</v>
      </c>
      <c r="J20" s="26" t="str">
        <f aca="false">IFERROR(IF(ISBLANK(INDEX(Backlog[Priority],MATCH($A20,Backlog[Requirement ID],0))),"",INDEX(Backlog[Priority],MATCH($A20,Backlog[Requirement ID],0))),"")</f>
        <v>Medium</v>
      </c>
      <c r="K20" s="24"/>
      <c r="L20" s="44"/>
      <c r="M20" s="44"/>
      <c r="N20" s="24"/>
      <c r="O20" s="45"/>
      <c r="P20" s="46"/>
      <c r="Q20" s="46"/>
    </row>
    <row r="21" customFormat="false" ht="15" hidden="false" customHeight="true" outlineLevel="0" collapsed="false">
      <c r="A21" s="24" t="str">
        <f aca="false">Backlog!A21</f>
        <v>NEW-0016</v>
      </c>
      <c r="B21" s="26" t="str">
        <f aca="false">IFERROR(IF(ISBLANK(INDEX(Backlog[Requirement Name],MATCH($A21,Backlog[Requirement ID],0))),"",INDEX(Backlog[Requirement Name],MATCH($A21,Backlog[Requirement ID],0))),"")</f>
        <v>myMSC Add USA Market Configuration - Chain 1/ Chain 2 </v>
      </c>
      <c r="C21" s="26" t="str">
        <f aca="false">IFERROR(IF(ISBLANK(INDEX(Backlog[Stream],MATCH($A21,Backlog[Requirement ID],0))),"",INDEX(Backlog[Stream],MATCH($A21,Backlog[Requirement ID],0))),"")</f>
        <v>US</v>
      </c>
      <c r="D21" s="26" t="str">
        <f aca="false">IFERROR(IF(ISBLANK(INDEX(Backlog[Stream Owner],MATCH($A21,Backlog[Requirement ID],0))),"",INDEX(Backlog[Stream Owner],MATCH($A21,Backlog[Requirement ID],0))),"")</f>
        <v>B2CW</v>
      </c>
      <c r="E21" s="26" t="str">
        <f aca="false">IFERROR(IF(ISBLANK(INDEX(Backlog[Jira Link],MATCH($A21,Backlog[Requirement ID],0))),"",INDEX(Backlog[Jira Link],MATCH($A21,Backlog[Requirement ID],0))),"")</f>
        <v>https://smartship.atlassian.net/browse/MDTTPU-13662</v>
      </c>
      <c r="F21" s="24" t="s">
        <v>396</v>
      </c>
      <c r="G21" s="24" t="s">
        <v>396</v>
      </c>
      <c r="H21" s="30" t="str">
        <f aca="false">IFERROR(IF(ISBLANK(INDEX(SprintPlanning[Sprint],MATCH($A21,SprintPlanning[Requirement ID],0))),"",INDEX(SprintPlanning[Sprint],MATCH($A21,SprintPlanning[Requirement ID],0))),"")</f>
        <v>To Plan</v>
      </c>
      <c r="I21" s="26" t="str">
        <f aca="false">IFERROR(IF(ISBLANK(INDEX(Backlog[Status],MATCH($A21,Backlog[Requirement ID],0))),"",INDEX(Backlog[Status],MATCH($A21,Backlog[Requirement ID],0))),"")</f>
        <v>NEW</v>
      </c>
      <c r="J21" s="26" t="str">
        <f aca="false">IFERROR(IF(ISBLANK(INDEX(Backlog[Priority],MATCH($A21,Backlog[Requirement ID],0))),"",INDEX(Backlog[Priority],MATCH($A21,Backlog[Requirement ID],0))),"")</f>
        <v>Medium</v>
      </c>
      <c r="K21" s="24"/>
      <c r="L21" s="44"/>
      <c r="M21" s="44"/>
      <c r="N21" s="24"/>
      <c r="O21" s="45"/>
      <c r="P21" s="46"/>
      <c r="Q21" s="46"/>
    </row>
    <row r="22" customFormat="false" ht="15" hidden="false" customHeight="true" outlineLevel="0" collapsed="false">
      <c r="A22" s="24" t="str">
        <f aca="false">Backlog!A22</f>
        <v>NEW-0017</v>
      </c>
      <c r="B22" s="26" t="str">
        <f aca="false">IFERROR(IF(ISBLANK(INDEX(Backlog[Requirement Name],MATCH($A22,Backlog[Requirement ID],0))),"",INDEX(Backlog[Requirement Name],MATCH($A22,Backlog[Requirement ID],0))),"")</f>
        <v>ARG Payment provider Pagtur</v>
      </c>
      <c r="C22" s="26" t="str">
        <f aca="false">IFERROR(IF(ISBLANK(INDEX(Backlog[Stream],MATCH($A22,Backlog[Requirement ID],0))),"",INDEX(Backlog[Stream],MATCH($A22,Backlog[Requirement ID],0))),"")</f>
        <v>MVP Rollout</v>
      </c>
      <c r="D22" s="26" t="str">
        <f aca="false">IFERROR(IF(ISBLANK(INDEX(Backlog[Stream Owner],MATCH($A22,Backlog[Requirement ID],0))),"",INDEX(Backlog[Stream Owner],MATCH($A22,Backlog[Requirement ID],0))),"")</f>
        <v>B2CW</v>
      </c>
      <c r="E22" s="26" t="str">
        <f aca="false">IFERROR(IF(ISBLANK(INDEX(Backlog[Jira Link],MATCH($A22,Backlog[Requirement ID],0))),"",INDEX(Backlog[Jira Link],MATCH($A22,Backlog[Requirement ID],0))),"")</f>
        <v/>
      </c>
      <c r="F22" s="24" t="s">
        <v>396</v>
      </c>
      <c r="G22" s="24" t="s">
        <v>396</v>
      </c>
      <c r="H22" s="30" t="str">
        <f aca="false">IFERROR(IF(ISBLANK(INDEX(SprintPlanning[Sprint],MATCH($A22,SprintPlanning[Requirement ID],0))),"",INDEX(SprintPlanning[Sprint],MATCH($A22,SprintPlanning[Requirement ID],0))),"")</f>
        <v>To Plan</v>
      </c>
      <c r="I22" s="26" t="str">
        <f aca="false">IFERROR(IF(ISBLANK(INDEX(Backlog[Status],MATCH($A22,Backlog[Requirement ID],0))),"",INDEX(Backlog[Status],MATCH($A22,Backlog[Requirement ID],0))),"")</f>
        <v>NEW</v>
      </c>
      <c r="J22" s="26" t="str">
        <f aca="false">IFERROR(IF(ISBLANK(INDEX(Backlog[Priority],MATCH($A22,Backlog[Requirement ID],0))),"",INDEX(Backlog[Priority],MATCH($A22,Backlog[Requirement ID],0))),"")</f>
        <v>Medium</v>
      </c>
      <c r="K22" s="24"/>
      <c r="L22" s="44"/>
      <c r="M22" s="44"/>
      <c r="N22" s="24"/>
      <c r="O22" s="45"/>
      <c r="P22" s="46"/>
      <c r="Q22" s="46"/>
    </row>
    <row r="23" customFormat="false" ht="15" hidden="false" customHeight="true" outlineLevel="0" collapsed="false">
      <c r="A23" s="24" t="str">
        <f aca="false">Backlog!A23</f>
        <v>NEW-0018</v>
      </c>
      <c r="B23" s="26" t="str">
        <f aca="false">IFERROR(IF(ISBLANK(INDEX(Backlog[Requirement Name],MATCH($A23,Backlog[Requirement ID],0))),"",INDEX(Backlog[Requirement Name],MATCH($A23,Backlog[Requirement ID],0))),"")</f>
        <v>BR Payment providerDireçao</v>
      </c>
      <c r="C23" s="26" t="str">
        <f aca="false">IFERROR(IF(ISBLANK(INDEX(Backlog[Stream],MATCH($A23,Backlog[Requirement ID],0))),"",INDEX(Backlog[Stream],MATCH($A23,Backlog[Requirement ID],0))),"")</f>
        <v>MVP Rollout</v>
      </c>
      <c r="D23" s="26" t="str">
        <f aca="false">IFERROR(IF(ISBLANK(INDEX(Backlog[Stream Owner],MATCH($A23,Backlog[Requirement ID],0))),"",INDEX(Backlog[Stream Owner],MATCH($A23,Backlog[Requirement ID],0))),"")</f>
        <v>B2CW</v>
      </c>
      <c r="E23" s="26" t="str">
        <f aca="false">IFERROR(IF(ISBLANK(INDEX(Backlog[Jira Link],MATCH($A23,Backlog[Requirement ID],0))),"",INDEX(Backlog[Jira Link],MATCH($A23,Backlog[Requirement ID],0))),"")</f>
        <v/>
      </c>
      <c r="F23" s="24" t="s">
        <v>396</v>
      </c>
      <c r="G23" s="24" t="s">
        <v>396</v>
      </c>
      <c r="H23" s="30" t="str">
        <f aca="false">IFERROR(IF(ISBLANK(INDEX(SprintPlanning[Sprint],MATCH($A23,SprintPlanning[Requirement ID],0))),"",INDEX(SprintPlanning[Sprint],MATCH($A23,SprintPlanning[Requirement ID],0))),"")</f>
        <v>To Plan</v>
      </c>
      <c r="I23" s="26" t="str">
        <f aca="false">IFERROR(IF(ISBLANK(INDEX(Backlog[Status],MATCH($A23,Backlog[Requirement ID],0))),"",INDEX(Backlog[Status],MATCH($A23,Backlog[Requirement ID],0))),"")</f>
        <v>NEW</v>
      </c>
      <c r="J23" s="26" t="str">
        <f aca="false">IFERROR(IF(ISBLANK(INDEX(Backlog[Priority],MATCH($A23,Backlog[Requirement ID],0))),"",INDEX(Backlog[Priority],MATCH($A23,Backlog[Requirement ID],0))),"")</f>
        <v>Medium</v>
      </c>
      <c r="K23" s="24"/>
      <c r="L23" s="44"/>
      <c r="M23" s="44"/>
      <c r="N23" s="24"/>
      <c r="O23" s="45"/>
      <c r="P23" s="46"/>
      <c r="Q23" s="46"/>
    </row>
    <row r="24" customFormat="false" ht="15" hidden="false" customHeight="true" outlineLevel="0" collapsed="false">
      <c r="A24" s="24" t="str">
        <f aca="false">Backlog!A24</f>
        <v>NEW-0020</v>
      </c>
      <c r="B24" s="26" t="str">
        <f aca="false">IFERROR(IF(ISBLANK(INDEX(Backlog[Requirement Name],MATCH($A24,Backlog[Requirement ID],0))),"",INDEX(Backlog[Requirement Name],MATCH($A24,Backlog[Requirement ID],0))),"")</f>
        <v>MyMSC Spa </v>
      </c>
      <c r="C24" s="26" t="str">
        <f aca="false">IFERROR(IF(ISBLANK(INDEX(Backlog[Stream],MATCH($A24,Backlog[Requirement ID],0))),"",INDEX(Backlog[Stream],MATCH($A24,Backlog[Requirement ID],0))),"")</f>
        <v>MyMSC</v>
      </c>
      <c r="D24" s="26" t="str">
        <f aca="false">IFERROR(IF(ISBLANK(INDEX(Backlog[Stream Owner],MATCH($A24,Backlog[Requirement ID],0))),"",INDEX(Backlog[Stream Owner],MATCH($A24,Backlog[Requirement ID],0))),"")</f>
        <v>B2CW</v>
      </c>
      <c r="E24" s="26" t="str">
        <f aca="false">IFERROR(IF(ISBLANK(INDEX(Backlog[Jira Link],MATCH($A24,Backlog[Requirement ID],0))),"",INDEX(Backlog[Jira Link],MATCH($A24,Backlog[Requirement ID],0))),"")</f>
        <v>https://smartship.atlassian.net/browse/DTTP25-44114</v>
      </c>
      <c r="F24" s="24" t="s">
        <v>396</v>
      </c>
      <c r="G24" s="24" t="s">
        <v>396</v>
      </c>
      <c r="H24" s="30" t="str">
        <f aca="false">IFERROR(IF(ISBLANK(INDEX(SprintPlanning[Sprint],MATCH($A24,SprintPlanning[Requirement ID],0))),"",INDEX(SprintPlanning[Sprint],MATCH($A24,SprintPlanning[Requirement ID],0))),"")</f>
        <v>Sprint 14</v>
      </c>
      <c r="I24" s="26" t="str">
        <f aca="false">IFERROR(IF(ISBLANK(INDEX(Backlog[Status],MATCH($A24,Backlog[Requirement ID],0))),"",INDEX(Backlog[Status],MATCH($A24,Backlog[Requirement ID],0))),"")</f>
        <v>NEW</v>
      </c>
      <c r="J24" s="26" t="str">
        <f aca="false">IFERROR(IF(ISBLANK(INDEX(Backlog[Priority],MATCH($A24,Backlog[Requirement ID],0))),"",INDEX(Backlog[Priority],MATCH($A24,Backlog[Requirement ID],0))),"")</f>
        <v>Medium</v>
      </c>
      <c r="K24" s="24"/>
      <c r="L24" s="44"/>
      <c r="M24" s="24"/>
      <c r="N24" s="24"/>
      <c r="O24" s="45"/>
      <c r="P24" s="46"/>
      <c r="Q24" s="46"/>
    </row>
    <row r="25" customFormat="false" ht="18.75" hidden="false" customHeight="true" outlineLevel="0" collapsed="false">
      <c r="A25" s="24" t="str">
        <f aca="false">Backlog!A25</f>
        <v>NEW-0022</v>
      </c>
      <c r="B25" s="26" t="str">
        <f aca="false">IFERROR(IF(ISBLANK(INDEX(Backlog[Requirement Name],MATCH($A25,Backlog[Requirement ID],0))),"",INDEX(Backlog[Requirement Name],MATCH($A25,Backlog[Requirement ID],0))),"")</f>
        <v>Super Agency Access</v>
      </c>
      <c r="C25" s="26" t="str">
        <f aca="false">IFERROR(IF(ISBLANK(INDEX(Backlog[Stream],MATCH($A25,Backlog[Requirement ID],0))),"",INDEX(Backlog[Stream],MATCH($A25,Backlog[Requirement ID],0))),"")</f>
        <v>MyMSC</v>
      </c>
      <c r="D25" s="26" t="str">
        <f aca="false">IFERROR(IF(ISBLANK(INDEX(Backlog[Stream Owner],MATCH($A25,Backlog[Requirement ID],0))),"",INDEX(Backlog[Stream Owner],MATCH($A25,Backlog[Requirement ID],0))),"")</f>
        <v>B2CW</v>
      </c>
      <c r="E25" s="26" t="str">
        <f aca="false">IFERROR(IF(ISBLANK(INDEX(Backlog[Jira Link],MATCH($A25,Backlog[Requirement ID],0))),"",INDEX(Backlog[Jira Link],MATCH($A25,Backlog[Requirement ID],0))),"")</f>
        <v/>
      </c>
      <c r="F25" s="24" t="s">
        <v>396</v>
      </c>
      <c r="G25" s="24" t="s">
        <v>396</v>
      </c>
      <c r="H25" s="30" t="str">
        <f aca="false">IFERROR(IF(ISBLANK(INDEX(SprintPlanning[Sprint],MATCH($A25,SprintPlanning[Requirement ID],0))),"",INDEX(SprintPlanning[Sprint],MATCH($A25,SprintPlanning[Requirement ID],0))),"")</f>
        <v>To Plan</v>
      </c>
      <c r="I25" s="26" t="str">
        <f aca="false">IFERROR(IF(ISBLANK(INDEX(Backlog[Status],MATCH($A25,Backlog[Requirement ID],0))),"",INDEX(Backlog[Status],MATCH($A25,Backlog[Requirement ID],0))),"")</f>
        <v>NEW</v>
      </c>
      <c r="J25" s="26" t="str">
        <f aca="false">IFERROR(IF(ISBLANK(INDEX(Backlog[Priority],MATCH($A25,Backlog[Requirement ID],0))),"",INDEX(Backlog[Priority],MATCH($A25,Backlog[Requirement ID],0))),"")</f>
        <v>Medium</v>
      </c>
      <c r="K25" s="24"/>
      <c r="L25" s="44"/>
      <c r="M25" s="44"/>
      <c r="N25" s="24"/>
      <c r="O25" s="45"/>
      <c r="P25" s="46"/>
      <c r="Q25" s="46"/>
    </row>
    <row r="26" customFormat="false" ht="15" hidden="false" customHeight="true" outlineLevel="0" collapsed="false">
      <c r="A26" s="24" t="str">
        <f aca="false">Backlog!A26</f>
        <v>NEW-0033</v>
      </c>
      <c r="B26" s="26" t="str">
        <f aca="false">IFERROR(IF(ISBLANK(INDEX(Backlog[Requirement Name],MATCH($A26,Backlog[Requirement ID],0))),"",INDEX(Backlog[Requirement Name],MATCH($A26,Backlog[Requirement ID],0))),"")</f>
        <v>Pending Configurations for DACH, MED, LATAM</v>
      </c>
      <c r="C26" s="26" t="str">
        <f aca="false">IFERROR(IF(ISBLANK(INDEX(Backlog[Stream],MATCH($A26,Backlog[Requirement ID],0))),"",INDEX(Backlog[Stream],MATCH($A26,Backlog[Requirement ID],0))),"")</f>
        <v>MyMSC</v>
      </c>
      <c r="D26" s="26" t="str">
        <f aca="false">IFERROR(IF(ISBLANK(INDEX(Backlog[Stream Owner],MATCH($A26,Backlog[Requirement ID],0))),"",INDEX(Backlog[Stream Owner],MATCH($A26,Backlog[Requirement ID],0))),"")</f>
        <v>B2CW</v>
      </c>
      <c r="E26" s="26" t="str">
        <f aca="false">IFERROR(IF(ISBLANK(INDEX(Backlog[Jira Link],MATCH($A26,Backlog[Requirement ID],0))),"",INDEX(Backlog[Jira Link],MATCH($A26,Backlog[Requirement ID],0))),"")</f>
        <v>https://smartship.atlassian.net/browse/DTTP25-21230</v>
      </c>
      <c r="F26" s="24" t="s">
        <v>396</v>
      </c>
      <c r="G26" s="24" t="s">
        <v>396</v>
      </c>
      <c r="H26" s="30" t="str">
        <f aca="false">IFERROR(IF(ISBLANK(INDEX(SprintPlanning[Sprint],MATCH($A26,SprintPlanning[Requirement ID],0))),"",INDEX(SprintPlanning[Sprint],MATCH($A26,SprintPlanning[Requirement ID],0))),"")</f>
        <v>To Plan</v>
      </c>
      <c r="I26" s="26" t="str">
        <f aca="false">IFERROR(IF(ISBLANK(INDEX(Backlog[Status],MATCH($A26,Backlog[Requirement ID],0))),"",INDEX(Backlog[Status],MATCH($A26,Backlog[Requirement ID],0))),"")</f>
        <v>NEW</v>
      </c>
      <c r="J26" s="26" t="str">
        <f aca="false">IFERROR(IF(ISBLANK(INDEX(Backlog[Priority],MATCH($A26,Backlog[Requirement ID],0))),"",INDEX(Backlog[Priority],MATCH($A26,Backlog[Requirement ID],0))),"")</f>
        <v>Medium</v>
      </c>
      <c r="K26" s="24"/>
      <c r="L26" s="44"/>
      <c r="M26" s="44"/>
      <c r="N26" s="24"/>
      <c r="O26" s="45"/>
      <c r="P26" s="46"/>
      <c r="Q26" s="46"/>
    </row>
    <row r="27" customFormat="false" ht="15" hidden="false" customHeight="true" outlineLevel="0" collapsed="false">
      <c r="A27" s="24" t="str">
        <f aca="false">Backlog!A27</f>
        <v>NEW-0068</v>
      </c>
      <c r="B27" s="26" t="str">
        <f aca="false">IFERROR(IF(ISBLANK(INDEX(Backlog[Requirement Name],MATCH($A27,Backlog[Requirement ID],0))),"",INDEX(Backlog[Requirement Name],MATCH($A27,Backlog[Requirement ID],0))),"")</f>
        <v>[EAINT] [CR][INT026][INT133][INT130] Split calls to CMS for excursion/OBS data into chunks</v>
      </c>
      <c r="C27" s="26" t="str">
        <f aca="false">IFERROR(IF(ISBLANK(INDEX(Backlog[Stream],MATCH($A27,Backlog[Requirement ID],0))),"",INDEX(Backlog[Stream],MATCH($A27,Backlog[Requirement ID],0))),"")</f>
        <v>MyMSC</v>
      </c>
      <c r="D27" s="26" t="str">
        <f aca="false">IFERROR(IF(ISBLANK(INDEX(Backlog[Stream Owner],MATCH($A27,Backlog[Requirement ID],0))),"",INDEX(Backlog[Stream Owner],MATCH($A27,Backlog[Requirement ID],0))),"")</f>
        <v>B2CW</v>
      </c>
      <c r="E27" s="26" t="str">
        <f aca="false">IFERROR(IF(ISBLANK(INDEX(Backlog[Jira Link],MATCH($A27,Backlog[Requirement ID],0))),"",INDEX(Backlog[Jira Link],MATCH($A27,Backlog[Requirement ID],0))),"")</f>
        <v/>
      </c>
      <c r="F27" s="24" t="s">
        <v>132</v>
      </c>
      <c r="G27" s="24" t="s">
        <v>132</v>
      </c>
      <c r="H27" s="30" t="str">
        <f aca="false">IFERROR(IF(ISBLANK(INDEX(SprintPlanning[Sprint],MATCH($A27,SprintPlanning[Requirement ID],0))),"",INDEX(SprintPlanning[Sprint],MATCH($A27,SprintPlanning[Requirement ID],0))),"")</f>
        <v>To Plan</v>
      </c>
      <c r="I27" s="26" t="str">
        <f aca="false">IFERROR(IF(ISBLANK(INDEX(Backlog[Status],MATCH($A27,Backlog[Requirement ID],0))),"",INDEX(Backlog[Status],MATCH($A27,Backlog[Requirement ID],0))),"")</f>
        <v>NEW</v>
      </c>
      <c r="J27" s="26" t="str">
        <f aca="false">IFERROR(IF(ISBLANK(INDEX(Backlog[Priority],MATCH($A27,Backlog[Requirement ID],0))),"",INDEX(Backlog[Priority],MATCH($A27,Backlog[Requirement ID],0))),"")</f>
        <v>Medium</v>
      </c>
      <c r="K27" s="24"/>
      <c r="L27" s="44"/>
      <c r="M27" s="44"/>
      <c r="N27" s="24"/>
      <c r="O27" s="45"/>
      <c r="P27" s="46"/>
      <c r="Q27" s="46"/>
    </row>
    <row r="28" customFormat="false" ht="15" hidden="false" customHeight="true" outlineLevel="0" collapsed="false">
      <c r="A28" s="24" t="str">
        <f aca="false">Backlog!A28</f>
        <v>NEW-0270</v>
      </c>
      <c r="B28" s="26" t="str">
        <f aca="false">IFERROR(IF(ISBLANK(INDEX(Backlog[Requirement Name],MATCH($A28,Backlog[Requirement ID],0))),"",INDEX(Backlog[Requirement Name],MATCH($A28,Backlog[Requirement ID],0))),"")</f>
        <v>Booking Group Management Cabin Selections</v>
      </c>
      <c r="C28" s="26" t="str">
        <f aca="false">IFERROR(IF(ISBLANK(INDEX(Backlog[Stream],MATCH($A28,Backlog[Requirement ID],0))),"",INDEX(Backlog[Stream],MATCH($A28,Backlog[Requirement ID],0))),"")</f>
        <v>US</v>
      </c>
      <c r="D28" s="26" t="str">
        <f aca="false">IFERROR(IF(ISBLANK(INDEX(Backlog[Stream Owner],MATCH($A28,Backlog[Requirement ID],0))),"",INDEX(Backlog[Stream Owner],MATCH($A28,Backlog[Requirement ID],0))),"")</f>
        <v>B2CW</v>
      </c>
      <c r="E28" s="26" t="str">
        <f aca="false">IFERROR(IF(ISBLANK(INDEX(Backlog[Jira Link],MATCH($A28,Backlog[Requirement ID],0))),"",INDEX(Backlog[Jira Link],MATCH($A28,Backlog[Requirement ID],0))),"")</f>
        <v/>
      </c>
      <c r="F28" s="24" t="s">
        <v>396</v>
      </c>
      <c r="G28" s="24" t="s">
        <v>396</v>
      </c>
      <c r="H28" s="30" t="str">
        <f aca="false">IFERROR(IF(ISBLANK(INDEX(SprintPlanning[Sprint],MATCH($A28,SprintPlanning[Requirement ID],0))),"",INDEX(SprintPlanning[Sprint],MATCH($A28,SprintPlanning[Requirement ID],0))),"")</f>
        <v>To Plan</v>
      </c>
      <c r="I28" s="26" t="str">
        <f aca="false">IFERROR(IF(ISBLANK(INDEX(Backlog[Status],MATCH($A28,Backlog[Requirement ID],0))),"",INDEX(Backlog[Status],MATCH($A28,Backlog[Requirement ID],0))),"")</f>
        <v>NEW</v>
      </c>
      <c r="J28" s="26" t="str">
        <f aca="false">IFERROR(IF(ISBLANK(INDEX(Backlog[Priority],MATCH($A28,Backlog[Requirement ID],0))),"",INDEX(Backlog[Priority],MATCH($A28,Backlog[Requirement ID],0))),"")</f>
        <v>Medium</v>
      </c>
      <c r="K28" s="24"/>
      <c r="L28" s="44"/>
      <c r="M28" s="44"/>
      <c r="N28" s="24"/>
      <c r="O28" s="45"/>
      <c r="P28" s="46"/>
      <c r="Q28" s="46"/>
    </row>
    <row r="29" customFormat="false" ht="15" hidden="false" customHeight="true" outlineLevel="0" collapsed="false">
      <c r="A29" s="24" t="str">
        <f aca="false">Backlog!A29</f>
        <v>NEW-0274</v>
      </c>
      <c r="B29" s="26" t="str">
        <f aca="false">IFERROR(IF(ISBLANK(INDEX(Backlog[Requirement Name],MATCH($A29,Backlog[Requirement ID],0))),"",INDEX(Backlog[Requirement Name],MATCH($A29,Backlog[Requirement ID],0))),"")</f>
        <v>INT024.2 - Addition of “Disembarkation Date” and “Pay By” fields</v>
      </c>
      <c r="C29" s="26" t="str">
        <f aca="false">IFERROR(IF(ISBLANK(INDEX(Backlog[Stream],MATCH($A29,Backlog[Requirement ID],0))),"",INDEX(Backlog[Stream],MATCH($A29,Backlog[Requirement ID],0))),"")</f>
        <v>Growth</v>
      </c>
      <c r="D29" s="26" t="str">
        <f aca="false">IFERROR(IF(ISBLANK(INDEX(Backlog[Stream Owner],MATCH($A29,Backlog[Requirement ID],0))),"",INDEX(Backlog[Stream Owner],MATCH($A29,Backlog[Requirement ID],0))),"")</f>
        <v>S&amp;S</v>
      </c>
      <c r="E29" s="26" t="str">
        <f aca="false">IFERROR(IF(ISBLANK(INDEX(Backlog[Jira Link],MATCH($A29,Backlog[Requirement ID],0))),"",INDEX(Backlog[Jira Link],MATCH($A29,Backlog[Requirement ID],0))),"")</f>
        <v/>
      </c>
      <c r="F29" s="24" t="s">
        <v>396</v>
      </c>
      <c r="G29" s="24" t="s">
        <v>396</v>
      </c>
      <c r="H29" s="30" t="str">
        <f aca="false">IFERROR(IF(ISBLANK(INDEX(SprintPlanning[Sprint],MATCH($A29,SprintPlanning[Requirement ID],0))),"",INDEX(SprintPlanning[Sprint],MATCH($A29,SprintPlanning[Requirement ID],0))),"")</f>
        <v>To Plan</v>
      </c>
      <c r="I29" s="26" t="str">
        <f aca="false">IFERROR(IF(ISBLANK(INDEX(Backlog[Status],MATCH($A29,Backlog[Requirement ID],0))),"",INDEX(Backlog[Status],MATCH($A29,Backlog[Requirement ID],0))),"")</f>
        <v>NEW</v>
      </c>
      <c r="J29" s="26" t="str">
        <f aca="false">IFERROR(IF(ISBLANK(INDEX(Backlog[Priority],MATCH($A29,Backlog[Requirement ID],0))),"",INDEX(Backlog[Priority],MATCH($A29,Backlog[Requirement ID],0))),"")</f>
        <v>Medium</v>
      </c>
      <c r="K29" s="24"/>
      <c r="L29" s="44"/>
      <c r="M29" s="44"/>
      <c r="N29" s="24"/>
      <c r="O29" s="45"/>
      <c r="P29" s="46"/>
      <c r="Q29" s="46"/>
    </row>
    <row r="30" customFormat="false" ht="15" hidden="false" customHeight="true" outlineLevel="0" collapsed="false">
      <c r="A30" s="24" t="str">
        <f aca="false">Backlog!A30</f>
        <v>NEW-0284</v>
      </c>
      <c r="B30" s="26" t="str">
        <f aca="false">IFERROR(IF(ISBLANK(INDEX(Backlog[Requirement Name],MATCH($A30,Backlog[Requirement ID],0))),"",INDEX(Backlog[Requirement Name],MATCH($A30,Backlog[Requirement ID],0))),"")</f>
        <v>DACH, MED, LATAM Configurations</v>
      </c>
      <c r="C30" s="26" t="str">
        <f aca="false">IFERROR(IF(ISBLANK(INDEX(Backlog[Stream],MATCH($A30,Backlog[Requirement ID],0))),"",INDEX(Backlog[Stream],MATCH($A30,Backlog[Requirement ID],0))),"")</f>
        <v>MyMSC</v>
      </c>
      <c r="D30" s="26" t="str">
        <f aca="false">IFERROR(IF(ISBLANK(INDEX(Backlog[Stream Owner],MATCH($A30,Backlog[Requirement ID],0))),"",INDEX(Backlog[Stream Owner],MATCH($A30,Backlog[Requirement ID],0))),"")</f>
        <v>B2CW</v>
      </c>
      <c r="E30" s="26" t="str">
        <f aca="false">IFERROR(IF(ISBLANK(INDEX(Backlog[Jira Link],MATCH($A30,Backlog[Requirement ID],0))),"",INDEX(Backlog[Jira Link],MATCH($A30,Backlog[Requirement ID],0))),"")</f>
        <v/>
      </c>
      <c r="F30" s="24" t="s">
        <v>396</v>
      </c>
      <c r="G30" s="24" t="s">
        <v>396</v>
      </c>
      <c r="H30" s="30" t="str">
        <f aca="false">IFERROR(IF(ISBLANK(INDEX(SprintPlanning[Sprint],MATCH($A30,SprintPlanning[Requirement ID],0))),"",INDEX(SprintPlanning[Sprint],MATCH($A30,SprintPlanning[Requirement ID],0))),"")</f>
        <v>To Plan</v>
      </c>
      <c r="I30" s="26" t="str">
        <f aca="false">IFERROR(IF(ISBLANK(INDEX(Backlog[Status],MATCH($A30,Backlog[Requirement ID],0))),"",INDEX(Backlog[Status],MATCH($A30,Backlog[Requirement ID],0))),"")</f>
        <v>NEW</v>
      </c>
      <c r="J30" s="26" t="str">
        <f aca="false">IFERROR(IF(ISBLANK(INDEX(Backlog[Priority],MATCH($A30,Backlog[Requirement ID],0))),"",INDEX(Backlog[Priority],MATCH($A30,Backlog[Requirement ID],0))),"")</f>
        <v>Medium</v>
      </c>
      <c r="K30" s="24"/>
      <c r="L30" s="44"/>
      <c r="M30" s="44"/>
      <c r="N30" s="24"/>
      <c r="O30" s="45"/>
      <c r="P30" s="46"/>
      <c r="Q30" s="46"/>
    </row>
    <row r="31" customFormat="false" ht="15" hidden="false" customHeight="true" outlineLevel="0" collapsed="false">
      <c r="A31" s="24" t="str">
        <f aca="false">Backlog!A31</f>
        <v>NEW-0288</v>
      </c>
      <c r="B31" s="26" t="str">
        <f aca="false">IFERROR(IF(ISBLANK(INDEX(Backlog[Requirement Name],MATCH($A31,Backlog[Requirement ID],0))),"",INDEX(Backlog[Requirement Name],MATCH($A31,Backlog[Requirement ID],0))),"")</f>
        <v>Remove of login endpoints from MyMSC EAPI</v>
      </c>
      <c r="C31" s="26" t="str">
        <f aca="false">IFERROR(IF(ISBLANK(INDEX(Backlog[Stream],MATCH($A31,Backlog[Requirement ID],0))),"",INDEX(Backlog[Stream],MATCH($A31,Backlog[Requirement ID],0))),"")</f>
        <v>MyMSC</v>
      </c>
      <c r="D31" s="26" t="str">
        <f aca="false">IFERROR(IF(ISBLANK(INDEX(Backlog[Stream Owner],MATCH($A31,Backlog[Requirement ID],0))),"",INDEX(Backlog[Stream Owner],MATCH($A31,Backlog[Requirement ID],0))),"")</f>
        <v>ALL</v>
      </c>
      <c r="E31" s="26" t="str">
        <f aca="false">IFERROR(IF(ISBLANK(INDEX(Backlog[Jira Link],MATCH($A31,Backlog[Requirement ID],0))),"",INDEX(Backlog[Jira Link],MATCH($A31,Backlog[Requirement ID],0))),"")</f>
        <v/>
      </c>
      <c r="F31" s="24" t="s">
        <v>132</v>
      </c>
      <c r="G31" s="24" t="s">
        <v>132</v>
      </c>
      <c r="H31" s="30" t="str">
        <f aca="false">IFERROR(IF(ISBLANK(INDEX(SprintPlanning[Sprint],MATCH($A31,SprintPlanning[Requirement ID],0))),"",INDEX(SprintPlanning[Sprint],MATCH($A31,SprintPlanning[Requirement ID],0))),"")</f>
        <v>To Plan</v>
      </c>
      <c r="I31" s="26" t="str">
        <f aca="false">IFERROR(IF(ISBLANK(INDEX(Backlog[Status],MATCH($A31,Backlog[Requirement ID],0))),"",INDEX(Backlog[Status],MATCH($A31,Backlog[Requirement ID],0))),"")</f>
        <v>NEW</v>
      </c>
      <c r="J31" s="26" t="str">
        <f aca="false">IFERROR(IF(ISBLANK(INDEX(Backlog[Priority],MATCH($A31,Backlog[Requirement ID],0))),"",INDEX(Backlog[Priority],MATCH($A31,Backlog[Requirement ID],0))),"")</f>
        <v>Medium</v>
      </c>
      <c r="K31" s="24"/>
      <c r="L31" s="44"/>
      <c r="M31" s="44"/>
      <c r="N31" s="24"/>
      <c r="O31" s="45"/>
      <c r="P31" s="46"/>
      <c r="Q31" s="46"/>
    </row>
    <row r="32" customFormat="false" ht="15" hidden="false" customHeight="true" outlineLevel="0" collapsed="false">
      <c r="A32" s="24" t="str">
        <f aca="false">Backlog!A32</f>
        <v>NEW-0290</v>
      </c>
      <c r="B32" s="26" t="str">
        <f aca="false">IFERROR(IF(ISBLANK(INDEX(Backlog[Requirement Name],MATCH($A32,Backlog[Requirement ID],0))),"",INDEX(Backlog[Requirement Name],MATCH($A32,Backlog[Requirement ID],0))),"")</f>
        <v>Bug fix for cabin logic in INT135.1/135.2</v>
      </c>
      <c r="C32" s="26" t="str">
        <f aca="false">IFERROR(IF(ISBLANK(INDEX(Backlog[Stream],MATCH($A32,Backlog[Requirement ID],0))),"",INDEX(Backlog[Stream],MATCH($A32,Backlog[Requirement ID],0))),"")</f>
        <v>MyMSC</v>
      </c>
      <c r="D32" s="26" t="str">
        <f aca="false">IFERROR(IF(ISBLANK(INDEX(Backlog[Stream Owner],MATCH($A32,Backlog[Requirement ID],0))),"",INDEX(Backlog[Stream Owner],MATCH($A32,Backlog[Requirement ID],0))),"")</f>
        <v>B2CW</v>
      </c>
      <c r="E32" s="26" t="str">
        <f aca="false">IFERROR(IF(ISBLANK(INDEX(Backlog[Jira Link],MATCH($A32,Backlog[Requirement ID],0))),"",INDEX(Backlog[Jira Link],MATCH($A32,Backlog[Requirement ID],0))),"")</f>
        <v>https://smartship.atlassian.net/browse/DTTP25-29399</v>
      </c>
      <c r="F32" s="24" t="s">
        <v>395</v>
      </c>
      <c r="G32" s="24" t="s">
        <v>395</v>
      </c>
      <c r="H32" s="30" t="str">
        <f aca="false">IFERROR(IF(ISBLANK(INDEX(SprintPlanning[Sprint],MATCH($A32,SprintPlanning[Requirement ID],0))),"",INDEX(SprintPlanning[Sprint],MATCH($A32,SprintPlanning[Requirement ID],0))),"")</f>
        <v>To Plan</v>
      </c>
      <c r="I32" s="26" t="str">
        <f aca="false">IFERROR(IF(ISBLANK(INDEX(Backlog[Status],MATCH($A32,Backlog[Requirement ID],0))),"",INDEX(Backlog[Status],MATCH($A32,Backlog[Requirement ID],0))),"")</f>
        <v>NEW</v>
      </c>
      <c r="J32" s="26" t="str">
        <f aca="false">IFERROR(IF(ISBLANK(INDEX(Backlog[Priority],MATCH($A32,Backlog[Requirement ID],0))),"",INDEX(Backlog[Priority],MATCH($A32,Backlog[Requirement ID],0))),"")</f>
        <v>Medium</v>
      </c>
      <c r="K32" s="24"/>
      <c r="L32" s="44"/>
      <c r="M32" s="44"/>
      <c r="N32" s="24"/>
      <c r="O32" s="45"/>
      <c r="P32" s="46"/>
      <c r="Q32" s="46"/>
    </row>
    <row r="33" customFormat="false" ht="15" hidden="false" customHeight="true" outlineLevel="0" collapsed="false">
      <c r="A33" s="24" t="str">
        <f aca="false">Backlog!A33</f>
        <v>NEW-0299</v>
      </c>
      <c r="B33" s="26" t="str">
        <f aca="false">IFERROR(IF(ISBLANK(INDEX(Backlog[Requirement Name],MATCH($A33,Backlog[Requirement ID],0))),"",INDEX(Backlog[Requirement Name],MATCH($A33,Backlog[Requirement ID],0))),"")</f>
        <v>Spa</v>
      </c>
      <c r="C33" s="26" t="str">
        <f aca="false">IFERROR(IF(ISBLANK(INDEX(Backlog[Stream],MATCH($A33,Backlog[Requirement ID],0))),"",INDEX(Backlog[Stream],MATCH($A33,Backlog[Requirement ID],0))),"")</f>
        <v>MyMSC</v>
      </c>
      <c r="D33" s="26" t="str">
        <f aca="false">IFERROR(IF(ISBLANK(INDEX(Backlog[Stream Owner],MATCH($A33,Backlog[Requirement ID],0))),"",INDEX(Backlog[Stream Owner],MATCH($A33,Backlog[Requirement ID],0))),"")</f>
        <v>B2CW</v>
      </c>
      <c r="E33" s="26" t="str">
        <f aca="false">IFERROR(IF(ISBLANK(INDEX(Backlog[Jira Link],MATCH($A33,Backlog[Requirement ID],0))),"",INDEX(Backlog[Jira Link],MATCH($A33,Backlog[Requirement ID],0))),"")</f>
        <v/>
      </c>
      <c r="F33" s="24" t="s">
        <v>396</v>
      </c>
      <c r="G33" s="24" t="s">
        <v>396</v>
      </c>
      <c r="H33" s="30" t="str">
        <f aca="false">IFERROR(IF(ISBLANK(INDEX(SprintPlanning[Sprint],MATCH($A33,SprintPlanning[Requirement ID],0))),"",INDEX(SprintPlanning[Sprint],MATCH($A33,SprintPlanning[Requirement ID],0))),"")</f>
        <v>To Plan</v>
      </c>
      <c r="I33" s="26" t="str">
        <f aca="false">IFERROR(IF(ISBLANK(INDEX(Backlog[Status],MATCH($A33,Backlog[Requirement ID],0))),"",INDEX(Backlog[Status],MATCH($A33,Backlog[Requirement ID],0))),"")</f>
        <v>NEW</v>
      </c>
      <c r="J33" s="26" t="str">
        <f aca="false">IFERROR(IF(ISBLANK(INDEX(Backlog[Priority],MATCH($A33,Backlog[Requirement ID],0))),"",INDEX(Backlog[Priority],MATCH($A33,Backlog[Requirement ID],0))),"")</f>
        <v>Medium</v>
      </c>
      <c r="K33" s="24"/>
      <c r="L33" s="44"/>
      <c r="M33" s="44"/>
      <c r="N33" s="24"/>
      <c r="O33" s="45"/>
      <c r="P33" s="46"/>
      <c r="Q33" s="46"/>
    </row>
    <row r="34" customFormat="false" ht="15" hidden="false" customHeight="true" outlineLevel="0" collapsed="false">
      <c r="A34" s="24" t="str">
        <f aca="false">Backlog!A34</f>
        <v>NEW-0315</v>
      </c>
      <c r="B34" s="26" t="str">
        <f aca="false">IFERROR(IF(ISBLANK(INDEX(Backlog[Requirement Name],MATCH($A34,Backlog[Requirement ID],0))),"",INDEX(Backlog[Requirement Name],MATCH($A34,Backlog[Requirement ID],0))),"")</f>
        <v>MyMSC CR to handle BKG_001 when booking retrieved</v>
      </c>
      <c r="C34" s="26" t="str">
        <f aca="false">IFERROR(IF(ISBLANK(INDEX(Backlog[Stream],MATCH($A34,Backlog[Requirement ID],0))),"",INDEX(Backlog[Stream],MATCH($A34,Backlog[Requirement ID],0))),"")</f>
        <v>MyMSC</v>
      </c>
      <c r="D34" s="26" t="str">
        <f aca="false">IFERROR(IF(ISBLANK(INDEX(Backlog[Stream Owner],MATCH($A34,Backlog[Requirement ID],0))),"",INDEX(Backlog[Stream Owner],MATCH($A34,Backlog[Requirement ID],0))),"")</f>
        <v>B2CW</v>
      </c>
      <c r="E34" s="26" t="str">
        <f aca="false">IFERROR(IF(ISBLANK(INDEX(Backlog[Jira Link],MATCH($A34,Backlog[Requirement ID],0))),"",INDEX(Backlog[Jira Link],MATCH($A34,Backlog[Requirement ID],0))),"")</f>
        <v/>
      </c>
      <c r="F34" s="24" t="s">
        <v>396</v>
      </c>
      <c r="G34" s="24" t="s">
        <v>396</v>
      </c>
      <c r="H34" s="30" t="str">
        <f aca="false">IFERROR(IF(ISBLANK(INDEX(SprintPlanning[Sprint],MATCH($A34,SprintPlanning[Requirement ID],0))),"",INDEX(SprintPlanning[Sprint],MATCH($A34,SprintPlanning[Requirement ID],0))),"")</f>
        <v>To Plan</v>
      </c>
      <c r="I34" s="26" t="str">
        <f aca="false">IFERROR(IF(ISBLANK(INDEX(Backlog[Status],MATCH($A34,Backlog[Requirement ID],0))),"",INDEX(Backlog[Status],MATCH($A34,Backlog[Requirement ID],0))),"")</f>
        <v>NEW</v>
      </c>
      <c r="J34" s="26" t="str">
        <f aca="false">IFERROR(IF(ISBLANK(INDEX(Backlog[Priority],MATCH($A34,Backlog[Requirement ID],0))),"",INDEX(Backlog[Priority],MATCH($A34,Backlog[Requirement ID],0))),"")</f>
        <v>Medium</v>
      </c>
      <c r="K34" s="24"/>
      <c r="L34" s="44"/>
      <c r="M34" s="44"/>
      <c r="N34" s="24"/>
      <c r="O34" s="45"/>
      <c r="P34" s="46"/>
      <c r="Q34" s="46"/>
    </row>
    <row r="35" customFormat="false" ht="15" hidden="false" customHeight="true" outlineLevel="0" collapsed="false">
      <c r="A35" s="24" t="str">
        <f aca="false">Backlog!A35</f>
        <v>NEW-0322</v>
      </c>
      <c r="B35" s="26"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IFERROR(IF(ISBLANK(INDEX(Backlog[Stream Owner],MATCH($A35,Backlog[Requirement ID],0))),"",INDEX(Backlog[Stream Owner],MATCH($A35,Backlog[Requirement ID],0))),"")</f>
        <v>B2CW</v>
      </c>
      <c r="E35" s="26" t="str">
        <f aca="false">IFERROR(IF(ISBLANK(INDEX(Backlog[Jira Link],MATCH($A35,Backlog[Requirement ID],0))),"",INDEX(Backlog[Jira Link],MATCH($A35,Backlog[Requirement ID],0))),"")</f>
        <v/>
      </c>
      <c r="F35" s="24" t="s">
        <v>395</v>
      </c>
      <c r="G35" s="24" t="s">
        <v>395</v>
      </c>
      <c r="H35" s="30" t="str">
        <f aca="false">IFERROR(IF(ISBLANK(INDEX(SprintPlanning[Sprint],MATCH($A35,SprintPlanning[Requirement ID],0))),"",INDEX(SprintPlanning[Sprint],MATCH($A35,SprintPlanning[Requirement ID],0))),"")</f>
        <v>To Plan</v>
      </c>
      <c r="I35" s="26" t="str">
        <f aca="false">IFERROR(IF(ISBLANK(INDEX(Backlog[Status],MATCH($A35,Backlog[Requirement ID],0))),"",INDEX(Backlog[Status],MATCH($A35,Backlog[Requirement ID],0))),"")</f>
        <v>NEW</v>
      </c>
      <c r="J35" s="26" t="str">
        <f aca="false">IFERROR(IF(ISBLANK(INDEX(Backlog[Priority],MATCH($A35,Backlog[Requirement ID],0))),"",INDEX(Backlog[Priority],MATCH($A35,Backlog[Requirement ID],0))),"")</f>
        <v>Medium</v>
      </c>
      <c r="K35" s="24"/>
      <c r="L35" s="44"/>
      <c r="M35" s="44"/>
      <c r="N35" s="24"/>
      <c r="O35" s="45"/>
      <c r="P35" s="46"/>
      <c r="Q35" s="46"/>
    </row>
    <row r="36" customFormat="false" ht="15" hidden="false" customHeight="true" outlineLevel="0" collapsed="false">
      <c r="A36" s="24" t="str">
        <f aca="false">Backlog!A36</f>
        <v>NEW-0324</v>
      </c>
      <c r="B36" s="26" t="str">
        <f aca="false">IFERROR(IF(ISBLANK(INDEX(Backlog[Requirement Name],MATCH($A36,Backlog[Requirement ID],0))),"",INDEX(Backlog[Requirement Name],MATCH($A36,Backlog[Requirement ID],0))),"")</f>
        <v>MSC- MyMSC PRE_CRM_002 error scenario change CR to additem</v>
      </c>
      <c r="C36" s="26" t="str">
        <f aca="false">IFERROR(IF(ISBLANK(INDEX(Backlog[Stream],MATCH($A36,Backlog[Requirement ID],0))),"",INDEX(Backlog[Stream],MATCH($A36,Backlog[Requirement ID],0))),"")</f>
        <v>MyMSC</v>
      </c>
      <c r="D36" s="26" t="str">
        <f aca="false">IFERROR(IF(ISBLANK(INDEX(Backlog[Stream Owner],MATCH($A36,Backlog[Requirement ID],0))),"",INDEX(Backlog[Stream Owner],MATCH($A36,Backlog[Requirement ID],0))),"")</f>
        <v>B2CW</v>
      </c>
      <c r="E36" s="26" t="str">
        <f aca="false">IFERROR(IF(ISBLANK(INDEX(Backlog[Jira Link],MATCH($A36,Backlog[Requirement ID],0))),"",INDEX(Backlog[Jira Link],MATCH($A36,Backlog[Requirement ID],0))),"")</f>
        <v/>
      </c>
      <c r="F36" s="24" t="s">
        <v>396</v>
      </c>
      <c r="G36" s="24" t="s">
        <v>396</v>
      </c>
      <c r="H36" s="30" t="str">
        <f aca="false">IFERROR(IF(ISBLANK(INDEX(SprintPlanning[Sprint],MATCH($A36,SprintPlanning[Requirement ID],0))),"",INDEX(SprintPlanning[Sprint],MATCH($A36,SprintPlanning[Requirement ID],0))),"")</f>
        <v>To Plan</v>
      </c>
      <c r="I36" s="26" t="str">
        <f aca="false">IFERROR(IF(ISBLANK(INDEX(Backlog[Status],MATCH($A36,Backlog[Requirement ID],0))),"",INDEX(Backlog[Status],MATCH($A36,Backlog[Requirement ID],0))),"")</f>
        <v>NEW</v>
      </c>
      <c r="J36" s="26" t="str">
        <f aca="false">IFERROR(IF(ISBLANK(INDEX(Backlog[Priority],MATCH($A36,Backlog[Requirement ID],0))),"",INDEX(Backlog[Priority],MATCH($A36,Backlog[Requirement ID],0))),"")</f>
        <v>Medium</v>
      </c>
      <c r="K36" s="24"/>
      <c r="L36" s="44"/>
      <c r="M36" s="44"/>
      <c r="N36" s="24"/>
      <c r="O36" s="45"/>
      <c r="P36" s="46"/>
      <c r="Q36" s="46"/>
    </row>
    <row r="37" customFormat="false" ht="15" hidden="false" customHeight="true" outlineLevel="0" collapsed="false">
      <c r="A37" s="24" t="str">
        <f aca="false">Backlog!A37</f>
        <v>NEW-0343</v>
      </c>
      <c r="B37" s="26" t="str">
        <f aca="false">IFERROR(IF(ISBLANK(INDEX(Backlog[Requirement Name],MATCH($A37,Backlog[Requirement ID],0))),"",INDEX(Backlog[Requirement Name],MATCH($A37,Backlog[Requirement ID],0))),"")</f>
        <v>CDP / DTS Post Booking - CR - Passenger name filter</v>
      </c>
      <c r="C37" s="26" t="str">
        <f aca="false">IFERROR(IF(ISBLANK(INDEX(Backlog[Stream],MATCH($A37,Backlog[Requirement ID],0))),"",INDEX(Backlog[Stream],MATCH($A37,Backlog[Requirement ID],0))),"")</f>
        <v>Backlog</v>
      </c>
      <c r="D37" s="26" t="str">
        <f aca="false">IFERROR(IF(ISBLANK(INDEX(Backlog[Stream Owner],MATCH($A37,Backlog[Requirement ID],0))),"",INDEX(Backlog[Stream Owner],MATCH($A37,Backlog[Requirement ID],0))),"")</f>
        <v>MA</v>
      </c>
      <c r="E37" s="26" t="str">
        <f aca="false">IFERROR(IF(ISBLANK(INDEX(Backlog[Jira Link],MATCH($A37,Backlog[Requirement ID],0))),"",INDEX(Backlog[Jira Link],MATCH($A37,Backlog[Requirement ID],0))),"")</f>
        <v/>
      </c>
      <c r="F37" s="24" t="s">
        <v>396</v>
      </c>
      <c r="G37" s="24" t="s">
        <v>396</v>
      </c>
      <c r="H37" s="30" t="str">
        <f aca="false">IFERROR(IF(ISBLANK(INDEX(SprintPlanning[Sprint],MATCH($A37,SprintPlanning[Requirement ID],0))),"",INDEX(SprintPlanning[Sprint],MATCH($A37,SprintPlanning[Requirement ID],0))),"")</f>
        <v>To Plan</v>
      </c>
      <c r="I37" s="26" t="str">
        <f aca="false">IFERROR(IF(ISBLANK(INDEX(Backlog[Status],MATCH($A37,Backlog[Requirement ID],0))),"",INDEX(Backlog[Status],MATCH($A37,Backlog[Requirement ID],0))),"")</f>
        <v>ON HOLD</v>
      </c>
      <c r="J37" s="26" t="str">
        <f aca="false">IFERROR(IF(ISBLANK(INDEX(Backlog[Priority],MATCH($A37,Backlog[Requirement ID],0))),"",INDEX(Backlog[Priority],MATCH($A37,Backlog[Requirement ID],0))),"")</f>
        <v>Medium</v>
      </c>
      <c r="K37" s="24"/>
      <c r="L37" s="44"/>
      <c r="M37" s="44"/>
      <c r="N37" s="24"/>
      <c r="O37" s="45"/>
      <c r="P37" s="46"/>
      <c r="Q37" s="46"/>
    </row>
    <row r="38" customFormat="false" ht="15" hidden="false" customHeight="true" outlineLevel="0" collapsed="false">
      <c r="A38" s="24" t="str">
        <f aca="false">Backlog!A38</f>
        <v>NEW-0344</v>
      </c>
      <c r="B38" s="26" t="str">
        <f aca="false">IFERROR(IF(ISBLANK(INDEX(Backlog[Requirement Name],MATCH($A38,Backlog[Requirement ID],0))),"",INDEX(Backlog[Requirement Name],MATCH($A38,Backlog[Requirement ID],0))),"")</f>
        <v>CDP / DTS Post Booking - CR  - INT024.1 Improve data quality handling and optimise customer  search</v>
      </c>
      <c r="C38" s="26" t="str">
        <f aca="false">IFERROR(IF(ISBLANK(INDEX(Backlog[Stream],MATCH($A38,Backlog[Requirement ID],0))),"",INDEX(Backlog[Stream],MATCH($A38,Backlog[Requirement ID],0))),"")</f>
        <v>Backlog</v>
      </c>
      <c r="D38" s="26" t="str">
        <f aca="false">IFERROR(IF(ISBLANK(INDEX(Backlog[Stream Owner],MATCH($A38,Backlog[Requirement ID],0))),"",INDEX(Backlog[Stream Owner],MATCH($A38,Backlog[Requirement ID],0))),"")</f>
        <v>MA</v>
      </c>
      <c r="E38" s="26" t="str">
        <f aca="false">IFERROR(IF(ISBLANK(INDEX(Backlog[Jira Link],MATCH($A38,Backlog[Requirement ID],0))),"",INDEX(Backlog[Jira Link],MATCH($A38,Backlog[Requirement ID],0))),"")</f>
        <v/>
      </c>
      <c r="F38" s="24" t="s">
        <v>396</v>
      </c>
      <c r="G38" s="24" t="s">
        <v>396</v>
      </c>
      <c r="H38" s="30" t="str">
        <f aca="false">IFERROR(IF(ISBLANK(INDEX(SprintPlanning[Sprint],MATCH($A38,SprintPlanning[Requirement ID],0))),"",INDEX(SprintPlanning[Sprint],MATCH($A38,SprintPlanning[Requirement ID],0))),"")</f>
        <v>To Plan</v>
      </c>
      <c r="I38" s="26" t="str">
        <f aca="false">IFERROR(IF(ISBLANK(INDEX(Backlog[Status],MATCH($A38,Backlog[Requirement ID],0))),"",INDEX(Backlog[Status],MATCH($A38,Backlog[Requirement ID],0))),"")</f>
        <v>NEW</v>
      </c>
      <c r="J38" s="26" t="str">
        <f aca="false">IFERROR(IF(ISBLANK(INDEX(Backlog[Priority],MATCH($A38,Backlog[Requirement ID],0))),"",INDEX(Backlog[Priority],MATCH($A38,Backlog[Requirement ID],0))),"")</f>
        <v>Medium</v>
      </c>
      <c r="K38" s="24"/>
      <c r="L38" s="44"/>
      <c r="M38" s="44"/>
      <c r="N38" s="24"/>
      <c r="O38" s="45"/>
      <c r="P38" s="46"/>
      <c r="Q38" s="46"/>
    </row>
    <row r="39" customFormat="false" ht="15" hidden="false" customHeight="true" outlineLevel="0" collapsed="false">
      <c r="A39" s="24" t="str">
        <f aca="false">Backlog!A39</f>
        <v>NEW-0345</v>
      </c>
      <c r="B39" s="26" t="str">
        <f aca="false">IFERROR(IF(ISBLANK(INDEX(Backlog[Requirement Name],MATCH($A39,Backlog[Requirement ID],0))),"",INDEX(Backlog[Requirement Name],MATCH($A39,Backlog[Requirement ID],0))),"")</f>
        <v>CDP / DTS Post Booking - CR - INT024.1 Long term Improved data quality handling</v>
      </c>
      <c r="C39" s="26" t="str">
        <f aca="false">IFERROR(IF(ISBLANK(INDEX(Backlog[Stream],MATCH($A39,Backlog[Requirement ID],0))),"",INDEX(Backlog[Stream],MATCH($A39,Backlog[Requirement ID],0))),"")</f>
        <v>Backlog</v>
      </c>
      <c r="D39" s="26" t="str">
        <f aca="false">IFERROR(IF(ISBLANK(INDEX(Backlog[Stream Owner],MATCH($A39,Backlog[Requirement ID],0))),"",INDEX(Backlog[Stream Owner],MATCH($A39,Backlog[Requirement ID],0))),"")</f>
        <v>MA</v>
      </c>
      <c r="E39" s="26" t="str">
        <f aca="false">IFERROR(IF(ISBLANK(INDEX(Backlog[Jira Link],MATCH($A39,Backlog[Requirement ID],0))),"",INDEX(Backlog[Jira Link],MATCH($A39,Backlog[Requirement ID],0))),"")</f>
        <v/>
      </c>
      <c r="F39" s="24" t="s">
        <v>396</v>
      </c>
      <c r="G39" s="24" t="s">
        <v>396</v>
      </c>
      <c r="H39" s="30" t="str">
        <f aca="false">IFERROR(IF(ISBLANK(INDEX(SprintPlanning[Sprint],MATCH($A39,SprintPlanning[Requirement ID],0))),"",INDEX(SprintPlanning[Sprint],MATCH($A39,SprintPlanning[Requirement ID],0))),"")</f>
        <v>To Plan</v>
      </c>
      <c r="I39" s="26" t="str">
        <f aca="false">IFERROR(IF(ISBLANK(INDEX(Backlog[Status],MATCH($A39,Backlog[Requirement ID],0))),"",INDEX(Backlog[Status],MATCH($A39,Backlog[Requirement ID],0))),"")</f>
        <v>NEW</v>
      </c>
      <c r="J39" s="26" t="str">
        <f aca="false">IFERROR(IF(ISBLANK(INDEX(Backlog[Priority],MATCH($A39,Backlog[Requirement ID],0))),"",INDEX(Backlog[Priority],MATCH($A39,Backlog[Requirement ID],0))),"")</f>
        <v>Medium</v>
      </c>
      <c r="K39" s="24"/>
      <c r="L39" s="44"/>
      <c r="M39" s="44"/>
      <c r="N39" s="24"/>
      <c r="O39" s="45"/>
      <c r="P39" s="46"/>
      <c r="Q39" s="46"/>
    </row>
    <row r="40" customFormat="false" ht="15" hidden="false" customHeight="true" outlineLevel="0" collapsed="false">
      <c r="A40" s="24" t="str">
        <f aca="false">Backlog!A40</f>
        <v>NEW-0346</v>
      </c>
      <c r="B40" s="26" t="str">
        <f aca="false">IFERROR(IF(ISBLANK(INDEX(Backlog[Requirement Name],MATCH($A40,Backlog[Requirement ID],0))),"",INDEX(Backlog[Requirement Name],MATCH($A40,Backlog[Requirement ID],0))),"")</f>
        <v>CR - Improved data quality handling optimise customer search page size across other integrations</v>
      </c>
      <c r="C40" s="26" t="str">
        <f aca="false">IFERROR(IF(ISBLANK(INDEX(Backlog[Stream],MATCH($A40,Backlog[Requirement ID],0))),"",INDEX(Backlog[Stream],MATCH($A40,Backlog[Requirement ID],0))),"")</f>
        <v>Backlog</v>
      </c>
      <c r="D40" s="26" t="str">
        <f aca="false">IFERROR(IF(ISBLANK(INDEX(Backlog[Stream Owner],MATCH($A40,Backlog[Requirement ID],0))),"",INDEX(Backlog[Stream Owner],MATCH($A40,Backlog[Requirement ID],0))),"")</f>
        <v>MA</v>
      </c>
      <c r="E40" s="26" t="str">
        <f aca="false">IFERROR(IF(ISBLANK(INDEX(Backlog[Jira Link],MATCH($A40,Backlog[Requirement ID],0))),"",INDEX(Backlog[Jira Link],MATCH($A40,Backlog[Requirement ID],0))),"")</f>
        <v/>
      </c>
      <c r="F40" s="24" t="s">
        <v>396</v>
      </c>
      <c r="G40" s="24" t="s">
        <v>396</v>
      </c>
      <c r="H40" s="30" t="str">
        <f aca="false">IFERROR(IF(ISBLANK(INDEX(SprintPlanning[Sprint],MATCH($A40,SprintPlanning[Requirement ID],0))),"",INDEX(SprintPlanning[Sprint],MATCH($A40,SprintPlanning[Requirement ID],0))),"")</f>
        <v>To Plan</v>
      </c>
      <c r="I40" s="26" t="str">
        <f aca="false">IFERROR(IF(ISBLANK(INDEX(Backlog[Status],MATCH($A40,Backlog[Requirement ID],0))),"",INDEX(Backlog[Status],MATCH($A40,Backlog[Requirement ID],0))),"")</f>
        <v>NEW</v>
      </c>
      <c r="J40" s="26" t="str">
        <f aca="false">IFERROR(IF(ISBLANK(INDEX(Backlog[Priority],MATCH($A40,Backlog[Requirement ID],0))),"",INDEX(Backlog[Priority],MATCH($A40,Backlog[Requirement ID],0))),"")</f>
        <v>Medium</v>
      </c>
      <c r="K40" s="24"/>
      <c r="L40" s="44"/>
      <c r="M40" s="44"/>
      <c r="N40" s="24"/>
      <c r="O40" s="45"/>
      <c r="P40" s="46"/>
      <c r="Q40" s="46"/>
    </row>
    <row r="41" customFormat="false" ht="15" hidden="false" customHeight="true" outlineLevel="0" collapsed="false">
      <c r="A41" s="24" t="str">
        <f aca="false">Backlog!A41</f>
        <v>NEW-0356</v>
      </c>
      <c r="B41" s="47" t="str">
        <f aca="false">IFERROR(IF(ISBLANK(INDEX(Backlog[Requirement Name],MATCH($A41,Backlog[Requirement ID],0))),"",INDEX(Backlog[Requirement Name],MATCH($A41,Backlog[Requirement ID],0))),"")</f>
        <v>MED Insurance - Do not sell any insurance if CoR differ across pax</v>
      </c>
      <c r="C41" s="26" t="str">
        <f aca="false">IFERROR(IF(ISBLANK(INDEX(Backlog[Stream],MATCH($A41,Backlog[Requirement ID],0))),"",INDEX(Backlog[Stream],MATCH($A41,Backlog[Requirement ID],0))),"")</f>
        <v>Growth</v>
      </c>
      <c r="D41" s="26" t="str">
        <f aca="false">IFERROR(IF(ISBLANK(INDEX(Backlog[Stream Owner],MATCH($A41,Backlog[Requirement ID],0))),"",INDEX(Backlog[Stream Owner],MATCH($A41,Backlog[Requirement ID],0))),"")</f>
        <v>B2CW</v>
      </c>
      <c r="E41" s="26" t="str">
        <f aca="false">IFERROR(IF(ISBLANK(INDEX(Backlog[Jira Link],MATCH($A41,Backlog[Requirement ID],0))),"",INDEX(Backlog[Jira Link],MATCH($A41,Backlog[Requirement ID],0))),"")</f>
        <v/>
      </c>
      <c r="F41" s="24" t="s">
        <v>396</v>
      </c>
      <c r="G41" s="24" t="s">
        <v>396</v>
      </c>
      <c r="H41" s="30" t="str">
        <f aca="false">IFERROR(IF(ISBLANK(INDEX(SprintPlanning[Sprint],MATCH($A41,SprintPlanning[Requirement ID],0))),"",INDEX(SprintPlanning[Sprint],MATCH($A41,SprintPlanning[Requirement ID],0))),"")</f>
        <v>To Plan</v>
      </c>
      <c r="I41" s="26" t="str">
        <f aca="false">IFERROR(IF(ISBLANK(INDEX(Backlog[Status],MATCH($A41,Backlog[Requirement ID],0))),"",INDEX(Backlog[Status],MATCH($A41,Backlog[Requirement ID],0))),"")</f>
        <v>ON HOLD</v>
      </c>
      <c r="J41" s="26" t="str">
        <f aca="false">IFERROR(IF(ISBLANK(INDEX(Backlog[Priority],MATCH($A41,Backlog[Requirement ID],0))),"",INDEX(Backlog[Priority],MATCH($A41,Backlog[Requirement ID],0))),"")</f>
        <v>Medium</v>
      </c>
      <c r="K41" s="24"/>
      <c r="L41" s="44"/>
      <c r="M41" s="44"/>
      <c r="N41" s="24"/>
      <c r="O41" s="45"/>
      <c r="P41" s="46"/>
      <c r="Q41" s="46"/>
    </row>
    <row r="42" customFormat="false" ht="15" hidden="false" customHeight="true" outlineLevel="0" collapsed="false">
      <c r="A42" s="24" t="str">
        <f aca="false">Backlog!A42</f>
        <v>NEW-0358</v>
      </c>
      <c r="B42" s="26" t="str">
        <f aca="false">IFERROR(IF(ISBLANK(INDEX(Backlog[Requirement Name],MATCH($A42,Backlog[Requirement ID],0))),"",INDEX(Backlog[Requirement Name],MATCH($A42,Backlog[Requirement ID],0))),"")</f>
        <v>CMS Configuration for Airports in B2CW Booking Funnel</v>
      </c>
      <c r="C42" s="26" t="str">
        <f aca="false">IFERROR(IF(ISBLANK(INDEX(Backlog[Stream],MATCH($A42,Backlog[Requirement ID],0))),"",INDEX(Backlog[Stream],MATCH($A42,Backlog[Requirement ID],0))),"")</f>
        <v>Growth</v>
      </c>
      <c r="D42" s="26" t="str">
        <f aca="false">IFERROR(IF(ISBLANK(INDEX(Backlog[Stream Owner],MATCH($A42,Backlog[Requirement ID],0))),"",INDEX(Backlog[Stream Owner],MATCH($A42,Backlog[Requirement ID],0))),"")</f>
        <v>B2CW</v>
      </c>
      <c r="E42" s="26" t="str">
        <f aca="false">IFERROR(IF(ISBLANK(INDEX(Backlog[Jira Link],MATCH($A42,Backlog[Requirement ID],0))),"",INDEX(Backlog[Jira Link],MATCH($A42,Backlog[Requirement ID],0))),"")</f>
        <v/>
      </c>
      <c r="F42" s="24" t="s">
        <v>396</v>
      </c>
      <c r="G42" s="24" t="s">
        <v>396</v>
      </c>
      <c r="H42" s="30" t="str">
        <f aca="false">IFERROR(IF(ISBLANK(INDEX(SprintPlanning[Sprint],MATCH($A42,SprintPlanning[Requirement ID],0))),"",INDEX(SprintPlanning[Sprint],MATCH($A42,SprintPlanning[Requirement ID],0))),"")</f>
        <v>To Plan</v>
      </c>
      <c r="I42" s="26" t="str">
        <f aca="false">IFERROR(IF(ISBLANK(INDEX(Backlog[Status],MATCH($A42,Backlog[Requirement ID],0))),"",INDEX(Backlog[Status],MATCH($A42,Backlog[Requirement ID],0))),"")</f>
        <v>ON HOLD</v>
      </c>
      <c r="J42" s="26" t="str">
        <f aca="false">IFERROR(IF(ISBLANK(INDEX(Backlog[Priority],MATCH($A42,Backlog[Requirement ID],0))),"",INDEX(Backlog[Priority],MATCH($A42,Backlog[Requirement ID],0))),"")</f>
        <v>Medium</v>
      </c>
      <c r="K42" s="24"/>
      <c r="L42" s="44"/>
      <c r="M42" s="44"/>
      <c r="N42" s="24"/>
      <c r="O42" s="45"/>
      <c r="P42" s="46"/>
      <c r="Q42" s="46"/>
    </row>
    <row r="43" customFormat="false" ht="15" hidden="false" customHeight="true" outlineLevel="0" collapsed="false">
      <c r="A43" s="24" t="str">
        <f aca="false">Backlog!A43</f>
        <v>NEW-0360</v>
      </c>
      <c r="B43" s="26" t="str">
        <f aca="false">IFERROR(IF(ISBLANK(INDEX(Backlog[Requirement Name],MATCH($A43,Backlog[Requirement ID],0))),"",INDEX(Backlog[Requirement Name],MATCH($A43,Backlog[Requirement ID],0))),"")</f>
        <v>Paypal Reconciliation for prepaid</v>
      </c>
      <c r="C43" s="26" t="str">
        <f aca="false">IFERROR(IF(ISBLANK(INDEX(Backlog[Stream],MATCH($A43,Backlog[Requirement ID],0))),"",INDEX(Backlog[Stream],MATCH($A43,Backlog[Requirement ID],0))),"")</f>
        <v>Growth</v>
      </c>
      <c r="D43" s="26" t="str">
        <f aca="false">IFERROR(IF(ISBLANK(INDEX(Backlog[Stream Owner],MATCH($A43,Backlog[Requirement ID],0))),"",INDEX(Backlog[Stream Owner],MATCH($A43,Backlog[Requirement ID],0))),"")</f>
        <v>B2CW</v>
      </c>
      <c r="E43" s="26" t="str">
        <f aca="false">IFERROR(IF(ISBLANK(INDEX(Backlog[Jira Link],MATCH($A43,Backlog[Requirement ID],0))),"",INDEX(Backlog[Jira Link],MATCH($A43,Backlog[Requirement ID],0))),"")</f>
        <v/>
      </c>
      <c r="F43" s="24" t="s">
        <v>396</v>
      </c>
      <c r="G43" s="24" t="s">
        <v>396</v>
      </c>
      <c r="H43" s="30" t="str">
        <f aca="false">IFERROR(IF(ISBLANK(INDEX(SprintPlanning[Sprint],MATCH($A43,SprintPlanning[Requirement ID],0))),"",INDEX(SprintPlanning[Sprint],MATCH($A43,SprintPlanning[Requirement ID],0))),"")</f>
        <v>To Plan</v>
      </c>
      <c r="I43" s="26" t="str">
        <f aca="false">IFERROR(IF(ISBLANK(INDEX(Backlog[Status],MATCH($A43,Backlog[Requirement ID],0))),"",INDEX(Backlog[Status],MATCH($A43,Backlog[Requirement ID],0))),"")</f>
        <v>NEW</v>
      </c>
      <c r="J43" s="26" t="str">
        <f aca="false">IFERROR(IF(ISBLANK(INDEX(Backlog[Priority],MATCH($A43,Backlog[Requirement ID],0))),"",INDEX(Backlog[Priority],MATCH($A43,Backlog[Requirement ID],0))),"")</f>
        <v>Medium</v>
      </c>
      <c r="K43" s="24"/>
      <c r="L43" s="44"/>
      <c r="M43" s="44"/>
      <c r="N43" s="24"/>
      <c r="O43" s="45"/>
      <c r="P43" s="46"/>
      <c r="Q43" s="46"/>
    </row>
    <row r="44" customFormat="false" ht="15" hidden="false" customHeight="true" outlineLevel="0" collapsed="false">
      <c r="A44" s="24" t="str">
        <f aca="false">Backlog!A44</f>
        <v>NEW-0361</v>
      </c>
      <c r="B44" s="26" t="str">
        <f aca="false">IFERROR(IF(ISBLANK(INDEX(Backlog[Requirement Name],MATCH($A44,Backlog[Requirement ID],0))),"",INDEX(Backlog[Requirement Name],MATCH($A44,Backlog[Requirement ID],0))),"")</f>
        <v>US - adding of fields to Hold option orchestration in call to AJO  -cabincode, embarkation date, cruise area</v>
      </c>
      <c r="C44" s="26" t="str">
        <f aca="false">IFERROR(IF(ISBLANK(INDEX(Backlog[Stream],MATCH($A44,Backlog[Requirement ID],0))),"",INDEX(Backlog[Stream],MATCH($A44,Backlog[Requirement ID],0))),"")</f>
        <v>Growth</v>
      </c>
      <c r="D44" s="26" t="str">
        <f aca="false">IFERROR(IF(ISBLANK(INDEX(Backlog[Stream Owner],MATCH($A44,Backlog[Requirement ID],0))),"",INDEX(Backlog[Stream Owner],MATCH($A44,Backlog[Requirement ID],0))),"")</f>
        <v>MA</v>
      </c>
      <c r="E44" s="26" t="str">
        <f aca="false">IFERROR(IF(ISBLANK(INDEX(Backlog[Jira Link],MATCH($A44,Backlog[Requirement ID],0))),"",INDEX(Backlog[Jira Link],MATCH($A44,Backlog[Requirement ID],0))),"")</f>
        <v/>
      </c>
      <c r="F44" s="24" t="s">
        <v>396</v>
      </c>
      <c r="G44" s="24" t="s">
        <v>396</v>
      </c>
      <c r="H44" s="30" t="str">
        <f aca="false">IFERROR(IF(ISBLANK(INDEX(SprintPlanning[Sprint],MATCH($A44,SprintPlanning[Requirement ID],0))),"",INDEX(SprintPlanning[Sprint],MATCH($A44,SprintPlanning[Requirement ID],0))),"")</f>
        <v>To Plan</v>
      </c>
      <c r="I44" s="26" t="str">
        <f aca="false">IFERROR(IF(ISBLANK(INDEX(Backlog[Status],MATCH($A44,Backlog[Requirement ID],0))),"",INDEX(Backlog[Status],MATCH($A44,Backlog[Requirement ID],0))),"")</f>
        <v>NEW</v>
      </c>
      <c r="J44" s="26" t="str">
        <f aca="false">IFERROR(IF(ISBLANK(INDEX(Backlog[Priority],MATCH($A44,Backlog[Requirement ID],0))),"",INDEX(Backlog[Priority],MATCH($A44,Backlog[Requirement ID],0))),"")</f>
        <v>Medium</v>
      </c>
      <c r="K44" s="24"/>
      <c r="L44" s="44"/>
      <c r="M44" s="44"/>
      <c r="N44" s="24"/>
      <c r="O44" s="45"/>
      <c r="P44" s="46"/>
      <c r="Q44" s="46"/>
    </row>
    <row r="45" customFormat="false" ht="15" hidden="false" customHeight="true" outlineLevel="0" collapsed="false">
      <c r="A45" s="24" t="str">
        <f aca="false">Backlog!A45</f>
        <v>NEW-0362</v>
      </c>
      <c r="B45" s="26" t="str">
        <f aca="false">IFERROR(IF(ISBLANK(INDEX(Backlog[Requirement Name],MATCH($A45,Backlog[Requirement ID],0))),"",INDEX(Backlog[Requirement Name],MATCH($A45,Backlog[Requirement ID],0))),"")</f>
        <v>US - Known and Unknown management analysis for US (CDP/AJO)</v>
      </c>
      <c r="C45" s="26" t="str">
        <f aca="false">IFERROR(IF(ISBLANK(INDEX(Backlog[Stream],MATCH($A45,Backlog[Requirement ID],0))),"",INDEX(Backlog[Stream],MATCH($A45,Backlog[Requirement ID],0))),"")</f>
        <v>Growth</v>
      </c>
      <c r="D45" s="26" t="str">
        <f aca="false">IFERROR(IF(ISBLANK(INDEX(Backlog[Stream Owner],MATCH($A45,Backlog[Requirement ID],0))),"",INDEX(Backlog[Stream Owner],MATCH($A45,Backlog[Requirement ID],0))),"")</f>
        <v>MA</v>
      </c>
      <c r="E45" s="26" t="str">
        <f aca="false">IFERROR(IF(ISBLANK(INDEX(Backlog[Jira Link],MATCH($A45,Backlog[Requirement ID],0))),"",INDEX(Backlog[Jira Link],MATCH($A45,Backlog[Requirement ID],0))),"")</f>
        <v/>
      </c>
      <c r="F45" s="24" t="s">
        <v>396</v>
      </c>
      <c r="G45" s="24" t="s">
        <v>396</v>
      </c>
      <c r="H45" s="30" t="str">
        <f aca="false">IFERROR(IF(ISBLANK(INDEX(SprintPlanning[Sprint],MATCH($A45,SprintPlanning[Requirement ID],0))),"",INDEX(SprintPlanning[Sprint],MATCH($A45,SprintPlanning[Requirement ID],0))),"")</f>
        <v>To Plan</v>
      </c>
      <c r="I45" s="26" t="str">
        <f aca="false">IFERROR(IF(ISBLANK(INDEX(Backlog[Status],MATCH($A45,Backlog[Requirement ID],0))),"",INDEX(Backlog[Status],MATCH($A45,Backlog[Requirement ID],0))),"")</f>
        <v>NEW</v>
      </c>
      <c r="J45" s="26" t="str">
        <f aca="false">IFERROR(IF(ISBLANK(INDEX(Backlog[Priority],MATCH($A45,Backlog[Requirement ID],0))),"",INDEX(Backlog[Priority],MATCH($A45,Backlog[Requirement ID],0))),"")</f>
        <v>Medium</v>
      </c>
      <c r="K45" s="24"/>
      <c r="L45" s="44"/>
      <c r="M45" s="44"/>
      <c r="N45" s="24"/>
      <c r="O45" s="45"/>
      <c r="P45" s="46"/>
      <c r="Q45" s="46"/>
    </row>
    <row r="46" customFormat="false" ht="15" hidden="false" customHeight="true" outlineLevel="0" collapsed="false">
      <c r="A46" s="24" t="str">
        <f aca="false">Backlog!A46</f>
        <v>NEW-0363</v>
      </c>
      <c r="B46" s="26" t="str">
        <f aca="false">IFERROR(IF(ISBLANK(INDEX(Backlog[Requirement Name],MATCH($A46,Backlog[Requirement ID],0))),"",INDEX(Backlog[Requirement Name],MATCH($A46,Backlog[Requirement ID],0))),"")</f>
        <v>US - Outbound Leads - Light Login for Leads Moving Option Expiring</v>
      </c>
      <c r="C46" s="26" t="str">
        <f aca="false">IFERROR(IF(ISBLANK(INDEX(Backlog[Stream],MATCH($A46,Backlog[Requirement ID],0))),"",INDEX(Backlog[Stream],MATCH($A46,Backlog[Requirement ID],0))),"")</f>
        <v>Growth</v>
      </c>
      <c r="D46" s="26" t="str">
        <f aca="false">IFERROR(IF(ISBLANK(INDEX(Backlog[Stream Owner],MATCH($A46,Backlog[Requirement ID],0))),"",INDEX(Backlog[Stream Owner],MATCH($A46,Backlog[Requirement ID],0))),"")</f>
        <v>B2CW</v>
      </c>
      <c r="E46" s="26" t="str">
        <f aca="false">IFERROR(IF(ISBLANK(INDEX(Backlog[Jira Link],MATCH($A46,Backlog[Requirement ID],0))),"",INDEX(Backlog[Jira Link],MATCH($A46,Backlog[Requirement ID],0))),"")</f>
        <v/>
      </c>
      <c r="F46" s="24" t="s">
        <v>396</v>
      </c>
      <c r="G46" s="24" t="s">
        <v>396</v>
      </c>
      <c r="H46" s="30" t="str">
        <f aca="false">IFERROR(IF(ISBLANK(INDEX(SprintPlanning[Sprint],MATCH($A46,SprintPlanning[Requirement ID],0))),"",INDEX(SprintPlanning[Sprint],MATCH($A46,SprintPlanning[Requirement ID],0))),"")</f>
        <v>To Plan</v>
      </c>
      <c r="I46" s="26" t="str">
        <f aca="false">IFERROR(IF(ISBLANK(INDEX(Backlog[Status],MATCH($A46,Backlog[Requirement ID],0))),"",INDEX(Backlog[Status],MATCH($A46,Backlog[Requirement ID],0))),"")</f>
        <v>NEW</v>
      </c>
      <c r="J46" s="26" t="str">
        <f aca="false">IFERROR(IF(ISBLANK(INDEX(Backlog[Priority],MATCH($A46,Backlog[Requirement ID],0))),"",INDEX(Backlog[Priority],MATCH($A46,Backlog[Requirement ID],0))),"")</f>
        <v>Medium</v>
      </c>
      <c r="K46" s="24"/>
      <c r="L46" s="44"/>
      <c r="M46" s="44"/>
      <c r="N46" s="24"/>
      <c r="O46" s="45"/>
      <c r="P46" s="46"/>
      <c r="Q46" s="46"/>
    </row>
    <row r="47" customFormat="false" ht="15" hidden="false" customHeight="true" outlineLevel="0" collapsed="false">
      <c r="A47" s="24" t="str">
        <f aca="false">Backlog!A47</f>
        <v>NEW-0364</v>
      </c>
      <c r="B47" s="26" t="str">
        <f aca="false">IFERROR(IF(ISBLANK(INDEX(Backlog[Requirement Name],MATCH($A47,Backlog[Requirement ID],0))),"",INDEX(Backlog[Requirement Name],MATCH($A47,Backlog[Requirement ID],0))),"")</f>
        <v>B2CW Booking Funnel - TRF and Pricing Structure Assessment – ESP Market</v>
      </c>
      <c r="C47" s="26" t="str">
        <f aca="false">IFERROR(IF(ISBLANK(INDEX(Backlog[Stream],MATCH($A47,Backlog[Requirement ID],0))),"",INDEX(Backlog[Stream],MATCH($A47,Backlog[Requirement ID],0))),"")</f>
        <v>Growth</v>
      </c>
      <c r="D47" s="26" t="str">
        <f aca="false">IFERROR(IF(ISBLANK(INDEX(Backlog[Stream Owner],MATCH($A47,Backlog[Requirement ID],0))),"",INDEX(Backlog[Stream Owner],MATCH($A47,Backlog[Requirement ID],0))),"")</f>
        <v>B2CW</v>
      </c>
      <c r="E47" s="26" t="str">
        <f aca="false">IFERROR(IF(ISBLANK(INDEX(Backlog[Jira Link],MATCH($A47,Backlog[Requirement ID],0))),"",INDEX(Backlog[Jira Link],MATCH($A47,Backlog[Requirement ID],0))),"")</f>
        <v/>
      </c>
      <c r="F47" s="24" t="s">
        <v>132</v>
      </c>
      <c r="G47" s="24" t="s">
        <v>132</v>
      </c>
      <c r="H47" s="30" t="str">
        <f aca="false">IFERROR(IF(ISBLANK(INDEX(SprintPlanning[Sprint],MATCH($A47,SprintPlanning[Requirement ID],0))),"",INDEX(SprintPlanning[Sprint],MATCH($A47,SprintPlanning[Requirement ID],0))),"")</f>
        <v>To Plan</v>
      </c>
      <c r="I47" s="26" t="str">
        <f aca="false">IFERROR(IF(ISBLANK(INDEX(Backlog[Status],MATCH($A47,Backlog[Requirement ID],0))),"",INDEX(Backlog[Status],MATCH($A47,Backlog[Requirement ID],0))),"")</f>
        <v>NA</v>
      </c>
      <c r="J47" s="26" t="str">
        <f aca="false">IFERROR(IF(ISBLANK(INDEX(Backlog[Priority],MATCH($A47,Backlog[Requirement ID],0))),"",INDEX(Backlog[Priority],MATCH($A47,Backlog[Requirement ID],0))),"")</f>
        <v>Medium</v>
      </c>
      <c r="K47" s="24"/>
      <c r="L47" s="44"/>
      <c r="M47" s="44"/>
      <c r="N47" s="24"/>
      <c r="O47" s="45"/>
      <c r="P47" s="46"/>
      <c r="Q47" s="46"/>
    </row>
    <row r="48" customFormat="false" ht="15" hidden="false" customHeight="true" outlineLevel="0" collapsed="false">
      <c r="A48" s="24" t="str">
        <f aca="false">Backlog!A48</f>
        <v>NEW-0366</v>
      </c>
      <c r="B48" s="26" t="str">
        <f aca="false">IFERROR(IF(ISBLANK(INDEX(Backlog[Requirement Name],MATCH($A48,Backlog[Requirement ID],0))),"",INDEX(Backlog[Requirement Name],MATCH($A48,Backlog[Requirement ID],0))),"")</f>
        <v>B2CW Accessibility &amp; Medical Webform Business Rules for booking</v>
      </c>
      <c r="C48" s="26" t="str">
        <f aca="false">IFERROR(IF(ISBLANK(INDEX(Backlog[Stream],MATCH($A48,Backlog[Requirement ID],0))),"",INDEX(Backlog[Stream],MATCH($A48,Backlog[Requirement ID],0))),"")</f>
        <v>Growth</v>
      </c>
      <c r="D48" s="26" t="str">
        <f aca="false">IFERROR(IF(ISBLANK(INDEX(Backlog[Stream Owner],MATCH($A48,Backlog[Requirement ID],0))),"",INDEX(Backlog[Stream Owner],MATCH($A48,Backlog[Requirement ID],0))),"")</f>
        <v>B2CW</v>
      </c>
      <c r="E48" s="26" t="str">
        <f aca="false">IFERROR(IF(ISBLANK(INDEX(Backlog[Jira Link],MATCH($A48,Backlog[Requirement ID],0))),"",INDEX(Backlog[Jira Link],MATCH($A48,Backlog[Requirement ID],0))),"")</f>
        <v/>
      </c>
      <c r="F48" s="24" t="s">
        <v>396</v>
      </c>
      <c r="G48" s="24" t="s">
        <v>396</v>
      </c>
      <c r="H48" s="30" t="str">
        <f aca="false">IFERROR(IF(ISBLANK(INDEX(SprintPlanning[Sprint],MATCH($A48,SprintPlanning[Requirement ID],0))),"",INDEX(SprintPlanning[Sprint],MATCH($A48,SprintPlanning[Requirement ID],0))),"")</f>
        <v>To Plan</v>
      </c>
      <c r="I48" s="26" t="str">
        <f aca="false">IFERROR(IF(ISBLANK(INDEX(Backlog[Status],MATCH($A48,Backlog[Requirement ID],0))),"",INDEX(Backlog[Status],MATCH($A48,Backlog[Requirement ID],0))),"")</f>
        <v>NEW</v>
      </c>
      <c r="J48" s="26" t="str">
        <f aca="false">IFERROR(IF(ISBLANK(INDEX(Backlog[Priority],MATCH($A48,Backlog[Requirement ID],0))),"",INDEX(Backlog[Priority],MATCH($A48,Backlog[Requirement ID],0))),"")</f>
        <v>Medium</v>
      </c>
      <c r="K48" s="24"/>
      <c r="L48" s="44"/>
      <c r="M48" s="44"/>
      <c r="N48" s="24"/>
      <c r="O48" s="45"/>
      <c r="P48" s="46"/>
      <c r="Q48" s="46"/>
    </row>
    <row r="49" customFormat="false" ht="15" hidden="false" customHeight="true" outlineLevel="0" collapsed="false">
      <c r="A49" s="24" t="str">
        <f aca="false">Backlog!A49</f>
        <v>NEW-0367</v>
      </c>
      <c r="B49" s="26" t="str">
        <f aca="false">IFERROR(IF(ISBLANK(INDEX(Backlog[Requirement Name],MATCH($A49,Backlog[Requirement ID],0))),"",INDEX(Backlog[Requirement Name],MATCH($A49,Backlog[Requirement ID],0))),"")</f>
        <v>MyMSC US | Extend JWT expiry</v>
      </c>
      <c r="C49" s="26" t="str">
        <f aca="false">IFERROR(IF(ISBLANK(INDEX(Backlog[Stream],MATCH($A49,Backlog[Requirement ID],0))),"",INDEX(Backlog[Stream],MATCH($A49,Backlog[Requirement ID],0))),"")</f>
        <v>Growth</v>
      </c>
      <c r="D49" s="26" t="str">
        <f aca="false">IFERROR(IF(ISBLANK(INDEX(Backlog[Stream Owner],MATCH($A49,Backlog[Requirement ID],0))),"",INDEX(Backlog[Stream Owner],MATCH($A49,Backlog[Requirement ID],0))),"")</f>
        <v>B2CW</v>
      </c>
      <c r="E49" s="26" t="str">
        <f aca="false">IFERROR(IF(ISBLANK(INDEX(Backlog[Jira Link],MATCH($A49,Backlog[Requirement ID],0))),"",INDEX(Backlog[Jira Link],MATCH($A49,Backlog[Requirement ID],0))),"")</f>
        <v/>
      </c>
      <c r="F49" s="24" t="s">
        <v>396</v>
      </c>
      <c r="G49" s="24" t="s">
        <v>396</v>
      </c>
      <c r="H49" s="30" t="str">
        <f aca="false">IFERROR(IF(ISBLANK(INDEX(SprintPlanning[Sprint],MATCH($A49,SprintPlanning[Requirement ID],0))),"",INDEX(SprintPlanning[Sprint],MATCH($A49,SprintPlanning[Requirement ID],0))),"")</f>
        <v>To Plan</v>
      </c>
      <c r="I49" s="26" t="str">
        <f aca="false">IFERROR(IF(ISBLANK(INDEX(Backlog[Status],MATCH($A49,Backlog[Requirement ID],0))),"",INDEX(Backlog[Status],MATCH($A49,Backlog[Requirement ID],0))),"")</f>
        <v>NEW</v>
      </c>
      <c r="J49" s="26" t="str">
        <f aca="false">IFERROR(IF(ISBLANK(INDEX(Backlog[Priority],MATCH($A49,Backlog[Requirement ID],0))),"",INDEX(Backlog[Priority],MATCH($A49,Backlog[Requirement ID],0))),"")</f>
        <v>Medium</v>
      </c>
      <c r="K49" s="24"/>
      <c r="L49" s="44"/>
      <c r="M49" s="44"/>
      <c r="N49" s="24"/>
      <c r="O49" s="45"/>
      <c r="P49" s="46"/>
      <c r="Q49" s="46"/>
    </row>
    <row r="50" customFormat="false" ht="15" hidden="false" customHeight="true" outlineLevel="0" collapsed="false">
      <c r="A50" s="24" t="str">
        <f aca="false">Backlog!A50</f>
        <v>NEW-0370</v>
      </c>
      <c r="B50" s="26" t="str">
        <f aca="false">IFERROR(IF(ISBLANK(INDEX(Backlog[Requirement Name],MATCH($A50,Backlog[Requirement ID],0))),"",INDEX(Backlog[Requirement Name],MATCH($A50,Backlog[Requirement ID],0))),"")</f>
        <v>Handling DSC_076 scenario in booking funnel</v>
      </c>
      <c r="C50" s="26" t="str">
        <f aca="false">IFERROR(IF(ISBLANK(INDEX(Backlog[Stream],MATCH($A50,Backlog[Requirement ID],0))),"",INDEX(Backlog[Stream],MATCH($A50,Backlog[Requirement ID],0))),"")</f>
        <v>Growth</v>
      </c>
      <c r="D50" s="26" t="str">
        <f aca="false">IFERROR(IF(ISBLANK(INDEX(Backlog[Stream Owner],MATCH($A50,Backlog[Requirement ID],0))),"",INDEX(Backlog[Stream Owner],MATCH($A50,Backlog[Requirement ID],0))),"")</f>
        <v>B2CW</v>
      </c>
      <c r="E50" s="26" t="str">
        <f aca="false">IFERROR(IF(ISBLANK(INDEX(Backlog[Jira Link],MATCH($A50,Backlog[Requirement ID],0))),"",INDEX(Backlog[Jira Link],MATCH($A50,Backlog[Requirement ID],0))),"")</f>
        <v/>
      </c>
      <c r="F50" s="24" t="s">
        <v>396</v>
      </c>
      <c r="G50" s="24" t="s">
        <v>396</v>
      </c>
      <c r="H50" s="30" t="str">
        <f aca="false">IFERROR(IF(ISBLANK(INDEX(SprintPlanning[Sprint],MATCH($A50,SprintPlanning[Requirement ID],0))),"",INDEX(SprintPlanning[Sprint],MATCH($A50,SprintPlanning[Requirement ID],0))),"")</f>
        <v>To Plan</v>
      </c>
      <c r="I50" s="26" t="str">
        <f aca="false">IFERROR(IF(ISBLANK(INDEX(Backlog[Status],MATCH($A50,Backlog[Requirement ID],0))),"",INDEX(Backlog[Status],MATCH($A50,Backlog[Requirement ID],0))),"")</f>
        <v>NEW</v>
      </c>
      <c r="J50" s="26" t="str">
        <f aca="false">IFERROR(IF(ISBLANK(INDEX(Backlog[Priority],MATCH($A50,Backlog[Requirement ID],0))),"",INDEX(Backlog[Priority],MATCH($A50,Backlog[Requirement ID],0))),"")</f>
        <v>Medium</v>
      </c>
      <c r="K50" s="24"/>
      <c r="L50" s="44"/>
      <c r="M50" s="44"/>
      <c r="N50" s="24"/>
      <c r="O50" s="45"/>
      <c r="P50" s="46"/>
      <c r="Q50" s="46"/>
    </row>
    <row r="51" customFormat="false" ht="15" hidden="false" customHeight="true" outlineLevel="0" collapsed="false">
      <c r="A51" s="24" t="str">
        <f aca="false">Backlog!A51</f>
        <v>NEW-0371</v>
      </c>
      <c r="B51" s="26" t="str">
        <f aca="false">IFERROR(IF(ISBLANK(INDEX(Backlog[Requirement Name],MATCH($A51,Backlog[Requirement ID],0))),"",INDEX(Backlog[Requirement Name],MATCH($A51,Backlog[Requirement ID],0))),"")</f>
        <v>B2CW Prospect Onsite Quotation</v>
      </c>
      <c r="C51" s="26" t="str">
        <f aca="false">IFERROR(IF(ISBLANK(INDEX(Backlog[Stream],MATCH($A51,Backlog[Requirement ID],0))),"",INDEX(Backlog[Stream],MATCH($A51,Backlog[Requirement ID],0))),"")</f>
        <v>Growth</v>
      </c>
      <c r="D51" s="26" t="str">
        <f aca="false">IFERROR(IF(ISBLANK(INDEX(Backlog[Stream Owner],MATCH($A51,Backlog[Requirement ID],0))),"",INDEX(Backlog[Stream Owner],MATCH($A51,Backlog[Requirement ID],0))),"")</f>
        <v>B2CW</v>
      </c>
      <c r="E51" s="26" t="str">
        <f aca="false">IFERROR(IF(ISBLANK(INDEX(Backlog[Jira Link],MATCH($A51,Backlog[Requirement ID],0))),"",INDEX(Backlog[Jira Link],MATCH($A51,Backlog[Requirement ID],0))),"")</f>
        <v/>
      </c>
      <c r="F51" s="24" t="s">
        <v>396</v>
      </c>
      <c r="G51" s="24" t="s">
        <v>396</v>
      </c>
      <c r="H51" s="30" t="str">
        <f aca="false">IFERROR(IF(ISBLANK(INDEX(SprintPlanning[Sprint],MATCH($A51,SprintPlanning[Requirement ID],0))),"",INDEX(SprintPlanning[Sprint],MATCH($A51,SprintPlanning[Requirement ID],0))),"")</f>
        <v>To Plan</v>
      </c>
      <c r="I51" s="26" t="str">
        <f aca="false">IFERROR(IF(ISBLANK(INDEX(Backlog[Status],MATCH($A51,Backlog[Requirement ID],0))),"",INDEX(Backlog[Status],MATCH($A51,Backlog[Requirement ID],0))),"")</f>
        <v>NEW</v>
      </c>
      <c r="J51" s="26" t="str">
        <f aca="false">IFERROR(IF(ISBLANK(INDEX(Backlog[Priority],MATCH($A51,Backlog[Requirement ID],0))),"",INDEX(Backlog[Priority],MATCH($A51,Backlog[Requirement ID],0))),"")</f>
        <v>Medium</v>
      </c>
      <c r="K51" s="24"/>
      <c r="L51" s="44"/>
      <c r="M51" s="44"/>
      <c r="N51" s="24"/>
      <c r="O51" s="45"/>
      <c r="P51" s="46"/>
      <c r="Q51" s="46"/>
    </row>
    <row r="52" customFormat="false" ht="15" hidden="false" customHeight="true" outlineLevel="0" collapsed="false">
      <c r="A52" s="24" t="str">
        <f aca="false">Backlog!A52</f>
        <v>NEW-0373</v>
      </c>
      <c r="B52" s="26" t="str">
        <f aca="false">IFERROR(IF(ISBLANK(INDEX(Backlog[Requirement Name],MATCH($A52,Backlog[Requirement ID],0))),"",INDEX(Backlog[Requirement Name],MATCH($A52,Backlog[Requirement ID],0))),"")</f>
        <v>Booking Funnel - AI Optimisation</v>
      </c>
      <c r="C52" s="26" t="str">
        <f aca="false">IFERROR(IF(ISBLANK(INDEX(Backlog[Stream],MATCH($A52,Backlog[Requirement ID],0))),"",INDEX(Backlog[Stream],MATCH($A52,Backlog[Requirement ID],0))),"")</f>
        <v>Backlog / Tech Enh</v>
      </c>
      <c r="D52" s="26" t="str">
        <f aca="false">IFERROR(IF(ISBLANK(INDEX(Backlog[Stream Owner],MATCH($A52,Backlog[Requirement ID],0))),"",INDEX(Backlog[Stream Owner],MATCH($A52,Backlog[Requirement ID],0))),"")</f>
        <v>ALL</v>
      </c>
      <c r="E52" s="26" t="str">
        <f aca="false">IFERROR(IF(ISBLANK(INDEX(Backlog[Jira Link],MATCH($A52,Backlog[Requirement ID],0))),"",INDEX(Backlog[Jira Link],MATCH($A52,Backlog[Requirement ID],0))),"")</f>
        <v/>
      </c>
      <c r="F52" s="24" t="s">
        <v>396</v>
      </c>
      <c r="G52" s="24" t="s">
        <v>396</v>
      </c>
      <c r="H52" s="30" t="str">
        <f aca="false">IFERROR(IF(ISBLANK(INDEX(SprintPlanning[Sprint],MATCH($A52,SprintPlanning[Requirement ID],0))),"",INDEX(SprintPlanning[Sprint],MATCH($A52,SprintPlanning[Requirement ID],0))),"")</f>
        <v>To Plan</v>
      </c>
      <c r="I52" s="26" t="str">
        <f aca="false">IFERROR(IF(ISBLANK(INDEX(Backlog[Status],MATCH($A52,Backlog[Requirement ID],0))),"",INDEX(Backlog[Status],MATCH($A52,Backlog[Requirement ID],0))),"")</f>
        <v>NEW</v>
      </c>
      <c r="J52" s="26" t="str">
        <f aca="false">IFERROR(IF(ISBLANK(INDEX(Backlog[Priority],MATCH($A52,Backlog[Requirement ID],0))),"",INDEX(Backlog[Priority],MATCH($A52,Backlog[Requirement ID],0))),"")</f>
        <v>Medium</v>
      </c>
      <c r="K52" s="24"/>
      <c r="L52" s="44"/>
      <c r="M52" s="44"/>
      <c r="N52" s="24"/>
      <c r="O52" s="45"/>
      <c r="P52" s="46"/>
      <c r="Q52" s="46"/>
    </row>
    <row r="53" customFormat="false" ht="15" hidden="false" customHeight="true" outlineLevel="0" collapsed="false">
      <c r="A53" s="24" t="str">
        <f aca="false">Backlog!A53</f>
        <v>NEW-0375</v>
      </c>
      <c r="B53" s="26" t="str">
        <f aca="false">IFERROR(IF(ISBLANK(INDEX(Backlog[Requirement Name],MATCH($A53,Backlog[Requirement ID],0))),"",INDEX(Backlog[Requirement Name],MATCH($A53,Backlog[Requirement ID],0))),"")</f>
        <v>Booking Funnel - OTEL</v>
      </c>
      <c r="C53" s="26" t="str">
        <f aca="false">IFERROR(IF(ISBLANK(INDEX(Backlog[Stream],MATCH($A53,Backlog[Requirement ID],0))),"",INDEX(Backlog[Stream],MATCH($A53,Backlog[Requirement ID],0))),"")</f>
        <v>Backlog / Tech Enh</v>
      </c>
      <c r="D53" s="26" t="str">
        <f aca="false">IFERROR(IF(ISBLANK(INDEX(Backlog[Stream Owner],MATCH($A53,Backlog[Requirement ID],0))),"",INDEX(Backlog[Stream Owner],MATCH($A53,Backlog[Requirement ID],0))),"")</f>
        <v>ALL</v>
      </c>
      <c r="E53" s="26" t="str">
        <f aca="false">IFERROR(IF(ISBLANK(INDEX(Backlog[Jira Link],MATCH($A53,Backlog[Requirement ID],0))),"",INDEX(Backlog[Jira Link],MATCH($A53,Backlog[Requirement ID],0))),"")</f>
        <v/>
      </c>
      <c r="F53" s="24" t="s">
        <v>396</v>
      </c>
      <c r="G53" s="24" t="s">
        <v>396</v>
      </c>
      <c r="H53" s="30" t="str">
        <f aca="false">IFERROR(IF(ISBLANK(INDEX(SprintPlanning[Sprint],MATCH($A53,SprintPlanning[Requirement ID],0))),"",INDEX(SprintPlanning[Sprint],MATCH($A53,SprintPlanning[Requirement ID],0))),"")</f>
        <v>To Plan</v>
      </c>
      <c r="I53" s="26" t="str">
        <f aca="false">IFERROR(IF(ISBLANK(INDEX(Backlog[Status],MATCH($A53,Backlog[Requirement ID],0))),"",INDEX(Backlog[Status],MATCH($A53,Backlog[Requirement ID],0))),"")</f>
        <v>IN PROGRESS</v>
      </c>
      <c r="J53" s="26" t="str">
        <f aca="false">IFERROR(IF(ISBLANK(INDEX(Backlog[Priority],MATCH($A53,Backlog[Requirement ID],0))),"",INDEX(Backlog[Priority],MATCH($A53,Backlog[Requirement ID],0))),"")</f>
        <v>Medium</v>
      </c>
      <c r="K53" s="24"/>
      <c r="L53" s="44"/>
      <c r="M53" s="44"/>
      <c r="N53" s="24"/>
      <c r="O53" s="45"/>
      <c r="P53" s="46"/>
      <c r="Q53" s="46"/>
    </row>
    <row r="54" customFormat="false" ht="15" hidden="false" customHeight="true" outlineLevel="0" collapsed="false">
      <c r="A54" s="24" t="str">
        <f aca="false">Backlog!A54</f>
        <v>NEW-0376</v>
      </c>
      <c r="B54" s="26" t="str">
        <f aca="false">IFERROR(IF(ISBLANK(INDEX(Backlog[Requirement Name],MATCH($A54,Backlog[Requirement ID],0))),"",INDEX(Backlog[Requirement Name],MATCH($A54,Backlog[Requirement ID],0))),"")</f>
        <v>Improve error handling in booking creation</v>
      </c>
      <c r="C54" s="26" t="str">
        <f aca="false">IFERROR(IF(ISBLANK(INDEX(Backlog[Stream],MATCH($A54,Backlog[Requirement ID],0))),"",INDEX(Backlog[Stream],MATCH($A54,Backlog[Requirement ID],0))),"")</f>
        <v>Backlog / Tech Enh</v>
      </c>
      <c r="D54" s="26" t="str">
        <f aca="false">IFERROR(IF(ISBLANK(INDEX(Backlog[Stream Owner],MATCH($A54,Backlog[Requirement ID],0))),"",INDEX(Backlog[Stream Owner],MATCH($A54,Backlog[Requirement ID],0))),"")</f>
        <v>ALL</v>
      </c>
      <c r="E54" s="26" t="str">
        <f aca="false">IFERROR(IF(ISBLANK(INDEX(Backlog[Jira Link],MATCH($A54,Backlog[Requirement ID],0))),"",INDEX(Backlog[Jira Link],MATCH($A54,Backlog[Requirement ID],0))),"")</f>
        <v/>
      </c>
      <c r="F54" s="24" t="s">
        <v>395</v>
      </c>
      <c r="G54" s="24" t="s">
        <v>395</v>
      </c>
      <c r="H54" s="30" t="str">
        <f aca="false">IFERROR(IF(ISBLANK(INDEX(SprintPlanning[Sprint],MATCH($A54,SprintPlanning[Requirement ID],0))),"",INDEX(SprintPlanning[Sprint],MATCH($A54,SprintPlanning[Requirement ID],0))),"")</f>
        <v>To Plan</v>
      </c>
      <c r="I54" s="26" t="str">
        <f aca="false">IFERROR(IF(ISBLANK(INDEX(Backlog[Status],MATCH($A54,Backlog[Requirement ID],0))),"",INDEX(Backlog[Status],MATCH($A54,Backlog[Requirement ID],0))),"")</f>
        <v>NEW</v>
      </c>
      <c r="J54" s="26" t="str">
        <f aca="false">IFERROR(IF(ISBLANK(INDEX(Backlog[Priority],MATCH($A54,Backlog[Requirement ID],0))),"",INDEX(Backlog[Priority],MATCH($A54,Backlog[Requirement ID],0))),"")</f>
        <v>Medium</v>
      </c>
      <c r="K54" s="24"/>
      <c r="L54" s="44"/>
      <c r="M54" s="44"/>
      <c r="N54" s="24"/>
      <c r="O54" s="45"/>
      <c r="P54" s="46"/>
      <c r="Q54" s="46"/>
    </row>
    <row r="55" customFormat="false" ht="15" hidden="false" customHeight="true" outlineLevel="0" collapsed="false">
      <c r="A55" s="24" t="str">
        <f aca="false">Backlog!A55</f>
        <v>NEW-0377</v>
      </c>
      <c r="B55" s="26" t="str">
        <f aca="false">IFERROR(IF(ISBLANK(INDEX(Backlog[Requirement Name],MATCH($A55,Backlog[Requirement ID],0))),"",INDEX(Backlog[Requirement Name],MATCH($A55,Backlog[Requirement ID],0))),"")</f>
        <v>DTTP25-27161 Change payment and newsletter redirection URL logic</v>
      </c>
      <c r="C55" s="26" t="str">
        <f aca="false">IFERROR(IF(ISBLANK(INDEX(Backlog[Stream],MATCH($A55,Backlog[Requirement ID],0))),"",INDEX(Backlog[Stream],MATCH($A55,Backlog[Requirement ID],0))),"")</f>
        <v>Backlog / Tech Enh</v>
      </c>
      <c r="D55" s="26" t="str">
        <f aca="false">IFERROR(IF(ISBLANK(INDEX(Backlog[Stream Owner],MATCH($A55,Backlog[Requirement ID],0))),"",INDEX(Backlog[Stream Owner],MATCH($A55,Backlog[Requirement ID],0))),"")</f>
        <v>ALL</v>
      </c>
      <c r="E55" s="26" t="str">
        <f aca="false">IFERROR(IF(ISBLANK(INDEX(Backlog[Jira Link],MATCH($A55,Backlog[Requirement ID],0))),"",INDEX(Backlog[Jira Link],MATCH($A55,Backlog[Requirement ID],0))),"")</f>
        <v/>
      </c>
      <c r="F55" s="24" t="s">
        <v>132</v>
      </c>
      <c r="G55" s="24" t="s">
        <v>132</v>
      </c>
      <c r="H55" s="30" t="str">
        <f aca="false">IFERROR(IF(ISBLANK(INDEX(SprintPlanning[Sprint],MATCH($A55,SprintPlanning[Requirement ID],0))),"",INDEX(SprintPlanning[Sprint],MATCH($A55,SprintPlanning[Requirement ID],0))),"")</f>
        <v>To Plan</v>
      </c>
      <c r="I55" s="26" t="str">
        <f aca="false">IFERROR(IF(ISBLANK(INDEX(Backlog[Status],MATCH($A55,Backlog[Requirement ID],0))),"",INDEX(Backlog[Status],MATCH($A55,Backlog[Requirement ID],0))),"")</f>
        <v>NEW</v>
      </c>
      <c r="J55" s="26" t="str">
        <f aca="false">IFERROR(IF(ISBLANK(INDEX(Backlog[Priority],MATCH($A55,Backlog[Requirement ID],0))),"",INDEX(Backlog[Priority],MATCH($A55,Backlog[Requirement ID],0))),"")</f>
        <v>Medium</v>
      </c>
      <c r="K55" s="24"/>
      <c r="L55" s="44"/>
      <c r="M55" s="44"/>
      <c r="N55" s="24"/>
      <c r="O55" s="45"/>
      <c r="P55" s="46"/>
      <c r="Q55" s="46"/>
    </row>
    <row r="56" customFormat="false" ht="15" hidden="false" customHeight="true" outlineLevel="0" collapsed="false">
      <c r="A56" s="24" t="str">
        <f aca="false">Backlog!A56</f>
        <v>NEW-0395</v>
      </c>
      <c r="B56" s="26" t="str">
        <f aca="false">IFERROR(IF(ISBLANK(INDEX(Backlog[Requirement Name],MATCH($A56,Backlog[Requirement ID],0))),"",INDEX(Backlog[Requirement Name],MATCH($A56,Backlog[Requirement ID],0))),"")</f>
        <v>PDF: age restrictions management</v>
      </c>
      <c r="C56" s="26" t="str">
        <f aca="false">IFERROR(IF(ISBLANK(INDEX(Backlog[Stream],MATCH($A56,Backlog[Requirement ID],0))),"",INDEX(Backlog[Stream],MATCH($A56,Backlog[Requirement ID],0))),"")</f>
        <v>MyMSC</v>
      </c>
      <c r="D56" s="26" t="str">
        <f aca="false">IFERROR(IF(ISBLANK(INDEX(Backlog[Stream Owner],MATCH($A56,Backlog[Requirement ID],0))),"",INDEX(Backlog[Stream Owner],MATCH($A56,Backlog[Requirement ID],0))),"")</f>
        <v>B2CW</v>
      </c>
      <c r="E56" s="26" t="str">
        <f aca="false">IFERROR(IF(ISBLANK(INDEX(Backlog[Jira Link],MATCH($A56,Backlog[Requirement ID],0))),"",INDEX(Backlog[Jira Link],MATCH($A56,Backlog[Requirement ID],0))),"")</f>
        <v/>
      </c>
      <c r="F56" s="24" t="s">
        <v>396</v>
      </c>
      <c r="G56" s="24" t="s">
        <v>396</v>
      </c>
      <c r="H56" s="30" t="str">
        <f aca="false">IFERROR(IF(ISBLANK(INDEX(SprintPlanning[Sprint],MATCH($A56,SprintPlanning[Requirement ID],0))),"",INDEX(SprintPlanning[Sprint],MATCH($A56,SprintPlanning[Requirement ID],0))),"")</f>
        <v>To Plan</v>
      </c>
      <c r="I56" s="26" t="str">
        <f aca="false">IFERROR(IF(ISBLANK(INDEX(Backlog[Status],MATCH($A56,Backlog[Requirement ID],0))),"",INDEX(Backlog[Status],MATCH($A56,Backlog[Requirement ID],0))),"")</f>
        <v>NEW</v>
      </c>
      <c r="J56" s="26" t="str">
        <f aca="false">IFERROR(IF(ISBLANK(INDEX(Backlog[Priority],MATCH($A56,Backlog[Requirement ID],0))),"",INDEX(Backlog[Priority],MATCH($A56,Backlog[Requirement ID],0))),"")</f>
        <v>Medium</v>
      </c>
      <c r="K56" s="24"/>
      <c r="L56" s="44"/>
      <c r="M56" s="44"/>
      <c r="N56" s="24"/>
      <c r="O56" s="45"/>
      <c r="P56" s="46"/>
      <c r="Q56" s="46"/>
    </row>
    <row r="57" customFormat="false" ht="15" hidden="false" customHeight="true" outlineLevel="0" collapsed="false">
      <c r="A57" s="24" t="str">
        <f aca="false">Backlog!A57</f>
        <v>NEW-0397</v>
      </c>
      <c r="B57" s="26" t="str">
        <f aca="false">IFERROR(IF(ISBLANK(INDEX(Backlog[Requirement Name],MATCH($A57,Backlog[Requirement ID],0))),"",INDEX(Backlog[Requirement Name],MATCH($A57,Backlog[Requirement ID],0))),"")</f>
        <v>MSC Voyagers Club subscription block for pending Status Match request for the same user</v>
      </c>
      <c r="C57" s="26" t="str">
        <f aca="false">IFERROR(IF(ISBLANK(INDEX(Backlog[Stream],MATCH($A57,Backlog[Requirement ID],0))),"",INDEX(Backlog[Stream],MATCH($A57,Backlog[Requirement ID],0))),"")</f>
        <v>MyMSC</v>
      </c>
      <c r="D57" s="26" t="str">
        <f aca="false">IFERROR(IF(ISBLANK(INDEX(Backlog[Stream Owner],MATCH($A57,Backlog[Requirement ID],0))),"",INDEX(Backlog[Stream Owner],MATCH($A57,Backlog[Requirement ID],0))),"")</f>
        <v>B2CW</v>
      </c>
      <c r="E57" s="26" t="str">
        <f aca="false">IFERROR(IF(ISBLANK(INDEX(Backlog[Jira Link],MATCH($A57,Backlog[Requirement ID],0))),"",INDEX(Backlog[Jira Link],MATCH($A57,Backlog[Requirement ID],0))),"")</f>
        <v/>
      </c>
      <c r="F57" s="24" t="s">
        <v>396</v>
      </c>
      <c r="G57" s="24" t="s">
        <v>396</v>
      </c>
      <c r="H57" s="30" t="str">
        <f aca="false">IFERROR(IF(ISBLANK(INDEX(SprintPlanning[Sprint],MATCH($A57,SprintPlanning[Requirement ID],0))),"",INDEX(SprintPlanning[Sprint],MATCH($A57,SprintPlanning[Requirement ID],0))),"")</f>
        <v>To Plan</v>
      </c>
      <c r="I57" s="26" t="str">
        <f aca="false">IFERROR(IF(ISBLANK(INDEX(Backlog[Status],MATCH($A57,Backlog[Requirement ID],0))),"",INDEX(Backlog[Status],MATCH($A57,Backlog[Requirement ID],0))),"")</f>
        <v>NEW</v>
      </c>
      <c r="J57" s="26" t="str">
        <f aca="false">IFERROR(IF(ISBLANK(INDEX(Backlog[Priority],MATCH($A57,Backlog[Requirement ID],0))),"",INDEX(Backlog[Priority],MATCH($A57,Backlog[Requirement ID],0))),"")</f>
        <v>Medium</v>
      </c>
      <c r="K57" s="24"/>
      <c r="L57" s="44"/>
      <c r="M57" s="44"/>
      <c r="N57" s="24"/>
      <c r="O57" s="45"/>
      <c r="P57" s="46"/>
      <c r="Q57" s="46"/>
    </row>
    <row r="58" customFormat="false" ht="15" hidden="false" customHeight="true" outlineLevel="0" collapsed="false">
      <c r="A58" s="24" t="str">
        <f aca="false">Backlog!A58</f>
        <v>NEW-0398</v>
      </c>
      <c r="B58" s="26" t="str">
        <f aca="false">IFERROR(IF(ISBLANK(INDEX(Backlog[Requirement Name],MATCH($A58,Backlog[Requirement ID],0))),"",INDEX(Backlog[Requirement Name],MATCH($A58,Backlog[Requirement ID],0))),"")</f>
        <v>MSC Voyagers Club children association</v>
      </c>
      <c r="C58" s="26" t="str">
        <f aca="false">IFERROR(IF(ISBLANK(INDEX(Backlog[Stream],MATCH($A58,Backlog[Requirement ID],0))),"",INDEX(Backlog[Stream],MATCH($A58,Backlog[Requirement ID],0))),"")</f>
        <v>MyMSC</v>
      </c>
      <c r="D58" s="26" t="str">
        <f aca="false">IFERROR(IF(ISBLANK(INDEX(Backlog[Stream Owner],MATCH($A58,Backlog[Requirement ID],0))),"",INDEX(Backlog[Stream Owner],MATCH($A58,Backlog[Requirement ID],0))),"")</f>
        <v>B2CW</v>
      </c>
      <c r="E58" s="26" t="str">
        <f aca="false">IFERROR(IF(ISBLANK(INDEX(Backlog[Jira Link],MATCH($A58,Backlog[Requirement ID],0))),"",INDEX(Backlog[Jira Link],MATCH($A58,Backlog[Requirement ID],0))),"")</f>
        <v/>
      </c>
      <c r="F58" s="24" t="s">
        <v>396</v>
      </c>
      <c r="G58" s="24" t="s">
        <v>396</v>
      </c>
      <c r="H58" s="30" t="str">
        <f aca="false">IFERROR(IF(ISBLANK(INDEX(SprintPlanning[Sprint],MATCH($A58,SprintPlanning[Requirement ID],0))),"",INDEX(SprintPlanning[Sprint],MATCH($A58,SprintPlanning[Requirement ID],0))),"")</f>
        <v>To Plan</v>
      </c>
      <c r="I58" s="26" t="str">
        <f aca="false">IFERROR(IF(ISBLANK(INDEX(Backlog[Status],MATCH($A58,Backlog[Requirement ID],0))),"",INDEX(Backlog[Status],MATCH($A58,Backlog[Requirement ID],0))),"")</f>
        <v>NEW</v>
      </c>
      <c r="J58" s="26" t="str">
        <f aca="false">IFERROR(IF(ISBLANK(INDEX(Backlog[Priority],MATCH($A58,Backlog[Requirement ID],0))),"",INDEX(Backlog[Priority],MATCH($A58,Backlog[Requirement ID],0))),"")</f>
        <v>Medium</v>
      </c>
      <c r="K58" s="24"/>
      <c r="L58" s="44"/>
      <c r="M58" s="44"/>
      <c r="N58" s="24"/>
      <c r="O58" s="45"/>
      <c r="P58" s="46"/>
      <c r="Q58" s="46"/>
    </row>
    <row r="59" customFormat="false" ht="15" hidden="false" customHeight="true" outlineLevel="0" collapsed="false">
      <c r="A59" s="24" t="str">
        <f aca="false">Backlog!A59</f>
        <v>NEW-0399</v>
      </c>
      <c r="B59" s="26" t="str">
        <f aca="false">IFERROR(IF(ISBLANK(INDEX(Backlog[Requirement Name],MATCH($A59,Backlog[Requirement ID],0))),"",INDEX(Backlog[Requirement Name],MATCH($A59,Backlog[Requirement ID],0))),"")</f>
        <v>Managing the possibility of multiple categories for the same EXC item</v>
      </c>
      <c r="C59" s="26" t="str">
        <f aca="false">IFERROR(IF(ISBLANK(INDEX(Backlog[Stream],MATCH($A59,Backlog[Requirement ID],0))),"",INDEX(Backlog[Stream],MATCH($A59,Backlog[Requirement ID],0))),"")</f>
        <v>MyMSC</v>
      </c>
      <c r="D59" s="26" t="str">
        <f aca="false">IFERROR(IF(ISBLANK(INDEX(Backlog[Stream Owner],MATCH($A59,Backlog[Requirement ID],0))),"",INDEX(Backlog[Stream Owner],MATCH($A59,Backlog[Requirement ID],0))),"")</f>
        <v>B2CW</v>
      </c>
      <c r="E59" s="26" t="str">
        <f aca="false">IFERROR(IF(ISBLANK(INDEX(Backlog[Jira Link],MATCH($A59,Backlog[Requirement ID],0))),"",INDEX(Backlog[Jira Link],MATCH($A59,Backlog[Requirement ID],0))),"")</f>
        <v/>
      </c>
      <c r="F59" s="24" t="s">
        <v>396</v>
      </c>
      <c r="G59" s="24" t="s">
        <v>396</v>
      </c>
      <c r="H59" s="30" t="str">
        <f aca="false">IFERROR(IF(ISBLANK(INDEX(SprintPlanning[Sprint],MATCH($A59,SprintPlanning[Requirement ID],0))),"",INDEX(SprintPlanning[Sprint],MATCH($A59,SprintPlanning[Requirement ID],0))),"")</f>
        <v>To Plan</v>
      </c>
      <c r="I59" s="26" t="str">
        <f aca="false">IFERROR(IF(ISBLANK(INDEX(Backlog[Status],MATCH($A59,Backlog[Requirement ID],0))),"",INDEX(Backlog[Status],MATCH($A59,Backlog[Requirement ID],0))),"")</f>
        <v>NEW</v>
      </c>
      <c r="J59" s="26" t="str">
        <f aca="false">IFERROR(IF(ISBLANK(INDEX(Backlog[Priority],MATCH($A59,Backlog[Requirement ID],0))),"",INDEX(Backlog[Priority],MATCH($A59,Backlog[Requirement ID],0))),"")</f>
        <v>Medium</v>
      </c>
      <c r="K59" s="24"/>
      <c r="L59" s="44"/>
      <c r="M59" s="44"/>
      <c r="N59" s="24"/>
      <c r="O59" s="45"/>
      <c r="P59" s="46"/>
      <c r="Q59" s="46"/>
    </row>
    <row r="60" customFormat="false" ht="15" hidden="false" customHeight="true" outlineLevel="0" collapsed="false">
      <c r="A60" s="24" t="str">
        <f aca="false">Backlog!A60</f>
        <v>NEW-0400</v>
      </c>
      <c r="B60" s="26" t="str">
        <f aca="false">IFERROR(IF(ISBLANK(INDEX(Backlog[Requirement Name],MATCH($A60,Backlog[Requirement ID],0))),"",INDEX(Backlog[Requirement Name],MATCH($A60,Backlog[Requirement ID],0))),"")</f>
        <v>Card Points History Reliability Enhancement - B2C</v>
      </c>
      <c r="C60" s="26" t="str">
        <f aca="false">IFERROR(IF(ISBLANK(INDEX(Backlog[Stream],MATCH($A60,Backlog[Requirement ID],0))),"",INDEX(Backlog[Stream],MATCH($A60,Backlog[Requirement ID],0))),"")</f>
        <v>MyMSC</v>
      </c>
      <c r="D60" s="26" t="str">
        <f aca="false">IFERROR(IF(ISBLANK(INDEX(Backlog[Stream Owner],MATCH($A60,Backlog[Requirement ID],0))),"",INDEX(Backlog[Stream Owner],MATCH($A60,Backlog[Requirement ID],0))),"")</f>
        <v>B2CW</v>
      </c>
      <c r="E60" s="26" t="str">
        <f aca="false">IFERROR(IF(ISBLANK(INDEX(Backlog[Jira Link],MATCH($A60,Backlog[Requirement ID],0))),"",INDEX(Backlog[Jira Link],MATCH($A60,Backlog[Requirement ID],0))),"")</f>
        <v/>
      </c>
      <c r="F60" s="24" t="s">
        <v>396</v>
      </c>
      <c r="G60" s="24" t="s">
        <v>396</v>
      </c>
      <c r="H60" s="30" t="str">
        <f aca="false">IFERROR(IF(ISBLANK(INDEX(SprintPlanning[Sprint],MATCH($A60,SprintPlanning[Requirement ID],0))),"",INDEX(SprintPlanning[Sprint],MATCH($A60,SprintPlanning[Requirement ID],0))),"")</f>
        <v>To Plan</v>
      </c>
      <c r="I60" s="26" t="str">
        <f aca="false">IFERROR(IF(ISBLANK(INDEX(Backlog[Status],MATCH($A60,Backlog[Requirement ID],0))),"",INDEX(Backlog[Status],MATCH($A60,Backlog[Requirement ID],0))),"")</f>
        <v>NEW</v>
      </c>
      <c r="J60" s="26" t="str">
        <f aca="false">IFERROR(IF(ISBLANK(INDEX(Backlog[Priority],MATCH($A60,Backlog[Requirement ID],0))),"",INDEX(Backlog[Priority],MATCH($A60,Backlog[Requirement ID],0))),"")</f>
        <v>Medium</v>
      </c>
      <c r="K60" s="24"/>
      <c r="L60" s="44"/>
      <c r="M60" s="44"/>
      <c r="N60" s="24"/>
      <c r="O60" s="45"/>
      <c r="P60" s="46"/>
      <c r="Q60" s="46"/>
    </row>
    <row r="61" customFormat="false" ht="15" hidden="false" customHeight="true" outlineLevel="0" collapsed="false">
      <c r="A61" s="24" t="str">
        <f aca="false">Backlog!A61</f>
        <v>NEW-0401</v>
      </c>
      <c r="B61" s="26" t="str">
        <f aca="false">IFERROR(IF(ISBLANK(INDEX(Backlog[Requirement Name],MATCH($A61,Backlog[Requirement ID],0))),"",INDEX(Backlog[Requirement Name],MATCH($A61,Backlog[Requirement ID],0))),"")</f>
        <v>Excursions' category not visible, neither in the catalogue nor in the modal</v>
      </c>
      <c r="C61" s="26" t="str">
        <f aca="false">IFERROR(IF(ISBLANK(INDEX(Backlog[Stream],MATCH($A61,Backlog[Requirement ID],0))),"",INDEX(Backlog[Stream],MATCH($A61,Backlog[Requirement ID],0))),"")</f>
        <v>MyMSC</v>
      </c>
      <c r="D61" s="26" t="str">
        <f aca="false">IFERROR(IF(ISBLANK(INDEX(Backlog[Stream Owner],MATCH($A61,Backlog[Requirement ID],0))),"",INDEX(Backlog[Stream Owner],MATCH($A61,Backlog[Requirement ID],0))),"")</f>
        <v>B2CW</v>
      </c>
      <c r="E61" s="26" t="str">
        <f aca="false">IFERROR(IF(ISBLANK(INDEX(Backlog[Jira Link],MATCH($A61,Backlog[Requirement ID],0))),"",INDEX(Backlog[Jira Link],MATCH($A61,Backlog[Requirement ID],0))),"")</f>
        <v/>
      </c>
      <c r="F61" s="24" t="s">
        <v>396</v>
      </c>
      <c r="G61" s="24" t="s">
        <v>396</v>
      </c>
      <c r="H61" s="30" t="str">
        <f aca="false">IFERROR(IF(ISBLANK(INDEX(SprintPlanning[Sprint],MATCH($A61,SprintPlanning[Requirement ID],0))),"",INDEX(SprintPlanning[Sprint],MATCH($A61,SprintPlanning[Requirement ID],0))),"")</f>
        <v>To Plan</v>
      </c>
      <c r="I61" s="26" t="str">
        <f aca="false">IFERROR(IF(ISBLANK(INDEX(Backlog[Status],MATCH($A61,Backlog[Requirement ID],0))),"",INDEX(Backlog[Status],MATCH($A61,Backlog[Requirement ID],0))),"")</f>
        <v>NEW</v>
      </c>
      <c r="J61" s="26" t="str">
        <f aca="false">IFERROR(IF(ISBLANK(INDEX(Backlog[Priority],MATCH($A61,Backlog[Requirement ID],0))),"",INDEX(Backlog[Priority],MATCH($A61,Backlog[Requirement ID],0))),"")</f>
        <v>Medium</v>
      </c>
      <c r="K61" s="24"/>
      <c r="L61" s="44"/>
      <c r="M61" s="44"/>
      <c r="N61" s="24"/>
      <c r="O61" s="45"/>
      <c r="P61" s="46"/>
      <c r="Q61" s="46"/>
    </row>
    <row r="62" customFormat="false" ht="15" hidden="false" customHeight="true" outlineLevel="0" collapsed="false">
      <c r="A62" s="24" t="str">
        <f aca="false">Backlog!A62</f>
        <v>NEW-0402</v>
      </c>
      <c r="B62" s="26" t="str">
        <f aca="false">IFERROR(IF(ISBLANK(INDEX(Backlog[Requirement Name],MATCH($A62,Backlog[Requirement ID],0))),"",INDEX(Backlog[Requirement Name],MATCH($A62,Backlog[Requirement ID],0))),"")</f>
        <v>Cross Device &gt; Plan my cruise: Cart &gt; Impossible to apply a coupon on a NON-Discounted item</v>
      </c>
      <c r="C62" s="26" t="str">
        <f aca="false">IFERROR(IF(ISBLANK(INDEX(Backlog[Stream],MATCH($A62,Backlog[Requirement ID],0))),"",INDEX(Backlog[Stream],MATCH($A62,Backlog[Requirement ID],0))),"")</f>
        <v>MyMSC</v>
      </c>
      <c r="D62" s="26" t="str">
        <f aca="false">IFERROR(IF(ISBLANK(INDEX(Backlog[Stream Owner],MATCH($A62,Backlog[Requirement ID],0))),"",INDEX(Backlog[Stream Owner],MATCH($A62,Backlog[Requirement ID],0))),"")</f>
        <v>B2CW</v>
      </c>
      <c r="E62" s="26" t="str">
        <f aca="false">IFERROR(IF(ISBLANK(INDEX(Backlog[Jira Link],MATCH($A62,Backlog[Requirement ID],0))),"",INDEX(Backlog[Jira Link],MATCH($A62,Backlog[Requirement ID],0))),"")</f>
        <v/>
      </c>
      <c r="F62" s="24" t="s">
        <v>396</v>
      </c>
      <c r="G62" s="24" t="s">
        <v>396</v>
      </c>
      <c r="H62" s="30" t="str">
        <f aca="false">IFERROR(IF(ISBLANK(INDEX(SprintPlanning[Sprint],MATCH($A62,SprintPlanning[Requirement ID],0))),"",INDEX(SprintPlanning[Sprint],MATCH($A62,SprintPlanning[Requirement ID],0))),"")</f>
        <v>To Plan</v>
      </c>
      <c r="I62" s="26" t="str">
        <f aca="false">IFERROR(IF(ISBLANK(INDEX(Backlog[Status],MATCH($A62,Backlog[Requirement ID],0))),"",INDEX(Backlog[Status],MATCH($A62,Backlog[Requirement ID],0))),"")</f>
        <v>NEW</v>
      </c>
      <c r="J62" s="26" t="str">
        <f aca="false">IFERROR(IF(ISBLANK(INDEX(Backlog[Priority],MATCH($A62,Backlog[Requirement ID],0))),"",INDEX(Backlog[Priority],MATCH($A62,Backlog[Requirement ID],0))),"")</f>
        <v>Medium</v>
      </c>
      <c r="K62" s="24"/>
      <c r="L62" s="44"/>
      <c r="M62" s="44"/>
      <c r="N62" s="24"/>
      <c r="O62" s="45"/>
      <c r="P62" s="46"/>
      <c r="Q62" s="46"/>
    </row>
    <row r="63" customFormat="false" ht="15" hidden="false" customHeight="true" outlineLevel="0" collapsed="false">
      <c r="A63" s="24" t="str">
        <f aca="false">Backlog!A63</f>
        <v>NEW-0403</v>
      </c>
      <c r="B63" s="26" t="str">
        <f aca="false">IFERROR(IF(ISBLANK(INDEX(Backlog[Requirement Name],MATCH($A63,Backlog[Requirement ID],0))),"",INDEX(Backlog[Requirement Name],MATCH($A63,Backlog[Requirement ID],0))),"")</f>
        <v>Wider management of label</v>
      </c>
      <c r="C63" s="26" t="str">
        <f aca="false">IFERROR(IF(ISBLANK(INDEX(Backlog[Stream],MATCH($A63,Backlog[Requirement ID],0))),"",INDEX(Backlog[Stream],MATCH($A63,Backlog[Requirement ID],0))),"")</f>
        <v>MyMSC</v>
      </c>
      <c r="D63" s="26" t="str">
        <f aca="false">IFERROR(IF(ISBLANK(INDEX(Backlog[Stream Owner],MATCH($A63,Backlog[Requirement ID],0))),"",INDEX(Backlog[Stream Owner],MATCH($A63,Backlog[Requirement ID],0))),"")</f>
        <v>B2CW</v>
      </c>
      <c r="E63" s="26" t="str">
        <f aca="false">IFERROR(IF(ISBLANK(INDEX(Backlog[Jira Link],MATCH($A63,Backlog[Requirement ID],0))),"",INDEX(Backlog[Jira Link],MATCH($A63,Backlog[Requirement ID],0))),"")</f>
        <v/>
      </c>
      <c r="F63" s="24" t="s">
        <v>396</v>
      </c>
      <c r="G63" s="24" t="s">
        <v>396</v>
      </c>
      <c r="H63" s="30" t="str">
        <f aca="false">IFERROR(IF(ISBLANK(INDEX(SprintPlanning[Sprint],MATCH($A63,SprintPlanning[Requirement ID],0))),"",INDEX(SprintPlanning[Sprint],MATCH($A63,SprintPlanning[Requirement ID],0))),"")</f>
        <v>To Plan</v>
      </c>
      <c r="I63" s="26" t="str">
        <f aca="false">IFERROR(IF(ISBLANK(INDEX(Backlog[Status],MATCH($A63,Backlog[Requirement ID],0))),"",INDEX(Backlog[Status],MATCH($A63,Backlog[Requirement ID],0))),"")</f>
        <v>NEW</v>
      </c>
      <c r="J63" s="26" t="str">
        <f aca="false">IFERROR(IF(ISBLANK(INDEX(Backlog[Priority],MATCH($A63,Backlog[Requirement ID],0))),"",INDEX(Backlog[Priority],MATCH($A63,Backlog[Requirement ID],0))),"")</f>
        <v>Medium</v>
      </c>
      <c r="K63" s="24"/>
      <c r="L63" s="44"/>
      <c r="M63" s="44"/>
      <c r="N63" s="24"/>
      <c r="O63" s="45"/>
      <c r="P63" s="46"/>
      <c r="Q63" s="46"/>
    </row>
    <row r="64" customFormat="false" ht="15" hidden="false" customHeight="true" outlineLevel="0" collapsed="false">
      <c r="A64" s="24" t="str">
        <f aca="false">Backlog!A64</f>
        <v>NEW-0404</v>
      </c>
      <c r="B64" s="26" t="str">
        <f aca="false">IFERROR(IF(ISBLANK(INDEX(Backlog[Requirement Name],MATCH($A64,Backlog[Requirement ID],0))),"",INDEX(Backlog[Requirement Name],MATCH($A64,Backlog[Requirement ID],0))),"")</f>
        <v>Cross Device &gt; Plan My Cruise &gt; OBS/ACT 'Add passenger' CTA shown even if only non-eligible pax</v>
      </c>
      <c r="C64" s="26" t="str">
        <f aca="false">IFERROR(IF(ISBLANK(INDEX(Backlog[Stream],MATCH($A64,Backlog[Requirement ID],0))),"",INDEX(Backlog[Stream],MATCH($A64,Backlog[Requirement ID],0))),"")</f>
        <v>MyMSC</v>
      </c>
      <c r="D64" s="26" t="str">
        <f aca="false">IFERROR(IF(ISBLANK(INDEX(Backlog[Stream Owner],MATCH($A64,Backlog[Requirement ID],0))),"",INDEX(Backlog[Stream Owner],MATCH($A64,Backlog[Requirement ID],0))),"")</f>
        <v>B2CW</v>
      </c>
      <c r="E64" s="26" t="str">
        <f aca="false">IFERROR(IF(ISBLANK(INDEX(Backlog[Jira Link],MATCH($A64,Backlog[Requirement ID],0))),"",INDEX(Backlog[Jira Link],MATCH($A64,Backlog[Requirement ID],0))),"")</f>
        <v/>
      </c>
      <c r="F64" s="24" t="s">
        <v>396</v>
      </c>
      <c r="G64" s="24" t="s">
        <v>396</v>
      </c>
      <c r="H64" s="30" t="str">
        <f aca="false">IFERROR(IF(ISBLANK(INDEX(SprintPlanning[Sprint],MATCH($A64,SprintPlanning[Requirement ID],0))),"",INDEX(SprintPlanning[Sprint],MATCH($A64,SprintPlanning[Requirement ID],0))),"")</f>
        <v>To Plan</v>
      </c>
      <c r="I64" s="26" t="str">
        <f aca="false">IFERROR(IF(ISBLANK(INDEX(Backlog[Status],MATCH($A64,Backlog[Requirement ID],0))),"",INDEX(Backlog[Status],MATCH($A64,Backlog[Requirement ID],0))),"")</f>
        <v>NEW</v>
      </c>
      <c r="J64" s="26" t="str">
        <f aca="false">IFERROR(IF(ISBLANK(INDEX(Backlog[Priority],MATCH($A64,Backlog[Requirement ID],0))),"",INDEX(Backlog[Priority],MATCH($A64,Backlog[Requirement ID],0))),"")</f>
        <v>Medium</v>
      </c>
      <c r="K64" s="24"/>
      <c r="L64" s="44"/>
      <c r="M64" s="44"/>
      <c r="N64" s="24"/>
      <c r="O64" s="45"/>
      <c r="P64" s="46"/>
      <c r="Q64" s="46"/>
    </row>
    <row r="65" customFormat="false" ht="15" hidden="false" customHeight="true" outlineLevel="0" collapsed="false">
      <c r="A65" s="1" t="str">
        <f aca="false">Backlog!A65</f>
        <v>NEW-0405</v>
      </c>
      <c r="B65" s="1" t="str">
        <f aca="false">IFERROR(IF(ISBLANK(INDEX(Backlog[Requirement Name],MATCH($A65,Backlog[Requirement ID],0))),"",INDEX(Backlog[Requirement Name],MATCH($A65,Backlog[Requirement ID],0))),"")</f>
        <v>Whatsapp Subscription (Phase 3)</v>
      </c>
      <c r="C65" s="1" t="str">
        <f aca="false">IFERROR(IF(ISBLANK(INDEX(Backlog[Stream],MATCH($A65,Backlog[Requirement ID],0))),"",INDEX(Backlog[Stream],MATCH($A65,Backlog[Requirement ID],0))),"")</f>
        <v>Backlog</v>
      </c>
      <c r="D65" s="1" t="str">
        <f aca="false">IFERROR(IF(ISBLANK(INDEX(Backlog[Stream Owner],MATCH($A65,Backlog[Requirement ID],0))),"",INDEX(Backlog[Stream Owner],MATCH($A65,Backlog[Requirement ID],0))),"")</f>
        <v>MA</v>
      </c>
      <c r="E65" s="1" t="str">
        <f aca="false">IFERROR(IF(ISBLANK(INDEX(Backlog[Jira Link],MATCH($A65,Backlog[Requirement ID],0))),"",INDEX(Backlog[Jira Link],MATCH($A65,Backlog[Requirement ID],0))),"")</f>
        <v/>
      </c>
      <c r="F65" s="24" t="s">
        <v>396</v>
      </c>
      <c r="G65" s="24" t="s">
        <v>396</v>
      </c>
      <c r="H65" s="1" t="str">
        <f aca="false">IFERROR(IF(ISBLANK(INDEX(SprintPlanning[Sprint],MATCH($A65,SprintPlanning[Requirement ID],0))),"",INDEX(SprintPlanning[Sprint],MATCH($A65,SprintPlanning[Requirement ID],0))),"")</f>
        <v>To Plan</v>
      </c>
      <c r="I65" s="1" t="str">
        <f aca="false">IFERROR(IF(ISBLANK(INDEX(Backlog[Status],MATCH($A65,Backlog[Requirement ID],0))),"",INDEX(Backlog[Status],MATCH($A65,Backlog[Requirement ID],0))),"")</f>
        <v>NEW</v>
      </c>
      <c r="J65" s="1" t="str">
        <f aca="false">IFERROR(IF(ISBLANK(INDEX(Backlog[Priority],MATCH($A65,Backlog[Requirement ID],0))),"",INDEX(Backlog[Priority],MATCH($A65,Backlog[Requirement ID],0))),"")</f>
        <v>Medium</v>
      </c>
      <c r="K65" s="46"/>
      <c r="L65" s="45"/>
      <c r="M65" s="45"/>
      <c r="N65" s="46"/>
      <c r="O65" s="45"/>
      <c r="P65" s="46"/>
      <c r="Q65" s="46"/>
    </row>
    <row r="66" customFormat="false" ht="15" hidden="false" customHeight="true" outlineLevel="0" collapsed="false">
      <c r="A66" s="1" t="str">
        <f aca="false">Backlog!A66</f>
        <v>NEW-0413</v>
      </c>
      <c r="B66" s="1" t="str">
        <f aca="false">IFERROR(IF(ISBLANK(INDEX(Backlog[Requirement Name],MATCH($A66,Backlog[Requirement ID],0))),"",INDEX(Backlog[Requirement Name],MATCH($A66,Backlog[Requirement ID],0))),"")</f>
        <v>[EINT][INT187][INT139][INT145] - Remove phone number mapping from Datatrans transaction creation</v>
      </c>
      <c r="C66" s="1" t="str">
        <f aca="false">IFERROR(IF(ISBLANK(INDEX(Backlog[Stream],MATCH($A66,Backlog[Requirement ID],0))),"",INDEX(Backlog[Stream],MATCH($A66,Backlog[Requirement ID],0))),"")</f>
        <v>PI10</v>
      </c>
      <c r="D66" s="1" t="str">
        <f aca="false">IFERROR(IF(ISBLANK(INDEX(Backlog[Stream Owner],MATCH($A66,Backlog[Requirement ID],0))),"",INDEX(Backlog[Stream Owner],MATCH($A66,Backlog[Requirement ID],0))),"")</f>
        <v>M4M</v>
      </c>
      <c r="E66" s="1" t="str">
        <f aca="false">IFERROR(IF(ISBLANK(INDEX(Backlog[Jira Link],MATCH($A66,Backlog[Requirement ID],0))),"",INDEX(Backlog[Jira Link],MATCH($A66,Backlog[Requirement ID],0))),"")</f>
        <v>https://smartship.atlassian.net/browse/DTTP25-41728</v>
      </c>
      <c r="F66" s="46" t="s">
        <v>395</v>
      </c>
      <c r="G66" s="46" t="s">
        <v>395</v>
      </c>
      <c r="H66" s="1" t="str">
        <f aca="false">IFERROR(IF(ISBLANK(INDEX(SprintPlanning[Sprint],MATCH($A66,SprintPlanning[Requirement ID],0))),"",INDEX(SprintPlanning[Sprint],MATCH($A66,SprintPlanning[Requirement ID],0))),"")</f>
        <v>To Plan</v>
      </c>
      <c r="I66" s="1" t="str">
        <f aca="false">IFERROR(IF(ISBLANK(INDEX(Backlog[Status],MATCH($A66,Backlog[Requirement ID],0))),"",INDEX(Backlog[Status],MATCH($A66,Backlog[Requirement ID],0))),"")</f>
        <v>NEW</v>
      </c>
      <c r="J66" s="1" t="str">
        <f aca="false">IFERROR(IF(ISBLANK(INDEX(Backlog[Priority],MATCH($A66,Backlog[Requirement ID],0))),"",INDEX(Backlog[Priority],MATCH($A66,Backlog[Requirement ID],0))),"")</f>
        <v>Medium</v>
      </c>
      <c r="K66" s="46"/>
      <c r="L66" s="45"/>
      <c r="M66" s="45"/>
      <c r="N66" s="46"/>
      <c r="O66" s="45"/>
      <c r="P66" s="46"/>
      <c r="Q66" s="46"/>
    </row>
    <row r="67" customFormat="false" ht="15" hidden="false" customHeight="true" outlineLevel="0" collapsed="false">
      <c r="A67" s="1" t="str">
        <f aca="false">Backlog!A67</f>
        <v>NEW-0414</v>
      </c>
      <c r="B67" s="1"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IFERROR(IF(ISBLANK(INDEX(Backlog[Stream Owner],MATCH($A67,Backlog[Requirement ID],0))),"",INDEX(Backlog[Stream Owner],MATCH($A67,Backlog[Requirement ID],0))),"")</f>
        <v>M4M</v>
      </c>
      <c r="E67" s="1" t="str">
        <f aca="false">IFERROR(IF(ISBLANK(INDEX(Backlog[Jira Link],MATCH($A67,Backlog[Requirement ID],0))),"",INDEX(Backlog[Jira Link],MATCH($A67,Backlog[Requirement ID],0))),"")</f>
        <v>https://smartship.atlassian.net/browse/DTTP25-41730</v>
      </c>
      <c r="F67" s="46" t="s">
        <v>395</v>
      </c>
      <c r="G67" s="46" t="s">
        <v>395</v>
      </c>
      <c r="H67" s="1" t="str">
        <f aca="false">IFERROR(IF(ISBLANK(INDEX(SprintPlanning[Sprint],MATCH($A67,SprintPlanning[Requirement ID],0))),"",INDEX(SprintPlanning[Sprint],MATCH($A67,SprintPlanning[Requirement ID],0))),"")</f>
        <v>To Plan</v>
      </c>
      <c r="I67" s="1" t="str">
        <f aca="false">IFERROR(IF(ISBLANK(INDEX(Backlog[Status],MATCH($A67,Backlog[Requirement ID],0))),"",INDEX(Backlog[Status],MATCH($A67,Backlog[Requirement ID],0))),"")</f>
        <v>NEW</v>
      </c>
      <c r="J67" s="1" t="str">
        <f aca="false">IFERROR(IF(ISBLANK(INDEX(Backlog[Priority],MATCH($A67,Backlog[Requirement ID],0))),"",INDEX(Backlog[Priority],MATCH($A67,Backlog[Requirement ID],0))),"")</f>
        <v>Medium</v>
      </c>
      <c r="K67" s="46"/>
      <c r="L67" s="45"/>
      <c r="M67" s="45"/>
      <c r="N67" s="46"/>
      <c r="O67" s="45"/>
      <c r="P67" s="46"/>
      <c r="Q67" s="46"/>
    </row>
    <row r="68" customFormat="false" ht="15" hidden="false" customHeight="true" outlineLevel="0" collapsed="false">
      <c r="A68" s="1" t="str">
        <f aca="false">Backlog!A68</f>
        <v>NEW-0415</v>
      </c>
      <c r="B68" s="1"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IFERROR(IF(ISBLANK(INDEX(Backlog[Stream Owner],MATCH($A68,Backlog[Requirement ID],0))),"",INDEX(Backlog[Stream Owner],MATCH($A68,Backlog[Requirement ID],0))),"")</f>
        <v>M4M</v>
      </c>
      <c r="E68" s="1" t="str">
        <f aca="false">IFERROR(IF(ISBLANK(INDEX(Backlog[Jira Link],MATCH($A68,Backlog[Requirement ID],0))),"",INDEX(Backlog[Jira Link],MATCH($A68,Backlog[Requirement ID],0))),"")</f>
        <v>https://smartship.atlassian.net/browse/DTTP25-41725</v>
      </c>
      <c r="F68" s="46" t="s">
        <v>132</v>
      </c>
      <c r="G68" s="46" t="s">
        <v>132</v>
      </c>
      <c r="H68" s="1" t="str">
        <f aca="false">IFERROR(IF(ISBLANK(INDEX(SprintPlanning[Sprint],MATCH($A68,SprintPlanning[Requirement ID],0))),"",INDEX(SprintPlanning[Sprint],MATCH($A68,SprintPlanning[Requirement ID],0))),"")</f>
        <v>To Plan</v>
      </c>
      <c r="I68" s="1" t="str">
        <f aca="false">IFERROR(IF(ISBLANK(INDEX(Backlog[Status],MATCH($A68,Backlog[Requirement ID],0))),"",INDEX(Backlog[Status],MATCH($A68,Backlog[Requirement ID],0))),"")</f>
        <v>NEW</v>
      </c>
      <c r="J68" s="1" t="str">
        <f aca="false">IFERROR(IF(ISBLANK(INDEX(Backlog[Priority],MATCH($A68,Backlog[Requirement ID],0))),"",INDEX(Backlog[Priority],MATCH($A68,Backlog[Requirement ID],0))),"")</f>
        <v>Medium</v>
      </c>
      <c r="K68" s="46"/>
      <c r="L68" s="45"/>
      <c r="M68" s="45"/>
      <c r="N68" s="46"/>
      <c r="O68" s="45"/>
      <c r="P68" s="46"/>
      <c r="Q68" s="46"/>
    </row>
    <row r="69" customFormat="false" ht="15" hidden="false" customHeight="true" outlineLevel="0" collapsed="false">
      <c r="A69" s="1" t="str">
        <f aca="false">Backlog!A69</f>
        <v>NEW-0084</v>
      </c>
      <c r="B69" s="1"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IFERROR(IF(ISBLANK(INDEX(Backlog[Stream Owner],MATCH($A69,Backlog[Requirement ID],0))),"",INDEX(Backlog[Stream Owner],MATCH($A69,Backlog[Requirement ID],0))),"")</f>
        <v>B2CW</v>
      </c>
      <c r="E69" s="1" t="str">
        <f aca="false">IFERROR(IF(ISBLANK(INDEX(Backlog[Jira Link],MATCH($A69,Backlog[Requirement ID],0))),"",INDEX(Backlog[Jira Link],MATCH($A69,Backlog[Requirement ID],0))),"")</f>
        <v/>
      </c>
      <c r="F69" s="46" t="s">
        <v>132</v>
      </c>
      <c r="G69" s="46" t="s">
        <v>132</v>
      </c>
      <c r="H69" s="1" t="str">
        <f aca="false">IFERROR(IF(ISBLANK(INDEX(SprintPlanning[Sprint],MATCH($A69,SprintPlanning[Requirement ID],0))),"",INDEX(SprintPlanning[Sprint],MATCH($A69,SprintPlanning[Requirement ID],0))),"")</f>
        <v>To Plan</v>
      </c>
      <c r="I69" s="1" t="str">
        <f aca="false">IFERROR(IF(ISBLANK(INDEX(Backlog[Status],MATCH($A69,Backlog[Requirement ID],0))),"",INDEX(Backlog[Status],MATCH($A69,Backlog[Requirement ID],0))),"")</f>
        <v>NEW</v>
      </c>
      <c r="J69" s="1" t="str">
        <f aca="false">IFERROR(IF(ISBLANK(INDEX(Backlog[Priority],MATCH($A69,Backlog[Requirement ID],0))),"",INDEX(Backlog[Priority],MATCH($A69,Backlog[Requirement ID],0))),"")</f>
        <v>Medium</v>
      </c>
      <c r="K69" s="46"/>
      <c r="L69" s="45"/>
      <c r="M69" s="45"/>
      <c r="N69" s="46"/>
      <c r="O69" s="45"/>
      <c r="P69" s="46"/>
      <c r="Q69" s="46"/>
    </row>
    <row r="70" customFormat="false" ht="15" hidden="false" customHeight="true" outlineLevel="0" collapsed="false">
      <c r="A70" s="1" t="str">
        <f aca="false">Backlog!A70</f>
        <v>NEW-0072</v>
      </c>
      <c r="B70" s="1"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IFERROR(IF(ISBLANK(INDEX(Backlog[Stream Owner],MATCH($A70,Backlog[Requirement ID],0))),"",INDEX(Backlog[Stream Owner],MATCH($A70,Backlog[Requirement ID],0))),"")</f>
        <v>B2CW</v>
      </c>
      <c r="E70" s="1" t="str">
        <f aca="false">IFERROR(IF(ISBLANK(INDEX(Backlog[Jira Link],MATCH($A70,Backlog[Requirement ID],0))),"",INDEX(Backlog[Jira Link],MATCH($A70,Backlog[Requirement ID],0))),"")</f>
        <v>https://smartship.atlassian.net/browse/DTTP25-41932</v>
      </c>
      <c r="F70" s="24" t="s">
        <v>396</v>
      </c>
      <c r="G70" s="24" t="s">
        <v>396</v>
      </c>
      <c r="H70" s="1" t="str">
        <f aca="false">IFERROR(IF(ISBLANK(INDEX(SprintPlanning[Sprint],MATCH($A70,SprintPlanning[Requirement ID],0))),"",INDEX(SprintPlanning[Sprint],MATCH($A70,SprintPlanning[Requirement ID],0))),"")</f>
        <v>To Plan</v>
      </c>
      <c r="I70" s="1" t="str">
        <f aca="false">IFERROR(IF(ISBLANK(INDEX(Backlog[Status],MATCH($A70,Backlog[Requirement ID],0))),"",INDEX(Backlog[Status],MATCH($A70,Backlog[Requirement ID],0))),"")</f>
        <v>NEW</v>
      </c>
      <c r="J70" s="1" t="str">
        <f aca="false">IFERROR(IF(ISBLANK(INDEX(Backlog[Priority],MATCH($A70,Backlog[Requirement ID],0))),"",INDEX(Backlog[Priority],MATCH($A70,Backlog[Requirement ID],0))),"")</f>
        <v>Medium</v>
      </c>
      <c r="K70" s="46"/>
      <c r="L70" s="45"/>
      <c r="M70" s="45"/>
      <c r="N70" s="46"/>
      <c r="O70" s="45"/>
      <c r="P70" s="46"/>
      <c r="Q70" s="46"/>
    </row>
    <row r="71" customFormat="false" ht="15" hidden="false" customHeight="true" outlineLevel="0" collapsed="false">
      <c r="A71" s="1" t="str">
        <f aca="false">Backlog!A71</f>
        <v>NEW-0073</v>
      </c>
      <c r="B71" s="1"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IFERROR(IF(ISBLANK(INDEX(Backlog[Stream Owner],MATCH($A71,Backlog[Requirement ID],0))),"",INDEX(Backlog[Stream Owner],MATCH($A71,Backlog[Requirement ID],0))),"")</f>
        <v>B2CW</v>
      </c>
      <c r="E71" s="1" t="str">
        <f aca="false">IFERROR(IF(ISBLANK(INDEX(Backlog[Jira Link],MATCH($A71,Backlog[Requirement ID],0))),"",INDEX(Backlog[Jira Link],MATCH($A71,Backlog[Requirement ID],0))),"")</f>
        <v>https://smartship.atlassian.net/browse/DTTP25-41933</v>
      </c>
      <c r="F71" s="24" t="s">
        <v>396</v>
      </c>
      <c r="G71" s="24" t="s">
        <v>396</v>
      </c>
      <c r="H71" s="1" t="str">
        <f aca="false">IFERROR(IF(ISBLANK(INDEX(SprintPlanning[Sprint],MATCH($A71,SprintPlanning[Requirement ID],0))),"",INDEX(SprintPlanning[Sprint],MATCH($A71,SprintPlanning[Requirement ID],0))),"")</f>
        <v>To Plan</v>
      </c>
      <c r="I71" s="1" t="str">
        <f aca="false">IFERROR(IF(ISBLANK(INDEX(Backlog[Status],MATCH($A71,Backlog[Requirement ID],0))),"",INDEX(Backlog[Status],MATCH($A71,Backlog[Requirement ID],0))),"")</f>
        <v>NEW</v>
      </c>
      <c r="J71" s="1" t="str">
        <f aca="false">IFERROR(IF(ISBLANK(INDEX(Backlog[Priority],MATCH($A71,Backlog[Requirement ID],0))),"",INDEX(Backlog[Priority],MATCH($A71,Backlog[Requirement ID],0))),"")</f>
        <v>Medium</v>
      </c>
      <c r="K71" s="46"/>
      <c r="L71" s="45"/>
      <c r="M71" s="45"/>
      <c r="N71" s="46"/>
      <c r="O71" s="45"/>
      <c r="P71" s="46"/>
      <c r="Q71" s="46"/>
    </row>
    <row r="72" customFormat="false" ht="15" hidden="false" customHeight="true" outlineLevel="0" collapsed="false">
      <c r="A72" s="1" t="str">
        <f aca="false">Backlog!A72</f>
        <v>NEW-0074</v>
      </c>
      <c r="B72" s="1"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IFERROR(IF(ISBLANK(INDEX(Backlog[Stream Owner],MATCH($A72,Backlog[Requirement ID],0))),"",INDEX(Backlog[Stream Owner],MATCH($A72,Backlog[Requirement ID],0))),"")</f>
        <v>B2CW</v>
      </c>
      <c r="E72" s="1" t="str">
        <f aca="false">IFERROR(IF(ISBLANK(INDEX(Backlog[Jira Link],MATCH($A72,Backlog[Requirement ID],0))),"",INDEX(Backlog[Jira Link],MATCH($A72,Backlog[Requirement ID],0))),"")</f>
        <v>https://smartship.atlassian.net/browse/DTTP25-41934</v>
      </c>
      <c r="F72" s="24" t="s">
        <v>395</v>
      </c>
      <c r="G72" s="24" t="s">
        <v>395</v>
      </c>
      <c r="H72" s="1" t="str">
        <f aca="false">IFERROR(IF(ISBLANK(INDEX(SprintPlanning[Sprint],MATCH($A72,SprintPlanning[Requirement ID],0))),"",INDEX(SprintPlanning[Sprint],MATCH($A72,SprintPlanning[Requirement ID],0))),"")</f>
        <v>Sprint 13</v>
      </c>
      <c r="I72" s="1" t="str">
        <f aca="false">IFERROR(IF(ISBLANK(INDEX(Backlog[Status],MATCH($A72,Backlog[Requirement ID],0))),"",INDEX(Backlog[Status],MATCH($A72,Backlog[Requirement ID],0))),"")</f>
        <v>NEW</v>
      </c>
      <c r="J72" s="1" t="str">
        <f aca="false">IFERROR(IF(ISBLANK(INDEX(Backlog[Priority],MATCH($A72,Backlog[Requirement ID],0))),"",INDEX(Backlog[Priority],MATCH($A72,Backlog[Requirement ID],0))),"")</f>
        <v>High</v>
      </c>
      <c r="K72" s="46"/>
      <c r="L72" s="45"/>
      <c r="M72" s="45"/>
      <c r="N72" s="46"/>
      <c r="O72" s="45"/>
      <c r="P72" s="46"/>
      <c r="Q72" s="46"/>
    </row>
    <row r="73" customFormat="false" ht="15" hidden="false" customHeight="true" outlineLevel="0" collapsed="false">
      <c r="A73" s="1" t="str">
        <f aca="false">Backlog!A73</f>
        <v>NEW-0453</v>
      </c>
      <c r="B73" s="1"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IFERROR(IF(ISBLANK(INDEX(Backlog[Stream Owner],MATCH($A73,Backlog[Requirement ID],0))),"",INDEX(Backlog[Stream Owner],MATCH($A73,Backlog[Requirement ID],0))),"")</f>
        <v>MA</v>
      </c>
      <c r="E73" s="1" t="str">
        <f aca="false">IFERROR(IF(ISBLANK(INDEX(Backlog[Jira Link],MATCH($A73,Backlog[Requirement ID],0))),"",INDEX(Backlog[Jira Link],MATCH($A73,Backlog[Requirement ID],0))),"")</f>
        <v/>
      </c>
      <c r="F73" s="23" t="s">
        <v>396</v>
      </c>
      <c r="G73" s="23" t="s">
        <v>396</v>
      </c>
      <c r="H73" s="1" t="str">
        <f aca="false">IFERROR(IF(ISBLANK(INDEX(SprintPlanning[Sprint],MATCH($A73,SprintPlanning[Requirement ID],0))),"",INDEX(SprintPlanning[Sprint],MATCH($A73,SprintPlanning[Requirement ID],0))),"")</f>
        <v>To Plan</v>
      </c>
      <c r="I73" s="1" t="str">
        <f aca="false">IFERROR(IF(ISBLANK(INDEX(Backlog[Status],MATCH($A73,Backlog[Requirement ID],0))),"",INDEX(Backlog[Status],MATCH($A73,Backlog[Requirement ID],0))),"")</f>
        <v>NEW</v>
      </c>
      <c r="J73" s="1" t="str">
        <f aca="false">IFERROR(IF(ISBLANK(INDEX(Backlog[Priority],MATCH($A73,Backlog[Requirement ID],0))),"",INDEX(Backlog[Priority],MATCH($A73,Backlog[Requirement ID],0))),"")</f>
        <v>Medium</v>
      </c>
      <c r="L73" s="49"/>
      <c r="M73" s="49"/>
      <c r="O73" s="49"/>
    </row>
    <row r="74" customFormat="false" ht="15" hidden="false" customHeight="true" outlineLevel="0" collapsed="false">
      <c r="A74" s="1" t="str">
        <f aca="false">Backlog!A74</f>
        <v>NEW-0454</v>
      </c>
      <c r="B74" s="1"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IFERROR(IF(ISBLANK(INDEX(Backlog[Stream Owner],MATCH($A74,Backlog[Requirement ID],0))),"",INDEX(Backlog[Stream Owner],MATCH($A74,Backlog[Requirement ID],0))),"")</f>
        <v>M4M</v>
      </c>
      <c r="E74" s="1" t="str">
        <f aca="false">IFERROR(IF(ISBLANK(INDEX(Backlog[Jira Link],MATCH($A74,Backlog[Requirement ID],0))),"",INDEX(Backlog[Jira Link],MATCH($A74,Backlog[Requirement ID],0))),"")</f>
        <v>https://smartship.atlassian.net/browse/DTTP25-43299</v>
      </c>
      <c r="F74" s="23" t="s">
        <v>395</v>
      </c>
      <c r="G74" s="23" t="s">
        <v>396</v>
      </c>
      <c r="H74" s="1" t="str">
        <f aca="false">IFERROR(IF(ISBLANK(INDEX(SprintPlanning[Sprint],MATCH($A74,SprintPlanning[Requirement ID],0))),"",INDEX(SprintPlanning[Sprint],MATCH($A74,SprintPlanning[Requirement ID],0))),"")</f>
        <v>Sprint 14</v>
      </c>
      <c r="I74" s="1" t="str">
        <f aca="false">IFERROR(IF(ISBLANK(INDEX(Backlog[Status],MATCH($A74,Backlog[Requirement ID],0))),"",INDEX(Backlog[Status],MATCH($A74,Backlog[Requirement ID],0))),"")</f>
        <v>NEW</v>
      </c>
      <c r="J74" s="1" t="str">
        <f aca="false">IFERROR(IF(ISBLANK(INDEX(Backlog[Priority],MATCH($A74,Backlog[Requirement ID],0))),"",INDEX(Backlog[Priority],MATCH($A74,Backlog[Requirement ID],0))),"")</f>
        <v>High</v>
      </c>
      <c r="L74" s="49"/>
      <c r="M74" s="49"/>
      <c r="O74" s="49"/>
    </row>
    <row r="75" customFormat="false" ht="15" hidden="false" customHeight="true" outlineLevel="0" collapsed="false">
      <c r="A75" s="1" t="str">
        <f aca="false">Backlog!A75</f>
        <v>NEW-0455</v>
      </c>
      <c r="B75" s="1"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IFERROR(IF(ISBLANK(INDEX(Backlog[Stream Owner],MATCH($A75,Backlog[Requirement ID],0))),"",INDEX(Backlog[Stream Owner],MATCH($A75,Backlog[Requirement ID],0))),"")</f>
        <v>M4M</v>
      </c>
      <c r="E75" s="1" t="str">
        <f aca="false">IFERROR(IF(ISBLANK(INDEX(Backlog[Jira Link],MATCH($A75,Backlog[Requirement ID],0))),"",INDEX(Backlog[Jira Link],MATCH($A75,Backlog[Requirement ID],0))),"")</f>
        <v/>
      </c>
      <c r="F75" s="23" t="s">
        <v>396</v>
      </c>
      <c r="G75" s="23" t="s">
        <v>396</v>
      </c>
      <c r="H75" s="1" t="str">
        <f aca="false">IFERROR(IF(ISBLANK(INDEX(SprintPlanning[Sprint],MATCH($A75,SprintPlanning[Requirement ID],0))),"",INDEX(SprintPlanning[Sprint],MATCH($A75,SprintPlanning[Requirement ID],0))),"")</f>
        <v>To Plan</v>
      </c>
      <c r="I75" s="1" t="str">
        <f aca="false">IFERROR(IF(ISBLANK(INDEX(Backlog[Status],MATCH($A75,Backlog[Requirement ID],0))),"",INDEX(Backlog[Status],MATCH($A75,Backlog[Requirement ID],0))),"")</f>
        <v>NEW</v>
      </c>
      <c r="J75" s="1" t="str">
        <f aca="false">IFERROR(IF(ISBLANK(INDEX(Backlog[Priority],MATCH($A75,Backlog[Requirement ID],0))),"",INDEX(Backlog[Priority],MATCH($A75,Backlog[Requirement ID],0))),"")</f>
        <v>Medium</v>
      </c>
      <c r="L75" s="49"/>
      <c r="M75" s="49"/>
      <c r="O75" s="49"/>
    </row>
    <row r="76" customFormat="false" ht="15" hidden="false" customHeight="true" outlineLevel="0" collapsed="false">
      <c r="A76" s="1" t="str">
        <f aca="false">Backlog!A76</f>
        <v>NEW-0456</v>
      </c>
      <c r="B76" s="1"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IFERROR(IF(ISBLANK(INDEX(Backlog[Stream Owner],MATCH($A76,Backlog[Requirement ID],0))),"",INDEX(Backlog[Stream Owner],MATCH($A76,Backlog[Requirement ID],0))),"")</f>
        <v>M4M</v>
      </c>
      <c r="E76" s="1" t="str">
        <f aca="false">IFERROR(IF(ISBLANK(INDEX(Backlog[Jira Link],MATCH($A76,Backlog[Requirement ID],0))),"",INDEX(Backlog[Jira Link],MATCH($A76,Backlog[Requirement ID],0))),"")</f>
        <v>https://smartship.atlassian.net/browse/DTTP25-43299</v>
      </c>
      <c r="F76" s="23" t="s">
        <v>395</v>
      </c>
      <c r="G76" s="23" t="s">
        <v>396</v>
      </c>
      <c r="H76" s="1" t="str">
        <f aca="false">IFERROR(IF(ISBLANK(INDEX(SprintPlanning[Sprint],MATCH($A76,SprintPlanning[Requirement ID],0))),"",INDEX(SprintPlanning[Sprint],MATCH($A76,SprintPlanning[Requirement ID],0))),"")</f>
        <v>Sprint 14</v>
      </c>
      <c r="I76" s="1" t="str">
        <f aca="false">IFERROR(IF(ISBLANK(INDEX(Backlog[Status],MATCH($A76,Backlog[Requirement ID],0))),"",INDEX(Backlog[Status],MATCH($A76,Backlog[Requirement ID],0))),"")</f>
        <v>NEW</v>
      </c>
      <c r="J76" s="1" t="str">
        <f aca="false">IFERROR(IF(ISBLANK(INDEX(Backlog[Priority],MATCH($A76,Backlog[Requirement ID],0))),"",INDEX(Backlog[Priority],MATCH($A76,Backlog[Requirement ID],0))),"")</f>
        <v>High</v>
      </c>
      <c r="L76" s="49"/>
      <c r="M76" s="49"/>
      <c r="O76" s="49"/>
    </row>
    <row r="77" customFormat="false" ht="15" hidden="false" customHeight="true" outlineLevel="0" collapsed="false">
      <c r="A77" s="1" t="str">
        <f aca="false">Backlog!A77</f>
        <v>NEW-0457</v>
      </c>
      <c r="B77" s="1"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IFERROR(IF(ISBLANK(INDEX(Backlog[Stream Owner],MATCH($A77,Backlog[Requirement ID],0))),"",INDEX(Backlog[Stream Owner],MATCH($A77,Backlog[Requirement ID],0))),"")</f>
        <v>B2CW</v>
      </c>
      <c r="E77" s="1" t="str">
        <f aca="false">IFERROR(IF(ISBLANK(INDEX(Backlog[Jira Link],MATCH($A77,Backlog[Requirement ID],0))),"",INDEX(Backlog[Jira Link],MATCH($A77,Backlog[Requirement ID],0))),"")</f>
        <v/>
      </c>
      <c r="F77" s="23" t="s">
        <v>395</v>
      </c>
      <c r="G77" s="23" t="s">
        <v>395</v>
      </c>
      <c r="H77" s="1" t="str">
        <f aca="false">IFERROR(IF(ISBLANK(INDEX(SprintPlanning[Sprint],MATCH($A77,SprintPlanning[Requirement ID],0))),"",INDEX(SprintPlanning[Sprint],MATCH($A77,SprintPlanning[Requirement ID],0))),"")</f>
        <v>Sprint 11</v>
      </c>
      <c r="I77" s="1" t="str">
        <f aca="false">IFERROR(IF(ISBLANK(INDEX(Backlog[Status],MATCH($A77,Backlog[Requirement ID],0))),"",INDEX(Backlog[Status],MATCH($A77,Backlog[Requirement ID],0))),"")</f>
        <v>DONE</v>
      </c>
      <c r="J77" s="1" t="str">
        <f aca="false">IFERROR(IF(ISBLANK(INDEX(Backlog[Priority],MATCH($A77,Backlog[Requirement ID],0))),"",INDEX(Backlog[Priority],MATCH($A77,Backlog[Requirement ID],0))),"")</f>
        <v>High</v>
      </c>
      <c r="K77" s="1" t="s">
        <v>400</v>
      </c>
      <c r="L77" s="49" t="s">
        <v>401</v>
      </c>
      <c r="M77" s="49"/>
      <c r="O77" s="49"/>
      <c r="Q77" s="49" t="s">
        <v>402</v>
      </c>
    </row>
    <row r="78" customFormat="false" ht="15" hidden="false" customHeight="true" outlineLevel="0" collapsed="false">
      <c r="A78" s="1" t="str">
        <f aca="false">Backlog!A78</f>
        <v>NEW-0458</v>
      </c>
      <c r="B78" s="1"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IFERROR(IF(ISBLANK(INDEX(Backlog[Stream Owner],MATCH($A78,Backlog[Requirement ID],0))),"",INDEX(Backlog[Stream Owner],MATCH($A78,Backlog[Requirement ID],0))),"")</f>
        <v>M4M</v>
      </c>
      <c r="E78" s="1" t="str">
        <f aca="false">IFERROR(IF(ISBLANK(INDEX(Backlog[Jira Link],MATCH($A78,Backlog[Requirement ID],0))),"",INDEX(Backlog[Jira Link],MATCH($A78,Backlog[Requirement ID],0))),"")</f>
        <v>https://smartship.atlassian.net/browse/DTTP25-42277</v>
      </c>
      <c r="F78" s="23" t="s">
        <v>132</v>
      </c>
      <c r="G78" s="23" t="s">
        <v>132</v>
      </c>
      <c r="H78" s="1" t="str">
        <f aca="false">IFERROR(IF(ISBLANK(INDEX(SprintPlanning[Sprint],MATCH($A78,SprintPlanning[Requirement ID],0))),"",INDEX(SprintPlanning[Sprint],MATCH($A78,SprintPlanning[Requirement ID],0))),"")</f>
        <v>To Plan</v>
      </c>
      <c r="I78" s="1" t="str">
        <f aca="false">IFERROR(IF(ISBLANK(INDEX(Backlog[Status],MATCH($A78,Backlog[Requirement ID],0))),"",INDEX(Backlog[Status],MATCH($A78,Backlog[Requirement ID],0))),"")</f>
        <v>NEW</v>
      </c>
      <c r="J78" s="1" t="str">
        <f aca="false">IFERROR(IF(ISBLANK(INDEX(Backlog[Priority],MATCH($A78,Backlog[Requirement ID],0))),"",INDEX(Backlog[Priority],MATCH($A78,Backlog[Requirement ID],0))),"")</f>
        <v>High</v>
      </c>
      <c r="L78" s="49"/>
      <c r="M78" s="49"/>
      <c r="O78" s="49"/>
    </row>
    <row r="79" customFormat="false" ht="15" hidden="false" customHeight="true" outlineLevel="0" collapsed="false">
      <c r="A79" s="1" t="str">
        <f aca="false">Backlog!A79</f>
        <v>NEW-0459</v>
      </c>
      <c r="B79" s="1"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IFERROR(IF(ISBLANK(INDEX(Backlog[Stream Owner],MATCH($A79,Backlog[Requirement ID],0))),"",INDEX(Backlog[Stream Owner],MATCH($A79,Backlog[Requirement ID],0))),"")</f>
        <v>B2CW</v>
      </c>
      <c r="E79" s="1" t="str">
        <f aca="false">IFERROR(IF(ISBLANK(INDEX(Backlog[Jira Link],MATCH($A79,Backlog[Requirement ID],0))),"",INDEX(Backlog[Jira Link],MATCH($A79,Backlog[Requirement ID],0))),"")</f>
        <v/>
      </c>
      <c r="F79" s="23" t="s">
        <v>395</v>
      </c>
      <c r="G79" s="23" t="s">
        <v>395</v>
      </c>
      <c r="H79" s="1" t="str">
        <f aca="false">IFERROR(IF(ISBLANK(INDEX(SprintPlanning[Sprint],MATCH($A79,SprintPlanning[Requirement ID],0))),"",INDEX(SprintPlanning[Sprint],MATCH($A79,SprintPlanning[Requirement ID],0))),"")</f>
        <v>To Plan</v>
      </c>
      <c r="I79" s="1" t="str">
        <f aca="false">IFERROR(IF(ISBLANK(INDEX(Backlog[Status],MATCH($A79,Backlog[Requirement ID],0))),"",INDEX(Backlog[Status],MATCH($A79,Backlog[Requirement ID],0))),"")</f>
        <v>NEW</v>
      </c>
      <c r="J79" s="1" t="str">
        <f aca="false">IFERROR(IF(ISBLANK(INDEX(Backlog[Priority],MATCH($A79,Backlog[Requirement ID],0))),"",INDEX(Backlog[Priority],MATCH($A79,Backlog[Requirement ID],0))),"")</f>
        <v>Medium</v>
      </c>
      <c r="L79" s="49"/>
      <c r="M79" s="49"/>
      <c r="O79" s="49"/>
    </row>
    <row r="80" customFormat="false" ht="15" hidden="false" customHeight="true" outlineLevel="0" collapsed="false">
      <c r="A80" s="1" t="str">
        <f aca="false">Backlog!A80</f>
        <v>NEW-0460</v>
      </c>
      <c r="B80" s="1"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IFERROR(IF(ISBLANK(INDEX(Backlog[Stream Owner],MATCH($A80,Backlog[Requirement ID],0))),"",INDEX(Backlog[Stream Owner],MATCH($A80,Backlog[Requirement ID],0))),"")</f>
        <v>ALL</v>
      </c>
      <c r="E80" s="1" t="str">
        <f aca="false">IFERROR(IF(ISBLANK(INDEX(Backlog[Jira Link],MATCH($A80,Backlog[Requirement ID],0))),"",INDEX(Backlog[Jira Link],MATCH($A80,Backlog[Requirement ID],0))),"")</f>
        <v/>
      </c>
      <c r="F80" s="23" t="s">
        <v>132</v>
      </c>
      <c r="G80" s="23" t="s">
        <v>132</v>
      </c>
      <c r="H80" s="1" t="str">
        <f aca="false">IFERROR(IF(ISBLANK(INDEX(SprintPlanning[Sprint],MATCH($A80,SprintPlanning[Requirement ID],0))),"",INDEX(SprintPlanning[Sprint],MATCH($A80,SprintPlanning[Requirement ID],0))),"")</f>
        <v>Sprint 12</v>
      </c>
      <c r="I80" s="1" t="str">
        <f aca="false">IFERROR(IF(ISBLANK(INDEX(Backlog[Status],MATCH($A80,Backlog[Requirement ID],0))),"",INDEX(Backlog[Status],MATCH($A80,Backlog[Requirement ID],0))),"")</f>
        <v>IN PROGRESS</v>
      </c>
      <c r="J80" s="1" t="str">
        <f aca="false">IFERROR(IF(ISBLANK(INDEX(Backlog[Priority],MATCH($A80,Backlog[Requirement ID],0))),"",INDEX(Backlog[Priority],MATCH($A80,Backlog[Requirement ID],0))),"")</f>
        <v>High</v>
      </c>
      <c r="L80" s="49"/>
      <c r="M80" s="49"/>
      <c r="O80" s="49"/>
    </row>
    <row r="81" customFormat="false" ht="15" hidden="false" customHeight="true" outlineLevel="0" collapsed="false">
      <c r="A81" s="1" t="str">
        <f aca="false">Backlog!A81</f>
        <v>NEW-0461</v>
      </c>
      <c r="B81" s="1"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IFERROR(IF(ISBLANK(INDEX(Backlog[Stream Owner],MATCH($A81,Backlog[Requirement ID],0))),"",INDEX(Backlog[Stream Owner],MATCH($A81,Backlog[Requirement ID],0))),"")</f>
        <v>B2CW</v>
      </c>
      <c r="E81" s="1" t="str">
        <f aca="false">IFERROR(IF(ISBLANK(INDEX(Backlog[Jira Link],MATCH($A81,Backlog[Requirement ID],0))),"",INDEX(Backlog[Jira Link],MATCH($A81,Backlog[Requirement ID],0))),"")</f>
        <v/>
      </c>
      <c r="F81" s="23" t="s">
        <v>396</v>
      </c>
      <c r="G81" s="23" t="s">
        <v>396</v>
      </c>
      <c r="H81" s="1" t="str">
        <f aca="false">IFERROR(IF(ISBLANK(INDEX(SprintPlanning[Sprint],MATCH($A81,SprintPlanning[Requirement ID],0))),"",INDEX(SprintPlanning[Sprint],MATCH($A81,SprintPlanning[Requirement ID],0))),"")</f>
        <v>To Plan</v>
      </c>
      <c r="I81" s="1" t="str">
        <f aca="false">IFERROR(IF(ISBLANK(INDEX(Backlog[Status],MATCH($A81,Backlog[Requirement ID],0))),"",INDEX(Backlog[Status],MATCH($A81,Backlog[Requirement ID],0))),"")</f>
        <v>NEW</v>
      </c>
      <c r="J81" s="1" t="str">
        <f aca="false">IFERROR(IF(ISBLANK(INDEX(Backlog[Priority],MATCH($A81,Backlog[Requirement ID],0))),"",INDEX(Backlog[Priority],MATCH($A81,Backlog[Requirement ID],0))),"")</f>
        <v>Medium</v>
      </c>
      <c r="L81" s="49"/>
      <c r="M81" s="49"/>
      <c r="O81" s="49"/>
    </row>
    <row r="82" customFormat="false" ht="15" hidden="false" customHeight="true" outlineLevel="0" collapsed="false">
      <c r="A82" s="1" t="str">
        <f aca="false">Backlog!A82</f>
        <v>NEW-0462</v>
      </c>
      <c r="B82" s="1"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IFERROR(IF(ISBLANK(INDEX(Backlog[Stream Owner],MATCH($A82,Backlog[Requirement ID],0))),"",INDEX(Backlog[Stream Owner],MATCH($A82,Backlog[Requirement ID],0))),"")</f>
        <v>M4M</v>
      </c>
      <c r="E82" s="1" t="str">
        <f aca="false">IFERROR(IF(ISBLANK(INDEX(Backlog[Jira Link],MATCH($A82,Backlog[Requirement ID],0))),"",INDEX(Backlog[Jira Link],MATCH($A82,Backlog[Requirement ID],0))),"")</f>
        <v/>
      </c>
      <c r="F82" s="23" t="s">
        <v>396</v>
      </c>
      <c r="G82" s="23" t="s">
        <v>396</v>
      </c>
      <c r="H82" s="1" t="str">
        <f aca="false">IFERROR(IF(ISBLANK(INDEX(SprintPlanning[Sprint],MATCH($A82,SprintPlanning[Requirement ID],0))),"",INDEX(SprintPlanning[Sprint],MATCH($A82,SprintPlanning[Requirement ID],0))),"")</f>
        <v>To Plan</v>
      </c>
      <c r="I82" s="1" t="str">
        <f aca="false">IFERROR(IF(ISBLANK(INDEX(Backlog[Status],MATCH($A82,Backlog[Requirement ID],0))),"",INDEX(Backlog[Status],MATCH($A82,Backlog[Requirement ID],0))),"")</f>
        <v>NEW</v>
      </c>
      <c r="J82" s="1" t="str">
        <f aca="false">IFERROR(IF(ISBLANK(INDEX(Backlog[Priority],MATCH($A82,Backlog[Requirement ID],0))),"",INDEX(Backlog[Priority],MATCH($A82,Backlog[Requirement ID],0))),"")</f>
        <v>High</v>
      </c>
      <c r="L82" s="49"/>
      <c r="M82" s="49"/>
      <c r="O82" s="49"/>
    </row>
    <row r="83" customFormat="false" ht="15" hidden="false" customHeight="true" outlineLevel="0" collapsed="false">
      <c r="A83" s="1" t="str">
        <f aca="false">Backlog!A83</f>
        <v>NEW-0463</v>
      </c>
      <c r="B83" s="1"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IFERROR(IF(ISBLANK(INDEX(Backlog[Stream Owner],MATCH($A83,Backlog[Requirement ID],0))),"",INDEX(Backlog[Stream Owner],MATCH($A83,Backlog[Requirement ID],0))),"")</f>
        <v>MA</v>
      </c>
      <c r="E83" s="1" t="str">
        <f aca="false">IFERROR(IF(ISBLANK(INDEX(Backlog[Jira Link],MATCH($A83,Backlog[Requirement ID],0))),"",INDEX(Backlog[Jira Link],MATCH($A83,Backlog[Requirement ID],0))),"")</f>
        <v/>
      </c>
      <c r="F83" s="23" t="s">
        <v>132</v>
      </c>
      <c r="G83" s="23"/>
      <c r="H83" s="1" t="str">
        <f aca="false">IFERROR(IF(ISBLANK(INDEX(SprintPlanning[Sprint],MATCH($A83,SprintPlanning[Requirement ID],0))),"",INDEX(SprintPlanning[Sprint],MATCH($A83,SprintPlanning[Requirement ID],0))),"")</f>
        <v>To Plan</v>
      </c>
      <c r="I83" s="1" t="str">
        <f aca="false">IFERROR(IF(ISBLANK(INDEX(Backlog[Status],MATCH($A83,Backlog[Requirement ID],0))),"",INDEX(Backlog[Status],MATCH($A83,Backlog[Requirement ID],0))),"")</f>
        <v>NEW</v>
      </c>
      <c r="J83" s="1" t="str">
        <f aca="false">IFERROR(IF(ISBLANK(INDEX(Backlog[Priority],MATCH($A83,Backlog[Requirement ID],0))),"",INDEX(Backlog[Priority],MATCH($A83,Backlog[Requirement ID],0))),"")</f>
        <v>Low</v>
      </c>
      <c r="L83" s="49"/>
      <c r="M83" s="49"/>
      <c r="O83" s="49"/>
    </row>
    <row r="84" customFormat="false" ht="15" hidden="false" customHeight="true" outlineLevel="0" collapsed="false">
      <c r="A84" s="1" t="str">
        <f aca="false">Backlog!A84</f>
        <v>NEW-0464</v>
      </c>
      <c r="B84" s="1"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IFERROR(IF(ISBLANK(INDEX(Backlog[Stream Owner],MATCH($A84,Backlog[Requirement ID],0))),"",INDEX(Backlog[Stream Owner],MATCH($A84,Backlog[Requirement ID],0))),"")</f>
        <v>MA</v>
      </c>
      <c r="E84" s="1" t="str">
        <f aca="false">IFERROR(IF(ISBLANK(INDEX(Backlog[Jira Link],MATCH($A84,Backlog[Requirement ID],0))),"",INDEX(Backlog[Jira Link],MATCH($A84,Backlog[Requirement ID],0))),"")</f>
        <v/>
      </c>
      <c r="F84" s="23" t="s">
        <v>395</v>
      </c>
      <c r="G84" s="23" t="s">
        <v>395</v>
      </c>
      <c r="H84" s="1" t="str">
        <f aca="false">IFERROR(IF(ISBLANK(INDEX(SprintPlanning[Sprint],MATCH($A84,SprintPlanning[Requirement ID],0))),"",INDEX(SprintPlanning[Sprint],MATCH($A84,SprintPlanning[Requirement ID],0))),"")</f>
        <v>To Plan</v>
      </c>
      <c r="I84" s="1" t="str">
        <f aca="false">IFERROR(IF(ISBLANK(INDEX(Backlog[Status],MATCH($A84,Backlog[Requirement ID],0))),"",INDEX(Backlog[Status],MATCH($A84,Backlog[Requirement ID],0))),"")</f>
        <v>NEW</v>
      </c>
      <c r="J84" s="1" t="str">
        <f aca="false">IFERROR(IF(ISBLANK(INDEX(Backlog[Priority],MATCH($A84,Backlog[Requirement ID],0))),"",INDEX(Backlog[Priority],MATCH($A84,Backlog[Requirement ID],0))),"")</f>
        <v>Medium</v>
      </c>
      <c r="L84" s="49"/>
      <c r="M84" s="49"/>
      <c r="O84" s="49"/>
    </row>
    <row r="85" customFormat="false" ht="15" hidden="false" customHeight="true" outlineLevel="0" collapsed="false">
      <c r="A85" s="1" t="str">
        <f aca="false">Backlog!A85</f>
        <v>NEW-0465</v>
      </c>
      <c r="B85" s="1"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IFERROR(IF(ISBLANK(INDEX(Backlog[Stream Owner],MATCH($A85,Backlog[Requirement ID],0))),"",INDEX(Backlog[Stream Owner],MATCH($A85,Backlog[Requirement ID],0))),"")</f>
        <v>B2CW</v>
      </c>
      <c r="E85" s="1" t="str">
        <f aca="false">IFERROR(IF(ISBLANK(INDEX(Backlog[Jira Link],MATCH($A85,Backlog[Requirement ID],0))),"",INDEX(Backlog[Jira Link],MATCH($A85,Backlog[Requirement ID],0))),"")</f>
        <v/>
      </c>
      <c r="F85" s="23" t="s">
        <v>396</v>
      </c>
      <c r="G85" s="23" t="s">
        <v>396</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L85" s="49"/>
      <c r="M85" s="49"/>
      <c r="O85" s="49"/>
    </row>
    <row r="86" customFormat="false" ht="15" hidden="false" customHeight="true" outlineLevel="0" collapsed="false">
      <c r="A86" s="1" t="str">
        <f aca="false">Backlog!A86</f>
        <v>NEW-0466</v>
      </c>
      <c r="B86" s="1"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https://smartship.atlassian.net/browse/DTTP25-42997</v>
      </c>
      <c r="F86" s="23" t="s">
        <v>395</v>
      </c>
      <c r="G86" s="23" t="s">
        <v>395</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Medium</v>
      </c>
      <c r="L86" s="49"/>
      <c r="M86" s="49"/>
      <c r="O86" s="49"/>
    </row>
    <row r="87" customFormat="false" ht="15" hidden="false" customHeight="true" outlineLevel="0" collapsed="false">
      <c r="A87" s="1" t="str">
        <f aca="false">Backlog!A87</f>
        <v>NEW-0467</v>
      </c>
      <c r="B87" s="1"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IFERROR(IF(ISBLANK(INDEX(Backlog[Stream Owner],MATCH($A87,Backlog[Requirement ID],0))),"",INDEX(Backlog[Stream Owner],MATCH($A87,Backlog[Requirement ID],0))),"")</f>
        <v>ALL</v>
      </c>
      <c r="E87" s="1" t="str">
        <f aca="false">IFERROR(IF(ISBLANK(INDEX(Backlog[Jira Link],MATCH($A87,Backlog[Requirement ID],0))),"",INDEX(Backlog[Jira Link],MATCH($A87,Backlog[Requirement ID],0))),"")</f>
        <v/>
      </c>
      <c r="F87" s="23" t="s">
        <v>132</v>
      </c>
      <c r="G87" s="23" t="s">
        <v>132</v>
      </c>
      <c r="H87" s="1" t="str">
        <f aca="false">IFERROR(IF(ISBLANK(INDEX(SprintPlanning[Sprint],MATCH($A87,SprintPlanning[Requirement ID],0))),"",INDEX(SprintPlanning[Sprint],MATCH($A87,SprintPlanning[Requirement ID],0))),"")</f>
        <v>Sprint 12</v>
      </c>
      <c r="I87" s="1" t="str">
        <f aca="false">IFERROR(IF(ISBLANK(INDEX(Backlog[Status],MATCH($A87,Backlog[Requirement ID],0))),"",INDEX(Backlog[Status],MATCH($A87,Backlog[Requirement ID],0))),"")</f>
        <v>IN PROGRESS</v>
      </c>
      <c r="J87" s="1" t="str">
        <f aca="false">IFERROR(IF(ISBLANK(INDEX(Backlog[Priority],MATCH($A87,Backlog[Requirement ID],0))),"",INDEX(Backlog[Priority],MATCH($A87,Backlog[Requirement ID],0))),"")</f>
        <v>High</v>
      </c>
      <c r="L87" s="49"/>
      <c r="M87" s="49"/>
      <c r="O87" s="49"/>
    </row>
    <row r="88" customFormat="false" ht="15" hidden="false" customHeight="true" outlineLevel="0" collapsed="false">
      <c r="A88" s="1" t="str">
        <f aca="false">Backlog!A88</f>
        <v>NEW-0468</v>
      </c>
      <c r="B88" s="1"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IFERROR(IF(ISBLANK(INDEX(Backlog[Stream Owner],MATCH($A88,Backlog[Requirement ID],0))),"",INDEX(Backlog[Stream Owner],MATCH($A88,Backlog[Requirement ID],0))),"")</f>
        <v>B2CW</v>
      </c>
      <c r="E88" s="1" t="str">
        <f aca="false">IFERROR(IF(ISBLANK(INDEX(Backlog[Jira Link],MATCH($A88,Backlog[Requirement ID],0))),"",INDEX(Backlog[Jira Link],MATCH($A88,Backlog[Requirement ID],0))),"")</f>
        <v/>
      </c>
      <c r="F88" s="23" t="s">
        <v>395</v>
      </c>
      <c r="G88" s="23" t="s">
        <v>395</v>
      </c>
      <c r="H88" s="1" t="str">
        <f aca="false">IFERROR(IF(ISBLANK(INDEX(SprintPlanning[Sprint],MATCH($A88,SprintPlanning[Requirement ID],0))),"",INDEX(SprintPlanning[Sprint],MATCH($A88,SprintPlanning[Requirement ID],0))),"")</f>
        <v>Sprint 12</v>
      </c>
      <c r="I88" s="1" t="str">
        <f aca="false">IFERROR(IF(ISBLANK(INDEX(Backlog[Status],MATCH($A88,Backlog[Requirement ID],0))),"",INDEX(Backlog[Status],MATCH($A88,Backlog[Requirement ID],0))),"")</f>
        <v>DONE</v>
      </c>
      <c r="J88" s="1" t="str">
        <f aca="false">IFERROR(IF(ISBLANK(INDEX(Backlog[Priority],MATCH($A88,Backlog[Requirement ID],0))),"",INDEX(Backlog[Priority],MATCH($A88,Backlog[Requirement ID],0))),"")</f>
        <v>High</v>
      </c>
      <c r="L88" s="49"/>
      <c r="M88" s="49"/>
      <c r="O88" s="49"/>
    </row>
    <row r="89" customFormat="false" ht="15" hidden="false" customHeight="true" outlineLevel="0" collapsed="false">
      <c r="A89" s="1" t="str">
        <f aca="false">Backlog!A89</f>
        <v>NEW-0469</v>
      </c>
      <c r="B89" s="1"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IFERROR(IF(ISBLANK(INDEX(Backlog[Stream Owner],MATCH($A89,Backlog[Requirement ID],0))),"",INDEX(Backlog[Stream Owner],MATCH($A89,Backlog[Requirement ID],0))),"")</f>
        <v>B2CW</v>
      </c>
      <c r="E89" s="1" t="str">
        <f aca="false">IFERROR(IF(ISBLANK(INDEX(Backlog[Jira Link],MATCH($A89,Backlog[Requirement ID],0))),"",INDEX(Backlog[Jira Link],MATCH($A89,Backlog[Requirement ID],0))),"")</f>
        <v>https://smartship.atlassian.net/browse/MDTTPU-17466</v>
      </c>
      <c r="F89" s="23" t="s">
        <v>132</v>
      </c>
      <c r="G89" s="23" t="s">
        <v>132</v>
      </c>
      <c r="H89" s="1" t="str">
        <f aca="false">IFERROR(IF(ISBLANK(INDEX(SprintPlanning[Sprint],MATCH($A89,SprintPlanning[Requirement ID],0))),"",INDEX(SprintPlanning[Sprint],MATCH($A89,SprintPlanning[Requirement ID],0))),"")</f>
        <v>Sprint 12</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Critical</v>
      </c>
      <c r="L89" s="49"/>
      <c r="M89" s="49"/>
      <c r="O89" s="49"/>
    </row>
    <row r="90" customFormat="false" ht="15" hidden="false" customHeight="true" outlineLevel="0" collapsed="false">
      <c r="A90" s="1" t="str">
        <f aca="false">Backlog!A90</f>
        <v>NEW-0470</v>
      </c>
      <c r="B90" s="1"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23" t="s">
        <v>396</v>
      </c>
      <c r="G90" s="23" t="s">
        <v>396</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L90" s="49"/>
      <c r="M90" s="49"/>
      <c r="O90" s="49"/>
    </row>
    <row r="91" customFormat="false" ht="15" hidden="false" customHeight="true" outlineLevel="0" collapsed="false">
      <c r="A91" s="1" t="str">
        <f aca="false">Backlog!A91</f>
        <v>NEW-0471</v>
      </c>
      <c r="B91" s="1"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https://smartship.atlassian.net/browse/MDTTPU-17651</v>
      </c>
      <c r="F91" s="23" t="s">
        <v>396</v>
      </c>
      <c r="G91" s="23" t="s">
        <v>396</v>
      </c>
      <c r="H91" s="1" t="str">
        <f aca="false">IFERROR(IF(ISBLANK(INDEX(SprintPlanning[Sprint],MATCH($A91,SprintPlanning[Requirement ID],0))),"",INDEX(SprintPlanning[Sprint],MATCH($A91,SprintPlanning[Requirement ID],0))),"")</f>
        <v>Sprint 12</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High</v>
      </c>
      <c r="L91" s="49"/>
      <c r="M91" s="49"/>
      <c r="O91" s="49"/>
    </row>
    <row r="92" customFormat="false" ht="15" hidden="false" customHeight="true" outlineLevel="0" collapsed="false">
      <c r="A92" s="1" t="str">
        <f aca="false">Backlog!A92</f>
        <v>NEW-0472</v>
      </c>
      <c r="B92" s="1"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IFERROR(IF(ISBLANK(INDEX(Backlog[Stream Owner],MATCH($A92,Backlog[Requirement ID],0))),"",INDEX(Backlog[Stream Owner],MATCH($A92,Backlog[Requirement ID],0))),"")</f>
        <v>MA</v>
      </c>
      <c r="E92" s="1" t="str">
        <f aca="false">IFERROR(IF(ISBLANK(INDEX(Backlog[Jira Link],MATCH($A92,Backlog[Requirement ID],0))),"",INDEX(Backlog[Jira Link],MATCH($A92,Backlog[Requirement ID],0))),"")</f>
        <v/>
      </c>
      <c r="F92" s="23" t="s">
        <v>396</v>
      </c>
      <c r="G92" s="23" t="s">
        <v>396</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L92" s="49"/>
      <c r="M92" s="49"/>
      <c r="O92" s="49"/>
    </row>
    <row r="93" customFormat="false" ht="15" hidden="false" customHeight="true" outlineLevel="0" collapsed="false">
      <c r="A93" s="1" t="str">
        <f aca="false">Backlog!A93</f>
        <v>NEW-0473</v>
      </c>
      <c r="B93" s="1"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IFERROR(IF(ISBLANK(INDEX(Backlog[Stream Owner],MATCH($A93,Backlog[Requirement ID],0))),"",INDEX(Backlog[Stream Owner],MATCH($A93,Backlog[Requirement ID],0))),"")</f>
        <v>MA</v>
      </c>
      <c r="E93" s="1" t="str">
        <f aca="false">IFERROR(IF(ISBLANK(INDEX(Backlog[Jira Link],MATCH($A93,Backlog[Requirement ID],0))),"",INDEX(Backlog[Jira Link],MATCH($A93,Backlog[Requirement ID],0))),"")</f>
        <v/>
      </c>
      <c r="F93" s="23" t="s">
        <v>132</v>
      </c>
      <c r="G93" s="23" t="s">
        <v>132</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NA</v>
      </c>
      <c r="J93" s="1" t="str">
        <f aca="false">IFERROR(IF(ISBLANK(INDEX(Backlog[Priority],MATCH($A93,Backlog[Requirement ID],0))),"",INDEX(Backlog[Priority],MATCH($A93,Backlog[Requirement ID],0))),"")</f>
        <v>Medium</v>
      </c>
      <c r="L93" s="49"/>
      <c r="M93" s="49"/>
      <c r="O93" s="49"/>
    </row>
    <row r="94" customFormat="false" ht="39" hidden="false" customHeight="true" outlineLevel="0" collapsed="false">
      <c r="A94" s="1" t="str">
        <f aca="false">Backlog!A94</f>
        <v>NEW-0474</v>
      </c>
      <c r="B94" s="1"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https://smartship.atlassian.net/browse/DTTP25-43302</v>
      </c>
      <c r="F94" s="23" t="s">
        <v>396</v>
      </c>
      <c r="G94" s="23" t="s">
        <v>396</v>
      </c>
      <c r="H94" s="1" t="str">
        <f aca="false">IFERROR(IF(ISBLANK(INDEX(SprintPlanning[Sprint],MATCH($A94,SprintPlanning[Requirement ID],0))),"",INDEX(SprintPlanning[Sprint],MATCH($A94,SprintPlanning[Requirement ID],0))),"")</f>
        <v>Sprint 15</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0" t="s">
        <v>403</v>
      </c>
      <c r="M94" s="49"/>
      <c r="O94" s="49"/>
    </row>
    <row r="95" customFormat="false" ht="15" hidden="false" customHeight="true" outlineLevel="0" collapsed="false">
      <c r="A95" s="1" t="str">
        <f aca="false">Backlog!A95</f>
        <v>NEW-0475</v>
      </c>
      <c r="B95" s="1"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IFERROR(IF(ISBLANK(INDEX(Backlog[Stream Owner],MATCH($A95,Backlog[Requirement ID],0))),"",INDEX(Backlog[Stream Owner],MATCH($A95,Backlog[Requirement ID],0))),"")</f>
        <v>M4M</v>
      </c>
      <c r="E95" s="1" t="str">
        <f aca="false">IFERROR(IF(ISBLANK(INDEX(Backlog[Jira Link],MATCH($A95,Backlog[Requirement ID],0))),"",INDEX(Backlog[Jira Link],MATCH($A95,Backlog[Requirement ID],0))),"")</f>
        <v/>
      </c>
      <c r="F95" s="23" t="s">
        <v>396</v>
      </c>
      <c r="G95" s="23" t="s">
        <v>396</v>
      </c>
      <c r="H95" s="1" t="str">
        <f aca="false">IFERROR(IF(ISBLANK(INDEX(SprintPlanning[Sprint],MATCH($A95,SprintPlanning[Requirement ID],0))),"",INDEX(SprintPlanning[Sprint],MATCH($A95,SprintPlanning[Requirement ID],0))),"")</f>
        <v>Sprint 14</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Medium</v>
      </c>
      <c r="L95" s="49"/>
      <c r="M95" s="49"/>
      <c r="O95" s="49"/>
    </row>
    <row r="96" customFormat="false" ht="15" hidden="false" customHeight="true" outlineLevel="0" collapsed="false">
      <c r="A96" s="1" t="str">
        <f aca="false">Backlog!A96</f>
        <v>NEW-0476</v>
      </c>
      <c r="B96" s="1"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IFERROR(IF(ISBLANK(INDEX(Backlog[Stream Owner],MATCH($A96,Backlog[Requirement ID],0))),"",INDEX(Backlog[Stream Owner],MATCH($A96,Backlog[Requirement ID],0))),"")</f>
        <v>B2CW</v>
      </c>
      <c r="E96" s="1" t="str">
        <f aca="false">IFERROR(IF(ISBLANK(INDEX(Backlog[Jira Link],MATCH($A96,Backlog[Requirement ID],0))),"",INDEX(Backlog[Jira Link],MATCH($A96,Backlog[Requirement ID],0))),"")</f>
        <v/>
      </c>
      <c r="F96" s="23" t="s">
        <v>395</v>
      </c>
      <c r="G96" s="23" t="s">
        <v>396</v>
      </c>
      <c r="H96" s="1" t="str">
        <f aca="false">IFERROR(IF(ISBLANK(INDEX(SprintPlanning[Sprint],MATCH($A96,SprintPlanning[Requirement ID],0))),"",INDEX(SprintPlanning[Sprint],MATCH($A96,SprintPlanning[Requirement ID],0))),"")</f>
        <v>Sprint 14</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0" t="s">
        <v>404</v>
      </c>
      <c r="M96" s="49"/>
      <c r="O96" s="49"/>
    </row>
    <row r="97" customFormat="false" ht="15" hidden="false" customHeight="true" outlineLevel="0" collapsed="false">
      <c r="A97" s="1" t="str">
        <f aca="false">Backlog!A97</f>
        <v>NEW-0477</v>
      </c>
      <c r="B97" s="1"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IFERROR(IF(ISBLANK(INDEX(Backlog[Stream Owner],MATCH($A97,Backlog[Requirement ID],0))),"",INDEX(Backlog[Stream Owner],MATCH($A97,Backlog[Requirement ID],0))),"")</f>
        <v>B2CW</v>
      </c>
      <c r="E97" s="1" t="str">
        <f aca="false">IFERROR(IF(ISBLANK(INDEX(Backlog[Jira Link],MATCH($A97,Backlog[Requirement ID],0))),"",INDEX(Backlog[Jira Link],MATCH($A97,Backlog[Requirement ID],0))),"")</f>
        <v>https://smartship.atlassian.net/browse/DTTP25-44262</v>
      </c>
      <c r="F97" s="23" t="s">
        <v>132</v>
      </c>
      <c r="G97" s="23" t="s">
        <v>132</v>
      </c>
      <c r="H97" s="1" t="str">
        <f aca="false">IFERROR(IF(ISBLANK(INDEX(SprintPlanning[Sprint],MATCH($A97,SprintPlanning[Requirement ID],0))),"",INDEX(SprintPlanning[Sprint],MATCH($A97,SprintPlanning[Requirement ID],0))),"")</f>
        <v>Sprint 12</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49"/>
      <c r="M97" s="49"/>
      <c r="O97" s="49"/>
    </row>
    <row r="98" customFormat="false" ht="15" hidden="false" customHeight="true" outlineLevel="0" collapsed="false">
      <c r="A98" s="1" t="str">
        <f aca="false">Backlog!A98</f>
        <v>NEW-0478</v>
      </c>
      <c r="B98" s="1"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IFERROR(IF(ISBLANK(INDEX(Backlog[Stream Owner],MATCH($A98,Backlog[Requirement ID],0))),"",INDEX(Backlog[Stream Owner],MATCH($A98,Backlog[Requirement ID],0))),"")</f>
        <v>B2CW</v>
      </c>
      <c r="E98" s="1" t="str">
        <f aca="false">IFERROR(IF(ISBLANK(INDEX(Backlog[Jira Link],MATCH($A98,Backlog[Requirement ID],0))),"",INDEX(Backlog[Jira Link],MATCH($A98,Backlog[Requirement ID],0))),"")</f>
        <v/>
      </c>
      <c r="F98" s="23" t="s">
        <v>132</v>
      </c>
      <c r="G98" s="23" t="s">
        <v>132</v>
      </c>
      <c r="H98" s="1" t="str">
        <f aca="false">IFERROR(IF(ISBLANK(INDEX(SprintPlanning[Sprint],MATCH($A98,SprintPlanning[Requirement ID],0))),"",INDEX(SprintPlanning[Sprint],MATCH($A98,SprintPlanning[Requirement ID],0))),"")</f>
        <v/>
      </c>
      <c r="I98" s="1" t="str">
        <f aca="false">IFERROR(IF(ISBLANK(INDEX(Backlog[Status],MATCH($A98,Backlog[Requirement ID],0))),"",INDEX(Backlog[Status],MATCH($A98,Backlog[Requirement ID],0))),"")</f>
        <v>NA</v>
      </c>
      <c r="J98" s="1" t="str">
        <f aca="false">IFERROR(IF(ISBLANK(INDEX(Backlog[Priority],MATCH($A98,Backlog[Requirement ID],0))),"",INDEX(Backlog[Priority],MATCH($A98,Backlog[Requirement ID],0))),"")</f>
        <v>Medium</v>
      </c>
      <c r="L98" s="49"/>
      <c r="M98" s="49"/>
      <c r="O98" s="49"/>
    </row>
    <row r="99" customFormat="false" ht="15" hidden="false" customHeight="true" outlineLevel="0" collapsed="false">
      <c r="A99" s="1" t="str">
        <f aca="false">Backlog!A99</f>
        <v>NEW-0479</v>
      </c>
      <c r="B99" s="1"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IFERROR(IF(ISBLANK(INDEX(Backlog[Stream Owner],MATCH($A99,Backlog[Requirement ID],0))),"",INDEX(Backlog[Stream Owner],MATCH($A99,Backlog[Requirement ID],0))),"")</f>
        <v>B2CW</v>
      </c>
      <c r="E99" s="1" t="str">
        <f aca="false">IFERROR(IF(ISBLANK(INDEX(Backlog[Jira Link],MATCH($A99,Backlog[Requirement ID],0))),"",INDEX(Backlog[Jira Link],MATCH($A99,Backlog[Requirement ID],0))),"")</f>
        <v/>
      </c>
      <c r="F99" s="23" t="s">
        <v>396</v>
      </c>
      <c r="G99" s="23" t="s">
        <v>396</v>
      </c>
      <c r="H99" s="1" t="str">
        <f aca="false">IFERROR(IF(ISBLANK(INDEX(SprintPlanning[Sprint],MATCH($A99,SprintPlanning[Requirement ID],0))),"",INDEX(SprintPlanning[Sprint],MATCH($A99,SprintPlanning[Requirement ID],0))),"")</f>
        <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49"/>
      <c r="M99" s="49"/>
      <c r="O99" s="49"/>
    </row>
    <row r="100" customFormat="false" ht="15" hidden="false" customHeight="true" outlineLevel="0" collapsed="false">
      <c r="A100" s="1" t="str">
        <f aca="false">Backlog!A100</f>
        <v>NEW-0480</v>
      </c>
      <c r="B100" s="1"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IFERROR(IF(ISBLANK(INDEX(Backlog[Stream Owner],MATCH($A100,Backlog[Requirement ID],0))),"",INDEX(Backlog[Stream Owner],MATCH($A100,Backlog[Requirement ID],0))),"")</f>
        <v>B2CW</v>
      </c>
      <c r="E100" s="1" t="str">
        <f aca="false">IFERROR(IF(ISBLANK(INDEX(Backlog[Jira Link],MATCH($A100,Backlog[Requirement ID],0))),"",INDEX(Backlog[Jira Link],MATCH($A100,Backlog[Requirement ID],0))),"")</f>
        <v/>
      </c>
      <c r="F100" s="23" t="s">
        <v>396</v>
      </c>
      <c r="G100" s="23" t="s">
        <v>396</v>
      </c>
      <c r="H100" s="1" t="str">
        <f aca="false">IFERROR(IF(ISBLANK(INDEX(SprintPlanning[Sprint],MATCH($A100,SprintPlanning[Requirement ID],0))),"",INDEX(SprintPlanning[Sprint],MATCH($A100,SprintPlanning[Requirement ID],0))),"")</f>
        <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Medium</v>
      </c>
      <c r="L100" s="49"/>
      <c r="M100" s="49"/>
      <c r="O100" s="49"/>
    </row>
    <row r="101" customFormat="false" ht="15" hidden="false" customHeight="true" outlineLevel="0" collapsed="false">
      <c r="A101" s="1" t="str">
        <f aca="false">Backlog!A101</f>
        <v>NEW-0481</v>
      </c>
      <c r="B101" s="1"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
      </c>
      <c r="F101" s="23" t="s">
        <v>396</v>
      </c>
      <c r="G101" s="23" t="s">
        <v>396</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Medium</v>
      </c>
      <c r="L101" s="49"/>
      <c r="M101" s="49"/>
      <c r="O101" s="49"/>
    </row>
    <row r="102" customFormat="false" ht="15" hidden="false" customHeight="true" outlineLevel="0" collapsed="false">
      <c r="A102" s="1" t="str">
        <f aca="false">Backlog!A102</f>
        <v>NEW-0482</v>
      </c>
      <c r="B102" s="1"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IFERROR(IF(ISBLANK(INDEX(Backlog[Stream Owner],MATCH($A102,Backlog[Requirement ID],0))),"",INDEX(Backlog[Stream Owner],MATCH($A102,Backlog[Requirement ID],0))),"")</f>
        <v>S&amp;S</v>
      </c>
      <c r="E102" s="1" t="str">
        <f aca="false">IFERROR(IF(ISBLANK(INDEX(Backlog[Jira Link],MATCH($A102,Backlog[Requirement ID],0))),"",INDEX(Backlog[Jira Link],MATCH($A102,Backlog[Requirement ID],0))),"")</f>
        <v/>
      </c>
      <c r="F102" s="23" t="s">
        <v>396</v>
      </c>
      <c r="G102" s="23" t="s">
        <v>396</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Medium</v>
      </c>
      <c r="L102" s="49"/>
      <c r="M102" s="49"/>
      <c r="O102" s="49"/>
    </row>
    <row r="103" customFormat="false" ht="15" hidden="false" customHeight="true" outlineLevel="0" collapsed="false">
      <c r="A103" s="1" t="str">
        <f aca="false">Backlog!A103</f>
        <v>NEW-0483</v>
      </c>
      <c r="B103" s="1"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IFERROR(IF(ISBLANK(INDEX(Backlog[Stream Owner],MATCH($A103,Backlog[Requirement ID],0))),"",INDEX(Backlog[Stream Owner],MATCH($A103,Backlog[Requirement ID],0))),"")</f>
        <v>B2CW</v>
      </c>
      <c r="E103" s="1" t="str">
        <f aca="false">IFERROR(IF(ISBLANK(INDEX(Backlog[Jira Link],MATCH($A103,Backlog[Requirement ID],0))),"",INDEX(Backlog[Jira Link],MATCH($A103,Backlog[Requirement ID],0))),"")</f>
        <v>https://smartship.atlassian.net/browse/DTTP25-44214</v>
      </c>
      <c r="F103" s="23" t="s">
        <v>396</v>
      </c>
      <c r="G103" s="23" t="s">
        <v>396</v>
      </c>
      <c r="H103" s="1" t="str">
        <f aca="false">IFERROR(IF(ISBLANK(INDEX(SprintPlanning[Sprint],MATCH($A103,SprintPlanning[Requirement ID],0))),"",INDEX(SprintPlanning[Sprint],MATCH($A103,SprintPlanning[Requirement ID],0))),"")</f>
        <v>Sprint 14</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49"/>
      <c r="M103" s="49"/>
      <c r="O103" s="49"/>
    </row>
    <row r="104" customFormat="false" ht="15" hidden="false" customHeight="true" outlineLevel="0" collapsed="false">
      <c r="A104" s="1" t="str">
        <f aca="false">Backlog!A104</f>
        <v>NEW-0484</v>
      </c>
      <c r="B104" s="1"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IFERROR(IF(ISBLANK(INDEX(Backlog[Stream Owner],MATCH($A104,Backlog[Requirement ID],0))),"",INDEX(Backlog[Stream Owner],MATCH($A104,Backlog[Requirement ID],0))),"")</f>
        <v>B2CW</v>
      </c>
      <c r="E104" s="1" t="str">
        <f aca="false">IFERROR(IF(ISBLANK(INDEX(Backlog[Jira Link],MATCH($A104,Backlog[Requirement ID],0))),"",INDEX(Backlog[Jira Link],MATCH($A104,Backlog[Requirement ID],0))),"")</f>
        <v>https://smartship.atlassian.net/browse/DTTP25-44234</v>
      </c>
      <c r="F104" s="23" t="s">
        <v>132</v>
      </c>
      <c r="G104" s="23" t="s">
        <v>132</v>
      </c>
      <c r="H104" s="1" t="str">
        <f aca="false">IFERROR(IF(ISBLANK(INDEX(SprintPlanning[Sprint],MATCH($A104,SprintPlanning[Requirement ID],0))),"",INDEX(SprintPlanning[Sprint],MATCH($A104,SprintPlanning[Requirement ID],0))),"")</f>
        <v>Sprint 13</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K104" s="1" t="s">
        <v>85</v>
      </c>
      <c r="L104" s="49" t="s">
        <v>405</v>
      </c>
      <c r="M104" s="50" t="s">
        <v>406</v>
      </c>
      <c r="O104" s="49"/>
    </row>
    <row r="105" customFormat="false" ht="15" hidden="false" customHeight="true" outlineLevel="0" collapsed="false">
      <c r="A105" s="1" t="str">
        <f aca="false">Backlog!A105</f>
        <v>NEW-0485</v>
      </c>
      <c r="B105" s="1"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IFERROR(IF(ISBLANK(INDEX(Backlog[Stream Owner],MATCH($A105,Backlog[Requirement ID],0))),"",INDEX(Backlog[Stream Owner],MATCH($A105,Backlog[Requirement ID],0))),"")</f>
        <v>B2CW</v>
      </c>
      <c r="E105" s="1" t="str">
        <f aca="false">IFERROR(IF(ISBLANK(INDEX(Backlog[Jira Link],MATCH($A105,Backlog[Requirement ID],0))),"",INDEX(Backlog[Jira Link],MATCH($A105,Backlog[Requirement ID],0))),"")</f>
        <v>https://smartship.atlassian.net/browse/DTTP25-44262</v>
      </c>
      <c r="F105" s="23"/>
      <c r="G105" s="23"/>
      <c r="H105" s="1" t="str">
        <f aca="false">IFERROR(IF(ISBLANK(INDEX(SprintPlanning[Sprint],MATCH($A105,SprintPlanning[Requirement ID],0))),"",INDEX(SprintPlanning[Sprint],MATCH($A105,SprintPlanning[Requirement ID],0))),"")</f>
        <v>Sprint 13</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49"/>
      <c r="M105" s="49"/>
      <c r="O105" s="49"/>
    </row>
    <row r="106" customFormat="false" ht="15" hidden="false" customHeight="true" outlineLevel="0" collapsed="false">
      <c r="A106" s="1" t="str">
        <f aca="false">Backlog!A106</f>
        <v>NEW-0486</v>
      </c>
      <c r="B106" s="1"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IFERROR(IF(ISBLANK(INDEX(Backlog[Stream Owner],MATCH($A106,Backlog[Requirement ID],0))),"",INDEX(Backlog[Stream Owner],MATCH($A106,Backlog[Requirement ID],0))),"")</f>
        <v>ALL</v>
      </c>
      <c r="E106" s="1" t="str">
        <f aca="false">IFERROR(IF(ISBLANK(INDEX(Backlog[Jira Link],MATCH($A106,Backlog[Requirement ID],0))),"",INDEX(Backlog[Jira Link],MATCH($A106,Backlog[Requirement ID],0))),"")</f>
        <v>https://smartship.atlassian.net/browse/DTTP25-44262</v>
      </c>
      <c r="F106" s="23"/>
      <c r="G106" s="23"/>
      <c r="H106" s="1" t="str">
        <f aca="false">IFERROR(IF(ISBLANK(INDEX(SprintPlanning[Sprint],MATCH($A106,SprintPlanning[Requirement ID],0))),"",INDEX(SprintPlanning[Sprint],MATCH($A106,SprintPlanning[Requirement ID],0))),"")</f>
        <v>Sprint 13</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Medium</v>
      </c>
      <c r="L106" s="49"/>
      <c r="M106" s="49"/>
      <c r="O106" s="49"/>
    </row>
    <row r="107" customFormat="false" ht="15" hidden="false" customHeight="true" outlineLevel="0" collapsed="false">
      <c r="A107" s="1" t="str">
        <f aca="false">Backlog!A107</f>
        <v>NEW-0487</v>
      </c>
      <c r="B107" s="1"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IFERROR(IF(ISBLANK(INDEX(Backlog[Stream Owner],MATCH($A107,Backlog[Requirement ID],0))),"",INDEX(Backlog[Stream Owner],MATCH($A107,Backlog[Requirement ID],0))),"")</f>
        <v>B2CW</v>
      </c>
      <c r="E107" s="1" t="str">
        <f aca="false">IFERROR(IF(ISBLANK(INDEX(Backlog[Jira Link],MATCH($A107,Backlog[Requirement ID],0))),"",INDEX(Backlog[Jira Link],MATCH($A107,Backlog[Requirement ID],0))),"")</f>
        <v/>
      </c>
      <c r="F107" s="23"/>
      <c r="G107" s="23"/>
      <c r="H107" s="1" t="str">
        <f aca="false">IFERROR(IF(ISBLANK(INDEX(SprintPlanning[Sprint],MATCH($A107,SprintPlanning[Requirement ID],0))),"",INDEX(SprintPlanning[Sprint],MATCH($A107,SprintPlanning[Requirement ID],0))),"")</f>
        <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Medium</v>
      </c>
      <c r="L107" s="49"/>
      <c r="M107" s="49"/>
      <c r="O107" s="49"/>
    </row>
    <row r="108" customFormat="false" ht="15" hidden="false" customHeight="true" outlineLevel="0" collapsed="false">
      <c r="A108" s="1" t="str">
        <f aca="false">Backlog!A108</f>
        <v>NEW-0488</v>
      </c>
      <c r="B108" s="1"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IFERROR(IF(ISBLANK(INDEX(Backlog[Stream Owner],MATCH($A108,Backlog[Requirement ID],0))),"",INDEX(Backlog[Stream Owner],MATCH($A108,Backlog[Requirement ID],0))),"")</f>
        <v>B2CW</v>
      </c>
      <c r="E108" s="1" t="str">
        <f aca="false">IFERROR(IF(ISBLANK(INDEX(Backlog[Jira Link],MATCH($A108,Backlog[Requirement ID],0))),"",INDEX(Backlog[Jira Link],MATCH($A108,Backlog[Requirement ID],0))),"")</f>
        <v/>
      </c>
      <c r="F108" s="23"/>
      <c r="G108" s="23"/>
      <c r="H108" s="1" t="str">
        <f aca="false">IFERROR(IF(ISBLANK(INDEX(SprintPlanning[Sprint],MATCH($A108,SprintPlanning[Requirement ID],0))),"",INDEX(SprintPlanning[Sprint],MATCH($A108,SprintPlanning[Requirement ID],0))),"")</f>
        <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49"/>
      <c r="M108" s="49"/>
      <c r="O108" s="49"/>
    </row>
    <row r="109" customFormat="false" ht="15" hidden="false" customHeight="true" outlineLevel="0" collapsed="false">
      <c r="A109" s="1" t="str">
        <f aca="false">Backlog!A109</f>
        <v>NEW-0489</v>
      </c>
      <c r="B109" s="1"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IFERROR(IF(ISBLANK(INDEX(Backlog[Stream Owner],MATCH($A109,Backlog[Requirement ID],0))),"",INDEX(Backlog[Stream Owner],MATCH($A109,Backlog[Requirement ID],0))),"")</f>
        <v>B2CW</v>
      </c>
      <c r="E109" s="1" t="str">
        <f aca="false">IFERROR(IF(ISBLANK(INDEX(Backlog[Jira Link],MATCH($A109,Backlog[Requirement ID],0))),"",INDEX(Backlog[Jira Link],MATCH($A109,Backlog[Requirement ID],0))),"")</f>
        <v>https://smartship.atlassian.net/browse/DTTP25-44464</v>
      </c>
      <c r="F109" s="23"/>
      <c r="G109" s="23"/>
      <c r="H109" s="1" t="str">
        <f aca="false">IFERROR(IF(ISBLANK(INDEX(SprintPlanning[Sprint],MATCH($A109,SprintPlanning[Requirement ID],0))),"",INDEX(SprintPlanning[Sprint],MATCH($A109,SprintPlanning[Requirement ID],0))),"")</f>
        <v>Sprint 13</v>
      </c>
      <c r="I109" s="1" t="str">
        <f aca="false">IFERROR(IF(ISBLANK(INDEX(Backlog[Status],MATCH($A109,Backlog[Requirement ID],0))),"",INDEX(Backlog[Status],MATCH($A109,Backlog[Requirement ID],0))),"")</f>
        <v>NEW</v>
      </c>
      <c r="J109" s="1" t="str">
        <f aca="false">IFERROR(IF(ISBLANK(INDEX(Backlog[Priority],MATCH($A109,Backlog[Requirement ID],0))),"",INDEX(Backlog[Priority],MATCH($A109,Backlog[Requirement ID],0))),"")</f>
        <v>High</v>
      </c>
      <c r="L109" s="49"/>
      <c r="M109" s="49"/>
      <c r="O109" s="49"/>
    </row>
    <row r="110" customFormat="false" ht="15" hidden="false" customHeight="true" outlineLevel="0" collapsed="false">
      <c r="A110" s="1" t="str">
        <f aca="false">Backlog!A110</f>
        <v>NEW-0490</v>
      </c>
      <c r="B110" s="1"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IFERROR(IF(ISBLANK(INDEX(Backlog[Stream Owner],MATCH($A110,Backlog[Requirement ID],0))),"",INDEX(Backlog[Stream Owner],MATCH($A110,Backlog[Requirement ID],0))),"")</f>
        <v>ALL</v>
      </c>
      <c r="E110" s="1" t="str">
        <f aca="false">IFERROR(IF(ISBLANK(INDEX(Backlog[Jira Link],MATCH($A110,Backlog[Requirement ID],0))),"",INDEX(Backlog[Jira Link],MATCH($A110,Backlog[Requirement ID],0))),"")</f>
        <v>https://smartship.atlassian.net/browse/DTTP25-44467</v>
      </c>
      <c r="F110" s="23"/>
      <c r="G110" s="23"/>
      <c r="H110" s="1" t="str">
        <f aca="false">IFERROR(IF(ISBLANK(INDEX(SprintPlanning[Sprint],MATCH($A110,SprintPlanning[Requirement ID],0))),"",INDEX(SprintPlanning[Sprint],MATCH($A110,SprintPlanning[Requirement ID],0))),"")</f>
        <v>Sprint 14</v>
      </c>
      <c r="I110" s="1" t="str">
        <f aca="false">IFERROR(IF(ISBLANK(INDEX(Backlog[Status],MATCH($A110,Backlog[Requirement ID],0))),"",INDEX(Backlog[Status],MATCH($A110,Backlog[Requirement ID],0))),"")</f>
        <v>NEW</v>
      </c>
      <c r="J110" s="1" t="str">
        <f aca="false">IFERROR(IF(ISBLANK(INDEX(Backlog[Priority],MATCH($A110,Backlog[Requirement ID],0))),"",INDEX(Backlog[Priority],MATCH($A110,Backlog[Requirement ID],0))),"")</f>
        <v>Medium</v>
      </c>
      <c r="L110" s="49"/>
      <c r="M110" s="49"/>
      <c r="O110" s="49"/>
    </row>
    <row r="111" customFormat="false" ht="15" hidden="false" customHeight="true" outlineLevel="0" collapsed="false">
      <c r="A111" s="1" t="str">
        <f aca="false">Backlog!A111</f>
        <v>NEW-0491</v>
      </c>
      <c r="B111" s="1"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IFERROR(IF(ISBLANK(INDEX(Backlog[Stream Owner],MATCH($A111,Backlog[Requirement ID],0))),"",INDEX(Backlog[Stream Owner],MATCH($A111,Backlog[Requirement ID],0))),"")</f>
        <v>ALL</v>
      </c>
      <c r="E111" s="1" t="str">
        <f aca="false">IFERROR(IF(ISBLANK(INDEX(Backlog[Jira Link],MATCH($A111,Backlog[Requirement ID],0))),"",INDEX(Backlog[Jira Link],MATCH($A111,Backlog[Requirement ID],0))),"")</f>
        <v>https://smartship.atlassian.net/browse/DTTP25-44463</v>
      </c>
      <c r="F111" s="23"/>
      <c r="G111" s="23"/>
      <c r="H111" s="1" t="str">
        <f aca="false">IFERROR(IF(ISBLANK(INDEX(SprintPlanning[Sprint],MATCH($A111,SprintPlanning[Requirement ID],0))),"",INDEX(SprintPlanning[Sprint],MATCH($A111,SprintPlanning[Requirement ID],0))),"")</f>
        <v>Sprint 13</v>
      </c>
      <c r="I111" s="1" t="str">
        <f aca="false">IFERROR(IF(ISBLANK(INDEX(Backlog[Status],MATCH($A111,Backlog[Requirement ID],0))),"",INDEX(Backlog[Status],MATCH($A111,Backlog[Requirement ID],0))),"")</f>
        <v>NEW</v>
      </c>
      <c r="J111" s="1" t="str">
        <f aca="false">IFERROR(IF(ISBLANK(INDEX(Backlog[Priority],MATCH($A111,Backlog[Requirement ID],0))),"",INDEX(Backlog[Priority],MATCH($A111,Backlog[Requirement ID],0))),"")</f>
        <v>High</v>
      </c>
      <c r="L111" s="49"/>
      <c r="M111" s="49"/>
      <c r="O111" s="49"/>
    </row>
    <row r="112" customFormat="false" ht="15" hidden="false" customHeight="true" outlineLevel="0" collapsed="false">
      <c r="A112" s="1" t="str">
        <f aca="false">Backlog!A112</f>
        <v>NEW-0492</v>
      </c>
      <c r="B112" s="1"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IFERROR(IF(ISBLANK(INDEX(Backlog[Stream Owner],MATCH($A112,Backlog[Requirement ID],0))),"",INDEX(Backlog[Stream Owner],MATCH($A112,Backlog[Requirement ID],0))),"")</f>
        <v>S&amp;S</v>
      </c>
      <c r="E112" s="1" t="str">
        <f aca="false">IFERROR(IF(ISBLANK(INDEX(Backlog[Jira Link],MATCH($A112,Backlog[Requirement ID],0))),"",INDEX(Backlog[Jira Link],MATCH($A112,Backlog[Requirement ID],0))),"")</f>
        <v>https://smartship.atlassian.net/browse/MDTTPU-18150</v>
      </c>
      <c r="F112" s="23"/>
      <c r="G112" s="23"/>
      <c r="H112" s="1" t="str">
        <f aca="false">IFERROR(IF(ISBLANK(INDEX(SprintPlanning[Sprint],MATCH($A112,SprintPlanning[Requirement ID],0))),"",INDEX(SprintPlanning[Sprint],MATCH($A112,SprintPlanning[Requirement ID],0))),"")</f>
        <v>Sprint 13</v>
      </c>
      <c r="I112" s="1" t="str">
        <f aca="false">IFERROR(IF(ISBLANK(INDEX(Backlog[Status],MATCH($A112,Backlog[Requirement ID],0))),"",INDEX(Backlog[Status],MATCH($A112,Backlog[Requirement ID],0))),"")</f>
        <v>NEW</v>
      </c>
      <c r="J112" s="1" t="str">
        <f aca="false">IFERROR(IF(ISBLANK(INDEX(Backlog[Priority],MATCH($A112,Backlog[Requirement ID],0))),"",INDEX(Backlog[Priority],MATCH($A112,Backlog[Requirement ID],0))),"")</f>
        <v>High</v>
      </c>
      <c r="K112" s="1" t="s">
        <v>114</v>
      </c>
      <c r="L112" s="49" t="s">
        <v>407</v>
      </c>
      <c r="M112" s="39" t="s">
        <v>408</v>
      </c>
      <c r="O112" s="49"/>
      <c r="P112" s="1" t="s">
        <v>394</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F113" s="23"/>
      <c r="G113" s="23"/>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49"/>
      <c r="M113" s="49"/>
      <c r="O113" s="49"/>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F114" s="23"/>
      <c r="G114" s="23"/>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49"/>
      <c r="M114" s="49"/>
      <c r="O114" s="49"/>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F115" s="23"/>
      <c r="G115" s="23"/>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49"/>
      <c r="M115" s="49"/>
      <c r="O115" s="49"/>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F116" s="23"/>
      <c r="G116" s="23"/>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49"/>
      <c r="M116" s="49"/>
      <c r="O116" s="49"/>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F117" s="23"/>
      <c r="G117" s="23"/>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49"/>
      <c r="M117" s="49"/>
      <c r="O117" s="49"/>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F118" s="23"/>
      <c r="G118" s="23"/>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49"/>
      <c r="M118" s="49"/>
      <c r="O118" s="49"/>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F119" s="23"/>
      <c r="G119" s="23"/>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49"/>
      <c r="M119" s="49"/>
      <c r="O119" s="49"/>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F120" s="23"/>
      <c r="G120" s="23"/>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49"/>
      <c r="M120" s="49"/>
      <c r="O120" s="49"/>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F121" s="23"/>
      <c r="G121" s="23"/>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49"/>
      <c r="M121" s="49"/>
      <c r="O121" s="49"/>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F122" s="23"/>
      <c r="G122" s="23"/>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49"/>
      <c r="M122" s="49"/>
      <c r="O122" s="49"/>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F123" s="23"/>
      <c r="G123" s="23"/>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49"/>
      <c r="M123" s="49"/>
      <c r="O123" s="49"/>
    </row>
    <row r="124" customFormat="false" ht="23.2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F124" s="23"/>
      <c r="G124" s="23"/>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49"/>
      <c r="M124" s="49"/>
      <c r="O124" s="49"/>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F125" s="23"/>
      <c r="G125" s="23"/>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49"/>
      <c r="M125" s="49"/>
      <c r="O125" s="49"/>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F126" s="23"/>
      <c r="G126" s="23"/>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49"/>
      <c r="M126" s="49"/>
      <c r="O126" s="49"/>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F127" s="23"/>
      <c r="G127" s="23"/>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49"/>
      <c r="M127" s="49"/>
      <c r="O127" s="49"/>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F128" s="23"/>
      <c r="G128" s="23"/>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49"/>
      <c r="M128" s="49"/>
      <c r="O128" s="49"/>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F129" s="23"/>
      <c r="G129" s="23"/>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49"/>
      <c r="M129" s="49"/>
      <c r="O129" s="49"/>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F130" s="23"/>
      <c r="G130" s="23"/>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49"/>
      <c r="M130" s="49"/>
      <c r="O130" s="49"/>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F131" s="23"/>
      <c r="G131" s="23"/>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49"/>
      <c r="M131" s="49"/>
      <c r="O131" s="49"/>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F132" s="23"/>
      <c r="G132" s="23"/>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49"/>
      <c r="M132" s="49"/>
      <c r="O132" s="49"/>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F133" s="23"/>
      <c r="G133" s="23"/>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49"/>
      <c r="M133" s="49"/>
      <c r="O133" s="49"/>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F134" s="23"/>
      <c r="G134" s="23"/>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49"/>
      <c r="M134" s="49"/>
      <c r="O134" s="49"/>
    </row>
    <row r="135" customFormat="false" ht="1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F135" s="23"/>
      <c r="G135" s="23"/>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49"/>
      <c r="M135" s="49"/>
      <c r="O135" s="49"/>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F136" s="23"/>
      <c r="G136" s="23"/>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49"/>
      <c r="M136" s="49"/>
      <c r="O136" s="49"/>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F137" s="23"/>
      <c r="G137" s="23"/>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49"/>
      <c r="M137" s="49"/>
      <c r="O137" s="49"/>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F138" s="23"/>
      <c r="G138" s="23"/>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49"/>
      <c r="M138" s="49"/>
      <c r="O138" s="49"/>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F139" s="23"/>
      <c r="G139" s="23"/>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49"/>
      <c r="M139" s="49"/>
      <c r="O139" s="49"/>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F140" s="23"/>
      <c r="G140" s="23"/>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49"/>
      <c r="M140" s="49"/>
      <c r="O140" s="49"/>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F141" s="23"/>
      <c r="G141" s="23"/>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49"/>
      <c r="M141" s="49"/>
      <c r="O141" s="49"/>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F142" s="23"/>
      <c r="G142" s="23"/>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49"/>
      <c r="M142" s="49"/>
      <c r="O142" s="49"/>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F143" s="23"/>
      <c r="G143" s="23"/>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49"/>
      <c r="M143" s="49"/>
      <c r="O143" s="49"/>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F144" s="23"/>
      <c r="G144" s="23"/>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49"/>
      <c r="M144" s="49"/>
      <c r="O144" s="49"/>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F145" s="23"/>
      <c r="G145" s="23"/>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49"/>
      <c r="M145" s="49"/>
      <c r="O145" s="49"/>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F146" s="23"/>
      <c r="G146" s="23"/>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49"/>
      <c r="M146" s="49"/>
      <c r="O146" s="49"/>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F147" s="23"/>
      <c r="G147" s="23"/>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49"/>
      <c r="M147" s="49"/>
      <c r="O147" s="49"/>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F148" s="23"/>
      <c r="G148" s="23"/>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49"/>
      <c r="M148" s="49"/>
      <c r="O148" s="49"/>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F149" s="23"/>
      <c r="G149" s="23"/>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49"/>
      <c r="M149" s="49"/>
      <c r="O149" s="49"/>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F150" s="23"/>
      <c r="G150" s="23"/>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49"/>
      <c r="M150" s="49"/>
      <c r="O150" s="49"/>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F151" s="23"/>
      <c r="G151" s="23"/>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49"/>
      <c r="M151" s="49"/>
      <c r="O151" s="49"/>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F152" s="23"/>
      <c r="G152" s="23"/>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49"/>
      <c r="M152" s="49"/>
      <c r="O152" s="49"/>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F153" s="23"/>
      <c r="G153" s="23"/>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49"/>
      <c r="M153" s="49"/>
      <c r="O153" s="49"/>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F154" s="23"/>
      <c r="G154" s="23"/>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49"/>
      <c r="M154" s="49"/>
      <c r="O154" s="49"/>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F155" s="23"/>
      <c r="G155" s="23"/>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49"/>
      <c r="M155" s="49"/>
      <c r="O155" s="49"/>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F156" s="23"/>
      <c r="G156" s="23"/>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49"/>
      <c r="M156" s="49"/>
      <c r="O156" s="49"/>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F157" s="23"/>
      <c r="G157" s="23"/>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49"/>
      <c r="M157" s="49"/>
      <c r="O157" s="49"/>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F158" s="23"/>
      <c r="G158" s="23"/>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49"/>
      <c r="M158" s="49"/>
      <c r="O158" s="49"/>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F159" s="23"/>
      <c r="G159" s="23"/>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49"/>
      <c r="M159" s="49"/>
      <c r="O159" s="49"/>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F160" s="23"/>
      <c r="G160" s="23"/>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49"/>
      <c r="M160" s="49"/>
      <c r="O160" s="49"/>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F161" s="23"/>
      <c r="G161" s="23"/>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49"/>
      <c r="M161" s="49"/>
      <c r="O161" s="49"/>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F162" s="23"/>
      <c r="G162" s="23"/>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49"/>
      <c r="M162" s="49"/>
      <c r="O162" s="49"/>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F163" s="23"/>
      <c r="G163" s="23"/>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49"/>
      <c r="M163" s="49"/>
      <c r="O163" s="49"/>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F164" s="23"/>
      <c r="G164" s="23"/>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49"/>
      <c r="M164" s="49"/>
      <c r="O164" s="49"/>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F165" s="23"/>
      <c r="G165" s="23"/>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49"/>
      <c r="M165" s="49"/>
      <c r="O165" s="49"/>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F166" s="23"/>
      <c r="G166" s="23"/>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49"/>
      <c r="M166" s="49"/>
      <c r="O166" s="49"/>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F167" s="23"/>
      <c r="G167" s="23"/>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49"/>
      <c r="M167" s="49"/>
      <c r="O167" s="49"/>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F168" s="23"/>
      <c r="G168" s="23"/>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49"/>
      <c r="M168" s="49"/>
      <c r="O168" s="49"/>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F169" s="23"/>
      <c r="G169" s="23"/>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49"/>
      <c r="M169" s="49"/>
      <c r="O169" s="49"/>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F170" s="23"/>
      <c r="G170" s="23"/>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49"/>
      <c r="M170" s="49"/>
      <c r="O170" s="49"/>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F171" s="23"/>
      <c r="G171" s="23"/>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49"/>
      <c r="M171" s="49"/>
      <c r="O171" s="49"/>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F172" s="23"/>
      <c r="G172" s="23"/>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49"/>
      <c r="M172" s="49"/>
      <c r="O172" s="49"/>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F173" s="23"/>
      <c r="G173" s="23"/>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49"/>
      <c r="M173" s="49"/>
      <c r="O173" s="49"/>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F174" s="23"/>
      <c r="G174" s="23"/>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49"/>
      <c r="M174" s="49"/>
      <c r="O174" s="49"/>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F175" s="23"/>
      <c r="G175" s="23"/>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49"/>
      <c r="M175" s="49"/>
      <c r="O175" s="49"/>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F176" s="23"/>
      <c r="G176" s="23"/>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49"/>
      <c r="M176" s="49"/>
      <c r="O176" s="49"/>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F177" s="23"/>
      <c r="G177" s="23"/>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49"/>
      <c r="M177" s="49"/>
      <c r="O177" s="49"/>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F178" s="23"/>
      <c r="G178" s="23"/>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49"/>
      <c r="M178" s="49"/>
      <c r="O178" s="49"/>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F179" s="23"/>
      <c r="G179" s="23"/>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49"/>
      <c r="M179" s="49"/>
      <c r="O179" s="49"/>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F180" s="23"/>
      <c r="G180" s="23"/>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49"/>
      <c r="M180" s="49"/>
      <c r="O180" s="49"/>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F181" s="23"/>
      <c r="G181" s="23"/>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49"/>
      <c r="M181" s="49"/>
      <c r="O181" s="49"/>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F182" s="23"/>
      <c r="G182" s="23"/>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49"/>
      <c r="M182" s="49"/>
      <c r="O182" s="49"/>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F183" s="23"/>
      <c r="G183" s="23"/>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49"/>
      <c r="M183" s="49"/>
      <c r="O183" s="49"/>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F184" s="23"/>
      <c r="G184" s="23"/>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49"/>
      <c r="M184" s="49"/>
      <c r="O184" s="49"/>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F185" s="23"/>
      <c r="G185" s="23"/>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49"/>
      <c r="M185" s="49"/>
      <c r="O185" s="49"/>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F186" s="23"/>
      <c r="G186" s="23"/>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49"/>
      <c r="M186" s="49"/>
      <c r="O186" s="49"/>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F187" s="23"/>
      <c r="G187" s="23"/>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49"/>
      <c r="M187" s="49"/>
      <c r="O187" s="49"/>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F188" s="23"/>
      <c r="G188" s="23"/>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49"/>
      <c r="M188" s="49"/>
      <c r="O188" s="49"/>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F189" s="23"/>
      <c r="G189" s="23"/>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49"/>
      <c r="M189" s="49"/>
      <c r="O189" s="49"/>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F190" s="23"/>
      <c r="G190" s="23"/>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49"/>
      <c r="M190" s="49"/>
      <c r="O190" s="49"/>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F191" s="23"/>
      <c r="G191" s="23"/>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49"/>
      <c r="M191" s="49"/>
      <c r="O191" s="49"/>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F192" s="23"/>
      <c r="G192" s="23"/>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49"/>
      <c r="M192" s="49"/>
      <c r="O192" s="49"/>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F193" s="23"/>
      <c r="G193" s="23"/>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49"/>
      <c r="M193" s="49"/>
      <c r="O193" s="49"/>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F194" s="23"/>
      <c r="G194" s="23"/>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49"/>
      <c r="M194" s="49"/>
      <c r="O194" s="49"/>
    </row>
    <row r="195" customFormat="false" ht="23.2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F195" s="23"/>
      <c r="G195" s="23"/>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49"/>
      <c r="M195" s="49"/>
      <c r="O195" s="49"/>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F196" s="23"/>
      <c r="G196" s="23"/>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49"/>
      <c r="M196" s="49"/>
      <c r="O196" s="49"/>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F197" s="23"/>
      <c r="G197" s="23"/>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49"/>
      <c r="M197" s="49"/>
      <c r="O197" s="49"/>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F198" s="23"/>
      <c r="G198" s="23"/>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49"/>
      <c r="M198" s="49"/>
      <c r="O198" s="49"/>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F199" s="23"/>
      <c r="G199" s="23"/>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49"/>
      <c r="M199" s="49"/>
      <c r="O199" s="49"/>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F200" s="23"/>
      <c r="G200" s="23"/>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49"/>
      <c r="M200" s="49"/>
      <c r="O200" s="49"/>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F201" s="23"/>
      <c r="G201" s="23"/>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49"/>
      <c r="M201" s="49"/>
      <c r="O201" s="49"/>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F202" s="23"/>
      <c r="G202" s="23"/>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49"/>
      <c r="M202" s="49"/>
      <c r="O202" s="49"/>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F203" s="23"/>
      <c r="G203" s="23"/>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49"/>
      <c r="M203" s="49"/>
      <c r="O203" s="49"/>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F204" s="23"/>
      <c r="G204" s="23"/>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49"/>
      <c r="M204" s="49"/>
      <c r="O204" s="49"/>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F205" s="23"/>
      <c r="G205" s="23"/>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49"/>
      <c r="M205" s="49"/>
      <c r="O205" s="49"/>
    </row>
    <row r="206" customFormat="false" ht="1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F206" s="23"/>
      <c r="G206" s="23"/>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49"/>
      <c r="M206" s="49"/>
      <c r="O206" s="49"/>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F207" s="23"/>
      <c r="G207" s="23"/>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49"/>
      <c r="M207" s="49"/>
      <c r="O207" s="49"/>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F208" s="23"/>
      <c r="G208" s="23"/>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49"/>
      <c r="M208" s="49"/>
      <c r="O208" s="49"/>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F209" s="23"/>
      <c r="G209" s="23"/>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49"/>
      <c r="M209" s="49"/>
      <c r="O209" s="49"/>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F210" s="23"/>
      <c r="G210" s="23"/>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49"/>
      <c r="M210" s="49"/>
      <c r="O210" s="49"/>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F211" s="23"/>
      <c r="G211" s="23"/>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49"/>
      <c r="M211" s="49"/>
      <c r="O211" s="49"/>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F212" s="23"/>
      <c r="G212" s="23"/>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49"/>
      <c r="M212" s="49"/>
      <c r="O212" s="49"/>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F213" s="23"/>
      <c r="G213" s="23"/>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49"/>
      <c r="M213" s="49"/>
      <c r="O213" s="49"/>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F214" s="23"/>
      <c r="G214" s="23"/>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49"/>
      <c r="M214" s="49"/>
      <c r="O214" s="49"/>
    </row>
    <row r="215" customFormat="false" ht="23.2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F215" s="23"/>
      <c r="G215" s="23"/>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49"/>
      <c r="M215" s="49"/>
      <c r="O215" s="49"/>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F216" s="23"/>
      <c r="G216" s="23"/>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49"/>
      <c r="M216" s="49"/>
      <c r="O216" s="49"/>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F217" s="23"/>
      <c r="G217" s="23"/>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49"/>
      <c r="M217" s="49"/>
      <c r="O217" s="49"/>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F218" s="23"/>
      <c r="G218" s="23"/>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49"/>
      <c r="M218" s="49"/>
      <c r="O218" s="49"/>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F219" s="23"/>
      <c r="G219" s="23"/>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49"/>
      <c r="M219" s="49"/>
      <c r="O219" s="49"/>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F220" s="23"/>
      <c r="G220" s="23"/>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49"/>
      <c r="M220" s="49"/>
      <c r="O220" s="49"/>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F221" s="23"/>
      <c r="G221" s="23"/>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49"/>
      <c r="M221" s="49"/>
      <c r="O221" s="49"/>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F222" s="23"/>
      <c r="G222" s="23"/>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49"/>
      <c r="M222" s="49"/>
      <c r="O222" s="49"/>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F223" s="23"/>
      <c r="G223" s="23"/>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49"/>
      <c r="M223" s="49"/>
      <c r="O223" s="49"/>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F224" s="23"/>
      <c r="G224" s="23"/>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49"/>
      <c r="M224" s="49"/>
      <c r="O224" s="49"/>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F225" s="23"/>
      <c r="G225" s="23"/>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49"/>
      <c r="M225" s="49"/>
      <c r="O225" s="49"/>
    </row>
    <row r="226" customFormat="false" ht="1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F226" s="23"/>
      <c r="G226" s="23"/>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49"/>
      <c r="M226" s="49"/>
      <c r="O226" s="49"/>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F227" s="23"/>
      <c r="G227" s="23"/>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49"/>
      <c r="M227" s="49"/>
      <c r="O227" s="49"/>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F228" s="23"/>
      <c r="G228" s="23"/>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49"/>
      <c r="M228" s="49"/>
      <c r="O228" s="49"/>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F229" s="23"/>
      <c r="G229" s="23"/>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49"/>
      <c r="M229" s="49"/>
      <c r="O229" s="49"/>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F230" s="23"/>
      <c r="G230" s="23"/>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49"/>
      <c r="M230" s="49"/>
      <c r="O230" s="49"/>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F231" s="23"/>
      <c r="G231" s="23"/>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49"/>
      <c r="M231" s="49"/>
      <c r="O231" s="49"/>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F232" s="23"/>
      <c r="G232" s="23"/>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49"/>
      <c r="M232" s="49"/>
      <c r="O232" s="49"/>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F233" s="23"/>
      <c r="G233" s="23"/>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49"/>
      <c r="M233" s="49"/>
      <c r="O233" s="49"/>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F234" s="23"/>
      <c r="G234" s="23"/>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49"/>
      <c r="M234" s="49"/>
      <c r="O234" s="49"/>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F235" s="23"/>
      <c r="G235" s="23"/>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49"/>
      <c r="M235" s="49"/>
      <c r="O235" s="49"/>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F236" s="23"/>
      <c r="G236" s="23"/>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49"/>
      <c r="M236" s="49"/>
      <c r="O236" s="49"/>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F237" s="23"/>
      <c r="G237" s="23"/>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49"/>
      <c r="M237" s="49"/>
      <c r="O237" s="49"/>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F238" s="23"/>
      <c r="G238" s="23"/>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49"/>
      <c r="M238" s="49"/>
      <c r="O238" s="49"/>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F239" s="23"/>
      <c r="G239" s="23"/>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49"/>
      <c r="M239" s="49"/>
      <c r="O239" s="49"/>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F240" s="23"/>
      <c r="G240" s="23"/>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49"/>
      <c r="M240" s="49"/>
      <c r="O240" s="49"/>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F241" s="23"/>
      <c r="G241" s="23"/>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49"/>
      <c r="M241" s="49"/>
      <c r="O241" s="49"/>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F242" s="23"/>
      <c r="G242" s="23"/>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49"/>
      <c r="M242" s="49"/>
      <c r="O242" s="49"/>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F243" s="23"/>
      <c r="G243" s="23"/>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49"/>
      <c r="M243" s="49"/>
      <c r="O243" s="49"/>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F244" s="23"/>
      <c r="G244" s="23"/>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49"/>
      <c r="M244" s="49"/>
      <c r="O244" s="49"/>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F245" s="23"/>
      <c r="G245" s="23"/>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49"/>
      <c r="M245" s="49"/>
      <c r="O245" s="49"/>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F246" s="23"/>
      <c r="G246" s="23"/>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49"/>
      <c r="M246" s="49"/>
      <c r="O246" s="49"/>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F247" s="23"/>
      <c r="G247" s="23"/>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49"/>
      <c r="M247" s="49"/>
      <c r="O247" s="49"/>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F248" s="23"/>
      <c r="G248" s="23"/>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49"/>
      <c r="M248" s="49"/>
      <c r="O248" s="49"/>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F249" s="23"/>
      <c r="G249" s="23"/>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49"/>
      <c r="M249" s="49"/>
      <c r="O249" s="49"/>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F250" s="23"/>
      <c r="G250" s="23"/>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49"/>
      <c r="M250" s="49"/>
      <c r="O250" s="49"/>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F251" s="23"/>
      <c r="G251" s="23"/>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49"/>
      <c r="M251" s="49"/>
      <c r="O251" s="49"/>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F252" s="23"/>
      <c r="G252" s="23"/>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49"/>
      <c r="M252" s="49"/>
      <c r="O252" s="49"/>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F253" s="23"/>
      <c r="G253" s="23"/>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49"/>
      <c r="M253" s="49"/>
      <c r="O253" s="49"/>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F254" s="23"/>
      <c r="G254" s="23"/>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49"/>
      <c r="M254" s="49"/>
      <c r="O254" s="49"/>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F255" s="23"/>
      <c r="G255" s="23"/>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49"/>
      <c r="M255" s="49"/>
      <c r="O255" s="49"/>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F256" s="23"/>
      <c r="G256" s="23"/>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49"/>
      <c r="M256" s="49"/>
      <c r="O256" s="49"/>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F257" s="23"/>
      <c r="G257" s="23"/>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49"/>
      <c r="M257" s="49"/>
      <c r="O257" s="49"/>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F258" s="23"/>
      <c r="G258" s="23"/>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49"/>
      <c r="M258" s="49"/>
      <c r="O258" s="49"/>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F259" s="23"/>
      <c r="G259" s="23"/>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49"/>
      <c r="M259" s="49"/>
      <c r="O259" s="49"/>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F260" s="23"/>
      <c r="G260" s="23"/>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49"/>
      <c r="M260" s="49"/>
      <c r="O260" s="49"/>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F261" s="23"/>
      <c r="G261" s="23"/>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49"/>
      <c r="M261" s="49"/>
      <c r="O261" s="49"/>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F262" s="23"/>
      <c r="G262" s="23"/>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49"/>
      <c r="M262" s="49"/>
      <c r="O262" s="49"/>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F263" s="23"/>
      <c r="G263" s="23"/>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49"/>
      <c r="M263" s="49"/>
      <c r="O263" s="49"/>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F264" s="23"/>
      <c r="G264" s="23"/>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49"/>
      <c r="M264" s="49"/>
      <c r="O264" s="49"/>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F265" s="23"/>
      <c r="G265" s="23"/>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49"/>
      <c r="M265" s="49"/>
      <c r="O265" s="49"/>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F266" s="23"/>
      <c r="G266" s="23"/>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49"/>
      <c r="M266" s="49"/>
      <c r="O266" s="49"/>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F267" s="23"/>
      <c r="G267" s="23"/>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49"/>
      <c r="M267" s="49"/>
      <c r="O267" s="49"/>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F268" s="23"/>
      <c r="G268" s="23"/>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49"/>
      <c r="M268" s="49"/>
      <c r="O268" s="49"/>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F269" s="23"/>
      <c r="G269" s="23"/>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49"/>
      <c r="M269" s="49"/>
      <c r="O269" s="49"/>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F270" s="23"/>
      <c r="G270" s="23"/>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49"/>
      <c r="M270" s="49"/>
      <c r="O270" s="49"/>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F271" s="23"/>
      <c r="G271" s="23"/>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49"/>
      <c r="M271" s="49"/>
      <c r="O271" s="49"/>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F272" s="23"/>
      <c r="G272" s="23"/>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49"/>
      <c r="M272" s="49"/>
      <c r="O272" s="49"/>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F273" s="23"/>
      <c r="G273" s="23"/>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49"/>
      <c r="M273" s="49"/>
      <c r="O273" s="49"/>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F274" s="23"/>
      <c r="G274" s="23"/>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49"/>
      <c r="M274" s="49"/>
      <c r="O274" s="49"/>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F275" s="23"/>
      <c r="G275" s="23"/>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49"/>
      <c r="M275" s="49"/>
      <c r="O275" s="49"/>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F276" s="23"/>
      <c r="G276" s="23"/>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49"/>
      <c r="M276" s="49"/>
      <c r="O276" s="49"/>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F277" s="23"/>
      <c r="G277" s="23"/>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49"/>
      <c r="M277" s="49"/>
      <c r="O277" s="49"/>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F278" s="23"/>
      <c r="G278" s="23"/>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49"/>
      <c r="M278" s="49"/>
      <c r="O278" s="49"/>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F279" s="23"/>
      <c r="G279" s="23"/>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49"/>
      <c r="M279" s="49"/>
      <c r="O279" s="49"/>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F280" s="23"/>
      <c r="G280" s="23"/>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49"/>
      <c r="M280" s="49"/>
      <c r="O280" s="49"/>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F281" s="23"/>
      <c r="G281" s="23"/>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49"/>
      <c r="M281" s="49"/>
      <c r="O281" s="49"/>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F282" s="23"/>
      <c r="G282" s="23"/>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49"/>
      <c r="M282" s="49"/>
      <c r="O282" s="49"/>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F283" s="23"/>
      <c r="G283" s="23"/>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49"/>
      <c r="M283" s="49"/>
      <c r="O283" s="49"/>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F284" s="23"/>
      <c r="G284" s="23"/>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49"/>
      <c r="M284" s="49"/>
      <c r="O284" s="49"/>
    </row>
    <row r="285" customFormat="false" ht="15" hidden="false" customHeight="true" outlineLevel="0" collapsed="false">
      <c r="F285" s="23"/>
      <c r="G285" s="23"/>
      <c r="L285" s="49"/>
      <c r="M285" s="49"/>
      <c r="O285" s="49"/>
    </row>
    <row r="286" customFormat="false" ht="15" hidden="false" customHeight="true" outlineLevel="0" collapsed="false">
      <c r="F286" s="23"/>
      <c r="G286" s="23"/>
      <c r="L286" s="49"/>
      <c r="M286" s="49"/>
      <c r="O286" s="49"/>
    </row>
    <row r="287" customFormat="false" ht="15" hidden="false" customHeight="true" outlineLevel="0" collapsed="false">
      <c r="F287" s="23"/>
      <c r="G287" s="23"/>
      <c r="L287" s="49"/>
      <c r="M287" s="49"/>
      <c r="O287" s="49"/>
    </row>
    <row r="288" customFormat="false" ht="15" hidden="false" customHeight="true" outlineLevel="0" collapsed="false">
      <c r="F288" s="23"/>
      <c r="G288" s="23"/>
      <c r="L288" s="49"/>
      <c r="M288" s="49"/>
      <c r="O288" s="49"/>
    </row>
    <row r="289" customFormat="false" ht="15" hidden="false" customHeight="true" outlineLevel="0" collapsed="false">
      <c r="F289" s="23"/>
      <c r="G289" s="23"/>
      <c r="L289" s="49"/>
      <c r="M289" s="49"/>
      <c r="O289" s="49"/>
    </row>
    <row r="290" customFormat="false" ht="15" hidden="false" customHeight="true" outlineLevel="0" collapsed="false">
      <c r="F290" s="23"/>
      <c r="G290" s="23"/>
      <c r="L290" s="49"/>
      <c r="M290" s="49"/>
      <c r="O290" s="49"/>
    </row>
    <row r="291" customFormat="false" ht="15" hidden="false" customHeight="true" outlineLevel="0" collapsed="false">
      <c r="F291" s="23"/>
      <c r="G291" s="23"/>
      <c r="L291" s="49"/>
      <c r="M291" s="49"/>
      <c r="O291" s="49"/>
    </row>
    <row r="292" customFormat="false" ht="15" hidden="false" customHeight="true" outlineLevel="0" collapsed="false">
      <c r="F292" s="23"/>
      <c r="G292" s="23"/>
      <c r="L292" s="49"/>
      <c r="M292" s="49"/>
      <c r="O292" s="49"/>
    </row>
    <row r="293" customFormat="false" ht="15" hidden="false" customHeight="true" outlineLevel="0" collapsed="false">
      <c r="F293" s="23"/>
      <c r="G293" s="23"/>
      <c r="L293" s="49"/>
      <c r="M293" s="49"/>
      <c r="O293" s="49"/>
    </row>
    <row r="294" customFormat="false" ht="15" hidden="false" customHeight="true" outlineLevel="0" collapsed="false">
      <c r="F294" s="23"/>
      <c r="G294" s="23"/>
      <c r="L294" s="49"/>
      <c r="M294" s="49"/>
      <c r="O294" s="49"/>
    </row>
    <row r="295" customFormat="false" ht="15" hidden="false" customHeight="true" outlineLevel="0" collapsed="false">
      <c r="F295" s="23"/>
      <c r="G295" s="23"/>
      <c r="L295" s="49"/>
      <c r="M295" s="49"/>
      <c r="O295" s="49"/>
    </row>
    <row r="296" customFormat="false" ht="15" hidden="false" customHeight="true" outlineLevel="0" collapsed="false">
      <c r="F296" s="23"/>
      <c r="G296" s="23"/>
      <c r="L296" s="49"/>
      <c r="M296" s="49"/>
      <c r="O296" s="49"/>
    </row>
    <row r="297" customFormat="false" ht="15" hidden="false" customHeight="true" outlineLevel="0" collapsed="false">
      <c r="F297" s="23"/>
      <c r="G297" s="23"/>
      <c r="L297" s="49"/>
      <c r="M297" s="49"/>
      <c r="O297" s="49"/>
    </row>
    <row r="298" customFormat="false" ht="15" hidden="false" customHeight="true" outlineLevel="0" collapsed="false">
      <c r="F298" s="23"/>
      <c r="G298" s="23"/>
      <c r="L298" s="49"/>
      <c r="M298" s="49"/>
      <c r="O298" s="49"/>
    </row>
    <row r="299" customFormat="false" ht="15" hidden="false" customHeight="true" outlineLevel="0" collapsed="false">
      <c r="F299" s="23"/>
      <c r="G299" s="23"/>
      <c r="L299" s="49"/>
      <c r="M299" s="49"/>
      <c r="O299" s="49"/>
    </row>
    <row r="300" customFormat="false" ht="15" hidden="false" customHeight="true" outlineLevel="0" collapsed="false">
      <c r="F300" s="23"/>
      <c r="G300" s="23"/>
      <c r="L300" s="49"/>
      <c r="M300" s="49"/>
      <c r="O300" s="49"/>
    </row>
    <row r="301" customFormat="false" ht="15" hidden="false" customHeight="true" outlineLevel="0" collapsed="false">
      <c r="F301" s="23"/>
      <c r="G301" s="23"/>
      <c r="L301" s="49"/>
      <c r="M301" s="49"/>
      <c r="O301" s="49"/>
    </row>
    <row r="302" customFormat="false" ht="15" hidden="false" customHeight="true" outlineLevel="0" collapsed="false">
      <c r="F302" s="23"/>
      <c r="G302" s="23"/>
      <c r="L302" s="49"/>
      <c r="M302" s="49"/>
      <c r="O302" s="49"/>
    </row>
    <row r="303" customFormat="false" ht="15" hidden="false" customHeight="true" outlineLevel="0" collapsed="false">
      <c r="F303" s="23"/>
      <c r="G303" s="23"/>
      <c r="L303" s="49"/>
      <c r="M303" s="49"/>
      <c r="O303" s="49"/>
    </row>
    <row r="304" customFormat="false" ht="15" hidden="false" customHeight="true" outlineLevel="0" collapsed="false">
      <c r="F304" s="23"/>
      <c r="G304" s="23"/>
      <c r="L304" s="49"/>
      <c r="M304" s="49"/>
      <c r="O304" s="49"/>
    </row>
    <row r="305" customFormat="false" ht="15" hidden="false" customHeight="true" outlineLevel="0" collapsed="false">
      <c r="F305" s="23"/>
      <c r="G305" s="23"/>
      <c r="L305" s="49"/>
      <c r="M305" s="49"/>
      <c r="O305" s="49"/>
    </row>
    <row r="306" customFormat="false" ht="15" hidden="false" customHeight="true" outlineLevel="0" collapsed="false">
      <c r="F306" s="23"/>
      <c r="G306" s="23"/>
      <c r="L306" s="49"/>
      <c r="M306" s="49"/>
      <c r="O306" s="49"/>
    </row>
    <row r="307" customFormat="false" ht="15" hidden="false" customHeight="true" outlineLevel="0" collapsed="false">
      <c r="F307" s="23"/>
      <c r="G307" s="23"/>
      <c r="L307" s="49"/>
      <c r="M307" s="49"/>
      <c r="O307" s="49"/>
    </row>
    <row r="308" customFormat="false" ht="15" hidden="false" customHeight="true" outlineLevel="0" collapsed="false">
      <c r="F308" s="23"/>
      <c r="G308" s="23"/>
      <c r="L308" s="49"/>
      <c r="M308" s="49"/>
      <c r="O308" s="49"/>
    </row>
    <row r="309" customFormat="false" ht="15" hidden="false" customHeight="true" outlineLevel="0" collapsed="false">
      <c r="F309" s="23"/>
      <c r="G309" s="23"/>
      <c r="L309" s="49"/>
      <c r="M309" s="49"/>
      <c r="O309" s="49"/>
    </row>
    <row r="310" customFormat="false" ht="15" hidden="false" customHeight="true" outlineLevel="0" collapsed="false">
      <c r="F310" s="23"/>
      <c r="G310" s="23"/>
      <c r="L310" s="49"/>
      <c r="M310" s="49"/>
      <c r="O310" s="49"/>
    </row>
    <row r="311" customFormat="false" ht="15" hidden="false" customHeight="true" outlineLevel="0" collapsed="false">
      <c r="F311" s="23"/>
      <c r="G311" s="23"/>
      <c r="L311" s="49"/>
      <c r="M311" s="49"/>
      <c r="O311" s="49"/>
    </row>
    <row r="312" customFormat="false" ht="15" hidden="false" customHeight="true" outlineLevel="0" collapsed="false">
      <c r="F312" s="23"/>
      <c r="G312" s="23"/>
      <c r="L312" s="49"/>
      <c r="M312" s="49"/>
      <c r="O312" s="49"/>
    </row>
    <row r="313" customFormat="false" ht="15" hidden="false" customHeight="true" outlineLevel="0" collapsed="false">
      <c r="F313" s="23"/>
      <c r="G313" s="23"/>
      <c r="L313" s="49"/>
      <c r="M313" s="49"/>
      <c r="O313" s="49"/>
    </row>
    <row r="314" customFormat="false" ht="15" hidden="false" customHeight="true" outlineLevel="0" collapsed="false">
      <c r="F314" s="23"/>
      <c r="G314" s="23"/>
      <c r="L314" s="49"/>
      <c r="M314" s="49"/>
      <c r="O314" s="49"/>
    </row>
    <row r="315" customFormat="false" ht="15" hidden="false" customHeight="true" outlineLevel="0" collapsed="false">
      <c r="F315" s="23"/>
      <c r="G315" s="23"/>
      <c r="L315" s="49"/>
      <c r="M315" s="49"/>
      <c r="O315" s="49"/>
    </row>
    <row r="316" customFormat="false" ht="15" hidden="false" customHeight="true" outlineLevel="0" collapsed="false">
      <c r="F316" s="23"/>
      <c r="G316" s="23"/>
      <c r="L316" s="49"/>
      <c r="M316" s="49"/>
      <c r="O316" s="49"/>
    </row>
    <row r="317" customFormat="false" ht="15" hidden="false" customHeight="true" outlineLevel="0" collapsed="false">
      <c r="F317" s="23"/>
      <c r="G317" s="23"/>
      <c r="L317" s="49"/>
      <c r="M317" s="49"/>
      <c r="O317" s="49"/>
    </row>
    <row r="318" customFormat="false" ht="15" hidden="false" customHeight="true" outlineLevel="0" collapsed="false">
      <c r="F318" s="23"/>
      <c r="G318" s="23"/>
      <c r="L318" s="49"/>
      <c r="M318" s="49"/>
      <c r="O318" s="49"/>
    </row>
    <row r="319" customFormat="false" ht="15" hidden="false" customHeight="true" outlineLevel="0" collapsed="false">
      <c r="F319" s="23"/>
      <c r="G319" s="23"/>
      <c r="L319" s="49"/>
      <c r="M319" s="49"/>
      <c r="O319" s="49"/>
    </row>
    <row r="320" customFormat="false" ht="15" hidden="false" customHeight="true" outlineLevel="0" collapsed="false">
      <c r="F320" s="23"/>
      <c r="G320" s="23"/>
      <c r="L320" s="49"/>
      <c r="M320" s="49"/>
      <c r="O320" s="49"/>
    </row>
    <row r="321" customFormat="false" ht="15" hidden="false" customHeight="true" outlineLevel="0" collapsed="false">
      <c r="F321" s="23"/>
      <c r="G321" s="23"/>
      <c r="L321" s="49"/>
      <c r="M321" s="49"/>
      <c r="O321" s="49"/>
    </row>
    <row r="322" customFormat="false" ht="15" hidden="false" customHeight="true" outlineLevel="0" collapsed="false">
      <c r="F322" s="23"/>
      <c r="G322" s="23"/>
      <c r="L322" s="49"/>
      <c r="M322" s="49"/>
      <c r="O322" s="49"/>
    </row>
    <row r="323" customFormat="false" ht="15" hidden="false" customHeight="true" outlineLevel="0" collapsed="false">
      <c r="F323" s="23"/>
      <c r="G323" s="23"/>
      <c r="L323" s="49"/>
      <c r="M323" s="49"/>
      <c r="O323" s="49"/>
    </row>
    <row r="324" customFormat="false" ht="15" hidden="false" customHeight="true" outlineLevel="0" collapsed="false">
      <c r="F324" s="23"/>
      <c r="G324" s="23"/>
      <c r="L324" s="49"/>
      <c r="M324" s="49"/>
      <c r="O324" s="49"/>
    </row>
    <row r="325" customFormat="false" ht="15" hidden="false" customHeight="true" outlineLevel="0" collapsed="false">
      <c r="F325" s="23"/>
      <c r="G325" s="23"/>
      <c r="L325" s="49"/>
      <c r="M325" s="49"/>
      <c r="O325" s="49"/>
    </row>
    <row r="326" customFormat="false" ht="15" hidden="false" customHeight="true" outlineLevel="0" collapsed="false">
      <c r="F326" s="23"/>
      <c r="G326" s="23"/>
      <c r="L326" s="49"/>
      <c r="M326" s="49"/>
      <c r="O326" s="49"/>
    </row>
    <row r="327" customFormat="false" ht="15" hidden="false" customHeight="true" outlineLevel="0" collapsed="false">
      <c r="F327" s="23"/>
      <c r="G327" s="23"/>
      <c r="L327" s="49"/>
      <c r="M327" s="49"/>
      <c r="O327" s="49"/>
    </row>
    <row r="328" customFormat="false" ht="15" hidden="false" customHeight="true" outlineLevel="0" collapsed="false">
      <c r="F328" s="23"/>
      <c r="G328" s="23"/>
      <c r="L328" s="49"/>
      <c r="M328" s="49"/>
      <c r="O328" s="49"/>
    </row>
    <row r="329" customFormat="false" ht="15" hidden="false" customHeight="true" outlineLevel="0" collapsed="false">
      <c r="F329" s="23"/>
      <c r="G329" s="23"/>
      <c r="L329" s="49"/>
      <c r="M329" s="49"/>
      <c r="O329" s="49"/>
    </row>
    <row r="330" customFormat="false" ht="15" hidden="false" customHeight="true" outlineLevel="0" collapsed="false">
      <c r="F330" s="23"/>
      <c r="G330" s="23"/>
      <c r="L330" s="49"/>
      <c r="M330" s="49"/>
      <c r="O330" s="49"/>
    </row>
    <row r="331" customFormat="false" ht="15" hidden="false" customHeight="true" outlineLevel="0" collapsed="false">
      <c r="F331" s="23"/>
      <c r="G331" s="23"/>
      <c r="L331" s="49"/>
      <c r="M331" s="49"/>
      <c r="O331" s="49"/>
    </row>
    <row r="332" customFormat="false" ht="15" hidden="false" customHeight="true" outlineLevel="0" collapsed="false">
      <c r="F332" s="23"/>
      <c r="G332" s="23"/>
      <c r="L332" s="49"/>
      <c r="M332" s="49"/>
      <c r="O332" s="49"/>
    </row>
    <row r="333" customFormat="false" ht="15" hidden="false" customHeight="true" outlineLevel="0" collapsed="false">
      <c r="F333" s="23"/>
      <c r="G333" s="23"/>
      <c r="L333" s="49"/>
      <c r="M333" s="49"/>
      <c r="O333" s="49"/>
    </row>
    <row r="334" customFormat="false" ht="15" hidden="false" customHeight="true" outlineLevel="0" collapsed="false">
      <c r="F334" s="23"/>
      <c r="G334" s="23"/>
      <c r="L334" s="49"/>
      <c r="M334" s="49"/>
      <c r="O334" s="49"/>
    </row>
    <row r="335" customFormat="false" ht="15" hidden="false" customHeight="true" outlineLevel="0" collapsed="false">
      <c r="F335" s="23"/>
      <c r="G335" s="23"/>
      <c r="L335" s="49"/>
      <c r="M335" s="49"/>
      <c r="O335" s="49"/>
    </row>
    <row r="336" customFormat="false" ht="15" hidden="false" customHeight="true" outlineLevel="0" collapsed="false">
      <c r="F336" s="23"/>
      <c r="G336" s="23"/>
      <c r="L336" s="49"/>
      <c r="M336" s="49"/>
      <c r="O336" s="49"/>
    </row>
    <row r="337" customFormat="false" ht="15" hidden="false" customHeight="true" outlineLevel="0" collapsed="false">
      <c r="F337" s="23"/>
      <c r="G337" s="23"/>
      <c r="L337" s="49"/>
      <c r="M337" s="49"/>
      <c r="O337" s="49"/>
    </row>
    <row r="338" customFormat="false" ht="15" hidden="false" customHeight="true" outlineLevel="0" collapsed="false">
      <c r="F338" s="23"/>
      <c r="G338" s="23"/>
      <c r="L338" s="49"/>
      <c r="M338" s="49"/>
      <c r="O338" s="49"/>
    </row>
    <row r="339" customFormat="false" ht="15" hidden="false" customHeight="true" outlineLevel="0" collapsed="false">
      <c r="F339" s="23"/>
      <c r="G339" s="23"/>
      <c r="L339" s="49"/>
      <c r="M339" s="49"/>
      <c r="O339" s="49"/>
    </row>
    <row r="340" customFormat="false" ht="15" hidden="false" customHeight="true" outlineLevel="0" collapsed="false">
      <c r="F340" s="23"/>
      <c r="G340" s="23"/>
      <c r="L340" s="49"/>
      <c r="M340" s="49"/>
      <c r="O340" s="49"/>
    </row>
    <row r="341" customFormat="false" ht="15" hidden="false" customHeight="true" outlineLevel="0" collapsed="false">
      <c r="F341" s="23"/>
      <c r="G341" s="23"/>
      <c r="L341" s="49"/>
      <c r="M341" s="49"/>
      <c r="O341" s="49"/>
    </row>
    <row r="342" customFormat="false" ht="15" hidden="false" customHeight="true" outlineLevel="0" collapsed="false">
      <c r="F342" s="23"/>
      <c r="G342" s="23"/>
      <c r="L342" s="49"/>
      <c r="M342" s="49"/>
      <c r="O342" s="49"/>
    </row>
    <row r="343" customFormat="false" ht="15" hidden="false" customHeight="true" outlineLevel="0" collapsed="false">
      <c r="F343" s="23"/>
      <c r="G343" s="23"/>
      <c r="L343" s="49"/>
      <c r="M343" s="49"/>
      <c r="O343" s="49"/>
    </row>
    <row r="344" customFormat="false" ht="15" hidden="false" customHeight="true" outlineLevel="0" collapsed="false">
      <c r="F344" s="23"/>
      <c r="G344" s="23"/>
      <c r="L344" s="49"/>
      <c r="M344" s="49"/>
      <c r="O344" s="49"/>
    </row>
    <row r="345" customFormat="false" ht="15" hidden="false" customHeight="true" outlineLevel="0" collapsed="false">
      <c r="F345" s="23"/>
      <c r="G345" s="23"/>
      <c r="L345" s="49"/>
      <c r="M345" s="49"/>
      <c r="O345" s="49"/>
    </row>
    <row r="346" customFormat="false" ht="15" hidden="false" customHeight="true" outlineLevel="0" collapsed="false">
      <c r="F346" s="23"/>
      <c r="G346" s="23"/>
      <c r="L346" s="49"/>
      <c r="M346" s="49"/>
      <c r="O346" s="49"/>
    </row>
    <row r="347" customFormat="false" ht="15" hidden="false" customHeight="true" outlineLevel="0" collapsed="false">
      <c r="F347" s="23"/>
      <c r="G347" s="23"/>
      <c r="L347" s="49"/>
      <c r="M347" s="49"/>
      <c r="O347" s="49"/>
    </row>
    <row r="348" customFormat="false" ht="15" hidden="false" customHeight="true" outlineLevel="0" collapsed="false">
      <c r="F348" s="23"/>
      <c r="G348" s="23"/>
      <c r="L348" s="49"/>
      <c r="M348" s="49"/>
      <c r="O348" s="49"/>
    </row>
    <row r="349" customFormat="false" ht="15" hidden="false" customHeight="true" outlineLevel="0" collapsed="false">
      <c r="F349" s="23"/>
      <c r="G349" s="23"/>
      <c r="L349" s="49"/>
      <c r="M349" s="49"/>
      <c r="O349" s="49"/>
    </row>
    <row r="350" customFormat="false" ht="15" hidden="false" customHeight="true" outlineLevel="0" collapsed="false">
      <c r="F350" s="23"/>
      <c r="G350" s="23"/>
      <c r="L350" s="49"/>
      <c r="M350" s="49"/>
      <c r="O350" s="49"/>
    </row>
    <row r="351" customFormat="false" ht="15" hidden="false" customHeight="true" outlineLevel="0" collapsed="false">
      <c r="F351" s="23"/>
      <c r="G351" s="23"/>
      <c r="L351" s="49"/>
      <c r="M351" s="49"/>
      <c r="O351" s="49"/>
    </row>
    <row r="352" customFormat="false" ht="15" hidden="false" customHeight="true" outlineLevel="0" collapsed="false">
      <c r="F352" s="23"/>
      <c r="G352" s="23"/>
      <c r="L352" s="49"/>
      <c r="M352" s="49"/>
      <c r="O352" s="49"/>
    </row>
    <row r="353" customFormat="false" ht="15" hidden="false" customHeight="true" outlineLevel="0" collapsed="false">
      <c r="F353" s="23"/>
      <c r="G353" s="23"/>
      <c r="L353" s="49"/>
      <c r="M353" s="49"/>
      <c r="O353" s="49"/>
    </row>
    <row r="354" customFormat="false" ht="15" hidden="false" customHeight="true" outlineLevel="0" collapsed="false">
      <c r="F354" s="23"/>
      <c r="G354" s="23"/>
      <c r="L354" s="49"/>
      <c r="M354" s="49"/>
      <c r="O354" s="49"/>
    </row>
    <row r="355" customFormat="false" ht="15" hidden="false" customHeight="true" outlineLevel="0" collapsed="false">
      <c r="F355" s="23"/>
      <c r="G355" s="23"/>
      <c r="L355" s="49"/>
      <c r="M355" s="49"/>
      <c r="O355" s="49"/>
    </row>
    <row r="356" customFormat="false" ht="15" hidden="false" customHeight="true" outlineLevel="0" collapsed="false">
      <c r="F356" s="23"/>
      <c r="G356" s="23"/>
      <c r="L356" s="49"/>
      <c r="M356" s="49"/>
      <c r="O356" s="49"/>
    </row>
    <row r="357" customFormat="false" ht="15" hidden="false" customHeight="true" outlineLevel="0" collapsed="false">
      <c r="F357" s="23"/>
      <c r="G357" s="23"/>
      <c r="L357" s="49"/>
      <c r="M357" s="49"/>
      <c r="O357" s="49"/>
    </row>
    <row r="358" customFormat="false" ht="15" hidden="false" customHeight="true" outlineLevel="0" collapsed="false">
      <c r="F358" s="23"/>
      <c r="G358" s="23"/>
      <c r="L358" s="49"/>
      <c r="M358" s="49"/>
      <c r="O358" s="49"/>
    </row>
    <row r="359" customFormat="false" ht="15" hidden="false" customHeight="true" outlineLevel="0" collapsed="false">
      <c r="F359" s="23"/>
      <c r="G359" s="23"/>
      <c r="L359" s="49"/>
      <c r="M359" s="49"/>
      <c r="O359" s="49"/>
    </row>
    <row r="360" customFormat="false" ht="15" hidden="false" customHeight="true" outlineLevel="0" collapsed="false">
      <c r="F360" s="23"/>
      <c r="G360" s="23"/>
      <c r="L360" s="49"/>
      <c r="M360" s="49"/>
      <c r="O360" s="49"/>
    </row>
    <row r="361" customFormat="false" ht="15" hidden="false" customHeight="true" outlineLevel="0" collapsed="false">
      <c r="F361" s="23"/>
      <c r="G361" s="23"/>
      <c r="L361" s="49"/>
      <c r="M361" s="49"/>
      <c r="O361" s="49"/>
    </row>
    <row r="362" customFormat="false" ht="15" hidden="false" customHeight="true" outlineLevel="0" collapsed="false">
      <c r="F362" s="23"/>
      <c r="G362" s="23"/>
      <c r="L362" s="49"/>
      <c r="M362" s="49"/>
      <c r="O362" s="49"/>
    </row>
    <row r="363" customFormat="false" ht="15" hidden="false" customHeight="true" outlineLevel="0" collapsed="false">
      <c r="F363" s="23"/>
      <c r="G363" s="23"/>
      <c r="L363" s="49"/>
      <c r="M363" s="49"/>
      <c r="O363" s="49"/>
    </row>
    <row r="364" customFormat="false" ht="15" hidden="false" customHeight="true" outlineLevel="0" collapsed="false">
      <c r="F364" s="23"/>
      <c r="G364" s="23"/>
      <c r="L364" s="49"/>
      <c r="M364" s="49"/>
      <c r="O364" s="49"/>
    </row>
    <row r="365" customFormat="false" ht="15" hidden="false" customHeight="true" outlineLevel="0" collapsed="false">
      <c r="F365" s="23"/>
      <c r="G365" s="23"/>
      <c r="L365" s="49"/>
      <c r="M365" s="49"/>
      <c r="O365" s="49"/>
    </row>
    <row r="366" customFormat="false" ht="15" hidden="false" customHeight="true" outlineLevel="0" collapsed="false">
      <c r="F366" s="23"/>
      <c r="G366" s="23"/>
      <c r="L366" s="49"/>
      <c r="M366" s="49"/>
      <c r="O366" s="49"/>
    </row>
    <row r="367" customFormat="false" ht="15" hidden="false" customHeight="true" outlineLevel="0" collapsed="false">
      <c r="F367" s="23"/>
      <c r="G367" s="23"/>
      <c r="L367" s="49"/>
      <c r="M367" s="49"/>
      <c r="O367" s="49"/>
    </row>
    <row r="368" customFormat="false" ht="15" hidden="false" customHeight="true" outlineLevel="0" collapsed="false">
      <c r="F368" s="23"/>
      <c r="G368" s="23"/>
      <c r="L368" s="49"/>
      <c r="M368" s="49"/>
      <c r="O368" s="49"/>
    </row>
    <row r="369" customFormat="false" ht="15" hidden="false" customHeight="true" outlineLevel="0" collapsed="false">
      <c r="F369" s="23"/>
      <c r="G369" s="23"/>
      <c r="L369" s="49"/>
      <c r="M369" s="49"/>
      <c r="O369" s="49"/>
    </row>
    <row r="370" customFormat="false" ht="15" hidden="false" customHeight="true" outlineLevel="0" collapsed="false">
      <c r="F370" s="23"/>
      <c r="G370" s="23"/>
      <c r="L370" s="49"/>
      <c r="M370" s="49"/>
      <c r="O370" s="49"/>
    </row>
    <row r="371" customFormat="false" ht="15" hidden="false" customHeight="true" outlineLevel="0" collapsed="false">
      <c r="F371" s="23"/>
      <c r="G371" s="23"/>
      <c r="L371" s="49"/>
      <c r="M371" s="49"/>
      <c r="O371" s="49"/>
    </row>
    <row r="372" customFormat="false" ht="15" hidden="false" customHeight="true" outlineLevel="0" collapsed="false">
      <c r="F372" s="23"/>
      <c r="G372" s="23"/>
      <c r="L372" s="49"/>
      <c r="M372" s="49"/>
      <c r="O372" s="49"/>
    </row>
    <row r="373" customFormat="false" ht="15" hidden="false" customHeight="true" outlineLevel="0" collapsed="false">
      <c r="F373" s="23"/>
      <c r="G373" s="23"/>
      <c r="L373" s="49"/>
      <c r="M373" s="49"/>
      <c r="O373" s="49"/>
    </row>
    <row r="374" customFormat="false" ht="15" hidden="false" customHeight="true" outlineLevel="0" collapsed="false">
      <c r="F374" s="23"/>
      <c r="G374" s="23"/>
      <c r="L374" s="49"/>
      <c r="M374" s="49"/>
      <c r="O374" s="49"/>
    </row>
    <row r="375" customFormat="false" ht="15" hidden="false" customHeight="true" outlineLevel="0" collapsed="false">
      <c r="F375" s="23"/>
      <c r="G375" s="23"/>
      <c r="L375" s="49"/>
      <c r="M375" s="49"/>
      <c r="O375" s="49"/>
    </row>
    <row r="376" customFormat="false" ht="15" hidden="false" customHeight="true" outlineLevel="0" collapsed="false">
      <c r="F376" s="23"/>
      <c r="G376" s="23"/>
      <c r="L376" s="49"/>
      <c r="M376" s="49"/>
      <c r="O376" s="49"/>
    </row>
    <row r="377" customFormat="false" ht="15" hidden="false" customHeight="true" outlineLevel="0" collapsed="false">
      <c r="F377" s="23"/>
      <c r="G377" s="23"/>
      <c r="L377" s="49"/>
      <c r="M377" s="49"/>
      <c r="O377" s="49"/>
    </row>
    <row r="378" customFormat="false" ht="15" hidden="false" customHeight="true" outlineLevel="0" collapsed="false">
      <c r="F378" s="23"/>
      <c r="G378" s="23"/>
      <c r="L378" s="49"/>
      <c r="M378" s="49"/>
      <c r="O378" s="49"/>
    </row>
    <row r="379" customFormat="false" ht="15" hidden="false" customHeight="true" outlineLevel="0" collapsed="false">
      <c r="F379" s="23"/>
      <c r="G379" s="23"/>
      <c r="L379" s="49"/>
      <c r="M379" s="49"/>
      <c r="O379" s="49"/>
    </row>
    <row r="380" customFormat="false" ht="15" hidden="false" customHeight="true" outlineLevel="0" collapsed="false">
      <c r="F380" s="23"/>
      <c r="G380" s="23"/>
      <c r="L380" s="49"/>
      <c r="M380" s="49"/>
      <c r="O380" s="49"/>
    </row>
    <row r="381" customFormat="false" ht="15" hidden="false" customHeight="true" outlineLevel="0" collapsed="false">
      <c r="F381" s="23"/>
      <c r="G381" s="23"/>
      <c r="L381" s="49"/>
      <c r="M381" s="49"/>
      <c r="O381" s="49"/>
    </row>
    <row r="382" customFormat="false" ht="15" hidden="false" customHeight="true" outlineLevel="0" collapsed="false">
      <c r="F382" s="23"/>
      <c r="G382" s="23"/>
      <c r="L382" s="49"/>
      <c r="M382" s="49"/>
      <c r="O382" s="49"/>
    </row>
    <row r="383" customFormat="false" ht="15" hidden="false" customHeight="true" outlineLevel="0" collapsed="false">
      <c r="F383" s="23"/>
      <c r="G383" s="23"/>
      <c r="L383" s="49"/>
      <c r="M383" s="49"/>
      <c r="O383" s="49"/>
    </row>
    <row r="384" customFormat="false" ht="15" hidden="false" customHeight="true" outlineLevel="0" collapsed="false">
      <c r="F384" s="23"/>
      <c r="G384" s="23"/>
      <c r="L384" s="49"/>
      <c r="M384" s="49"/>
      <c r="O384" s="49"/>
    </row>
    <row r="385" customFormat="false" ht="15" hidden="false" customHeight="true" outlineLevel="0" collapsed="false">
      <c r="F385" s="23"/>
      <c r="G385" s="23"/>
      <c r="L385" s="49"/>
      <c r="M385" s="49"/>
      <c r="O385" s="49"/>
    </row>
    <row r="386" customFormat="false" ht="15" hidden="false" customHeight="true" outlineLevel="0" collapsed="false">
      <c r="F386" s="23"/>
      <c r="G386" s="23"/>
      <c r="L386" s="49"/>
      <c r="M386" s="49"/>
      <c r="O386" s="49"/>
    </row>
    <row r="387" customFormat="false" ht="15" hidden="false" customHeight="true" outlineLevel="0" collapsed="false">
      <c r="F387" s="23"/>
      <c r="G387" s="23"/>
      <c r="L387" s="49"/>
      <c r="M387" s="49"/>
      <c r="O387" s="49"/>
    </row>
    <row r="388" customFormat="false" ht="15" hidden="false" customHeight="true" outlineLevel="0" collapsed="false">
      <c r="F388" s="23"/>
      <c r="G388" s="23"/>
      <c r="L388" s="49"/>
      <c r="M388" s="49"/>
      <c r="O388" s="49"/>
    </row>
    <row r="389" customFormat="false" ht="15" hidden="false" customHeight="true" outlineLevel="0" collapsed="false">
      <c r="F389" s="23"/>
      <c r="G389" s="23"/>
      <c r="L389" s="49"/>
      <c r="M389" s="49"/>
      <c r="O389" s="49"/>
    </row>
    <row r="390" customFormat="false" ht="15" hidden="false" customHeight="true" outlineLevel="0" collapsed="false">
      <c r="F390" s="23"/>
      <c r="G390" s="23"/>
      <c r="L390" s="49"/>
      <c r="M390" s="49"/>
      <c r="O390" s="49"/>
    </row>
    <row r="391" customFormat="false" ht="15" hidden="false" customHeight="true" outlineLevel="0" collapsed="false">
      <c r="F391" s="23"/>
      <c r="G391" s="23"/>
      <c r="L391" s="49"/>
      <c r="M391" s="49"/>
      <c r="O391" s="49"/>
    </row>
    <row r="392" customFormat="false" ht="15" hidden="false" customHeight="true" outlineLevel="0" collapsed="false">
      <c r="F392" s="23"/>
      <c r="G392" s="23"/>
      <c r="L392" s="49"/>
      <c r="M392" s="49"/>
      <c r="O392" s="49"/>
    </row>
    <row r="393" customFormat="false" ht="15" hidden="false" customHeight="true" outlineLevel="0" collapsed="false">
      <c r="F393" s="23"/>
      <c r="G393" s="23"/>
      <c r="L393" s="49"/>
      <c r="M393" s="49"/>
      <c r="O393" s="49"/>
    </row>
    <row r="394" customFormat="false" ht="15" hidden="false" customHeight="true" outlineLevel="0" collapsed="false">
      <c r="F394" s="23"/>
      <c r="G394" s="23"/>
      <c r="L394" s="49"/>
      <c r="M394" s="49"/>
      <c r="O394" s="49"/>
    </row>
    <row r="395" customFormat="false" ht="15" hidden="false" customHeight="true" outlineLevel="0" collapsed="false">
      <c r="F395" s="23"/>
      <c r="G395" s="23"/>
      <c r="L395" s="49"/>
      <c r="M395" s="49"/>
      <c r="O395" s="49"/>
    </row>
    <row r="396" customFormat="false" ht="15" hidden="false" customHeight="true" outlineLevel="0" collapsed="false">
      <c r="F396" s="23"/>
      <c r="G396" s="23"/>
      <c r="L396" s="49"/>
      <c r="M396" s="49"/>
      <c r="O396" s="49"/>
    </row>
    <row r="397" customFormat="false" ht="15" hidden="false" customHeight="true" outlineLevel="0" collapsed="false">
      <c r="F397" s="23"/>
      <c r="G397" s="23"/>
      <c r="L397" s="49"/>
      <c r="M397" s="49"/>
      <c r="O397" s="49"/>
    </row>
    <row r="398" customFormat="false" ht="15" hidden="false" customHeight="true" outlineLevel="0" collapsed="false">
      <c r="F398" s="23"/>
      <c r="G398" s="23"/>
      <c r="L398" s="49"/>
      <c r="M398" s="49"/>
      <c r="O398" s="49"/>
    </row>
    <row r="399" customFormat="false" ht="15" hidden="false" customHeight="true" outlineLevel="0" collapsed="false">
      <c r="F399" s="23"/>
      <c r="G399" s="23"/>
      <c r="L399" s="49"/>
      <c r="M399" s="49"/>
      <c r="O399" s="49"/>
    </row>
    <row r="400" customFormat="false" ht="15" hidden="false" customHeight="true" outlineLevel="0" collapsed="false">
      <c r="F400" s="23"/>
      <c r="G400" s="23"/>
      <c r="L400" s="49"/>
      <c r="M400" s="49"/>
      <c r="O400" s="49"/>
    </row>
    <row r="401" customFormat="false" ht="15" hidden="false" customHeight="true" outlineLevel="0" collapsed="false">
      <c r="F401" s="23"/>
      <c r="G401" s="23"/>
      <c r="L401" s="49"/>
      <c r="M401" s="49"/>
      <c r="O401" s="49"/>
    </row>
    <row r="402" customFormat="false" ht="15" hidden="false" customHeight="true" outlineLevel="0" collapsed="false">
      <c r="F402" s="23"/>
      <c r="G402" s="23"/>
      <c r="L402" s="49"/>
      <c r="M402" s="49"/>
      <c r="O402" s="49"/>
    </row>
    <row r="403" customFormat="false" ht="15" hidden="false" customHeight="true" outlineLevel="0" collapsed="false">
      <c r="F403" s="23"/>
      <c r="G403" s="23"/>
      <c r="L403" s="49"/>
      <c r="M403" s="49"/>
      <c r="O403" s="49"/>
    </row>
    <row r="404" customFormat="false" ht="15" hidden="false" customHeight="true" outlineLevel="0" collapsed="false">
      <c r="F404" s="23"/>
      <c r="G404" s="23"/>
      <c r="L404" s="49"/>
      <c r="M404" s="49"/>
      <c r="O404" s="49"/>
    </row>
    <row r="405" customFormat="false" ht="15" hidden="false" customHeight="true" outlineLevel="0" collapsed="false">
      <c r="F405" s="23"/>
      <c r="G405" s="23"/>
      <c r="L405" s="49"/>
      <c r="M405" s="49"/>
      <c r="O405" s="49"/>
    </row>
    <row r="406" customFormat="false" ht="15" hidden="false" customHeight="true" outlineLevel="0" collapsed="false">
      <c r="F406" s="23"/>
      <c r="G406" s="23"/>
      <c r="L406" s="49"/>
      <c r="M406" s="49"/>
      <c r="O406" s="49"/>
    </row>
    <row r="407" customFormat="false" ht="15" hidden="false" customHeight="true" outlineLevel="0" collapsed="false">
      <c r="F407" s="23"/>
      <c r="G407" s="23"/>
      <c r="L407" s="49"/>
      <c r="M407" s="49"/>
      <c r="O407" s="49"/>
    </row>
    <row r="408" customFormat="false" ht="15" hidden="false" customHeight="true" outlineLevel="0" collapsed="false">
      <c r="F408" s="23"/>
      <c r="G408" s="23"/>
      <c r="L408" s="49"/>
      <c r="M408" s="49"/>
      <c r="O408" s="49"/>
    </row>
    <row r="409" customFormat="false" ht="15" hidden="false" customHeight="true" outlineLevel="0" collapsed="false">
      <c r="F409" s="23"/>
      <c r="G409" s="23"/>
      <c r="L409" s="49"/>
      <c r="M409" s="49"/>
      <c r="O409" s="49"/>
    </row>
    <row r="410" customFormat="false" ht="15" hidden="false" customHeight="true" outlineLevel="0" collapsed="false">
      <c r="F410" s="23"/>
      <c r="G410" s="23"/>
      <c r="L410" s="49"/>
      <c r="M410" s="49"/>
      <c r="O410" s="49"/>
    </row>
    <row r="411" customFormat="false" ht="15" hidden="false" customHeight="true" outlineLevel="0" collapsed="false">
      <c r="F411" s="23"/>
      <c r="G411" s="23"/>
      <c r="L411" s="49"/>
      <c r="M411" s="49"/>
      <c r="O411" s="49"/>
    </row>
    <row r="412" customFormat="false" ht="15" hidden="false" customHeight="true" outlineLevel="0" collapsed="false">
      <c r="F412" s="23"/>
      <c r="G412" s="23"/>
      <c r="L412" s="49"/>
      <c r="M412" s="49"/>
      <c r="O412" s="49"/>
    </row>
    <row r="413" customFormat="false" ht="15" hidden="false" customHeight="true" outlineLevel="0" collapsed="false">
      <c r="F413" s="23"/>
      <c r="G413" s="23"/>
      <c r="L413" s="49"/>
      <c r="M413" s="49"/>
      <c r="O413" s="49"/>
    </row>
    <row r="414" customFormat="false" ht="15" hidden="false" customHeight="true" outlineLevel="0" collapsed="false">
      <c r="F414" s="23"/>
      <c r="G414" s="23"/>
      <c r="L414" s="49"/>
      <c r="M414" s="49"/>
      <c r="O414" s="49"/>
    </row>
    <row r="415" customFormat="false" ht="15" hidden="false" customHeight="true" outlineLevel="0" collapsed="false">
      <c r="F415" s="23"/>
      <c r="G415" s="23"/>
      <c r="L415" s="49"/>
      <c r="M415" s="49"/>
      <c r="O415" s="49"/>
    </row>
    <row r="416" customFormat="false" ht="15" hidden="false" customHeight="true" outlineLevel="0" collapsed="false">
      <c r="F416" s="23"/>
      <c r="G416" s="23"/>
      <c r="L416" s="49"/>
      <c r="M416" s="49"/>
      <c r="O416" s="49"/>
    </row>
    <row r="417" customFormat="false" ht="15" hidden="false" customHeight="true" outlineLevel="0" collapsed="false">
      <c r="F417" s="23"/>
      <c r="G417" s="23"/>
      <c r="L417" s="49"/>
      <c r="M417" s="49"/>
      <c r="O417" s="49"/>
    </row>
    <row r="418" customFormat="false" ht="15" hidden="false" customHeight="true" outlineLevel="0" collapsed="false">
      <c r="F418" s="23"/>
      <c r="G418" s="23"/>
      <c r="L418" s="49"/>
      <c r="M418" s="49"/>
      <c r="O418" s="49"/>
    </row>
    <row r="419" customFormat="false" ht="15" hidden="false" customHeight="true" outlineLevel="0" collapsed="false">
      <c r="F419" s="23"/>
      <c r="G419" s="23"/>
      <c r="L419" s="49"/>
      <c r="M419" s="49"/>
      <c r="O419" s="49"/>
    </row>
    <row r="420" customFormat="false" ht="15" hidden="false" customHeight="true" outlineLevel="0" collapsed="false">
      <c r="F420" s="23"/>
      <c r="G420" s="23"/>
      <c r="L420" s="49"/>
      <c r="M420" s="49"/>
      <c r="O420" s="49"/>
    </row>
    <row r="421" customFormat="false" ht="15" hidden="false" customHeight="true" outlineLevel="0" collapsed="false">
      <c r="F421" s="23"/>
      <c r="G421" s="23"/>
      <c r="L421" s="49"/>
      <c r="M421" s="49"/>
      <c r="O421" s="49"/>
    </row>
    <row r="422" customFormat="false" ht="15" hidden="false" customHeight="true" outlineLevel="0" collapsed="false">
      <c r="F422" s="23"/>
      <c r="G422" s="23"/>
      <c r="L422" s="49"/>
      <c r="M422" s="49"/>
      <c r="O422" s="49"/>
    </row>
    <row r="423" customFormat="false" ht="15" hidden="false" customHeight="true" outlineLevel="0" collapsed="false">
      <c r="F423" s="23"/>
      <c r="G423" s="23"/>
      <c r="L423" s="49"/>
      <c r="M423" s="49"/>
      <c r="O423" s="49"/>
    </row>
    <row r="424" customFormat="false" ht="15" hidden="false" customHeight="true" outlineLevel="0" collapsed="false">
      <c r="F424" s="23"/>
      <c r="G424" s="23"/>
      <c r="L424" s="49"/>
      <c r="M424" s="49"/>
      <c r="O424" s="49"/>
    </row>
    <row r="425" customFormat="false" ht="15" hidden="false" customHeight="true" outlineLevel="0" collapsed="false">
      <c r="F425" s="23"/>
      <c r="G425" s="23"/>
      <c r="L425" s="49"/>
      <c r="M425" s="49"/>
      <c r="O425" s="49"/>
    </row>
    <row r="426" customFormat="false" ht="15" hidden="false" customHeight="true" outlineLevel="0" collapsed="false">
      <c r="F426" s="23"/>
      <c r="G426" s="23"/>
      <c r="L426" s="49"/>
      <c r="M426" s="49"/>
      <c r="O426" s="49"/>
    </row>
    <row r="427" customFormat="false" ht="15" hidden="false" customHeight="true" outlineLevel="0" collapsed="false">
      <c r="F427" s="23"/>
      <c r="G427" s="23"/>
      <c r="L427" s="49"/>
      <c r="M427" s="49"/>
      <c r="O427" s="49"/>
    </row>
    <row r="428" customFormat="false" ht="15" hidden="false" customHeight="true" outlineLevel="0" collapsed="false">
      <c r="F428" s="23"/>
      <c r="G428" s="23"/>
      <c r="L428" s="49"/>
      <c r="M428" s="49"/>
      <c r="O428" s="49"/>
    </row>
    <row r="429" customFormat="false" ht="15" hidden="false" customHeight="true" outlineLevel="0" collapsed="false">
      <c r="F429" s="23"/>
      <c r="G429" s="23"/>
      <c r="L429" s="49"/>
      <c r="M429" s="49"/>
      <c r="O429" s="49"/>
    </row>
    <row r="430" customFormat="false" ht="15" hidden="false" customHeight="true" outlineLevel="0" collapsed="false">
      <c r="F430" s="23"/>
      <c r="G430" s="23"/>
      <c r="L430" s="49"/>
      <c r="M430" s="49"/>
      <c r="O430" s="49"/>
    </row>
    <row r="431" customFormat="false" ht="15" hidden="false" customHeight="true" outlineLevel="0" collapsed="false">
      <c r="F431" s="23"/>
      <c r="G431" s="23"/>
      <c r="L431" s="49"/>
      <c r="M431" s="49"/>
      <c r="O431" s="49"/>
    </row>
    <row r="432" customFormat="false" ht="15" hidden="false" customHeight="true" outlineLevel="0" collapsed="false">
      <c r="F432" s="23"/>
      <c r="G432" s="23"/>
      <c r="L432" s="49"/>
      <c r="M432" s="49"/>
      <c r="O432" s="49"/>
    </row>
    <row r="433" customFormat="false" ht="15" hidden="false" customHeight="true" outlineLevel="0" collapsed="false">
      <c r="F433" s="23"/>
      <c r="G433" s="23"/>
      <c r="L433" s="49"/>
      <c r="M433" s="49"/>
      <c r="O433" s="49"/>
    </row>
    <row r="434" customFormat="false" ht="15" hidden="false" customHeight="true" outlineLevel="0" collapsed="false">
      <c r="F434" s="23"/>
      <c r="G434" s="23"/>
      <c r="L434" s="49"/>
      <c r="M434" s="49"/>
      <c r="O434" s="49"/>
    </row>
    <row r="435" customFormat="false" ht="15" hidden="false" customHeight="true" outlineLevel="0" collapsed="false">
      <c r="F435" s="23"/>
      <c r="G435" s="23"/>
      <c r="L435" s="49"/>
      <c r="M435" s="49"/>
      <c r="O435" s="49"/>
    </row>
    <row r="436" customFormat="false" ht="15" hidden="false" customHeight="true" outlineLevel="0" collapsed="false">
      <c r="F436" s="23"/>
      <c r="G436" s="23"/>
      <c r="L436" s="49"/>
      <c r="M436" s="49"/>
      <c r="O436" s="49"/>
    </row>
    <row r="437" customFormat="false" ht="15" hidden="false" customHeight="true" outlineLevel="0" collapsed="false">
      <c r="F437" s="23"/>
      <c r="G437" s="23"/>
      <c r="L437" s="49"/>
      <c r="M437" s="49"/>
      <c r="O437" s="49"/>
    </row>
    <row r="438" customFormat="false" ht="15" hidden="false" customHeight="true" outlineLevel="0" collapsed="false">
      <c r="F438" s="23"/>
      <c r="G438" s="23"/>
      <c r="L438" s="49"/>
      <c r="M438" s="49"/>
      <c r="O438" s="49"/>
    </row>
    <row r="439" customFormat="false" ht="15" hidden="false" customHeight="true" outlineLevel="0" collapsed="false">
      <c r="F439" s="23"/>
      <c r="G439" s="23"/>
      <c r="L439" s="49"/>
      <c r="M439" s="49"/>
      <c r="O439" s="49"/>
    </row>
    <row r="440" customFormat="false" ht="15" hidden="false" customHeight="true" outlineLevel="0" collapsed="false">
      <c r="F440" s="23"/>
      <c r="G440" s="23"/>
      <c r="L440" s="49"/>
      <c r="M440" s="49"/>
      <c r="O440" s="49"/>
    </row>
    <row r="441" customFormat="false" ht="15" hidden="false" customHeight="true" outlineLevel="0" collapsed="false">
      <c r="F441" s="23"/>
      <c r="G441" s="23"/>
      <c r="L441" s="49"/>
      <c r="M441" s="49"/>
      <c r="O441" s="49"/>
    </row>
    <row r="442" customFormat="false" ht="15" hidden="false" customHeight="true" outlineLevel="0" collapsed="false">
      <c r="F442" s="23"/>
      <c r="G442" s="23"/>
      <c r="L442" s="49"/>
      <c r="M442" s="49"/>
      <c r="O442" s="49"/>
    </row>
    <row r="443" customFormat="false" ht="15" hidden="false" customHeight="true" outlineLevel="0" collapsed="false">
      <c r="F443" s="23"/>
      <c r="G443" s="23"/>
      <c r="L443" s="49"/>
      <c r="M443" s="49"/>
      <c r="O443" s="49"/>
    </row>
    <row r="444" customFormat="false" ht="15" hidden="false" customHeight="true" outlineLevel="0" collapsed="false">
      <c r="F444" s="23"/>
      <c r="G444" s="23"/>
      <c r="L444" s="49"/>
      <c r="M444" s="49"/>
      <c r="O444" s="49"/>
    </row>
    <row r="445" customFormat="false" ht="15" hidden="false" customHeight="true" outlineLevel="0" collapsed="false">
      <c r="F445" s="23"/>
      <c r="G445" s="23"/>
      <c r="L445" s="49"/>
      <c r="M445" s="49"/>
      <c r="O445" s="49"/>
    </row>
    <row r="446" customFormat="false" ht="15" hidden="false" customHeight="true" outlineLevel="0" collapsed="false">
      <c r="F446" s="23"/>
      <c r="G446" s="23"/>
      <c r="L446" s="49"/>
      <c r="M446" s="49"/>
      <c r="O446" s="49"/>
    </row>
    <row r="447" customFormat="false" ht="15" hidden="false" customHeight="true" outlineLevel="0" collapsed="false">
      <c r="F447" s="23"/>
      <c r="G447" s="23"/>
      <c r="L447" s="49"/>
      <c r="M447" s="49"/>
      <c r="O447" s="49"/>
    </row>
    <row r="448" customFormat="false" ht="15" hidden="false" customHeight="true" outlineLevel="0" collapsed="false">
      <c r="F448" s="23"/>
      <c r="G448" s="23"/>
      <c r="L448" s="49"/>
      <c r="M448" s="49"/>
      <c r="O448" s="49"/>
    </row>
    <row r="449" customFormat="false" ht="15" hidden="false" customHeight="true" outlineLevel="0" collapsed="false">
      <c r="F449" s="23"/>
      <c r="G449" s="23"/>
      <c r="L449" s="49"/>
      <c r="M449" s="49"/>
      <c r="O449" s="49"/>
    </row>
    <row r="450" customFormat="false" ht="15" hidden="false" customHeight="true" outlineLevel="0" collapsed="false">
      <c r="F450" s="23"/>
      <c r="G450" s="23"/>
      <c r="L450" s="49"/>
      <c r="M450" s="49"/>
      <c r="O450" s="49"/>
    </row>
    <row r="451" customFormat="false" ht="15" hidden="false" customHeight="true" outlineLevel="0" collapsed="false">
      <c r="F451" s="23"/>
      <c r="G451" s="23"/>
      <c r="L451" s="49"/>
      <c r="M451" s="49"/>
      <c r="O451" s="49"/>
    </row>
    <row r="452" customFormat="false" ht="15" hidden="false" customHeight="true" outlineLevel="0" collapsed="false">
      <c r="F452" s="23"/>
      <c r="G452" s="23"/>
      <c r="L452" s="49"/>
      <c r="M452" s="49"/>
      <c r="O452" s="49"/>
    </row>
    <row r="453" customFormat="false" ht="15" hidden="false" customHeight="true" outlineLevel="0" collapsed="false">
      <c r="F453" s="23"/>
      <c r="G453" s="23"/>
      <c r="L453" s="49"/>
      <c r="M453" s="49"/>
      <c r="O453" s="49"/>
    </row>
    <row r="454" customFormat="false" ht="15" hidden="false" customHeight="true" outlineLevel="0" collapsed="false">
      <c r="F454" s="23"/>
      <c r="G454" s="23"/>
      <c r="L454" s="49"/>
      <c r="M454" s="49"/>
      <c r="O454" s="49"/>
    </row>
    <row r="455" customFormat="false" ht="15" hidden="false" customHeight="true" outlineLevel="0" collapsed="false">
      <c r="F455" s="23"/>
      <c r="G455" s="23"/>
      <c r="L455" s="49"/>
      <c r="M455" s="49"/>
      <c r="O455" s="49"/>
    </row>
    <row r="456" customFormat="false" ht="15" hidden="false" customHeight="true" outlineLevel="0" collapsed="false">
      <c r="F456" s="23"/>
      <c r="G456" s="23"/>
      <c r="L456" s="49"/>
      <c r="M456" s="49"/>
      <c r="O456" s="49"/>
    </row>
    <row r="457" customFormat="false" ht="15" hidden="false" customHeight="true" outlineLevel="0" collapsed="false">
      <c r="F457" s="23"/>
      <c r="G457" s="23"/>
      <c r="L457" s="49"/>
      <c r="M457" s="49"/>
      <c r="O457" s="49"/>
    </row>
    <row r="458" customFormat="false" ht="15" hidden="false" customHeight="true" outlineLevel="0" collapsed="false">
      <c r="F458" s="23"/>
      <c r="G458" s="23"/>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sheetData>
  <conditionalFormatting sqref="A2:Q111 A112:L112 A113:Q958 N112:Q112">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1">
    <dataValidation allowBlank="true" errorStyle="stop" operator="between" showDropDown="false" showErrorMessage="false" showInputMessage="false" sqref="F2:G458" type="list">
      <formula1>"Yes,No,NA"</formula1>
      <formula2>0</formula2>
    </dataValidation>
  </dataValidations>
  <hyperlinks>
    <hyperlink ref="M7" r:id="rId1" display="https://smartship.atlassian.net/browse/DTTP25-43949"/>
    <hyperlink ref="L94" r:id="rId2" display="https://smartship.atlassian.net/browse/RES2-15399 + https://smartship.atlassian.net/browse/RES2-15642"/>
    <hyperlink ref="L96" r:id="rId3" display="https://smartship.atlassian.net/browse/RES2-34535"/>
    <hyperlink ref="M104" r:id="rId4" display="DTTP25-43320"/>
    <hyperlink ref="M112" r:id="rId5" display="MDTTPU-181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8"/>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8" activePane="bottomLeft" state="frozen"/>
      <selection pane="topLeft" activeCell="A1" activeCellId="0" sqref="A1"/>
      <selection pane="bottomLeft" activeCell="B95" activeCellId="0" sqref="B9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409</v>
      </c>
      <c r="I1" s="51" t="s">
        <v>410</v>
      </c>
      <c r="J1" s="51"/>
    </row>
    <row r="2" customFormat="false" ht="15" hidden="tru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IFERROR(IF(ISBLANK(INDEX(Backlog[Priority],MATCH($A2,Backlog[Requirement ID],0))),"",INDEX(Backlog[Priority],MATCH($A2,Backlog[Requirement ID],0))),"")</f>
        <v>Medium</v>
      </c>
      <c r="E2" s="26" t="str">
        <f aca="false">IFERROR(IF(ISBLANK(INDEX(Backlog[Status],MATCH($A2,Backlog[Requirement ID],0))),"",INDEX(Backlog[Status],MATCH($A2,Backlog[Requirement ID],0))),"")</f>
        <v>ON HOLD</v>
      </c>
      <c r="F2" s="24" t="s">
        <v>411</v>
      </c>
      <c r="G2" s="26" t="str">
        <f aca="false">IFERROR(IF(ISBLANK(INDEX(Backlog[HLE],MATCH($A2,Backlog[Requirement ID],0))),"",INDEX(Backlog[HLE],MATCH($A2,Backlog[Requirement ID],0))),"")</f>
        <v/>
      </c>
      <c r="H2" s="52" t="n">
        <f aca="false">IFERROR(VALUE(SUBSTITUTE($F2,"Sprint ","")),9999)</f>
        <v>9999</v>
      </c>
      <c r="I2" s="53" t="s">
        <v>74</v>
      </c>
      <c r="J2" s="53" t="s">
        <v>412</v>
      </c>
    </row>
    <row r="3" customFormat="false" ht="15" hidden="true" customHeight="true" outlineLevel="0" collapsed="false">
      <c r="A3" s="24" t="str">
        <f aca="false">Backlog!A3</f>
        <v>NEW-0064</v>
      </c>
      <c r="B3" s="26" t="str">
        <f aca="false">IFERROR(IF(ISBLANK(INDEX(Backlog[Requirement Name],MATCH($A3,Backlog[Requirement ID],0))),"",INDEX(Backlog[Requirement Name],MATCH($A3,Backlog[Requirement ID],0))),"")</f>
        <v>ZAF Rollout - Market Configurations in CHAIN1 &amp; CHAIN2 and PROD</v>
      </c>
      <c r="C3" s="26" t="str">
        <f aca="false">IFERROR(IF(ISBLANK(INDEX(Backlog[Stream],MATCH($A3,Backlog[Requirement ID],0))),"",INDEX(Backlog[Stream],MATCH($A3,Backlog[Requirement ID],0))),"")</f>
        <v>MVP Rollout</v>
      </c>
      <c r="D3" s="26" t="str">
        <f aca="false">IFERROR(IF(ISBLANK(INDEX(Backlog[Priority],MATCH($A3,Backlog[Requirement ID],0))),"",INDEX(Backlog[Priority],MATCH($A3,Backlog[Requirement ID],0))),"")</f>
        <v>Medium</v>
      </c>
      <c r="E3" s="26" t="str">
        <f aca="false">IFERROR(IF(ISBLANK(INDEX(Backlog[Status],MATCH($A3,Backlog[Requirement ID],0))),"",INDEX(Backlog[Status],MATCH($A3,Backlog[Requirement ID],0))),"")</f>
        <v>NEW</v>
      </c>
      <c r="F3" s="24" t="s">
        <v>411</v>
      </c>
      <c r="G3" s="26" t="n">
        <f aca="false">IFERROR(IF(ISBLANK(INDEX(Backlog[HLE],MATCH($A3,Backlog[Requirement ID],0))),"",INDEX(Backlog[HLE],MATCH($A3,Backlog[Requirement ID],0))),"")</f>
        <v>8</v>
      </c>
      <c r="H3" s="52" t="n">
        <f aca="false">IFERROR(VALUE(SUBSTITUTE($F3,"Sprint ","")),9999)</f>
        <v>9999</v>
      </c>
      <c r="I3" s="54" t="s">
        <v>413</v>
      </c>
      <c r="J3" s="54" t="n">
        <f aca="false">SUMIFS(SprintPlanning[HLE],SprintPlanning[Sprint],I3)+SUMIFS('Q1 Backlog Report 2026'!$K:$K,'Q1 Backlog Report 2026'!$I:$I,I3)</f>
        <v>104</v>
      </c>
    </row>
    <row r="4" customFormat="false" ht="15" hidden="true" customHeight="true" outlineLevel="0" collapsed="false">
      <c r="A4" s="24" t="str">
        <f aca="false">Backlog!A4</f>
        <v>NEW-0077</v>
      </c>
      <c r="B4" s="26" t="str">
        <f aca="false">IFERROR(IF(ISBLANK(INDEX(Backlog[Requirement Name],MATCH($A4,Backlog[Requirement ID],0))),"",INDEX(Backlog[Requirement Name],MATCH($A4,Backlog[Requirement ID],0))),"")</f>
        <v>Nordics SWE, DEN, NOR, FIN Rollout - Market Configurations in CHAIN1 &amp; CHAIN2</v>
      </c>
      <c r="C4" s="26" t="str">
        <f aca="false">IFERROR(IF(ISBLANK(INDEX(Backlog[Stream],MATCH($A4,Backlog[Requirement ID],0))),"",INDEX(Backlog[Stream],MATCH($A4,Backlog[Requirement ID],0))),"")</f>
        <v>MVP Rollout</v>
      </c>
      <c r="D4" s="26" t="str">
        <f aca="false">IFERROR(IF(ISBLANK(INDEX(Backlog[Priority],MATCH($A4,Backlog[Requirement ID],0))),"",INDEX(Backlog[Priority],MATCH($A4,Backlog[Requirement ID],0))),"")</f>
        <v>Medium</v>
      </c>
      <c r="E4" s="26" t="str">
        <f aca="false">IFERROR(IF(ISBLANK(INDEX(Backlog[Status],MATCH($A4,Backlog[Requirement ID],0))),"",INDEX(Backlog[Status],MATCH($A4,Backlog[Requirement ID],0))),"")</f>
        <v>NEW</v>
      </c>
      <c r="F4" s="24" t="s">
        <v>411</v>
      </c>
      <c r="G4" s="26" t="n">
        <f aca="false">IFERROR(IF(ISBLANK(INDEX(Backlog[HLE],MATCH($A4,Backlog[Requirement ID],0))),"",INDEX(Backlog[HLE],MATCH($A4,Backlog[Requirement ID],0))),"")</f>
        <v>8</v>
      </c>
      <c r="H4" s="52" t="n">
        <f aca="false">IFERROR(VALUE(SUBSTITUTE($F4,"Sprint ","")),9999)</f>
        <v>9999</v>
      </c>
      <c r="I4" s="54" t="s">
        <v>414</v>
      </c>
      <c r="J4" s="54" t="n">
        <f aca="false">SUMIFS(SprintPlanning[HLE],SprintPlanning[Sprint],I4)+SUMIFS('Q1 Backlog Report 2026'!$K:$K,'Q1 Backlog Report 2026'!$I:$I,I4)</f>
        <v>56</v>
      </c>
    </row>
    <row r="5" customFormat="false" ht="15" hidden="true" customHeight="true" outlineLevel="0" collapsed="false">
      <c r="A5" s="24" t="str">
        <f aca="false">Backlog!A5</f>
        <v>NEW-0078</v>
      </c>
      <c r="B5" s="26"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IFERROR(IF(ISBLANK(INDEX(Backlog[Priority],MATCH($A5,Backlog[Requirement ID],0))),"",INDEX(Backlog[Priority],MATCH($A5,Backlog[Requirement ID],0))),"")</f>
        <v>Medium</v>
      </c>
      <c r="E5" s="26" t="str">
        <f aca="false">IFERROR(IF(ISBLANK(INDEX(Backlog[Status],MATCH($A5,Backlog[Requirement ID],0))),"",INDEX(Backlog[Status],MATCH($A5,Backlog[Requirement ID],0))),"")</f>
        <v>NEW</v>
      </c>
      <c r="F5" s="24" t="s">
        <v>411</v>
      </c>
      <c r="G5" s="26" t="n">
        <f aca="false">IFERROR(IF(ISBLANK(INDEX(Backlog[HLE],MATCH($A5,Backlog[Requirement ID],0))),"",INDEX(Backlog[HLE],MATCH($A5,Backlog[Requirement ID],0))),"")</f>
        <v>8</v>
      </c>
      <c r="H5" s="26" t="n">
        <f aca="false">IFERROR(VALUE(SUBSTITUTE($F5,"Sprint ","")),9999)</f>
        <v>9999</v>
      </c>
      <c r="I5" s="54" t="s">
        <v>415</v>
      </c>
      <c r="J5" s="54" t="n">
        <f aca="false">SUMIFS(SprintPlanning[HLE],SprintPlanning[Sprint],I5)+SUMIFS('Q1 Backlog Report 2026'!$K:$K,'Q1 Backlog Report 2026'!$I:$I,I5)</f>
        <v>84</v>
      </c>
    </row>
    <row r="6" customFormat="false" ht="15" hidden="true" customHeight="true" outlineLevel="0" collapsed="false">
      <c r="A6" s="24" t="str">
        <f aca="false">Backlog!A6</f>
        <v>NEW-0410</v>
      </c>
      <c r="B6" s="26"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IFERROR(IF(ISBLANK(INDEX(Backlog[Priority],MATCH($A6,Backlog[Requirement ID],0))),"",INDEX(Backlog[Priority],MATCH($A6,Backlog[Requirement ID],0))),"")</f>
        <v>High</v>
      </c>
      <c r="E6" s="26" t="str">
        <f aca="false">IFERROR(IF(ISBLANK(INDEX(Backlog[Status],MATCH($A6,Backlog[Requirement ID],0))),"",INDEX(Backlog[Status],MATCH($A6,Backlog[Requirement ID],0))),"")</f>
        <v>ON HOLD</v>
      </c>
      <c r="F6" s="24" t="s">
        <v>411</v>
      </c>
      <c r="G6" s="26" t="n">
        <f aca="false">IFERROR(IF(ISBLANK(INDEX(Backlog[HLE],MATCH($A6,Backlog[Requirement ID],0))),"",INDEX(Backlog[HLE],MATCH($A6,Backlog[Requirement ID],0))),"")</f>
        <v>8</v>
      </c>
      <c r="H6" s="26" t="n">
        <f aca="false">IFERROR(VALUE(SUBSTITUTE($F6,"Sprint ","")),9999)</f>
        <v>9999</v>
      </c>
      <c r="I6" s="54" t="s">
        <v>416</v>
      </c>
      <c r="J6" s="54" t="n">
        <f aca="false">SUMIFS(SprintPlanning[HLE],SprintPlanning[Sprint],I6)+SUMIFS('Q1 Backlog Report 2026'!$K:$K,'Q1 Backlog Report 2026'!$I:$I,I6)</f>
        <v>68</v>
      </c>
    </row>
    <row r="7" customFormat="false" ht="15" hidden="false" customHeight="true" outlineLevel="0" collapsed="false">
      <c r="A7" s="24" t="str">
        <f aca="false">Backlog!A7</f>
        <v>NEW-0001</v>
      </c>
      <c r="B7" s="26" t="str">
        <f aca="false">IFERROR(IF(ISBLANK(INDEX(Backlog[Requirement Name],MATCH($A7,Backlog[Requirement ID],0))),"",INDEX(Backlog[Requirement Name],MATCH($A7,Backlog[Requirement ID],0))),"")</f>
        <v>Whatsapp Subscription (Phase 1)</v>
      </c>
      <c r="C7" s="26" t="str">
        <f aca="false">IFERROR(IF(ISBLANK(INDEX(Backlog[Stream],MATCH($A7,Backlog[Requirement ID],0))),"",INDEX(Backlog[Stream],MATCH($A7,Backlog[Requirement ID],0))),"")</f>
        <v>Backlog</v>
      </c>
      <c r="D7" s="26" t="str">
        <f aca="false">IFERROR(IF(ISBLANK(INDEX(Backlog[Priority],MATCH($A7,Backlog[Requirement ID],0))),"",INDEX(Backlog[Priority],MATCH($A7,Backlog[Requirement ID],0))),"")</f>
        <v>Medium</v>
      </c>
      <c r="E7" s="26" t="str">
        <f aca="false">IFERROR(IF(ISBLANK(INDEX(Backlog[Status],MATCH($A7,Backlog[Requirement ID],0))),"",INDEX(Backlog[Status],MATCH($A7,Backlog[Requirement ID],0))),"")</f>
        <v>NEW</v>
      </c>
      <c r="F7" s="24" t="s">
        <v>417</v>
      </c>
      <c r="G7" s="26" t="n">
        <f aca="false">IFERROR(IF(ISBLANK(INDEX(Backlog[HLE],MATCH($A7,Backlog[Requirement ID],0))),"",INDEX(Backlog[HLE],MATCH($A7,Backlog[Requirement ID],0))),"")</f>
        <v>13</v>
      </c>
      <c r="H7" s="26" t="n">
        <f aca="false">IFERROR(VALUE(SUBSTITUTE($F7,"Sprint ","")),9999)</f>
        <v>14</v>
      </c>
      <c r="I7" s="54" t="s">
        <v>418</v>
      </c>
      <c r="J7" s="54" t="n">
        <f aca="false">SUMIFS(SprintPlanning[HLE],SprintPlanning[Sprint],I7)+SUMIFS('Q2 Backlog Report 2026'!$K:$K,'Q2 Backlog Report 2026'!$I:$I,I7)</f>
        <v>202</v>
      </c>
    </row>
    <row r="8" customFormat="false" ht="15" hidden="false" customHeight="true" outlineLevel="0" collapsed="false">
      <c r="A8" s="24" t="str">
        <f aca="false">Backlog!A8</f>
        <v>NEW-0003</v>
      </c>
      <c r="B8" s="26" t="str">
        <f aca="false">IFERROR(IF(ISBLANK(INDEX(Backlog[Requirement Name],MATCH($A8,Backlog[Requirement ID],0))),"",INDEX(Backlog[Requirement Name],MATCH($A8,Backlog[Requirement ID],0))),"")</f>
        <v>Friends and Family INT 157</v>
      </c>
      <c r="C8" s="26" t="str">
        <f aca="false">IFERROR(IF(ISBLANK(INDEX(Backlog[Stream],MATCH($A8,Backlog[Requirement ID],0))),"",INDEX(Backlog[Stream],MATCH($A8,Backlog[Requirement ID],0))),"")</f>
        <v>Backlog</v>
      </c>
      <c r="D8" s="26" t="str">
        <f aca="false">IFERROR(IF(ISBLANK(INDEX(Backlog[Priority],MATCH($A8,Backlog[Requirement ID],0))),"",INDEX(Backlog[Priority],MATCH($A8,Backlog[Requirement ID],0))),"")</f>
        <v>High</v>
      </c>
      <c r="E8" s="26" t="str">
        <f aca="false">IFERROR(IF(ISBLANK(INDEX(Backlog[Status],MATCH($A8,Backlog[Requirement ID],0))),"",INDEX(Backlog[Status],MATCH($A8,Backlog[Requirement ID],0))),"")</f>
        <v>NEW</v>
      </c>
      <c r="F8" s="26" t="s">
        <v>419</v>
      </c>
      <c r="G8" s="26" t="n">
        <f aca="false">IFERROR(IF(ISBLANK(INDEX(Backlog[HLE],MATCH($A8,Backlog[Requirement ID],0))),"",INDEX(Backlog[HLE],MATCH($A8,Backlog[Requirement ID],0))),"")</f>
        <v>21</v>
      </c>
      <c r="H8" s="26" t="n">
        <f aca="false">IFERROR(VALUE(SUBSTITUTE($F8,"Sprint ","")),9999)</f>
        <v>13</v>
      </c>
      <c r="I8" s="54" t="s">
        <v>420</v>
      </c>
      <c r="J8" s="54" t="n">
        <f aca="false">SUMIFS(SprintPlanning[HLE],SprintPlanning[Sprint],I8)+SUMIFS('Q2 Backlog Report 2026'!$K:$K,'Q2 Backlog Report 2026'!$I:$I,I8)</f>
        <v>153</v>
      </c>
    </row>
    <row r="9" customFormat="false" ht="15" hidden="true" customHeight="true" outlineLevel="0" collapsed="false">
      <c r="A9" s="24" t="str">
        <f aca="false">Backlog!A9</f>
        <v>NEW-0030</v>
      </c>
      <c r="B9" s="26" t="str">
        <f aca="false">IFERROR(IF(ISBLANK(INDEX(Backlog[Requirement Name],MATCH($A9,Backlog[Requirement ID],0))),"",INDEX(Backlog[Requirement Name],MATCH($A9,Backlog[Requirement ID],0))),"")</f>
        <v>Handling of additional errors INT 139/ INT 140</v>
      </c>
      <c r="C9" s="26" t="str">
        <f aca="false">IFERROR(IF(ISBLANK(INDEX(Backlog[Stream],MATCH($A9,Backlog[Requirement ID],0))),"",INDEX(Backlog[Stream],MATCH($A9,Backlog[Requirement ID],0))),"")</f>
        <v>MyMSC</v>
      </c>
      <c r="D9" s="26" t="str">
        <f aca="false">IFERROR(IF(ISBLANK(INDEX(Backlog[Priority],MATCH($A9,Backlog[Requirement ID],0))),"",INDEX(Backlog[Priority],MATCH($A9,Backlog[Requirement ID],0))),"")</f>
        <v>Medium</v>
      </c>
      <c r="E9" s="26" t="str">
        <f aca="false">IFERROR(IF(ISBLANK(INDEX(Backlog[Status],MATCH($A9,Backlog[Requirement ID],0))),"",INDEX(Backlog[Status],MATCH($A9,Backlog[Requirement ID],0))),"")</f>
        <v>ON HOLD</v>
      </c>
      <c r="F9" s="24" t="s">
        <v>411</v>
      </c>
      <c r="G9" s="26" t="n">
        <f aca="false">IFERROR(IF(ISBLANK(INDEX(Backlog[HLE],MATCH($A9,Backlog[Requirement ID],0))),"",INDEX(Backlog[HLE],MATCH($A9,Backlog[Requirement ID],0))),"")</f>
        <v>8</v>
      </c>
      <c r="H9" s="26" t="n">
        <f aca="false">IFERROR(VALUE(SUBSTITUTE($F9,"Sprint ","")),9999)</f>
        <v>9999</v>
      </c>
      <c r="I9" s="54" t="s">
        <v>421</v>
      </c>
      <c r="J9" s="54" t="n">
        <f aca="false">SUMIFS(SprintPlanning[HLE],SprintPlanning[Sprint],I9)+SUMIFS('Q2 Backlog Report 2026'!$K:$K,'Q2 Backlog Report 2026'!$I:$I,I9)</f>
        <v>116</v>
      </c>
    </row>
    <row r="10" customFormat="false" ht="15" hidden="true" customHeight="true" outlineLevel="0" collapsed="false">
      <c r="A10" s="24" t="str">
        <f aca="false">Backlog!A10</f>
        <v>NEW-0080</v>
      </c>
      <c r="B10" s="26" t="str">
        <f aca="false">IFERROR(IF(ISBLANK(INDEX(Backlog[Requirement Name],MATCH($A10,Backlog[Requirement ID],0))),"",INDEX(Backlog[Requirement Name],MATCH($A10,Backlog[Requirement ID],0))),"")</f>
        <v>Hypercare</v>
      </c>
      <c r="C10" s="26" t="str">
        <f aca="false">IFERROR(IF(ISBLANK(INDEX(Backlog[Stream],MATCH($A10,Backlog[Requirement ID],0))),"",INDEX(Backlog[Stream],MATCH($A10,Backlog[Requirement ID],0))),"")</f>
        <v>US</v>
      </c>
      <c r="D10" s="26" t="str">
        <f aca="false">IFERROR(IF(ISBLANK(INDEX(Backlog[Priority],MATCH($A10,Backlog[Requirement ID],0))),"",INDEX(Backlog[Priority],MATCH($A10,Backlog[Requirement ID],0))),"")</f>
        <v>High</v>
      </c>
      <c r="E10" s="26" t="str">
        <f aca="false">IFERROR(IF(ISBLANK(INDEX(Backlog[Status],MATCH($A10,Backlog[Requirement ID],0))),"",INDEX(Backlog[Status],MATCH($A10,Backlog[Requirement ID],0))),"")</f>
        <v>IN PROGRESS</v>
      </c>
      <c r="F10" s="24" t="s">
        <v>422</v>
      </c>
      <c r="G10" s="26" t="n">
        <v>5</v>
      </c>
      <c r="H10" s="26" t="n">
        <f aca="false">IFERROR(VALUE(SUBSTITUTE($F10,"Sprint ","")),9999)</f>
        <v>12</v>
      </c>
      <c r="I10" s="54" t="s">
        <v>423</v>
      </c>
      <c r="J10" s="54" t="n">
        <f aca="false">SUMIFS(SprintPlanning[HLE],SprintPlanning[Sprint],I10)+SUMIFS('Q2 Backlog Report 2026'!$K:$K,'Q2 Backlog Report 2026'!$I:$I,I10)</f>
        <v>105</v>
      </c>
    </row>
    <row r="11" customFormat="false" ht="15" hidden="true" customHeight="true" outlineLevel="0" collapsed="false">
      <c r="A11" s="24" t="str">
        <f aca="false">Backlog!A11</f>
        <v>NEW-0085</v>
      </c>
      <c r="B11" s="26" t="str">
        <f aca="false">IFERROR(IF(ISBLANK(INDEX(Backlog[Requirement Name],MATCH($A11,Backlog[Requirement ID],0))),"",INDEX(Backlog[Requirement Name],MATCH($A11,Backlog[Requirement ID],0))),"")</f>
        <v>PI11-08 [CDP] [INTP-21] Lead Management - Option event creation in CDP</v>
      </c>
      <c r="C11" s="26" t="str">
        <f aca="false">IFERROR(IF(ISBLANK(INDEX(Backlog[Stream],MATCH($A11,Backlog[Requirement ID],0))),"",INDEX(Backlog[Stream],MATCH($A11,Backlog[Requirement ID],0))),"")</f>
        <v>PI11</v>
      </c>
      <c r="D11" s="26" t="str">
        <f aca="false">IFERROR(IF(ISBLANK(INDEX(Backlog[Priority],MATCH($A11,Backlog[Requirement ID],0))),"",INDEX(Backlog[Priority],MATCH($A11,Backlog[Requirement ID],0))),"")</f>
        <v>Medium</v>
      </c>
      <c r="E11" s="26" t="str">
        <f aca="false">IFERROR(IF(ISBLANK(INDEX(Backlog[Status],MATCH($A11,Backlog[Requirement ID],0))),"",INDEX(Backlog[Status],MATCH($A11,Backlog[Requirement ID],0))),"")</f>
        <v>NEW</v>
      </c>
      <c r="F11" s="24" t="s">
        <v>411</v>
      </c>
      <c r="G11" s="26" t="n">
        <f aca="false">IFERROR(IF(ISBLANK(INDEX(Backlog[HLE],MATCH($A11,Backlog[Requirement ID],0))),"",INDEX(Backlog[HLE],MATCH($A11,Backlog[Requirement ID],0))),"")</f>
        <v>5</v>
      </c>
      <c r="H11" s="26" t="n">
        <f aca="false">IFERROR(VALUE(SUBSTITUTE($F11,"Sprint ","")),9999)</f>
        <v>9999</v>
      </c>
      <c r="I11" s="54" t="s">
        <v>424</v>
      </c>
      <c r="J11" s="54" t="n">
        <f aca="false">SUMIFS(SprintPlanning[HLE],SprintPlanning[Sprint],I11)+SUMIFS('Q3 Backlog Report 2026'!$K:$K,'Q3 Backlog Report 2026'!$I:$I,I11)</f>
        <v>141</v>
      </c>
    </row>
    <row r="12" customFormat="false" ht="15" hidden="true" customHeight="true" outlineLevel="0" collapsed="false">
      <c r="A12" s="24" t="str">
        <f aca="false">Backlog!A12</f>
        <v>NEW-0086</v>
      </c>
      <c r="B12" s="26"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IFERROR(IF(ISBLANK(INDEX(Backlog[Priority],MATCH($A12,Backlog[Requirement ID],0))),"",INDEX(Backlog[Priority],MATCH($A12,Backlog[Requirement ID],0))),"")</f>
        <v>Medium</v>
      </c>
      <c r="E12" s="26" t="str">
        <f aca="false">IFERROR(IF(ISBLANK(INDEX(Backlog[Status],MATCH($A12,Backlog[Requirement ID],0))),"",INDEX(Backlog[Status],MATCH($A12,Backlog[Requirement ID],0))),"")</f>
        <v>NA</v>
      </c>
      <c r="F12" s="24" t="s">
        <v>411</v>
      </c>
      <c r="G12" s="26" t="n">
        <f aca="false">IFERROR(IF(ISBLANK(INDEX(Backlog[HLE],MATCH($A12,Backlog[Requirement ID],0))),"",INDEX(Backlog[HLE],MATCH($A12,Backlog[Requirement ID],0))),"")</f>
        <v>8</v>
      </c>
      <c r="H12" s="26" t="n">
        <f aca="false">IFERROR(VALUE(SUBSTITUTE($F12,"Sprint ","")),9999)</f>
        <v>9999</v>
      </c>
      <c r="I12" s="54" t="s">
        <v>425</v>
      </c>
      <c r="J12" s="54" t="n">
        <f aca="false">SUMIFS(SprintPlanning[HLE],SprintPlanning[Sprint],I12)+SUMIFS('Q3 Backlog Report 2026'!$K:$K,'Q3 Backlog Report 2026'!$I:$I,I12)</f>
        <v>120</v>
      </c>
    </row>
    <row r="13" customFormat="false" ht="15" hidden="true" customHeight="true" outlineLevel="0" collapsed="false">
      <c r="A13" s="24" t="str">
        <f aca="false">Backlog!A13</f>
        <v>NEW-0087</v>
      </c>
      <c r="B13" s="26" t="str">
        <f aca="false">IFERROR(IF(ISBLANK(INDEX(Backlog[Requirement Name],MATCH($A13,Backlog[Requirement ID],0))),"",INDEX(Backlog[Requirement Name],MATCH($A13,Backlog[Requirement ID],0))),"")</f>
        <v>PI11-12 [CDP/CRM] CRM2-11097 / [INTP-20] Lead Management - IRL Outbound Sources Activation &amp; Form Creation</v>
      </c>
      <c r="C13" s="26" t="str">
        <f aca="false">IFERROR(IF(ISBLANK(INDEX(Backlog[Stream],MATCH($A13,Backlog[Requirement ID],0))),"",INDEX(Backlog[Stream],MATCH($A13,Backlog[Requirement ID],0))),"")</f>
        <v>PI11</v>
      </c>
      <c r="D13" s="26" t="str">
        <f aca="false">IFERROR(IF(ISBLANK(INDEX(Backlog[Priority],MATCH($A13,Backlog[Requirement ID],0))),"",INDEX(Backlog[Priority],MATCH($A13,Backlog[Requirement ID],0))),"")</f>
        <v>Medium</v>
      </c>
      <c r="E13" s="26" t="str">
        <f aca="false">IFERROR(IF(ISBLANK(INDEX(Backlog[Status],MATCH($A13,Backlog[Requirement ID],0))),"",INDEX(Backlog[Status],MATCH($A13,Backlog[Requirement ID],0))),"")</f>
        <v>NEW</v>
      </c>
      <c r="F13" s="24" t="s">
        <v>411</v>
      </c>
      <c r="G13" s="26" t="n">
        <f aca="false">IFERROR(IF(ISBLANK(INDEX(Backlog[HLE],MATCH($A13,Backlog[Requirement ID],0))),"",INDEX(Backlog[HLE],MATCH($A13,Backlog[Requirement ID],0))),"")</f>
        <v>5</v>
      </c>
      <c r="H13" s="26" t="n">
        <f aca="false">IFERROR(VALUE(SUBSTITUTE($F13,"Sprint ","")),9999)</f>
        <v>9999</v>
      </c>
      <c r="I13" s="54" t="s">
        <v>426</v>
      </c>
      <c r="J13" s="54" t="n">
        <f aca="false">SUMIFS(SprintPlanning[HLE],SprintPlanning[Sprint],I13)+SUMIFS('Q3 Backlog Report 2026'!$K:$K,'Q3 Backlog Report 2026'!$I:$I,I13)</f>
        <v>103</v>
      </c>
    </row>
    <row r="14" customFormat="false" ht="15" hidden="false" customHeight="true" outlineLevel="0" collapsed="false">
      <c r="A14" s="24" t="str">
        <f aca="false">Backlog!A14</f>
        <v>NEW-0316</v>
      </c>
      <c r="B14" s="26" t="str">
        <f aca="false">IFERROR(IF(ISBLANK(INDEX(Backlog[Requirement Name],MATCH($A14,Backlog[Requirement ID],0))),"",INDEX(Backlog[Requirement Name],MATCH($A14,Backlog[Requirement ID],0))),"")</f>
        <v>INT139 / INT140 / INT187 / INT188 / INT163 - speciality restaurants CR to handle dining inventory errors</v>
      </c>
      <c r="C14" s="26" t="str">
        <f aca="false">IFERROR(IF(ISBLANK(INDEX(Backlog[Stream],MATCH($A14,Backlog[Requirement ID],0))),"",INDEX(Backlog[Stream],MATCH($A14,Backlog[Requirement ID],0))),"")</f>
        <v>MyMSC</v>
      </c>
      <c r="D14" s="26" t="str">
        <f aca="false">IFERROR(IF(ISBLANK(INDEX(Backlog[Priority],MATCH($A14,Backlog[Requirement ID],0))),"",INDEX(Backlog[Priority],MATCH($A14,Backlog[Requirement ID],0))),"")</f>
        <v>Medium</v>
      </c>
      <c r="E14" s="26" t="str">
        <f aca="false">IFERROR(IF(ISBLANK(INDEX(Backlog[Status],MATCH($A14,Backlog[Requirement ID],0))),"",INDEX(Backlog[Status],MATCH($A14,Backlog[Requirement ID],0))),"")</f>
        <v>ON HOLD</v>
      </c>
      <c r="F14" s="24" t="s">
        <v>427</v>
      </c>
      <c r="G14" s="26" t="n">
        <f aca="false">IFERROR(IF(ISBLANK(INDEX(Backlog[HLE],MATCH($A14,Backlog[Requirement ID],0))),"",INDEX(Backlog[HLE],MATCH($A14,Backlog[Requirement ID],0))),"")</f>
        <v>8</v>
      </c>
      <c r="H14" s="26" t="n">
        <f aca="false">IFERROR(VALUE(SUBSTITUTE($F14,"Sprint ","")),9999)</f>
        <v>15</v>
      </c>
      <c r="I14" s="55" t="s">
        <v>422</v>
      </c>
      <c r="J14" s="55" t="n">
        <f aca="false">SUMIFS(SprintPlanning[HLE],SprintPlanning[Sprint],I14)+SUMIFS('Q3 Backlog Report 2026'!$K:$K,'Q3 Backlog Report 2026'!$I:$I,I14)</f>
        <v>120</v>
      </c>
    </row>
    <row r="15" customFormat="false" ht="15" hidden="false" customHeight="true" outlineLevel="0" collapsed="false">
      <c r="A15" s="24" t="str">
        <f aca="false">Backlog!A15</f>
        <v>NEW-0066</v>
      </c>
      <c r="B15" s="26" t="str">
        <f aca="false">IFERROR(IF(ISBLANK(INDEX(Backlog[Requirement Name],MATCH($A15,Backlog[Requirement ID],0))),"",INDEX(Backlog[Requirement Name],MATCH($A15,Backlog[Requirement ID],0))),"")</f>
        <v>PI11-03 [B2C] Flight Enhancement - DTTP25-38915</v>
      </c>
      <c r="C15" s="26" t="str">
        <f aca="false">IFERROR(IF(ISBLANK(INDEX(Backlog[Stream],MATCH($A15,Backlog[Requirement ID],0))),"",INDEX(Backlog[Stream],MATCH($A15,Backlog[Requirement ID],0))),"")</f>
        <v>PI11</v>
      </c>
      <c r="D15" s="26" t="str">
        <f aca="false">IFERROR(IF(ISBLANK(INDEX(Backlog[Priority],MATCH($A15,Backlog[Requirement ID],0))),"",INDEX(Backlog[Priority],MATCH($A15,Backlog[Requirement ID],0))),"")</f>
        <v>High</v>
      </c>
      <c r="E15" s="26" t="str">
        <f aca="false">IFERROR(IF(ISBLANK(INDEX(Backlog[Status],MATCH($A15,Backlog[Requirement ID],0))),"",INDEX(Backlog[Status],MATCH($A15,Backlog[Requirement ID],0))),"")</f>
        <v>NEW</v>
      </c>
      <c r="F15" s="26" t="s">
        <v>419</v>
      </c>
      <c r="G15" s="26" t="n">
        <f aca="false">IFERROR(IF(ISBLANK(INDEX(Backlog[HLE],MATCH($A15,Backlog[Requirement ID],0))),"",INDEX(Backlog[HLE],MATCH($A15,Backlog[Requirement ID],0))),"")</f>
        <v>5</v>
      </c>
      <c r="H15" s="26" t="n">
        <f aca="false">IFERROR(VALUE(SUBSTITUTE($F15,"Sprint ","")),9999)</f>
        <v>13</v>
      </c>
      <c r="I15" s="55" t="s">
        <v>419</v>
      </c>
      <c r="J15" s="55" t="n">
        <f aca="false">SUMIFS(SprintPlanning[HLE],SprintPlanning[Sprint],I15)+SUMIFS('Q4 Backlog Report 2026'!$K:$K,'Q4 Backlog Report 2026'!$I:$I,I15)</f>
        <v>71</v>
      </c>
    </row>
    <row r="16" customFormat="false" ht="15" hidden="true" customHeight="true" outlineLevel="0" collapsed="false">
      <c r="A16" s="24" t="str">
        <f aca="false">Backlog!A16</f>
        <v>NEW-0002</v>
      </c>
      <c r="B16" s="26" t="str">
        <f aca="false">IFERROR(IF(ISBLANK(INDEX(Backlog[Requirement Name],MATCH($A16,Backlog[Requirement ID],0))),"",INDEX(Backlog[Requirement Name],MATCH($A16,Backlog[Requirement ID],0))),"")</f>
        <v>Whatsapp Subscription (Phase 2)</v>
      </c>
      <c r="C16" s="26" t="str">
        <f aca="false">IFERROR(IF(ISBLANK(INDEX(Backlog[Stream],MATCH($A16,Backlog[Requirement ID],0))),"",INDEX(Backlog[Stream],MATCH($A16,Backlog[Requirement ID],0))),"")</f>
        <v>Backlog</v>
      </c>
      <c r="D16" s="26" t="str">
        <f aca="false">IFERROR(IF(ISBLANK(INDEX(Backlog[Priority],MATCH($A16,Backlog[Requirement ID],0))),"",INDEX(Backlog[Priority],MATCH($A16,Backlog[Requirement ID],0))),"")</f>
        <v>Medium</v>
      </c>
      <c r="E16" s="26" t="str">
        <f aca="false">IFERROR(IF(ISBLANK(INDEX(Backlog[Status],MATCH($A16,Backlog[Requirement ID],0))),"",INDEX(Backlog[Status],MATCH($A16,Backlog[Requirement ID],0))),"")</f>
        <v>ON HOLD</v>
      </c>
      <c r="F16" s="24" t="s">
        <v>411</v>
      </c>
      <c r="G16" s="26" t="str">
        <f aca="false">IFERROR(IF(ISBLANK(INDEX(Backlog[HLE],MATCH($A16,Backlog[Requirement ID],0))),"",INDEX(Backlog[HLE],MATCH($A16,Backlog[Requirement ID],0))),"")</f>
        <v/>
      </c>
      <c r="H16" s="26" t="n">
        <f aca="false">IFERROR(VALUE(SUBSTITUTE($F16,"Sprint ","")),9999)</f>
        <v>9999</v>
      </c>
      <c r="I16" s="55" t="s">
        <v>417</v>
      </c>
      <c r="J16" s="55" t="n">
        <f aca="false">SUMIFS(SprintPlanning[HLE],SprintPlanning[Sprint],I16)+SUMIFS('Q4 Backlog Report 2026'!$K:$K,'Q4 Backlog Report 2026'!$I:$I,I16)</f>
        <v>62</v>
      </c>
    </row>
    <row r="17" customFormat="false" ht="15" hidden="true" customHeight="true" outlineLevel="0" collapsed="false">
      <c r="A17" s="24" t="str">
        <f aca="false">Backlog!A17</f>
        <v>NEW-0005</v>
      </c>
      <c r="B17" s="26" t="str">
        <f aca="false">IFERROR(IF(ISBLANK(INDEX(Backlog[Requirement Name],MATCH($A17,Backlog[Requirement ID],0))),"",INDEX(Backlog[Requirement Name],MATCH($A17,Backlog[Requirement ID],0))),"")</f>
        <v>Handling multicabin booking</v>
      </c>
      <c r="C17" s="26" t="str">
        <f aca="false">IFERROR(IF(ISBLANK(INDEX(Backlog[Stream],MATCH($A17,Backlog[Requirement ID],0))),"",INDEX(Backlog[Stream],MATCH($A17,Backlog[Requirement ID],0))),"")</f>
        <v>Growth</v>
      </c>
      <c r="D17" s="26" t="str">
        <f aca="false">IFERROR(IF(ISBLANK(INDEX(Backlog[Priority],MATCH($A17,Backlog[Requirement ID],0))),"",INDEX(Backlog[Priority],MATCH($A17,Backlog[Requirement ID],0))),"")</f>
        <v>Medium</v>
      </c>
      <c r="E17" s="26" t="str">
        <f aca="false">IFERROR(IF(ISBLANK(INDEX(Backlog[Status],MATCH($A17,Backlog[Requirement ID],0))),"",INDEX(Backlog[Status],MATCH($A17,Backlog[Requirement ID],0))),"")</f>
        <v>NEW</v>
      </c>
      <c r="F17" s="24" t="s">
        <v>411</v>
      </c>
      <c r="G17" s="26" t="n">
        <f aca="false">IFERROR(IF(ISBLANK(INDEX(Backlog[HLE],MATCH($A17,Backlog[Requirement ID],0))),"",INDEX(Backlog[HLE],MATCH($A17,Backlog[Requirement ID],0))),"")</f>
        <v>21</v>
      </c>
      <c r="H17" s="26" t="n">
        <f aca="false">IFERROR(VALUE(SUBSTITUTE($F17,"Sprint ","")),9999)</f>
        <v>9999</v>
      </c>
      <c r="I17" s="55" t="s">
        <v>427</v>
      </c>
      <c r="J17" s="55" t="n">
        <f aca="false">SUMIFS(SprintPlanning[HLE],SprintPlanning[Sprint],I17)+SUMIFS('Q4 Backlog Report 2026'!$K:$K,'Q4 Backlog Report 2026'!$I:$I,I17)</f>
        <v>16</v>
      </c>
    </row>
    <row r="18" customFormat="false" ht="15" hidden="true" customHeight="true" outlineLevel="0" collapsed="false">
      <c r="A18" s="24" t="str">
        <f aca="false">Backlog!A18</f>
        <v>NEW-0006</v>
      </c>
      <c r="B18" s="26" t="str">
        <f aca="false">IFERROR(IF(ISBLANK(INDEX(Backlog[Requirement Name],MATCH($A18,Backlog[Requirement ID],0))),"",INDEX(Backlog[Requirement Name],MATCH($A18,Backlog[Requirement ID],0))),"")</f>
        <v>New UWO Interface (decoupling) </v>
      </c>
      <c r="C18" s="26" t="str">
        <f aca="false">IFERROR(IF(ISBLANK(INDEX(Backlog[Stream],MATCH($A18,Backlog[Requirement ID],0))),"",INDEX(Backlog[Stream],MATCH($A18,Backlog[Requirement ID],0))),"")</f>
        <v>Growth</v>
      </c>
      <c r="D18" s="26" t="str">
        <f aca="false">IFERROR(IF(ISBLANK(INDEX(Backlog[Priority],MATCH($A18,Backlog[Requirement ID],0))),"",INDEX(Backlog[Priority],MATCH($A18,Backlog[Requirement ID],0))),"")</f>
        <v>Medium</v>
      </c>
      <c r="E18" s="26" t="str">
        <f aca="false">IFERROR(IF(ISBLANK(INDEX(Backlog[Status],MATCH($A18,Backlog[Requirement ID],0))),"",INDEX(Backlog[Status],MATCH($A18,Backlog[Requirement ID],0))),"")</f>
        <v>NEW</v>
      </c>
      <c r="F18" s="24" t="s">
        <v>411</v>
      </c>
      <c r="G18" s="26" t="n">
        <f aca="false">IFERROR(IF(ISBLANK(INDEX(Backlog[HLE],MATCH($A18,Backlog[Requirement ID],0))),"",INDEX(Backlog[HLE],MATCH($A18,Backlog[Requirement ID],0))),"")</f>
        <v>3</v>
      </c>
      <c r="H18" s="26" t="n">
        <f aca="false">IFERROR(VALUE(SUBSTITUTE($F18,"Sprint ","")),9999)</f>
        <v>9999</v>
      </c>
      <c r="I18" s="55" t="s">
        <v>428</v>
      </c>
      <c r="J18" s="55" t="n">
        <f aca="false">SUMIFS(SprintPlanning[HLE],SprintPlanning[Sprint],I18)+SUMIFS('Q4 Backlog Report 2026'!$K:$K,'Q4 Backlog Report 2026'!$I:$I,I18)</f>
        <v>0</v>
      </c>
    </row>
    <row r="19" customFormat="false" ht="15" hidden="true" customHeight="true" outlineLevel="0" collapsed="false">
      <c r="A19" s="24" t="str">
        <f aca="false">Backlog!A19</f>
        <v>NEW-0007</v>
      </c>
      <c r="B19" s="26" t="str">
        <f aca="false">IFERROR(IF(ISBLANK(INDEX(Backlog[Requirement Name],MATCH($A19,Backlog[Requirement ID],0))),"",INDEX(Backlog[Requirement Name],MATCH($A19,Backlog[Requirement ID],0))),"")</f>
        <v>Update Hold option (decoupling)</v>
      </c>
      <c r="C19" s="26" t="str">
        <f aca="false">IFERROR(IF(ISBLANK(INDEX(Backlog[Stream],MATCH($A19,Backlog[Requirement ID],0))),"",INDEX(Backlog[Stream],MATCH($A19,Backlog[Requirement ID],0))),"")</f>
        <v>Growth</v>
      </c>
      <c r="D19" s="26" t="str">
        <f aca="false">IFERROR(IF(ISBLANK(INDEX(Backlog[Priority],MATCH($A19,Backlog[Requirement ID],0))),"",INDEX(Backlog[Priority],MATCH($A19,Backlog[Requirement ID],0))),"")</f>
        <v>Medium</v>
      </c>
      <c r="E19" s="26" t="str">
        <f aca="false">IFERROR(IF(ISBLANK(INDEX(Backlog[Status],MATCH($A19,Backlog[Requirement ID],0))),"",INDEX(Backlog[Status],MATCH($A19,Backlog[Requirement ID],0))),"")</f>
        <v>NEW</v>
      </c>
      <c r="F19" s="24" t="s">
        <v>411</v>
      </c>
      <c r="G19" s="26" t="n">
        <f aca="false">IFERROR(IF(ISBLANK(INDEX(Backlog[HLE],MATCH($A19,Backlog[Requirement ID],0))),"",INDEX(Backlog[HLE],MATCH($A19,Backlog[Requirement ID],0))),"")</f>
        <v>3</v>
      </c>
      <c r="H19" s="26" t="n">
        <f aca="false">IFERROR(VALUE(SUBSTITUTE($F19,"Sprint ","")),9999)</f>
        <v>9999</v>
      </c>
    </row>
    <row r="20" customFormat="false" ht="15" hidden="true" customHeight="true" outlineLevel="0" collapsed="false">
      <c r="A20" s="24" t="str">
        <f aca="false">Backlog!A20</f>
        <v>NEW-0011</v>
      </c>
      <c r="B20" s="26" t="str">
        <f aca="false">IFERROR(IF(ISBLANK(INDEX(Backlog[Requirement Name],MATCH($A20,Backlog[Requirement ID],0))),"",INDEX(Backlog[Requirement Name],MATCH($A20,Backlog[Requirement ID],0))),"")</f>
        <v>INT 101 - Cabin Selections (Booking Group Management) </v>
      </c>
      <c r="C20" s="26" t="str">
        <f aca="false">IFERROR(IF(ISBLANK(INDEX(Backlog[Stream],MATCH($A20,Backlog[Requirement ID],0))),"",INDEX(Backlog[Stream],MATCH($A20,Backlog[Requirement ID],0))),"")</f>
        <v>Growth</v>
      </c>
      <c r="D20" s="26" t="str">
        <f aca="false">IFERROR(IF(ISBLANK(INDEX(Backlog[Priority],MATCH($A20,Backlog[Requirement ID],0))),"",INDEX(Backlog[Priority],MATCH($A20,Backlog[Requirement ID],0))),"")</f>
        <v>Medium</v>
      </c>
      <c r="E20" s="26" t="str">
        <f aca="false">IFERROR(IF(ISBLANK(INDEX(Backlog[Status],MATCH($A20,Backlog[Requirement ID],0))),"",INDEX(Backlog[Status],MATCH($A20,Backlog[Requirement ID],0))),"")</f>
        <v>NEW</v>
      </c>
      <c r="F20" s="24" t="s">
        <v>411</v>
      </c>
      <c r="G20" s="26" t="n">
        <f aca="false">IFERROR(IF(ISBLANK(INDEX(Backlog[HLE],MATCH($A20,Backlog[Requirement ID],0))),"",INDEX(Backlog[HLE],MATCH($A20,Backlog[Requirement ID],0))),"")</f>
        <v>8</v>
      </c>
      <c r="H20" s="26" t="n">
        <f aca="false">IFERROR(VALUE(SUBSTITUTE($F20,"Sprint ","")),9999)</f>
        <v>9999</v>
      </c>
    </row>
    <row r="21" customFormat="false" ht="15" hidden="true" customHeight="true" outlineLevel="0" collapsed="false">
      <c r="A21" s="24" t="str">
        <f aca="false">Backlog!A21</f>
        <v>NEW-0016</v>
      </c>
      <c r="B21" s="26" t="str">
        <f aca="false">IFERROR(IF(ISBLANK(INDEX(Backlog[Requirement Name],MATCH($A21,Backlog[Requirement ID],0))),"",INDEX(Backlog[Requirement Name],MATCH($A21,Backlog[Requirement ID],0))),"")</f>
        <v>myMSC Add USA Market Configuration - Chain 1/ Chain 2 </v>
      </c>
      <c r="C21" s="26" t="str">
        <f aca="false">IFERROR(IF(ISBLANK(INDEX(Backlog[Stream],MATCH($A21,Backlog[Requirement ID],0))),"",INDEX(Backlog[Stream],MATCH($A21,Backlog[Requirement ID],0))),"")</f>
        <v>US</v>
      </c>
      <c r="D21" s="26" t="str">
        <f aca="false">IFERROR(IF(ISBLANK(INDEX(Backlog[Priority],MATCH($A21,Backlog[Requirement ID],0))),"",INDEX(Backlog[Priority],MATCH($A21,Backlog[Requirement ID],0))),"")</f>
        <v>Medium</v>
      </c>
      <c r="E21" s="26" t="str">
        <f aca="false">IFERROR(IF(ISBLANK(INDEX(Backlog[Status],MATCH($A21,Backlog[Requirement ID],0))),"",INDEX(Backlog[Status],MATCH($A21,Backlog[Requirement ID],0))),"")</f>
        <v>NEW</v>
      </c>
      <c r="F21" s="24" t="s">
        <v>411</v>
      </c>
      <c r="G21" s="26" t="n">
        <f aca="false">IFERROR(IF(ISBLANK(INDEX(Backlog[HLE],MATCH($A21,Backlog[Requirement ID],0))),"",INDEX(Backlog[HLE],MATCH($A21,Backlog[Requirement ID],0))),"")</f>
        <v>8</v>
      </c>
      <c r="H21" s="26" t="n">
        <f aca="false">IFERROR(VALUE(SUBSTITUTE($F21,"Sprint ","")),9999)</f>
        <v>9999</v>
      </c>
    </row>
    <row r="22" customFormat="false" ht="15" hidden="true" customHeight="true" outlineLevel="0" collapsed="false">
      <c r="A22" s="24" t="str">
        <f aca="false">Backlog!A22</f>
        <v>NEW-0017</v>
      </c>
      <c r="B22" s="26" t="str">
        <f aca="false">IFERROR(IF(ISBLANK(INDEX(Backlog[Requirement Name],MATCH($A22,Backlog[Requirement ID],0))),"",INDEX(Backlog[Requirement Name],MATCH($A22,Backlog[Requirement ID],0))),"")</f>
        <v>ARG Payment provider Pagtur</v>
      </c>
      <c r="C22" s="26" t="str">
        <f aca="false">IFERROR(IF(ISBLANK(INDEX(Backlog[Stream],MATCH($A22,Backlog[Requirement ID],0))),"",INDEX(Backlog[Stream],MATCH($A22,Backlog[Requirement ID],0))),"")</f>
        <v>MVP Rollout</v>
      </c>
      <c r="D22" s="26" t="str">
        <f aca="false">IFERROR(IF(ISBLANK(INDEX(Backlog[Priority],MATCH($A22,Backlog[Requirement ID],0))),"",INDEX(Backlog[Priority],MATCH($A22,Backlog[Requirement ID],0))),"")</f>
        <v>Medium</v>
      </c>
      <c r="E22" s="26" t="str">
        <f aca="false">IFERROR(IF(ISBLANK(INDEX(Backlog[Status],MATCH($A22,Backlog[Requirement ID],0))),"",INDEX(Backlog[Status],MATCH($A22,Backlog[Requirement ID],0))),"")</f>
        <v>NEW</v>
      </c>
      <c r="F22" s="24" t="s">
        <v>411</v>
      </c>
      <c r="G22" s="26" t="n">
        <f aca="false">IFERROR(IF(ISBLANK(INDEX(Backlog[HLE],MATCH($A22,Backlog[Requirement ID],0))),"",INDEX(Backlog[HLE],MATCH($A22,Backlog[Requirement ID],0))),"")</f>
        <v>40</v>
      </c>
      <c r="H22" s="26" t="n">
        <f aca="false">IFERROR(VALUE(SUBSTITUTE($F22,"Sprint ","")),9999)</f>
        <v>9999</v>
      </c>
    </row>
    <row r="23" customFormat="false" ht="15" hidden="true" customHeight="true" outlineLevel="0" collapsed="false">
      <c r="A23" s="24" t="str">
        <f aca="false">Backlog!A23</f>
        <v>NEW-0018</v>
      </c>
      <c r="B23" s="26" t="str">
        <f aca="false">IFERROR(IF(ISBLANK(INDEX(Backlog[Requirement Name],MATCH($A23,Backlog[Requirement ID],0))),"",INDEX(Backlog[Requirement Name],MATCH($A23,Backlog[Requirement ID],0))),"")</f>
        <v>BR Payment providerDireçao</v>
      </c>
      <c r="C23" s="26" t="str">
        <f aca="false">IFERROR(IF(ISBLANK(INDEX(Backlog[Stream],MATCH($A23,Backlog[Requirement ID],0))),"",INDEX(Backlog[Stream],MATCH($A23,Backlog[Requirement ID],0))),"")</f>
        <v>MVP Rollout</v>
      </c>
      <c r="D23" s="26" t="str">
        <f aca="false">IFERROR(IF(ISBLANK(INDEX(Backlog[Priority],MATCH($A23,Backlog[Requirement ID],0))),"",INDEX(Backlog[Priority],MATCH($A23,Backlog[Requirement ID],0))),"")</f>
        <v>Medium</v>
      </c>
      <c r="E23" s="26" t="str">
        <f aca="false">IFERROR(IF(ISBLANK(INDEX(Backlog[Status],MATCH($A23,Backlog[Requirement ID],0))),"",INDEX(Backlog[Status],MATCH($A23,Backlog[Requirement ID],0))),"")</f>
        <v>NEW</v>
      </c>
      <c r="F23" s="24" t="s">
        <v>411</v>
      </c>
      <c r="G23" s="26" t="n">
        <f aca="false">IFERROR(IF(ISBLANK(INDEX(Backlog[HLE],MATCH($A23,Backlog[Requirement ID],0))),"",INDEX(Backlog[HLE],MATCH($A23,Backlog[Requirement ID],0))),"")</f>
        <v>40</v>
      </c>
      <c r="H23" s="26" t="n">
        <f aca="false">IFERROR(VALUE(SUBSTITUTE($F23,"Sprint ","")),9999)</f>
        <v>9999</v>
      </c>
    </row>
    <row r="24" customFormat="false" ht="15" hidden="false" customHeight="true" outlineLevel="0" collapsed="false">
      <c r="A24" s="24" t="str">
        <f aca="false">Backlog!A24</f>
        <v>NEW-0020</v>
      </c>
      <c r="B24" s="26" t="str">
        <f aca="false">IFERROR(IF(ISBLANK(INDEX(Backlog[Requirement Name],MATCH($A24,Backlog[Requirement ID],0))),"",INDEX(Backlog[Requirement Name],MATCH($A24,Backlog[Requirement ID],0))),"")</f>
        <v>MyMSC Spa </v>
      </c>
      <c r="C24" s="26" t="str">
        <f aca="false">IFERROR(IF(ISBLANK(INDEX(Backlog[Stream],MATCH($A24,Backlog[Requirement ID],0))),"",INDEX(Backlog[Stream],MATCH($A24,Backlog[Requirement ID],0))),"")</f>
        <v>MyMSC</v>
      </c>
      <c r="D24" s="26" t="str">
        <f aca="false">IFERROR(IF(ISBLANK(INDEX(Backlog[Priority],MATCH($A24,Backlog[Requirement ID],0))),"",INDEX(Backlog[Priority],MATCH($A24,Backlog[Requirement ID],0))),"")</f>
        <v>Medium</v>
      </c>
      <c r="E24" s="26" t="str">
        <f aca="false">IFERROR(IF(ISBLANK(INDEX(Backlog[Status],MATCH($A24,Backlog[Requirement ID],0))),"",INDEX(Backlog[Status],MATCH($A24,Backlog[Requirement ID],0))),"")</f>
        <v>NEW</v>
      </c>
      <c r="F24" s="24" t="s">
        <v>417</v>
      </c>
      <c r="G24" s="26" t="n">
        <f aca="false">IFERROR(IF(ISBLANK(INDEX(Backlog[HLE],MATCH($A24,Backlog[Requirement ID],0))),"",INDEX(Backlog[HLE],MATCH($A24,Backlog[Requirement ID],0))),"")</f>
        <v>20</v>
      </c>
      <c r="H24" s="26" t="n">
        <f aca="false">IFERROR(VALUE(SUBSTITUTE($F24,"Sprint ","")),9999)</f>
        <v>14</v>
      </c>
    </row>
    <row r="25" customFormat="false" ht="15" hidden="true" customHeight="true" outlineLevel="0" collapsed="false">
      <c r="A25" s="24" t="str">
        <f aca="false">Backlog!A25</f>
        <v>NEW-0022</v>
      </c>
      <c r="B25" s="26" t="str">
        <f aca="false">IFERROR(IF(ISBLANK(INDEX(Backlog[Requirement Name],MATCH($A25,Backlog[Requirement ID],0))),"",INDEX(Backlog[Requirement Name],MATCH($A25,Backlog[Requirement ID],0))),"")</f>
        <v>Super Agency Access</v>
      </c>
      <c r="C25" s="26" t="str">
        <f aca="false">IFERROR(IF(ISBLANK(INDEX(Backlog[Stream],MATCH($A25,Backlog[Requirement ID],0))),"",INDEX(Backlog[Stream],MATCH($A25,Backlog[Requirement ID],0))),"")</f>
        <v>MyMSC</v>
      </c>
      <c r="D25" s="26" t="str">
        <f aca="false">IFERROR(IF(ISBLANK(INDEX(Backlog[Priority],MATCH($A25,Backlog[Requirement ID],0))),"",INDEX(Backlog[Priority],MATCH($A25,Backlog[Requirement ID],0))),"")</f>
        <v>Medium</v>
      </c>
      <c r="E25" s="26" t="str">
        <f aca="false">IFERROR(IF(ISBLANK(INDEX(Backlog[Status],MATCH($A25,Backlog[Requirement ID],0))),"",INDEX(Backlog[Status],MATCH($A25,Backlog[Requirement ID],0))),"")</f>
        <v>NEW</v>
      </c>
      <c r="F25" s="24" t="s">
        <v>411</v>
      </c>
      <c r="G25" s="26" t="n">
        <f aca="false">IFERROR(IF(ISBLANK(INDEX(Backlog[HLE],MATCH($A25,Backlog[Requirement ID],0))),"",INDEX(Backlog[HLE],MATCH($A25,Backlog[Requirement ID],0))),"")</f>
        <v>8</v>
      </c>
      <c r="H25" s="26" t="n">
        <f aca="false">IFERROR(VALUE(SUBSTITUTE($F25,"Sprint ","")),9999)</f>
        <v>9999</v>
      </c>
    </row>
    <row r="26" customFormat="false" ht="15" hidden="true" customHeight="true" outlineLevel="0" collapsed="false">
      <c r="A26" s="24" t="str">
        <f aca="false">Backlog!A26</f>
        <v>NEW-0033</v>
      </c>
      <c r="B26" s="26" t="str">
        <f aca="false">IFERROR(IF(ISBLANK(INDEX(Backlog[Requirement Name],MATCH($A26,Backlog[Requirement ID],0))),"",INDEX(Backlog[Requirement Name],MATCH($A26,Backlog[Requirement ID],0))),"")</f>
        <v>Pending Configurations for DACH, MED, LATAM</v>
      </c>
      <c r="C26" s="26" t="str">
        <f aca="false">IFERROR(IF(ISBLANK(INDEX(Backlog[Stream],MATCH($A26,Backlog[Requirement ID],0))),"",INDEX(Backlog[Stream],MATCH($A26,Backlog[Requirement ID],0))),"")</f>
        <v>MyMSC</v>
      </c>
      <c r="D26" s="26" t="str">
        <f aca="false">IFERROR(IF(ISBLANK(INDEX(Backlog[Priority],MATCH($A26,Backlog[Requirement ID],0))),"",INDEX(Backlog[Priority],MATCH($A26,Backlog[Requirement ID],0))),"")</f>
        <v>Medium</v>
      </c>
      <c r="E26" s="26" t="str">
        <f aca="false">IFERROR(IF(ISBLANK(INDEX(Backlog[Status],MATCH($A26,Backlog[Requirement ID],0))),"",INDEX(Backlog[Status],MATCH($A26,Backlog[Requirement ID],0))),"")</f>
        <v>NEW</v>
      </c>
      <c r="F26" s="24" t="s">
        <v>411</v>
      </c>
      <c r="G26" s="26" t="n">
        <f aca="false">IFERROR(IF(ISBLANK(INDEX(Backlog[HLE],MATCH($A26,Backlog[Requirement ID],0))),"",INDEX(Backlog[HLE],MATCH($A26,Backlog[Requirement ID],0))),"")</f>
        <v>3</v>
      </c>
      <c r="H26" s="26" t="n">
        <f aca="false">IFERROR(VALUE(SUBSTITUTE($F26,"Sprint ","")),9999)</f>
        <v>9999</v>
      </c>
    </row>
    <row r="27" customFormat="false" ht="15" hidden="true" customHeight="true" outlineLevel="0" collapsed="false">
      <c r="A27" s="24" t="str">
        <f aca="false">Backlog!A27</f>
        <v>NEW-0068</v>
      </c>
      <c r="B27" s="26" t="str">
        <f aca="false">IFERROR(IF(ISBLANK(INDEX(Backlog[Requirement Name],MATCH($A27,Backlog[Requirement ID],0))),"",INDEX(Backlog[Requirement Name],MATCH($A27,Backlog[Requirement ID],0))),"")</f>
        <v>[EAINT] [CR][INT026][INT133][INT130] Split calls to CMS for excursion/OBS data into chunks</v>
      </c>
      <c r="C27" s="26" t="str">
        <f aca="false">IFERROR(IF(ISBLANK(INDEX(Backlog[Stream],MATCH($A27,Backlog[Requirement ID],0))),"",INDEX(Backlog[Stream],MATCH($A27,Backlog[Requirement ID],0))),"")</f>
        <v>MyMSC</v>
      </c>
      <c r="D27" s="26" t="str">
        <f aca="false">IFERROR(IF(ISBLANK(INDEX(Backlog[Priority],MATCH($A27,Backlog[Requirement ID],0))),"",INDEX(Backlog[Priority],MATCH($A27,Backlog[Requirement ID],0))),"")</f>
        <v>Medium</v>
      </c>
      <c r="E27" s="26" t="str">
        <f aca="false">IFERROR(IF(ISBLANK(INDEX(Backlog[Status],MATCH($A27,Backlog[Requirement ID],0))),"",INDEX(Backlog[Status],MATCH($A27,Backlog[Requirement ID],0))),"")</f>
        <v>NEW</v>
      </c>
      <c r="F27" s="24" t="s">
        <v>411</v>
      </c>
      <c r="G27" s="26" t="n">
        <f aca="false">IFERROR(IF(ISBLANK(INDEX(Backlog[HLE],MATCH($A27,Backlog[Requirement ID],0))),"",INDEX(Backlog[HLE],MATCH($A27,Backlog[Requirement ID],0))),"")</f>
        <v>8</v>
      </c>
      <c r="H27" s="26" t="n">
        <f aca="false">IFERROR(VALUE(SUBSTITUTE($F27,"Sprint ","")),9999)</f>
        <v>9999</v>
      </c>
    </row>
    <row r="28" customFormat="false" ht="15" hidden="true" customHeight="true" outlineLevel="0" collapsed="false">
      <c r="A28" s="24" t="str">
        <f aca="false">Backlog!A28</f>
        <v>NEW-0270</v>
      </c>
      <c r="B28" s="26" t="str">
        <f aca="false">IFERROR(IF(ISBLANK(INDEX(Backlog[Requirement Name],MATCH($A28,Backlog[Requirement ID],0))),"",INDEX(Backlog[Requirement Name],MATCH($A28,Backlog[Requirement ID],0))),"")</f>
        <v>Booking Group Management Cabin Selections</v>
      </c>
      <c r="C28" s="26" t="str">
        <f aca="false">IFERROR(IF(ISBLANK(INDEX(Backlog[Stream],MATCH($A28,Backlog[Requirement ID],0))),"",INDEX(Backlog[Stream],MATCH($A28,Backlog[Requirement ID],0))),"")</f>
        <v>US</v>
      </c>
      <c r="D28" s="26" t="str">
        <f aca="false">IFERROR(IF(ISBLANK(INDEX(Backlog[Priority],MATCH($A28,Backlog[Requirement ID],0))),"",INDEX(Backlog[Priority],MATCH($A28,Backlog[Requirement ID],0))),"")</f>
        <v>Medium</v>
      </c>
      <c r="E28" s="26" t="str">
        <f aca="false">IFERROR(IF(ISBLANK(INDEX(Backlog[Status],MATCH($A28,Backlog[Requirement ID],0))),"",INDEX(Backlog[Status],MATCH($A28,Backlog[Requirement ID],0))),"")</f>
        <v>NEW</v>
      </c>
      <c r="F28" s="24" t="s">
        <v>411</v>
      </c>
      <c r="G28" s="26" t="n">
        <f aca="false">IFERROR(IF(ISBLANK(INDEX(Backlog[HLE],MATCH($A28,Backlog[Requirement ID],0))),"",INDEX(Backlog[HLE],MATCH($A28,Backlog[Requirement ID],0))),"")</f>
        <v>5</v>
      </c>
      <c r="H28" s="26" t="n">
        <f aca="false">IFERROR(VALUE(SUBSTITUTE($F28,"Sprint ","")),9999)</f>
        <v>9999</v>
      </c>
    </row>
    <row r="29" customFormat="false" ht="15" hidden="true" customHeight="true" outlineLevel="0" collapsed="false">
      <c r="A29" s="24" t="str">
        <f aca="false">Backlog!A29</f>
        <v>NEW-0274</v>
      </c>
      <c r="B29" s="26" t="str">
        <f aca="false">IFERROR(IF(ISBLANK(INDEX(Backlog[Requirement Name],MATCH($A29,Backlog[Requirement ID],0))),"",INDEX(Backlog[Requirement Name],MATCH($A29,Backlog[Requirement ID],0))),"")</f>
        <v>INT024.2 - Addition of “Disembarkation Date” and “Pay By” fields</v>
      </c>
      <c r="C29" s="26" t="str">
        <f aca="false">IFERROR(IF(ISBLANK(INDEX(Backlog[Stream],MATCH($A29,Backlog[Requirement ID],0))),"",INDEX(Backlog[Stream],MATCH($A29,Backlog[Requirement ID],0))),"")</f>
        <v>Growth</v>
      </c>
      <c r="D29" s="26" t="str">
        <f aca="false">IFERROR(IF(ISBLANK(INDEX(Backlog[Priority],MATCH($A29,Backlog[Requirement ID],0))),"",INDEX(Backlog[Priority],MATCH($A29,Backlog[Requirement ID],0))),"")</f>
        <v>Medium</v>
      </c>
      <c r="E29" s="26" t="str">
        <f aca="false">IFERROR(IF(ISBLANK(INDEX(Backlog[Status],MATCH($A29,Backlog[Requirement ID],0))),"",INDEX(Backlog[Status],MATCH($A29,Backlog[Requirement ID],0))),"")</f>
        <v>NEW</v>
      </c>
      <c r="F29" s="24" t="s">
        <v>411</v>
      </c>
      <c r="G29" s="26" t="n">
        <f aca="false">IFERROR(IF(ISBLANK(INDEX(Backlog[HLE],MATCH($A29,Backlog[Requirement ID],0))),"",INDEX(Backlog[HLE],MATCH($A29,Backlog[Requirement ID],0))),"")</f>
        <v>3</v>
      </c>
      <c r="H29" s="26" t="n">
        <f aca="false">IFERROR(VALUE(SUBSTITUTE($F29,"Sprint ","")),9999)</f>
        <v>9999</v>
      </c>
    </row>
    <row r="30" customFormat="false" ht="15" hidden="true" customHeight="true" outlineLevel="0" collapsed="false">
      <c r="A30" s="24" t="str">
        <f aca="false">Backlog!A30</f>
        <v>NEW-0284</v>
      </c>
      <c r="B30" s="26" t="str">
        <f aca="false">IFERROR(IF(ISBLANK(INDEX(Backlog[Requirement Name],MATCH($A30,Backlog[Requirement ID],0))),"",INDEX(Backlog[Requirement Name],MATCH($A30,Backlog[Requirement ID],0))),"")</f>
        <v>DACH, MED, LATAM Configurations</v>
      </c>
      <c r="C30" s="26" t="str">
        <f aca="false">IFERROR(IF(ISBLANK(INDEX(Backlog[Stream],MATCH($A30,Backlog[Requirement ID],0))),"",INDEX(Backlog[Stream],MATCH($A30,Backlog[Requirement ID],0))),"")</f>
        <v>MyMSC</v>
      </c>
      <c r="D30" s="26" t="str">
        <f aca="false">IFERROR(IF(ISBLANK(INDEX(Backlog[Priority],MATCH($A30,Backlog[Requirement ID],0))),"",INDEX(Backlog[Priority],MATCH($A30,Backlog[Requirement ID],0))),"")</f>
        <v>Medium</v>
      </c>
      <c r="E30" s="26" t="str">
        <f aca="false">IFERROR(IF(ISBLANK(INDEX(Backlog[Status],MATCH($A30,Backlog[Requirement ID],0))),"",INDEX(Backlog[Status],MATCH($A30,Backlog[Requirement ID],0))),"")</f>
        <v>NEW</v>
      </c>
      <c r="F30" s="24" t="s">
        <v>411</v>
      </c>
      <c r="G30" s="26" t="str">
        <f aca="false">IFERROR(IF(ISBLANK(INDEX(Backlog[HLE],MATCH($A30,Backlog[Requirement ID],0))),"",INDEX(Backlog[HLE],MATCH($A30,Backlog[Requirement ID],0))),"")</f>
        <v/>
      </c>
      <c r="H30" s="26" t="n">
        <f aca="false">IFERROR(VALUE(SUBSTITUTE($F30,"Sprint ","")),9999)</f>
        <v>9999</v>
      </c>
    </row>
    <row r="31" customFormat="false" ht="15" hidden="true" customHeight="true" outlineLevel="0" collapsed="false">
      <c r="A31" s="24" t="str">
        <f aca="false">Backlog!A31</f>
        <v>NEW-0288</v>
      </c>
      <c r="B31" s="26" t="str">
        <f aca="false">IFERROR(IF(ISBLANK(INDEX(Backlog[Requirement Name],MATCH($A31,Backlog[Requirement ID],0))),"",INDEX(Backlog[Requirement Name],MATCH($A31,Backlog[Requirement ID],0))),"")</f>
        <v>Remove of login endpoints from MyMSC EAPI</v>
      </c>
      <c r="C31" s="26" t="str">
        <f aca="false">IFERROR(IF(ISBLANK(INDEX(Backlog[Stream],MATCH($A31,Backlog[Requirement ID],0))),"",INDEX(Backlog[Stream],MATCH($A31,Backlog[Requirement ID],0))),"")</f>
        <v>MyMSC</v>
      </c>
      <c r="D31" s="26" t="str">
        <f aca="false">IFERROR(IF(ISBLANK(INDEX(Backlog[Priority],MATCH($A31,Backlog[Requirement ID],0))),"",INDEX(Backlog[Priority],MATCH($A31,Backlog[Requirement ID],0))),"")</f>
        <v>Medium</v>
      </c>
      <c r="E31" s="26" t="str">
        <f aca="false">IFERROR(IF(ISBLANK(INDEX(Backlog[Status],MATCH($A31,Backlog[Requirement ID],0))),"",INDEX(Backlog[Status],MATCH($A31,Backlog[Requirement ID],0))),"")</f>
        <v>NEW</v>
      </c>
      <c r="F31" s="24" t="s">
        <v>411</v>
      </c>
      <c r="G31" s="26" t="n">
        <f aca="false">IFERROR(IF(ISBLANK(INDEX(Backlog[HLE],MATCH($A31,Backlog[Requirement ID],0))),"",INDEX(Backlog[HLE],MATCH($A31,Backlog[Requirement ID],0))),"")</f>
        <v>8</v>
      </c>
      <c r="H31" s="26" t="n">
        <f aca="false">IFERROR(VALUE(SUBSTITUTE($F31,"Sprint ","")),9999)</f>
        <v>9999</v>
      </c>
    </row>
    <row r="32" customFormat="false" ht="15" hidden="true" customHeight="true" outlineLevel="0" collapsed="false">
      <c r="A32" s="24" t="str">
        <f aca="false">Backlog!A32</f>
        <v>NEW-0290</v>
      </c>
      <c r="B32" s="26" t="str">
        <f aca="false">IFERROR(IF(ISBLANK(INDEX(Backlog[Requirement Name],MATCH($A32,Backlog[Requirement ID],0))),"",INDEX(Backlog[Requirement Name],MATCH($A32,Backlog[Requirement ID],0))),"")</f>
        <v>Bug fix for cabin logic in INT135.1/135.2</v>
      </c>
      <c r="C32" s="26" t="str">
        <f aca="false">IFERROR(IF(ISBLANK(INDEX(Backlog[Stream],MATCH($A32,Backlog[Requirement ID],0))),"",INDEX(Backlog[Stream],MATCH($A32,Backlog[Requirement ID],0))),"")</f>
        <v>MyMSC</v>
      </c>
      <c r="D32" s="26" t="str">
        <f aca="false">IFERROR(IF(ISBLANK(INDEX(Backlog[Priority],MATCH($A32,Backlog[Requirement ID],0))),"",INDEX(Backlog[Priority],MATCH($A32,Backlog[Requirement ID],0))),"")</f>
        <v>Medium</v>
      </c>
      <c r="E32" s="26" t="str">
        <f aca="false">IFERROR(IF(ISBLANK(INDEX(Backlog[Status],MATCH($A32,Backlog[Requirement ID],0))),"",INDEX(Backlog[Status],MATCH($A32,Backlog[Requirement ID],0))),"")</f>
        <v>NEW</v>
      </c>
      <c r="F32" s="24" t="s">
        <v>411</v>
      </c>
      <c r="G32" s="26" t="n">
        <f aca="false">IFERROR(IF(ISBLANK(INDEX(Backlog[HLE],MATCH($A32,Backlog[Requirement ID],0))),"",INDEX(Backlog[HLE],MATCH($A32,Backlog[Requirement ID],0))),"")</f>
        <v>5</v>
      </c>
      <c r="H32" s="26" t="n">
        <f aca="false">IFERROR(VALUE(SUBSTITUTE($F32,"Sprint ","")),9999)</f>
        <v>9999</v>
      </c>
    </row>
    <row r="33" customFormat="false" ht="15" hidden="true" customHeight="true" outlineLevel="0" collapsed="false">
      <c r="A33" s="24" t="str">
        <f aca="false">Backlog!A33</f>
        <v>NEW-0299</v>
      </c>
      <c r="B33" s="26" t="str">
        <f aca="false">IFERROR(IF(ISBLANK(INDEX(Backlog[Requirement Name],MATCH($A33,Backlog[Requirement ID],0))),"",INDEX(Backlog[Requirement Name],MATCH($A33,Backlog[Requirement ID],0))),"")</f>
        <v>Spa</v>
      </c>
      <c r="C33" s="26" t="str">
        <f aca="false">IFERROR(IF(ISBLANK(INDEX(Backlog[Stream],MATCH($A33,Backlog[Requirement ID],0))),"",INDEX(Backlog[Stream],MATCH($A33,Backlog[Requirement ID],0))),"")</f>
        <v>MyMSC</v>
      </c>
      <c r="D33" s="26" t="str">
        <f aca="false">IFERROR(IF(ISBLANK(INDEX(Backlog[Priority],MATCH($A33,Backlog[Requirement ID],0))),"",INDEX(Backlog[Priority],MATCH($A33,Backlog[Requirement ID],0))),"")</f>
        <v>Medium</v>
      </c>
      <c r="E33" s="26" t="str">
        <f aca="false">IFERROR(IF(ISBLANK(INDEX(Backlog[Status],MATCH($A33,Backlog[Requirement ID],0))),"",INDEX(Backlog[Status],MATCH($A33,Backlog[Requirement ID],0))),"")</f>
        <v>NEW</v>
      </c>
      <c r="F33" s="24" t="s">
        <v>411</v>
      </c>
      <c r="G33" s="26" t="n">
        <f aca="false">IFERROR(IF(ISBLANK(INDEX(Backlog[HLE],MATCH($A33,Backlog[Requirement ID],0))),"",INDEX(Backlog[HLE],MATCH($A33,Backlog[Requirement ID],0))),"")</f>
        <v>33</v>
      </c>
      <c r="H33" s="26" t="n">
        <f aca="false">IFERROR(VALUE(SUBSTITUTE($F33,"Sprint ","")),9999)</f>
        <v>9999</v>
      </c>
    </row>
    <row r="34" customFormat="false" ht="15" hidden="true" customHeight="true" outlineLevel="0" collapsed="false">
      <c r="A34" s="24" t="str">
        <f aca="false">Backlog!A34</f>
        <v>NEW-0315</v>
      </c>
      <c r="B34" s="26" t="str">
        <f aca="false">IFERROR(IF(ISBLANK(INDEX(Backlog[Requirement Name],MATCH($A34,Backlog[Requirement ID],0))),"",INDEX(Backlog[Requirement Name],MATCH($A34,Backlog[Requirement ID],0))),"")</f>
        <v>MyMSC CR to handle BKG_001 when booking retrieved</v>
      </c>
      <c r="C34" s="26" t="str">
        <f aca="false">IFERROR(IF(ISBLANK(INDEX(Backlog[Stream],MATCH($A34,Backlog[Requirement ID],0))),"",INDEX(Backlog[Stream],MATCH($A34,Backlog[Requirement ID],0))),"")</f>
        <v>MyMSC</v>
      </c>
      <c r="D34" s="26" t="str">
        <f aca="false">IFERROR(IF(ISBLANK(INDEX(Backlog[Priority],MATCH($A34,Backlog[Requirement ID],0))),"",INDEX(Backlog[Priority],MATCH($A34,Backlog[Requirement ID],0))),"")</f>
        <v>Medium</v>
      </c>
      <c r="E34" s="26" t="str">
        <f aca="false">IFERROR(IF(ISBLANK(INDEX(Backlog[Status],MATCH($A34,Backlog[Requirement ID],0))),"",INDEX(Backlog[Status],MATCH($A34,Backlog[Requirement ID],0))),"")</f>
        <v>NEW</v>
      </c>
      <c r="F34" s="24" t="s">
        <v>411</v>
      </c>
      <c r="G34" s="26" t="n">
        <f aca="false">IFERROR(IF(ISBLANK(INDEX(Backlog[HLE],MATCH($A34,Backlog[Requirement ID],0))),"",INDEX(Backlog[HLE],MATCH($A34,Backlog[Requirement ID],0))),"")</f>
        <v>8</v>
      </c>
      <c r="H34" s="26" t="n">
        <f aca="false">IFERROR(VALUE(SUBSTITUTE($F34,"Sprint ","")),9999)</f>
        <v>9999</v>
      </c>
    </row>
    <row r="35" customFormat="false" ht="15" hidden="true" customHeight="true" outlineLevel="0" collapsed="false">
      <c r="A35" s="24" t="str">
        <f aca="false">Backlog!A35</f>
        <v>NEW-0322</v>
      </c>
      <c r="B35" s="26"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IFERROR(IF(ISBLANK(INDEX(Backlog[Priority],MATCH($A35,Backlog[Requirement ID],0))),"",INDEX(Backlog[Priority],MATCH($A35,Backlog[Requirement ID],0))),"")</f>
        <v>Medium</v>
      </c>
      <c r="E35" s="26" t="str">
        <f aca="false">IFERROR(IF(ISBLANK(INDEX(Backlog[Status],MATCH($A35,Backlog[Requirement ID],0))),"",INDEX(Backlog[Status],MATCH($A35,Backlog[Requirement ID],0))),"")</f>
        <v>NEW</v>
      </c>
      <c r="F35" s="24" t="s">
        <v>411</v>
      </c>
      <c r="G35" s="26" t="n">
        <f aca="false">IFERROR(IF(ISBLANK(INDEX(Backlog[HLE],MATCH($A35,Backlog[Requirement ID],0))),"",INDEX(Backlog[HLE],MATCH($A35,Backlog[Requirement ID],0))),"")</f>
        <v>13</v>
      </c>
      <c r="H35" s="26" t="n">
        <f aca="false">IFERROR(VALUE(SUBSTITUTE($F35,"Sprint ","")),9999)</f>
        <v>9999</v>
      </c>
    </row>
    <row r="36" customFormat="false" ht="15" hidden="true" customHeight="true" outlineLevel="0" collapsed="false">
      <c r="A36" s="24" t="str">
        <f aca="false">Backlog!A36</f>
        <v>NEW-0324</v>
      </c>
      <c r="B36" s="26" t="str">
        <f aca="false">IFERROR(IF(ISBLANK(INDEX(Backlog[Requirement Name],MATCH($A36,Backlog[Requirement ID],0))),"",INDEX(Backlog[Requirement Name],MATCH($A36,Backlog[Requirement ID],0))),"")</f>
        <v>MSC- MyMSC PRE_CRM_002 error scenario change CR to additem</v>
      </c>
      <c r="C36" s="26" t="str">
        <f aca="false">IFERROR(IF(ISBLANK(INDEX(Backlog[Stream],MATCH($A36,Backlog[Requirement ID],0))),"",INDEX(Backlog[Stream],MATCH($A36,Backlog[Requirement ID],0))),"")</f>
        <v>MyMSC</v>
      </c>
      <c r="D36" s="26" t="str">
        <f aca="false">IFERROR(IF(ISBLANK(INDEX(Backlog[Priority],MATCH($A36,Backlog[Requirement ID],0))),"",INDEX(Backlog[Priority],MATCH($A36,Backlog[Requirement ID],0))),"")</f>
        <v>Medium</v>
      </c>
      <c r="E36" s="26" t="str">
        <f aca="false">IFERROR(IF(ISBLANK(INDEX(Backlog[Status],MATCH($A36,Backlog[Requirement ID],0))),"",INDEX(Backlog[Status],MATCH($A36,Backlog[Requirement ID],0))),"")</f>
        <v>NEW</v>
      </c>
      <c r="F36" s="24" t="s">
        <v>411</v>
      </c>
      <c r="G36" s="26" t="str">
        <f aca="false">IFERROR(IF(ISBLANK(INDEX(Backlog[HLE],MATCH($A36,Backlog[Requirement ID],0))),"",INDEX(Backlog[HLE],MATCH($A36,Backlog[Requirement ID],0))),"")</f>
        <v/>
      </c>
      <c r="H36" s="26" t="n">
        <f aca="false">IFERROR(VALUE(SUBSTITUTE($F36,"Sprint ","")),9999)</f>
        <v>9999</v>
      </c>
    </row>
    <row r="37" customFormat="false" ht="15" hidden="true" customHeight="true" outlineLevel="0" collapsed="false">
      <c r="A37" s="24" t="str">
        <f aca="false">Backlog!A37</f>
        <v>NEW-0343</v>
      </c>
      <c r="B37" s="26" t="str">
        <f aca="false">IFERROR(IF(ISBLANK(INDEX(Backlog[Requirement Name],MATCH($A37,Backlog[Requirement ID],0))),"",INDEX(Backlog[Requirement Name],MATCH($A37,Backlog[Requirement ID],0))),"")</f>
        <v>CDP / DTS Post Booking - CR - Passenger name filter</v>
      </c>
      <c r="C37" s="26" t="str">
        <f aca="false">IFERROR(IF(ISBLANK(INDEX(Backlog[Stream],MATCH($A37,Backlog[Requirement ID],0))),"",INDEX(Backlog[Stream],MATCH($A37,Backlog[Requirement ID],0))),"")</f>
        <v>Backlog</v>
      </c>
      <c r="D37" s="26" t="str">
        <f aca="false">IFERROR(IF(ISBLANK(INDEX(Backlog[Priority],MATCH($A37,Backlog[Requirement ID],0))),"",INDEX(Backlog[Priority],MATCH($A37,Backlog[Requirement ID],0))),"")</f>
        <v>Medium</v>
      </c>
      <c r="E37" s="26" t="str">
        <f aca="false">IFERROR(IF(ISBLANK(INDEX(Backlog[Status],MATCH($A37,Backlog[Requirement ID],0))),"",INDEX(Backlog[Status],MATCH($A37,Backlog[Requirement ID],0))),"")</f>
        <v>ON HOLD</v>
      </c>
      <c r="F37" s="24" t="s">
        <v>411</v>
      </c>
      <c r="G37" s="26" t="str">
        <f aca="false">IFERROR(IF(ISBLANK(INDEX(Backlog[HLE],MATCH($A37,Backlog[Requirement ID],0))),"",INDEX(Backlog[HLE],MATCH($A37,Backlog[Requirement ID],0))),"")</f>
        <v/>
      </c>
      <c r="H37" s="26" t="n">
        <f aca="false">IFERROR(VALUE(SUBSTITUTE($F37,"Sprint ","")),9999)</f>
        <v>9999</v>
      </c>
    </row>
    <row r="38" customFormat="false" ht="15" hidden="true" customHeight="true" outlineLevel="0" collapsed="false">
      <c r="A38" s="24" t="str">
        <f aca="false">Backlog!A38</f>
        <v>NEW-0344</v>
      </c>
      <c r="B38" s="26" t="str">
        <f aca="false">IFERROR(IF(ISBLANK(INDEX(Backlog[Requirement Name],MATCH($A38,Backlog[Requirement ID],0))),"",INDEX(Backlog[Requirement Name],MATCH($A38,Backlog[Requirement ID],0))),"")</f>
        <v>CDP / DTS Post Booking - CR  - INT024.1 Improve data quality handling and optimise customer  search</v>
      </c>
      <c r="C38" s="26" t="str">
        <f aca="false">IFERROR(IF(ISBLANK(INDEX(Backlog[Stream],MATCH($A38,Backlog[Requirement ID],0))),"",INDEX(Backlog[Stream],MATCH($A38,Backlog[Requirement ID],0))),"")</f>
        <v>Backlog</v>
      </c>
      <c r="D38" s="26" t="str">
        <f aca="false">IFERROR(IF(ISBLANK(INDEX(Backlog[Priority],MATCH($A38,Backlog[Requirement ID],0))),"",INDEX(Backlog[Priority],MATCH($A38,Backlog[Requirement ID],0))),"")</f>
        <v>Medium</v>
      </c>
      <c r="E38" s="26" t="str">
        <f aca="false">IFERROR(IF(ISBLANK(INDEX(Backlog[Status],MATCH($A38,Backlog[Requirement ID],0))),"",INDEX(Backlog[Status],MATCH($A38,Backlog[Requirement ID],0))),"")</f>
        <v>NEW</v>
      </c>
      <c r="F38" s="24" t="s">
        <v>411</v>
      </c>
      <c r="G38" s="26" t="str">
        <f aca="false">IFERROR(IF(ISBLANK(INDEX(Backlog[HLE],MATCH($A38,Backlog[Requirement ID],0))),"",INDEX(Backlog[HLE],MATCH($A38,Backlog[Requirement ID],0))),"")</f>
        <v/>
      </c>
      <c r="H38" s="26" t="n">
        <f aca="false">IFERROR(VALUE(SUBSTITUTE($F38,"Sprint ","")),9999)</f>
        <v>9999</v>
      </c>
    </row>
    <row r="39" customFormat="false" ht="15" hidden="true" customHeight="true" outlineLevel="0" collapsed="false">
      <c r="A39" s="24" t="str">
        <f aca="false">Backlog!A39</f>
        <v>NEW-0345</v>
      </c>
      <c r="B39" s="26" t="str">
        <f aca="false">IFERROR(IF(ISBLANK(INDEX(Backlog[Requirement Name],MATCH($A39,Backlog[Requirement ID],0))),"",INDEX(Backlog[Requirement Name],MATCH($A39,Backlog[Requirement ID],0))),"")</f>
        <v>CDP / DTS Post Booking - CR - INT024.1 Long term Improved data quality handling</v>
      </c>
      <c r="C39" s="26" t="str">
        <f aca="false">IFERROR(IF(ISBLANK(INDEX(Backlog[Stream],MATCH($A39,Backlog[Requirement ID],0))),"",INDEX(Backlog[Stream],MATCH($A39,Backlog[Requirement ID],0))),"")</f>
        <v>Backlog</v>
      </c>
      <c r="D39" s="26" t="str">
        <f aca="false">IFERROR(IF(ISBLANK(INDEX(Backlog[Priority],MATCH($A39,Backlog[Requirement ID],0))),"",INDEX(Backlog[Priority],MATCH($A39,Backlog[Requirement ID],0))),"")</f>
        <v>Medium</v>
      </c>
      <c r="E39" s="26" t="str">
        <f aca="false">IFERROR(IF(ISBLANK(INDEX(Backlog[Status],MATCH($A39,Backlog[Requirement ID],0))),"",INDEX(Backlog[Status],MATCH($A39,Backlog[Requirement ID],0))),"")</f>
        <v>NEW</v>
      </c>
      <c r="F39" s="24" t="s">
        <v>411</v>
      </c>
      <c r="G39" s="26" t="str">
        <f aca="false">IFERROR(IF(ISBLANK(INDEX(Backlog[HLE],MATCH($A39,Backlog[Requirement ID],0))),"",INDEX(Backlog[HLE],MATCH($A39,Backlog[Requirement ID],0))),"")</f>
        <v/>
      </c>
      <c r="H39" s="26" t="n">
        <f aca="false">IFERROR(VALUE(SUBSTITUTE($F39,"Sprint ","")),9999)</f>
        <v>9999</v>
      </c>
    </row>
    <row r="40" customFormat="false" ht="15" hidden="true" customHeight="true" outlineLevel="0" collapsed="false">
      <c r="A40" s="24" t="str">
        <f aca="false">Backlog!A40</f>
        <v>NEW-0346</v>
      </c>
      <c r="B40" s="26" t="str">
        <f aca="false">IFERROR(IF(ISBLANK(INDEX(Backlog[Requirement Name],MATCH($A40,Backlog[Requirement ID],0))),"",INDEX(Backlog[Requirement Name],MATCH($A40,Backlog[Requirement ID],0))),"")</f>
        <v>CR - Improved data quality handling optimise customer search page size across other integrations</v>
      </c>
      <c r="C40" s="26" t="str">
        <f aca="false">IFERROR(IF(ISBLANK(INDEX(Backlog[Stream],MATCH($A40,Backlog[Requirement ID],0))),"",INDEX(Backlog[Stream],MATCH($A40,Backlog[Requirement ID],0))),"")</f>
        <v>Backlog</v>
      </c>
      <c r="D40" s="26" t="str">
        <f aca="false">IFERROR(IF(ISBLANK(INDEX(Backlog[Priority],MATCH($A40,Backlog[Requirement ID],0))),"",INDEX(Backlog[Priority],MATCH($A40,Backlog[Requirement ID],0))),"")</f>
        <v>Medium</v>
      </c>
      <c r="E40" s="26" t="str">
        <f aca="false">IFERROR(IF(ISBLANK(INDEX(Backlog[Status],MATCH($A40,Backlog[Requirement ID],0))),"",INDEX(Backlog[Status],MATCH($A40,Backlog[Requirement ID],0))),"")</f>
        <v>NEW</v>
      </c>
      <c r="F40" s="24" t="s">
        <v>411</v>
      </c>
      <c r="G40" s="26" t="str">
        <f aca="false">IFERROR(IF(ISBLANK(INDEX(Backlog[HLE],MATCH($A40,Backlog[Requirement ID],0))),"",INDEX(Backlog[HLE],MATCH($A40,Backlog[Requirement ID],0))),"")</f>
        <v/>
      </c>
      <c r="H40" s="26" t="n">
        <f aca="false">IFERROR(VALUE(SUBSTITUTE($F40,"Sprint ","")),9999)</f>
        <v>9999</v>
      </c>
    </row>
    <row r="41" customFormat="false" ht="15" hidden="true" customHeight="true" outlineLevel="0" collapsed="false">
      <c r="A41" s="24" t="str">
        <f aca="false">Backlog!A41</f>
        <v>NEW-0356</v>
      </c>
      <c r="B41" s="47" t="str">
        <f aca="false">IFERROR(IF(ISBLANK(INDEX(Backlog[Requirement Name],MATCH($A41,Backlog[Requirement ID],0))),"",INDEX(Backlog[Requirement Name],MATCH($A41,Backlog[Requirement ID],0))),"")</f>
        <v>MED Insurance - Do not sell any insurance if CoR differ across pax</v>
      </c>
      <c r="C41" s="26" t="str">
        <f aca="false">IFERROR(IF(ISBLANK(INDEX(Backlog[Stream],MATCH($A41,Backlog[Requirement ID],0))),"",INDEX(Backlog[Stream],MATCH($A41,Backlog[Requirement ID],0))),"")</f>
        <v>Growth</v>
      </c>
      <c r="D41" s="26" t="str">
        <f aca="false">IFERROR(IF(ISBLANK(INDEX(Backlog[Priority],MATCH($A41,Backlog[Requirement ID],0))),"",INDEX(Backlog[Priority],MATCH($A41,Backlog[Requirement ID],0))),"")</f>
        <v>Medium</v>
      </c>
      <c r="E41" s="26" t="str">
        <f aca="false">IFERROR(IF(ISBLANK(INDEX(Backlog[Status],MATCH($A41,Backlog[Requirement ID],0))),"",INDEX(Backlog[Status],MATCH($A41,Backlog[Requirement ID],0))),"")</f>
        <v>ON HOLD</v>
      </c>
      <c r="F41" s="24" t="s">
        <v>411</v>
      </c>
      <c r="G41" s="26" t="n">
        <f aca="false">IFERROR(IF(ISBLANK(INDEX(Backlog[HLE],MATCH($A41,Backlog[Requirement ID],0))),"",INDEX(Backlog[HLE],MATCH($A41,Backlog[Requirement ID],0))),"")</f>
        <v>8</v>
      </c>
      <c r="H41" s="26" t="n">
        <f aca="false">IFERROR(VALUE(SUBSTITUTE($F41,"Sprint ","")),9999)</f>
        <v>9999</v>
      </c>
    </row>
    <row r="42" customFormat="false" ht="15" hidden="true" customHeight="true" outlineLevel="0" collapsed="false">
      <c r="A42" s="24" t="str">
        <f aca="false">Backlog!A42</f>
        <v>NEW-0358</v>
      </c>
      <c r="B42" s="26" t="str">
        <f aca="false">IFERROR(IF(ISBLANK(INDEX(Backlog[Requirement Name],MATCH($A42,Backlog[Requirement ID],0))),"",INDEX(Backlog[Requirement Name],MATCH($A42,Backlog[Requirement ID],0))),"")</f>
        <v>CMS Configuration for Airports in B2CW Booking Funnel</v>
      </c>
      <c r="C42" s="26" t="str">
        <f aca="false">IFERROR(IF(ISBLANK(INDEX(Backlog[Stream],MATCH($A42,Backlog[Requirement ID],0))),"",INDEX(Backlog[Stream],MATCH($A42,Backlog[Requirement ID],0))),"")</f>
        <v>Growth</v>
      </c>
      <c r="D42" s="26" t="str">
        <f aca="false">IFERROR(IF(ISBLANK(INDEX(Backlog[Priority],MATCH($A42,Backlog[Requirement ID],0))),"",INDEX(Backlog[Priority],MATCH($A42,Backlog[Requirement ID],0))),"")</f>
        <v>Medium</v>
      </c>
      <c r="E42" s="26" t="str">
        <f aca="false">IFERROR(IF(ISBLANK(INDEX(Backlog[Status],MATCH($A42,Backlog[Requirement ID],0))),"",INDEX(Backlog[Status],MATCH($A42,Backlog[Requirement ID],0))),"")</f>
        <v>ON HOLD</v>
      </c>
      <c r="F42" s="24" t="s">
        <v>411</v>
      </c>
      <c r="G42" s="26" t="str">
        <f aca="false">IFERROR(IF(ISBLANK(INDEX(Backlog[HLE],MATCH($A42,Backlog[Requirement ID],0))),"",INDEX(Backlog[HLE],MATCH($A42,Backlog[Requirement ID],0))),"")</f>
        <v/>
      </c>
      <c r="H42" s="26" t="n">
        <f aca="false">IFERROR(VALUE(SUBSTITUTE($F42,"Sprint ","")),9999)</f>
        <v>9999</v>
      </c>
    </row>
    <row r="43" customFormat="false" ht="15" hidden="true" customHeight="true" outlineLevel="0" collapsed="false">
      <c r="A43" s="24" t="str">
        <f aca="false">Backlog!A43</f>
        <v>NEW-0360</v>
      </c>
      <c r="B43" s="26" t="str">
        <f aca="false">IFERROR(IF(ISBLANK(INDEX(Backlog[Requirement Name],MATCH($A43,Backlog[Requirement ID],0))),"",INDEX(Backlog[Requirement Name],MATCH($A43,Backlog[Requirement ID],0))),"")</f>
        <v>Paypal Reconciliation for prepaid</v>
      </c>
      <c r="C43" s="26" t="str">
        <f aca="false">IFERROR(IF(ISBLANK(INDEX(Backlog[Stream],MATCH($A43,Backlog[Requirement ID],0))),"",INDEX(Backlog[Stream],MATCH($A43,Backlog[Requirement ID],0))),"")</f>
        <v>Growth</v>
      </c>
      <c r="D43" s="26" t="str">
        <f aca="false">IFERROR(IF(ISBLANK(INDEX(Backlog[Priority],MATCH($A43,Backlog[Requirement ID],0))),"",INDEX(Backlog[Priority],MATCH($A43,Backlog[Requirement ID],0))),"")</f>
        <v>Medium</v>
      </c>
      <c r="E43" s="26" t="str">
        <f aca="false">IFERROR(IF(ISBLANK(INDEX(Backlog[Status],MATCH($A43,Backlog[Requirement ID],0))),"",INDEX(Backlog[Status],MATCH($A43,Backlog[Requirement ID],0))),"")</f>
        <v>NEW</v>
      </c>
      <c r="F43" s="24" t="s">
        <v>411</v>
      </c>
      <c r="G43" s="26" t="n">
        <f aca="false">IFERROR(IF(ISBLANK(INDEX(Backlog[HLE],MATCH($A43,Backlog[Requirement ID],0))),"",INDEX(Backlog[HLE],MATCH($A43,Backlog[Requirement ID],0))),"")</f>
        <v>5</v>
      </c>
      <c r="H43" s="26" t="n">
        <f aca="false">IFERROR(VALUE(SUBSTITUTE($F43,"Sprint ","")),9999)</f>
        <v>9999</v>
      </c>
    </row>
    <row r="44" customFormat="false" ht="15" hidden="true" customHeight="true" outlineLevel="0" collapsed="false">
      <c r="A44" s="24" t="str">
        <f aca="false">Backlog!A44</f>
        <v>NEW-0361</v>
      </c>
      <c r="B44" s="26" t="str">
        <f aca="false">IFERROR(IF(ISBLANK(INDEX(Backlog[Requirement Name],MATCH($A44,Backlog[Requirement ID],0))),"",INDEX(Backlog[Requirement Name],MATCH($A44,Backlog[Requirement ID],0))),"")</f>
        <v>US - adding of fields to Hold option orchestration in call to AJO  -cabincode, embarkation date, cruise area</v>
      </c>
      <c r="C44" s="26" t="str">
        <f aca="false">IFERROR(IF(ISBLANK(INDEX(Backlog[Stream],MATCH($A44,Backlog[Requirement ID],0))),"",INDEX(Backlog[Stream],MATCH($A44,Backlog[Requirement ID],0))),"")</f>
        <v>Growth</v>
      </c>
      <c r="D44" s="26" t="str">
        <f aca="false">IFERROR(IF(ISBLANK(INDEX(Backlog[Priority],MATCH($A44,Backlog[Requirement ID],0))),"",INDEX(Backlog[Priority],MATCH($A44,Backlog[Requirement ID],0))),"")</f>
        <v>Medium</v>
      </c>
      <c r="E44" s="26" t="str">
        <f aca="false">IFERROR(IF(ISBLANK(INDEX(Backlog[Status],MATCH($A44,Backlog[Requirement ID],0))),"",INDEX(Backlog[Status],MATCH($A44,Backlog[Requirement ID],0))),"")</f>
        <v>NEW</v>
      </c>
      <c r="F44" s="24" t="s">
        <v>411</v>
      </c>
      <c r="G44" s="26" t="str">
        <f aca="false">IFERROR(IF(ISBLANK(INDEX(Backlog[HLE],MATCH($A44,Backlog[Requirement ID],0))),"",INDEX(Backlog[HLE],MATCH($A44,Backlog[Requirement ID],0))),"")</f>
        <v/>
      </c>
      <c r="H44" s="26" t="n">
        <f aca="false">IFERROR(VALUE(SUBSTITUTE($F44,"Sprint ","")),9999)</f>
        <v>9999</v>
      </c>
    </row>
    <row r="45" customFormat="false" ht="15" hidden="true" customHeight="true" outlineLevel="0" collapsed="false">
      <c r="A45" s="24" t="str">
        <f aca="false">Backlog!A45</f>
        <v>NEW-0362</v>
      </c>
      <c r="B45" s="26" t="str">
        <f aca="false">IFERROR(IF(ISBLANK(INDEX(Backlog[Requirement Name],MATCH($A45,Backlog[Requirement ID],0))),"",INDEX(Backlog[Requirement Name],MATCH($A45,Backlog[Requirement ID],0))),"")</f>
        <v>US - Known and Unknown management analysis for US (CDP/AJO)</v>
      </c>
      <c r="C45" s="26" t="str">
        <f aca="false">IFERROR(IF(ISBLANK(INDEX(Backlog[Stream],MATCH($A45,Backlog[Requirement ID],0))),"",INDEX(Backlog[Stream],MATCH($A45,Backlog[Requirement ID],0))),"")</f>
        <v>Growth</v>
      </c>
      <c r="D45" s="26" t="str">
        <f aca="false">IFERROR(IF(ISBLANK(INDEX(Backlog[Priority],MATCH($A45,Backlog[Requirement ID],0))),"",INDEX(Backlog[Priority],MATCH($A45,Backlog[Requirement ID],0))),"")</f>
        <v>Medium</v>
      </c>
      <c r="E45" s="26" t="str">
        <f aca="false">IFERROR(IF(ISBLANK(INDEX(Backlog[Status],MATCH($A45,Backlog[Requirement ID],0))),"",INDEX(Backlog[Status],MATCH($A45,Backlog[Requirement ID],0))),"")</f>
        <v>NEW</v>
      </c>
      <c r="F45" s="24" t="s">
        <v>411</v>
      </c>
      <c r="G45" s="26" t="str">
        <f aca="false">IFERROR(IF(ISBLANK(INDEX(Backlog[HLE],MATCH($A45,Backlog[Requirement ID],0))),"",INDEX(Backlog[HLE],MATCH($A45,Backlog[Requirement ID],0))),"")</f>
        <v/>
      </c>
      <c r="H45" s="26" t="n">
        <f aca="false">IFERROR(VALUE(SUBSTITUTE($F45,"Sprint ","")),9999)</f>
        <v>9999</v>
      </c>
    </row>
    <row r="46" customFormat="false" ht="15" hidden="true" customHeight="true" outlineLevel="0" collapsed="false">
      <c r="A46" s="24" t="str">
        <f aca="false">Backlog!A46</f>
        <v>NEW-0363</v>
      </c>
      <c r="B46" s="26" t="str">
        <f aca="false">IFERROR(IF(ISBLANK(INDEX(Backlog[Requirement Name],MATCH($A46,Backlog[Requirement ID],0))),"",INDEX(Backlog[Requirement Name],MATCH($A46,Backlog[Requirement ID],0))),"")</f>
        <v>US - Outbound Leads - Light Login for Leads Moving Option Expiring</v>
      </c>
      <c r="C46" s="26" t="str">
        <f aca="false">IFERROR(IF(ISBLANK(INDEX(Backlog[Stream],MATCH($A46,Backlog[Requirement ID],0))),"",INDEX(Backlog[Stream],MATCH($A46,Backlog[Requirement ID],0))),"")</f>
        <v>Growth</v>
      </c>
      <c r="D46" s="26" t="str">
        <f aca="false">IFERROR(IF(ISBLANK(INDEX(Backlog[Priority],MATCH($A46,Backlog[Requirement ID],0))),"",INDEX(Backlog[Priority],MATCH($A46,Backlog[Requirement ID],0))),"")</f>
        <v>Medium</v>
      </c>
      <c r="E46" s="26" t="str">
        <f aca="false">IFERROR(IF(ISBLANK(INDEX(Backlog[Status],MATCH($A46,Backlog[Requirement ID],0))),"",INDEX(Backlog[Status],MATCH($A46,Backlog[Requirement ID],0))),"")</f>
        <v>NEW</v>
      </c>
      <c r="F46" s="24" t="s">
        <v>411</v>
      </c>
      <c r="G46" s="26" t="str">
        <f aca="false">IFERROR(IF(ISBLANK(INDEX(Backlog[HLE],MATCH($A46,Backlog[Requirement ID],0))),"",INDEX(Backlog[HLE],MATCH($A46,Backlog[Requirement ID],0))),"")</f>
        <v/>
      </c>
      <c r="H46" s="26" t="n">
        <f aca="false">IFERROR(VALUE(SUBSTITUTE($F46,"Sprint ","")),9999)</f>
        <v>9999</v>
      </c>
    </row>
    <row r="47" customFormat="false" ht="15" hidden="true" customHeight="true" outlineLevel="0" collapsed="false">
      <c r="A47" s="24" t="str">
        <f aca="false">Backlog!A47</f>
        <v>NEW-0364</v>
      </c>
      <c r="B47" s="26" t="str">
        <f aca="false">IFERROR(IF(ISBLANK(INDEX(Backlog[Requirement Name],MATCH($A47,Backlog[Requirement ID],0))),"",INDEX(Backlog[Requirement Name],MATCH($A47,Backlog[Requirement ID],0))),"")</f>
        <v>B2CW Booking Funnel - TRF and Pricing Structure Assessment – ESP Market</v>
      </c>
      <c r="C47" s="26" t="str">
        <f aca="false">IFERROR(IF(ISBLANK(INDEX(Backlog[Stream],MATCH($A47,Backlog[Requirement ID],0))),"",INDEX(Backlog[Stream],MATCH($A47,Backlog[Requirement ID],0))),"")</f>
        <v>Growth</v>
      </c>
      <c r="D47" s="26" t="str">
        <f aca="false">IFERROR(IF(ISBLANK(INDEX(Backlog[Priority],MATCH($A47,Backlog[Requirement ID],0))),"",INDEX(Backlog[Priority],MATCH($A47,Backlog[Requirement ID],0))),"")</f>
        <v>Medium</v>
      </c>
      <c r="E47" s="26" t="str">
        <f aca="false">IFERROR(IF(ISBLANK(INDEX(Backlog[Status],MATCH($A47,Backlog[Requirement ID],0))),"",INDEX(Backlog[Status],MATCH($A47,Backlog[Requirement ID],0))),"")</f>
        <v>NA</v>
      </c>
      <c r="F47" s="24" t="s">
        <v>411</v>
      </c>
      <c r="G47" s="26" t="str">
        <f aca="false">IFERROR(IF(ISBLANK(INDEX(Backlog[HLE],MATCH($A47,Backlog[Requirement ID],0))),"",INDEX(Backlog[HLE],MATCH($A47,Backlog[Requirement ID],0))),"")</f>
        <v/>
      </c>
      <c r="H47" s="26" t="n">
        <f aca="false">IFERROR(VALUE(SUBSTITUTE($F47,"Sprint ","")),9999)</f>
        <v>9999</v>
      </c>
    </row>
    <row r="48" customFormat="false" ht="15" hidden="true" customHeight="true" outlineLevel="0" collapsed="false">
      <c r="A48" s="24" t="str">
        <f aca="false">Backlog!A48</f>
        <v>NEW-0366</v>
      </c>
      <c r="B48" s="26" t="str">
        <f aca="false">IFERROR(IF(ISBLANK(INDEX(Backlog[Requirement Name],MATCH($A48,Backlog[Requirement ID],0))),"",INDEX(Backlog[Requirement Name],MATCH($A48,Backlog[Requirement ID],0))),"")</f>
        <v>B2CW Accessibility &amp; Medical Webform Business Rules for booking</v>
      </c>
      <c r="C48" s="26" t="str">
        <f aca="false">IFERROR(IF(ISBLANK(INDEX(Backlog[Stream],MATCH($A48,Backlog[Requirement ID],0))),"",INDEX(Backlog[Stream],MATCH($A48,Backlog[Requirement ID],0))),"")</f>
        <v>Growth</v>
      </c>
      <c r="D48" s="26" t="str">
        <f aca="false">IFERROR(IF(ISBLANK(INDEX(Backlog[Priority],MATCH($A48,Backlog[Requirement ID],0))),"",INDEX(Backlog[Priority],MATCH($A48,Backlog[Requirement ID],0))),"")</f>
        <v>Medium</v>
      </c>
      <c r="E48" s="26" t="str">
        <f aca="false">IFERROR(IF(ISBLANK(INDEX(Backlog[Status],MATCH($A48,Backlog[Requirement ID],0))),"",INDEX(Backlog[Status],MATCH($A48,Backlog[Requirement ID],0))),"")</f>
        <v>NEW</v>
      </c>
      <c r="F48" s="24" t="s">
        <v>411</v>
      </c>
      <c r="G48" s="26" t="str">
        <f aca="false">IFERROR(IF(ISBLANK(INDEX(Backlog[HLE],MATCH($A48,Backlog[Requirement ID],0))),"",INDEX(Backlog[HLE],MATCH($A48,Backlog[Requirement ID],0))),"")</f>
        <v/>
      </c>
      <c r="H48" s="26" t="n">
        <f aca="false">IFERROR(VALUE(SUBSTITUTE($F48,"Sprint ","")),9999)</f>
        <v>9999</v>
      </c>
    </row>
    <row r="49" customFormat="false" ht="15" hidden="true" customHeight="true" outlineLevel="0" collapsed="false">
      <c r="A49" s="24" t="str">
        <f aca="false">Backlog!A49</f>
        <v>NEW-0367</v>
      </c>
      <c r="B49" s="26" t="str">
        <f aca="false">IFERROR(IF(ISBLANK(INDEX(Backlog[Requirement Name],MATCH($A49,Backlog[Requirement ID],0))),"",INDEX(Backlog[Requirement Name],MATCH($A49,Backlog[Requirement ID],0))),"")</f>
        <v>MyMSC US | Extend JWT expiry</v>
      </c>
      <c r="C49" s="26" t="str">
        <f aca="false">IFERROR(IF(ISBLANK(INDEX(Backlog[Stream],MATCH($A49,Backlog[Requirement ID],0))),"",INDEX(Backlog[Stream],MATCH($A49,Backlog[Requirement ID],0))),"")</f>
        <v>Growth</v>
      </c>
      <c r="D49" s="26" t="str">
        <f aca="false">IFERROR(IF(ISBLANK(INDEX(Backlog[Priority],MATCH($A49,Backlog[Requirement ID],0))),"",INDEX(Backlog[Priority],MATCH($A49,Backlog[Requirement ID],0))),"")</f>
        <v>Medium</v>
      </c>
      <c r="E49" s="26" t="str">
        <f aca="false">IFERROR(IF(ISBLANK(INDEX(Backlog[Status],MATCH($A49,Backlog[Requirement ID],0))),"",INDEX(Backlog[Status],MATCH($A49,Backlog[Requirement ID],0))),"")</f>
        <v>NEW</v>
      </c>
      <c r="F49" s="24" t="s">
        <v>411</v>
      </c>
      <c r="G49" s="26" t="n">
        <f aca="false">IFERROR(IF(ISBLANK(INDEX(Backlog[HLE],MATCH($A49,Backlog[Requirement ID],0))),"",INDEX(Backlog[HLE],MATCH($A49,Backlog[Requirement ID],0))),"")</f>
        <v>5</v>
      </c>
      <c r="H49" s="26" t="n">
        <f aca="false">IFERROR(VALUE(SUBSTITUTE($F49,"Sprint ","")),9999)</f>
        <v>9999</v>
      </c>
    </row>
    <row r="50" customFormat="false" ht="15" hidden="true" customHeight="true" outlineLevel="0" collapsed="false">
      <c r="A50" s="24" t="str">
        <f aca="false">Backlog!A50</f>
        <v>NEW-0370</v>
      </c>
      <c r="B50" s="26" t="str">
        <f aca="false">IFERROR(IF(ISBLANK(INDEX(Backlog[Requirement Name],MATCH($A50,Backlog[Requirement ID],0))),"",INDEX(Backlog[Requirement Name],MATCH($A50,Backlog[Requirement ID],0))),"")</f>
        <v>Handling DSC_076 scenario in booking funnel</v>
      </c>
      <c r="C50" s="26" t="str">
        <f aca="false">IFERROR(IF(ISBLANK(INDEX(Backlog[Stream],MATCH($A50,Backlog[Requirement ID],0))),"",INDEX(Backlog[Stream],MATCH($A50,Backlog[Requirement ID],0))),"")</f>
        <v>Growth</v>
      </c>
      <c r="D50" s="26" t="str">
        <f aca="false">IFERROR(IF(ISBLANK(INDEX(Backlog[Priority],MATCH($A50,Backlog[Requirement ID],0))),"",INDEX(Backlog[Priority],MATCH($A50,Backlog[Requirement ID],0))),"")</f>
        <v>Medium</v>
      </c>
      <c r="E50" s="26" t="str">
        <f aca="false">IFERROR(IF(ISBLANK(INDEX(Backlog[Status],MATCH($A50,Backlog[Requirement ID],0))),"",INDEX(Backlog[Status],MATCH($A50,Backlog[Requirement ID],0))),"")</f>
        <v>NEW</v>
      </c>
      <c r="F50" s="24" t="s">
        <v>411</v>
      </c>
      <c r="G50" s="26" t="str">
        <f aca="false">IFERROR(IF(ISBLANK(INDEX(Backlog[HLE],MATCH($A50,Backlog[Requirement ID],0))),"",INDEX(Backlog[HLE],MATCH($A50,Backlog[Requirement ID],0))),"")</f>
        <v/>
      </c>
      <c r="H50" s="26" t="n">
        <f aca="false">IFERROR(VALUE(SUBSTITUTE($F50,"Sprint ","")),9999)</f>
        <v>9999</v>
      </c>
    </row>
    <row r="51" customFormat="false" ht="15" hidden="true" customHeight="true" outlineLevel="0" collapsed="false">
      <c r="A51" s="24" t="str">
        <f aca="false">Backlog!A51</f>
        <v>NEW-0371</v>
      </c>
      <c r="B51" s="26" t="str">
        <f aca="false">IFERROR(IF(ISBLANK(INDEX(Backlog[Requirement Name],MATCH($A51,Backlog[Requirement ID],0))),"",INDEX(Backlog[Requirement Name],MATCH($A51,Backlog[Requirement ID],0))),"")</f>
        <v>B2CW Prospect Onsite Quotation</v>
      </c>
      <c r="C51" s="26" t="str">
        <f aca="false">IFERROR(IF(ISBLANK(INDEX(Backlog[Stream],MATCH($A51,Backlog[Requirement ID],0))),"",INDEX(Backlog[Stream],MATCH($A51,Backlog[Requirement ID],0))),"")</f>
        <v>Growth</v>
      </c>
      <c r="D51" s="26" t="str">
        <f aca="false">IFERROR(IF(ISBLANK(INDEX(Backlog[Priority],MATCH($A51,Backlog[Requirement ID],0))),"",INDEX(Backlog[Priority],MATCH($A51,Backlog[Requirement ID],0))),"")</f>
        <v>Medium</v>
      </c>
      <c r="E51" s="26" t="str">
        <f aca="false">IFERROR(IF(ISBLANK(INDEX(Backlog[Status],MATCH($A51,Backlog[Requirement ID],0))),"",INDEX(Backlog[Status],MATCH($A51,Backlog[Requirement ID],0))),"")</f>
        <v>NEW</v>
      </c>
      <c r="F51" s="24" t="s">
        <v>411</v>
      </c>
      <c r="G51" s="26" t="n">
        <f aca="false">IFERROR(IF(ISBLANK(INDEX(Backlog[HLE],MATCH($A51,Backlog[Requirement ID],0))),"",INDEX(Backlog[HLE],MATCH($A51,Backlog[Requirement ID],0))),"")</f>
        <v>5</v>
      </c>
      <c r="H51" s="26" t="n">
        <f aca="false">IFERROR(VALUE(SUBSTITUTE($F51,"Sprint ","")),9999)</f>
        <v>9999</v>
      </c>
    </row>
    <row r="52" customFormat="false" ht="15" hidden="true" customHeight="true" outlineLevel="0" collapsed="false">
      <c r="A52" s="24" t="str">
        <f aca="false">Backlog!A52</f>
        <v>NEW-0373</v>
      </c>
      <c r="B52" s="26" t="str">
        <f aca="false">IFERROR(IF(ISBLANK(INDEX(Backlog[Requirement Name],MATCH($A52,Backlog[Requirement ID],0))),"",INDEX(Backlog[Requirement Name],MATCH($A52,Backlog[Requirement ID],0))),"")</f>
        <v>Booking Funnel - AI Optimisation</v>
      </c>
      <c r="C52" s="26" t="str">
        <f aca="false">IFERROR(IF(ISBLANK(INDEX(Backlog[Stream],MATCH($A52,Backlog[Requirement ID],0))),"",INDEX(Backlog[Stream],MATCH($A52,Backlog[Requirement ID],0))),"")</f>
        <v>Backlog / Tech Enh</v>
      </c>
      <c r="D52" s="26" t="str">
        <f aca="false">IFERROR(IF(ISBLANK(INDEX(Backlog[Priority],MATCH($A52,Backlog[Requirement ID],0))),"",INDEX(Backlog[Priority],MATCH($A52,Backlog[Requirement ID],0))),"")</f>
        <v>Medium</v>
      </c>
      <c r="E52" s="26" t="str">
        <f aca="false">IFERROR(IF(ISBLANK(INDEX(Backlog[Status],MATCH($A52,Backlog[Requirement ID],0))),"",INDEX(Backlog[Status],MATCH($A52,Backlog[Requirement ID],0))),"")</f>
        <v>NEW</v>
      </c>
      <c r="F52" s="24" t="s">
        <v>411</v>
      </c>
      <c r="G52" s="26" t="str">
        <f aca="false">IFERROR(IF(ISBLANK(INDEX(Backlog[HLE],MATCH($A52,Backlog[Requirement ID],0))),"",INDEX(Backlog[HLE],MATCH($A52,Backlog[Requirement ID],0))),"")</f>
        <v/>
      </c>
      <c r="H52" s="26" t="n">
        <f aca="false">IFERROR(VALUE(SUBSTITUTE($F52,"Sprint ","")),9999)</f>
        <v>9999</v>
      </c>
    </row>
    <row r="53" customFormat="false" ht="15" hidden="true" customHeight="true" outlineLevel="0" collapsed="false">
      <c r="A53" s="24" t="str">
        <f aca="false">Backlog!A53</f>
        <v>NEW-0375</v>
      </c>
      <c r="B53" s="26" t="str">
        <f aca="false">IFERROR(IF(ISBLANK(INDEX(Backlog[Requirement Name],MATCH($A53,Backlog[Requirement ID],0))),"",INDEX(Backlog[Requirement Name],MATCH($A53,Backlog[Requirement ID],0))),"")</f>
        <v>Booking Funnel - OTEL</v>
      </c>
      <c r="C53" s="26" t="str">
        <f aca="false">IFERROR(IF(ISBLANK(INDEX(Backlog[Stream],MATCH($A53,Backlog[Requirement ID],0))),"",INDEX(Backlog[Stream],MATCH($A53,Backlog[Requirement ID],0))),"")</f>
        <v>Backlog / Tech Enh</v>
      </c>
      <c r="D53" s="26" t="str">
        <f aca="false">IFERROR(IF(ISBLANK(INDEX(Backlog[Priority],MATCH($A53,Backlog[Requirement ID],0))),"",INDEX(Backlog[Priority],MATCH($A53,Backlog[Requirement ID],0))),"")</f>
        <v>Medium</v>
      </c>
      <c r="E53" s="26" t="str">
        <f aca="false">IFERROR(IF(ISBLANK(INDEX(Backlog[Status],MATCH($A53,Backlog[Requirement ID],0))),"",INDEX(Backlog[Status],MATCH($A53,Backlog[Requirement ID],0))),"")</f>
        <v>IN PROGRESS</v>
      </c>
      <c r="F53" s="24" t="s">
        <v>411</v>
      </c>
      <c r="G53" s="26" t="str">
        <f aca="false">IFERROR(IF(ISBLANK(INDEX(Backlog[HLE],MATCH($A53,Backlog[Requirement ID],0))),"",INDEX(Backlog[HLE],MATCH($A53,Backlog[Requirement ID],0))),"")</f>
        <v/>
      </c>
      <c r="H53" s="26" t="n">
        <f aca="false">IFERROR(VALUE(SUBSTITUTE($F53,"Sprint ","")),9999)</f>
        <v>9999</v>
      </c>
    </row>
    <row r="54" customFormat="false" ht="15" hidden="true" customHeight="true" outlineLevel="0" collapsed="false">
      <c r="A54" s="24" t="str">
        <f aca="false">Backlog!A54</f>
        <v>NEW-0376</v>
      </c>
      <c r="B54" s="26" t="str">
        <f aca="false">IFERROR(IF(ISBLANK(INDEX(Backlog[Requirement Name],MATCH($A54,Backlog[Requirement ID],0))),"",INDEX(Backlog[Requirement Name],MATCH($A54,Backlog[Requirement ID],0))),"")</f>
        <v>Improve error handling in booking creation</v>
      </c>
      <c r="C54" s="26" t="str">
        <f aca="false">IFERROR(IF(ISBLANK(INDEX(Backlog[Stream],MATCH($A54,Backlog[Requirement ID],0))),"",INDEX(Backlog[Stream],MATCH($A54,Backlog[Requirement ID],0))),"")</f>
        <v>Backlog / Tech Enh</v>
      </c>
      <c r="D54" s="26" t="str">
        <f aca="false">IFERROR(IF(ISBLANK(INDEX(Backlog[Priority],MATCH($A54,Backlog[Requirement ID],0))),"",INDEX(Backlog[Priority],MATCH($A54,Backlog[Requirement ID],0))),"")</f>
        <v>Medium</v>
      </c>
      <c r="E54" s="26" t="str">
        <f aca="false">IFERROR(IF(ISBLANK(INDEX(Backlog[Status],MATCH($A54,Backlog[Requirement ID],0))),"",INDEX(Backlog[Status],MATCH($A54,Backlog[Requirement ID],0))),"")</f>
        <v>NEW</v>
      </c>
      <c r="F54" s="24" t="s">
        <v>411</v>
      </c>
      <c r="G54" s="26" t="str">
        <f aca="false">IFERROR(IF(ISBLANK(INDEX(Backlog[HLE],MATCH($A54,Backlog[Requirement ID],0))),"",INDEX(Backlog[HLE],MATCH($A54,Backlog[Requirement ID],0))),"")</f>
        <v/>
      </c>
      <c r="H54" s="26" t="n">
        <f aca="false">IFERROR(VALUE(SUBSTITUTE($F54,"Sprint ","")),9999)</f>
        <v>9999</v>
      </c>
    </row>
    <row r="55" customFormat="false" ht="15" hidden="true" customHeight="true" outlineLevel="0" collapsed="false">
      <c r="A55" s="24" t="str">
        <f aca="false">Backlog!A55</f>
        <v>NEW-0377</v>
      </c>
      <c r="B55" s="26" t="str">
        <f aca="false">IFERROR(IF(ISBLANK(INDEX(Backlog[Requirement Name],MATCH($A55,Backlog[Requirement ID],0))),"",INDEX(Backlog[Requirement Name],MATCH($A55,Backlog[Requirement ID],0))),"")</f>
        <v>DTTP25-27161 Change payment and newsletter redirection URL logic</v>
      </c>
      <c r="C55" s="26" t="str">
        <f aca="false">IFERROR(IF(ISBLANK(INDEX(Backlog[Stream],MATCH($A55,Backlog[Requirement ID],0))),"",INDEX(Backlog[Stream],MATCH($A55,Backlog[Requirement ID],0))),"")</f>
        <v>Backlog / Tech Enh</v>
      </c>
      <c r="D55" s="26" t="str">
        <f aca="false">IFERROR(IF(ISBLANK(INDEX(Backlog[Priority],MATCH($A55,Backlog[Requirement ID],0))),"",INDEX(Backlog[Priority],MATCH($A55,Backlog[Requirement ID],0))),"")</f>
        <v>Medium</v>
      </c>
      <c r="E55" s="26" t="str">
        <f aca="false">IFERROR(IF(ISBLANK(INDEX(Backlog[Status],MATCH($A55,Backlog[Requirement ID],0))),"",INDEX(Backlog[Status],MATCH($A55,Backlog[Requirement ID],0))),"")</f>
        <v>NEW</v>
      </c>
      <c r="F55" s="24" t="s">
        <v>411</v>
      </c>
      <c r="G55" s="26" t="str">
        <f aca="false">IFERROR(IF(ISBLANK(INDEX(Backlog[HLE],MATCH($A55,Backlog[Requirement ID],0))),"",INDEX(Backlog[HLE],MATCH($A55,Backlog[Requirement ID],0))),"")</f>
        <v/>
      </c>
      <c r="H55" s="26" t="n">
        <f aca="false">IFERROR(VALUE(SUBSTITUTE($F55,"Sprint ","")),9999)</f>
        <v>9999</v>
      </c>
    </row>
    <row r="56" customFormat="false" ht="15" hidden="true" customHeight="true" outlineLevel="0" collapsed="false">
      <c r="A56" s="24" t="str">
        <f aca="false">Backlog!A56</f>
        <v>NEW-0395</v>
      </c>
      <c r="B56" s="26" t="str">
        <f aca="false">IFERROR(IF(ISBLANK(INDEX(Backlog[Requirement Name],MATCH($A56,Backlog[Requirement ID],0))),"",INDEX(Backlog[Requirement Name],MATCH($A56,Backlog[Requirement ID],0))),"")</f>
        <v>PDF: age restrictions management</v>
      </c>
      <c r="C56" s="26" t="str">
        <f aca="false">IFERROR(IF(ISBLANK(INDEX(Backlog[Stream],MATCH($A56,Backlog[Requirement ID],0))),"",INDEX(Backlog[Stream],MATCH($A56,Backlog[Requirement ID],0))),"")</f>
        <v>MyMSC</v>
      </c>
      <c r="D56" s="26" t="str">
        <f aca="false">IFERROR(IF(ISBLANK(INDEX(Backlog[Priority],MATCH($A56,Backlog[Requirement ID],0))),"",INDEX(Backlog[Priority],MATCH($A56,Backlog[Requirement ID],0))),"")</f>
        <v>Medium</v>
      </c>
      <c r="E56" s="26" t="str">
        <f aca="false">IFERROR(IF(ISBLANK(INDEX(Backlog[Status],MATCH($A56,Backlog[Requirement ID],0))),"",INDEX(Backlog[Status],MATCH($A56,Backlog[Requirement ID],0))),"")</f>
        <v>NEW</v>
      </c>
      <c r="F56" s="24" t="s">
        <v>411</v>
      </c>
      <c r="G56" s="26" t="n">
        <f aca="false">IFERROR(IF(ISBLANK(INDEX(Backlog[HLE],MATCH($A56,Backlog[Requirement ID],0))),"",INDEX(Backlog[HLE],MATCH($A56,Backlog[Requirement ID],0))),"")</f>
        <v>5</v>
      </c>
      <c r="H56" s="26" t="n">
        <f aca="false">IFERROR(VALUE(SUBSTITUTE($F56,"Sprint ","")),9999)</f>
        <v>9999</v>
      </c>
    </row>
    <row r="57" customFormat="false" ht="15" hidden="true" customHeight="true" outlineLevel="0" collapsed="false">
      <c r="A57" s="24" t="str">
        <f aca="false">Backlog!A57</f>
        <v>NEW-0397</v>
      </c>
      <c r="B57" s="26" t="str">
        <f aca="false">IFERROR(IF(ISBLANK(INDEX(Backlog[Requirement Name],MATCH($A57,Backlog[Requirement ID],0))),"",INDEX(Backlog[Requirement Name],MATCH($A57,Backlog[Requirement ID],0))),"")</f>
        <v>MSC Voyagers Club subscription block for pending Status Match request for the same user</v>
      </c>
      <c r="C57" s="26" t="str">
        <f aca="false">IFERROR(IF(ISBLANK(INDEX(Backlog[Stream],MATCH($A57,Backlog[Requirement ID],0))),"",INDEX(Backlog[Stream],MATCH($A57,Backlog[Requirement ID],0))),"")</f>
        <v>MyMSC</v>
      </c>
      <c r="D57" s="26" t="str">
        <f aca="false">IFERROR(IF(ISBLANK(INDEX(Backlog[Priority],MATCH($A57,Backlog[Requirement ID],0))),"",INDEX(Backlog[Priority],MATCH($A57,Backlog[Requirement ID],0))),"")</f>
        <v>Medium</v>
      </c>
      <c r="E57" s="26" t="str">
        <f aca="false">IFERROR(IF(ISBLANK(INDEX(Backlog[Status],MATCH($A57,Backlog[Requirement ID],0))),"",INDEX(Backlog[Status],MATCH($A57,Backlog[Requirement ID],0))),"")</f>
        <v>NEW</v>
      </c>
      <c r="F57" s="24" t="s">
        <v>411</v>
      </c>
      <c r="G57" s="26" t="n">
        <f aca="false">IFERROR(IF(ISBLANK(INDEX(Backlog[HLE],MATCH($A57,Backlog[Requirement ID],0))),"",INDEX(Backlog[HLE],MATCH($A57,Backlog[Requirement ID],0))),"")</f>
        <v>8</v>
      </c>
      <c r="H57" s="26" t="n">
        <f aca="false">IFERROR(VALUE(SUBSTITUTE($F57,"Sprint ","")),9999)</f>
        <v>9999</v>
      </c>
    </row>
    <row r="58" customFormat="false" ht="15" hidden="true" customHeight="true" outlineLevel="0" collapsed="false">
      <c r="A58" s="24" t="str">
        <f aca="false">Backlog!A58</f>
        <v>NEW-0398</v>
      </c>
      <c r="B58" s="26" t="str">
        <f aca="false">IFERROR(IF(ISBLANK(INDEX(Backlog[Requirement Name],MATCH($A58,Backlog[Requirement ID],0))),"",INDEX(Backlog[Requirement Name],MATCH($A58,Backlog[Requirement ID],0))),"")</f>
        <v>MSC Voyagers Club children association</v>
      </c>
      <c r="C58" s="26" t="str">
        <f aca="false">IFERROR(IF(ISBLANK(INDEX(Backlog[Stream],MATCH($A58,Backlog[Requirement ID],0))),"",INDEX(Backlog[Stream],MATCH($A58,Backlog[Requirement ID],0))),"")</f>
        <v>MyMSC</v>
      </c>
      <c r="D58" s="26" t="str">
        <f aca="false">IFERROR(IF(ISBLANK(INDEX(Backlog[Priority],MATCH($A58,Backlog[Requirement ID],0))),"",INDEX(Backlog[Priority],MATCH($A58,Backlog[Requirement ID],0))),"")</f>
        <v>Medium</v>
      </c>
      <c r="E58" s="26" t="str">
        <f aca="false">IFERROR(IF(ISBLANK(INDEX(Backlog[Status],MATCH($A58,Backlog[Requirement ID],0))),"",INDEX(Backlog[Status],MATCH($A58,Backlog[Requirement ID],0))),"")</f>
        <v>NEW</v>
      </c>
      <c r="F58" s="24" t="s">
        <v>411</v>
      </c>
      <c r="G58" s="26" t="n">
        <f aca="false">IFERROR(IF(ISBLANK(INDEX(Backlog[HLE],MATCH($A58,Backlog[Requirement ID],0))),"",INDEX(Backlog[HLE],MATCH($A58,Backlog[Requirement ID],0))),"")</f>
        <v>13</v>
      </c>
      <c r="H58" s="26" t="n">
        <f aca="false">IFERROR(VALUE(SUBSTITUTE($F58,"Sprint ","")),9999)</f>
        <v>9999</v>
      </c>
    </row>
    <row r="59" customFormat="false" ht="15" hidden="true" customHeight="true" outlineLevel="0" collapsed="false">
      <c r="A59" s="24" t="str">
        <f aca="false">Backlog!A59</f>
        <v>NEW-0399</v>
      </c>
      <c r="B59" s="26" t="str">
        <f aca="false">IFERROR(IF(ISBLANK(INDEX(Backlog[Requirement Name],MATCH($A59,Backlog[Requirement ID],0))),"",INDEX(Backlog[Requirement Name],MATCH($A59,Backlog[Requirement ID],0))),"")</f>
        <v>Managing the possibility of multiple categories for the same EXC item</v>
      </c>
      <c r="C59" s="26" t="str">
        <f aca="false">IFERROR(IF(ISBLANK(INDEX(Backlog[Stream],MATCH($A59,Backlog[Requirement ID],0))),"",INDEX(Backlog[Stream],MATCH($A59,Backlog[Requirement ID],0))),"")</f>
        <v>MyMSC</v>
      </c>
      <c r="D59" s="26" t="str">
        <f aca="false">IFERROR(IF(ISBLANK(INDEX(Backlog[Priority],MATCH($A59,Backlog[Requirement ID],0))),"",INDEX(Backlog[Priority],MATCH($A59,Backlog[Requirement ID],0))),"")</f>
        <v>Medium</v>
      </c>
      <c r="E59" s="26" t="str">
        <f aca="false">IFERROR(IF(ISBLANK(INDEX(Backlog[Status],MATCH($A59,Backlog[Requirement ID],0))),"",INDEX(Backlog[Status],MATCH($A59,Backlog[Requirement ID],0))),"")</f>
        <v>NEW</v>
      </c>
      <c r="F59" s="24" t="s">
        <v>411</v>
      </c>
      <c r="G59" s="26" t="n">
        <f aca="false">IFERROR(IF(ISBLANK(INDEX(Backlog[HLE],MATCH($A59,Backlog[Requirement ID],0))),"",INDEX(Backlog[HLE],MATCH($A59,Backlog[Requirement ID],0))),"")</f>
        <v>8</v>
      </c>
      <c r="H59" s="26" t="n">
        <f aca="false">IFERROR(VALUE(SUBSTITUTE($F59,"Sprint ","")),9999)</f>
        <v>9999</v>
      </c>
    </row>
    <row r="60" customFormat="false" ht="15" hidden="true" customHeight="true" outlineLevel="0" collapsed="false">
      <c r="A60" s="24" t="str">
        <f aca="false">Backlog!A60</f>
        <v>NEW-0400</v>
      </c>
      <c r="B60" s="26" t="str">
        <f aca="false">IFERROR(IF(ISBLANK(INDEX(Backlog[Requirement Name],MATCH($A60,Backlog[Requirement ID],0))),"",INDEX(Backlog[Requirement Name],MATCH($A60,Backlog[Requirement ID],0))),"")</f>
        <v>Card Points History Reliability Enhancement - B2C</v>
      </c>
      <c r="C60" s="26" t="str">
        <f aca="false">IFERROR(IF(ISBLANK(INDEX(Backlog[Stream],MATCH($A60,Backlog[Requirement ID],0))),"",INDEX(Backlog[Stream],MATCH($A60,Backlog[Requirement ID],0))),"")</f>
        <v>MyMSC</v>
      </c>
      <c r="D60" s="26" t="str">
        <f aca="false">IFERROR(IF(ISBLANK(INDEX(Backlog[Priority],MATCH($A60,Backlog[Requirement ID],0))),"",INDEX(Backlog[Priority],MATCH($A60,Backlog[Requirement ID],0))),"")</f>
        <v>Medium</v>
      </c>
      <c r="E60" s="26" t="str">
        <f aca="false">IFERROR(IF(ISBLANK(INDEX(Backlog[Status],MATCH($A60,Backlog[Requirement ID],0))),"",INDEX(Backlog[Status],MATCH($A60,Backlog[Requirement ID],0))),"")</f>
        <v>NEW</v>
      </c>
      <c r="F60" s="24" t="s">
        <v>411</v>
      </c>
      <c r="G60" s="26" t="n">
        <f aca="false">IFERROR(IF(ISBLANK(INDEX(Backlog[HLE],MATCH($A60,Backlog[Requirement ID],0))),"",INDEX(Backlog[HLE],MATCH($A60,Backlog[Requirement ID],0))),"")</f>
        <v>8</v>
      </c>
      <c r="H60" s="26" t="n">
        <f aca="false">IFERROR(VALUE(SUBSTITUTE($F60,"Sprint ","")),9999)</f>
        <v>9999</v>
      </c>
    </row>
    <row r="61" customFormat="false" ht="15" hidden="true" customHeight="true" outlineLevel="0" collapsed="false">
      <c r="A61" s="24" t="str">
        <f aca="false">Backlog!A61</f>
        <v>NEW-0401</v>
      </c>
      <c r="B61" s="26" t="str">
        <f aca="false">IFERROR(IF(ISBLANK(INDEX(Backlog[Requirement Name],MATCH($A61,Backlog[Requirement ID],0))),"",INDEX(Backlog[Requirement Name],MATCH($A61,Backlog[Requirement ID],0))),"")</f>
        <v>Excursions' category not visible, neither in the catalogue nor in the modal</v>
      </c>
      <c r="C61" s="26" t="str">
        <f aca="false">IFERROR(IF(ISBLANK(INDEX(Backlog[Stream],MATCH($A61,Backlog[Requirement ID],0))),"",INDEX(Backlog[Stream],MATCH($A61,Backlog[Requirement ID],0))),"")</f>
        <v>MyMSC</v>
      </c>
      <c r="D61" s="26" t="str">
        <f aca="false">IFERROR(IF(ISBLANK(INDEX(Backlog[Priority],MATCH($A61,Backlog[Requirement ID],0))),"",INDEX(Backlog[Priority],MATCH($A61,Backlog[Requirement ID],0))),"")</f>
        <v>Medium</v>
      </c>
      <c r="E61" s="26" t="str">
        <f aca="false">IFERROR(IF(ISBLANK(INDEX(Backlog[Status],MATCH($A61,Backlog[Requirement ID],0))),"",INDEX(Backlog[Status],MATCH($A61,Backlog[Requirement ID],0))),"")</f>
        <v>NEW</v>
      </c>
      <c r="F61" s="24" t="s">
        <v>411</v>
      </c>
      <c r="G61" s="26" t="n">
        <f aca="false">IFERROR(IF(ISBLANK(INDEX(Backlog[HLE],MATCH($A61,Backlog[Requirement ID],0))),"",INDEX(Backlog[HLE],MATCH($A61,Backlog[Requirement ID],0))),"")</f>
        <v>8</v>
      </c>
      <c r="H61" s="26" t="n">
        <f aca="false">IFERROR(VALUE(SUBSTITUTE($F61,"Sprint ","")),9999)</f>
        <v>9999</v>
      </c>
    </row>
    <row r="62" customFormat="false" ht="15" hidden="true" customHeight="true" outlineLevel="0" collapsed="false">
      <c r="A62" s="24" t="str">
        <f aca="false">Backlog!A62</f>
        <v>NEW-0402</v>
      </c>
      <c r="B62" s="26" t="str">
        <f aca="false">IFERROR(IF(ISBLANK(INDEX(Backlog[Requirement Name],MATCH($A62,Backlog[Requirement ID],0))),"",INDEX(Backlog[Requirement Name],MATCH($A62,Backlog[Requirement ID],0))),"")</f>
        <v>Cross Device &gt; Plan my cruise: Cart &gt; Impossible to apply a coupon on a NON-Discounted item</v>
      </c>
      <c r="C62" s="26" t="str">
        <f aca="false">IFERROR(IF(ISBLANK(INDEX(Backlog[Stream],MATCH($A62,Backlog[Requirement ID],0))),"",INDEX(Backlog[Stream],MATCH($A62,Backlog[Requirement ID],0))),"")</f>
        <v>MyMSC</v>
      </c>
      <c r="D62" s="26" t="str">
        <f aca="false">IFERROR(IF(ISBLANK(INDEX(Backlog[Priority],MATCH($A62,Backlog[Requirement ID],0))),"",INDEX(Backlog[Priority],MATCH($A62,Backlog[Requirement ID],0))),"")</f>
        <v>Medium</v>
      </c>
      <c r="E62" s="26" t="str">
        <f aca="false">IFERROR(IF(ISBLANK(INDEX(Backlog[Status],MATCH($A62,Backlog[Requirement ID],0))),"",INDEX(Backlog[Status],MATCH($A62,Backlog[Requirement ID],0))),"")</f>
        <v>NEW</v>
      </c>
      <c r="F62" s="24" t="s">
        <v>411</v>
      </c>
      <c r="G62" s="26" t="n">
        <f aca="false">IFERROR(IF(ISBLANK(INDEX(Backlog[HLE],MATCH($A62,Backlog[Requirement ID],0))),"",INDEX(Backlog[HLE],MATCH($A62,Backlog[Requirement ID],0))),"")</f>
        <v>8</v>
      </c>
      <c r="H62" s="26" t="n">
        <f aca="false">IFERROR(VALUE(SUBSTITUTE($F62,"Sprint ","")),9999)</f>
        <v>9999</v>
      </c>
    </row>
    <row r="63" customFormat="false" ht="15" hidden="true" customHeight="true" outlineLevel="0" collapsed="false">
      <c r="A63" s="24" t="str">
        <f aca="false">Backlog!A63</f>
        <v>NEW-0403</v>
      </c>
      <c r="B63" s="26" t="str">
        <f aca="false">IFERROR(IF(ISBLANK(INDEX(Backlog[Requirement Name],MATCH($A63,Backlog[Requirement ID],0))),"",INDEX(Backlog[Requirement Name],MATCH($A63,Backlog[Requirement ID],0))),"")</f>
        <v>Wider management of label</v>
      </c>
      <c r="C63" s="26" t="str">
        <f aca="false">IFERROR(IF(ISBLANK(INDEX(Backlog[Stream],MATCH($A63,Backlog[Requirement ID],0))),"",INDEX(Backlog[Stream],MATCH($A63,Backlog[Requirement ID],0))),"")</f>
        <v>MyMSC</v>
      </c>
      <c r="D63" s="26" t="str">
        <f aca="false">IFERROR(IF(ISBLANK(INDEX(Backlog[Priority],MATCH($A63,Backlog[Requirement ID],0))),"",INDEX(Backlog[Priority],MATCH($A63,Backlog[Requirement ID],0))),"")</f>
        <v>Medium</v>
      </c>
      <c r="E63" s="26" t="str">
        <f aca="false">IFERROR(IF(ISBLANK(INDEX(Backlog[Status],MATCH($A63,Backlog[Requirement ID],0))),"",INDEX(Backlog[Status],MATCH($A63,Backlog[Requirement ID],0))),"")</f>
        <v>NEW</v>
      </c>
      <c r="F63" s="24" t="s">
        <v>411</v>
      </c>
      <c r="G63" s="26" t="str">
        <f aca="false">IFERROR(IF(ISBLANK(INDEX(Backlog[HLE],MATCH($A63,Backlog[Requirement ID],0))),"",INDEX(Backlog[HLE],MATCH($A63,Backlog[Requirement ID],0))),"")</f>
        <v/>
      </c>
      <c r="H63" s="26" t="n">
        <f aca="false">IFERROR(VALUE(SUBSTITUTE($F63,"Sprint ","")),9999)</f>
        <v>9999</v>
      </c>
    </row>
    <row r="64" customFormat="false" ht="15" hidden="true" customHeight="true" outlineLevel="0" collapsed="false">
      <c r="A64" s="24" t="str">
        <f aca="false">Backlog!A64</f>
        <v>NEW-0404</v>
      </c>
      <c r="B64" s="26" t="str">
        <f aca="false">IFERROR(IF(ISBLANK(INDEX(Backlog[Requirement Name],MATCH($A64,Backlog[Requirement ID],0))),"",INDEX(Backlog[Requirement Name],MATCH($A64,Backlog[Requirement ID],0))),"")</f>
        <v>Cross Device &gt; Plan My Cruise &gt; OBS/ACT 'Add passenger' CTA shown even if only non-eligible pax</v>
      </c>
      <c r="C64" s="26" t="str">
        <f aca="false">IFERROR(IF(ISBLANK(INDEX(Backlog[Stream],MATCH($A64,Backlog[Requirement ID],0))),"",INDEX(Backlog[Stream],MATCH($A64,Backlog[Requirement ID],0))),"")</f>
        <v>MyMSC</v>
      </c>
      <c r="D64" s="26" t="str">
        <f aca="false">IFERROR(IF(ISBLANK(INDEX(Backlog[Priority],MATCH($A64,Backlog[Requirement ID],0))),"",INDEX(Backlog[Priority],MATCH($A64,Backlog[Requirement ID],0))),"")</f>
        <v>Medium</v>
      </c>
      <c r="E64" s="26" t="str">
        <f aca="false">IFERROR(IF(ISBLANK(INDEX(Backlog[Status],MATCH($A64,Backlog[Requirement ID],0))),"",INDEX(Backlog[Status],MATCH($A64,Backlog[Requirement ID],0))),"")</f>
        <v>NEW</v>
      </c>
      <c r="F64" s="24" t="s">
        <v>411</v>
      </c>
      <c r="G64" s="26" t="str">
        <f aca="false">IFERROR(IF(ISBLANK(INDEX(Backlog[HLE],MATCH($A64,Backlog[Requirement ID],0))),"",INDEX(Backlog[HLE],MATCH($A64,Backlog[Requirement ID],0))),"")</f>
        <v/>
      </c>
      <c r="H64" s="26" t="n">
        <f aca="false">IFERROR(VALUE(SUBSTITUTE($F64,"Sprint ","")),9999)</f>
        <v>9999</v>
      </c>
    </row>
    <row r="65" customFormat="false" ht="15" hidden="true" customHeight="true" outlineLevel="0" collapsed="false">
      <c r="A65" s="1" t="str">
        <f aca="false">Backlog!A65</f>
        <v>NEW-0405</v>
      </c>
      <c r="B65" s="1" t="str">
        <f aca="false">IFERROR(IF(ISBLANK(INDEX(Backlog[Requirement Name],MATCH($A65,Backlog[Requirement ID],0))),"",INDEX(Backlog[Requirement Name],MATCH($A65,Backlog[Requirement ID],0))),"")</f>
        <v>Whatsapp Subscription (Phase 3)</v>
      </c>
      <c r="C65" s="1" t="str">
        <f aca="false">IFERROR(IF(ISBLANK(INDEX(Backlog[Stream],MATCH($A65,Backlog[Requirement ID],0))),"",INDEX(Backlog[Stream],MATCH($A65,Backlog[Requirement ID],0))),"")</f>
        <v>Backlog</v>
      </c>
      <c r="D65" s="1" t="str">
        <f aca="false">IFERROR(IF(ISBLANK(INDEX(Backlog[Priority],MATCH($A65,Backlog[Requirement ID],0))),"",INDEX(Backlog[Priority],MATCH($A65,Backlog[Requirement ID],0))),"")</f>
        <v>Medium</v>
      </c>
      <c r="E65" s="1" t="str">
        <f aca="false">IFERROR(IF(ISBLANK(INDEX(Backlog[Status],MATCH($A65,Backlog[Requirement ID],0))),"",INDEX(Backlog[Status],MATCH($A65,Backlog[Requirement ID],0))),"")</f>
        <v>NEW</v>
      </c>
      <c r="F65" s="23" t="s">
        <v>411</v>
      </c>
      <c r="G65" s="1" t="n">
        <f aca="false">IFERROR(IF(ISBLANK(INDEX(Backlog[HLE],MATCH($A65,Backlog[Requirement ID],0))),"",INDEX(Backlog[HLE],MATCH($A65,Backlog[Requirement ID],0))),"")</f>
        <v>16</v>
      </c>
      <c r="H65" s="1" t="n">
        <f aca="false">IFERROR(VALUE(SUBSTITUTE($F65,"Sprint ","")),9999)</f>
        <v>9999</v>
      </c>
    </row>
    <row r="66" customFormat="false" ht="15" hidden="true" customHeight="true" outlineLevel="0" collapsed="false">
      <c r="A66" s="1" t="str">
        <f aca="false">Backlog!A66</f>
        <v>NEW-0413</v>
      </c>
      <c r="B66" s="1" t="str">
        <f aca="false">IFERROR(IF(ISBLANK(INDEX(Backlog[Requirement Name],MATCH($A66,Backlog[Requirement ID],0))),"",INDEX(Backlog[Requirement Name],MATCH($A66,Backlog[Requirement ID],0))),"")</f>
        <v>[EINT][INT187][INT139][INT145] - Remove phone number mapping from Datatrans transaction creation</v>
      </c>
      <c r="C66" s="1" t="str">
        <f aca="false">IFERROR(IF(ISBLANK(INDEX(Backlog[Stream],MATCH($A66,Backlog[Requirement ID],0))),"",INDEX(Backlog[Stream],MATCH($A66,Backlog[Requirement ID],0))),"")</f>
        <v>PI10</v>
      </c>
      <c r="D66" s="1" t="str">
        <f aca="false">IFERROR(IF(ISBLANK(INDEX(Backlog[Priority],MATCH($A66,Backlog[Requirement ID],0))),"",INDEX(Backlog[Priority],MATCH($A66,Backlog[Requirement ID],0))),"")</f>
        <v>Medium</v>
      </c>
      <c r="E66" s="1" t="str">
        <f aca="false">IFERROR(IF(ISBLANK(INDEX(Backlog[Status],MATCH($A66,Backlog[Requirement ID],0))),"",INDEX(Backlog[Status],MATCH($A66,Backlog[Requirement ID],0))),"")</f>
        <v>NEW</v>
      </c>
      <c r="F66" s="23" t="s">
        <v>411</v>
      </c>
      <c r="G66" s="1" t="n">
        <f aca="false">IFERROR(IF(ISBLANK(INDEX(Backlog[HLE],MATCH($A66,Backlog[Requirement ID],0))),"",INDEX(Backlog[HLE],MATCH($A66,Backlog[Requirement ID],0))),"")</f>
        <v>3</v>
      </c>
      <c r="H66" s="1" t="n">
        <f aca="false">IFERROR(VALUE(SUBSTITUTE($F66,"Sprint ","")),9999)</f>
        <v>9999</v>
      </c>
    </row>
    <row r="67" customFormat="false" ht="15" hidden="true" customHeight="true" outlineLevel="0" collapsed="false">
      <c r="A67" s="1" t="str">
        <f aca="false">Backlog!A67</f>
        <v>NEW-0414</v>
      </c>
      <c r="B67" s="1"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IFERROR(IF(ISBLANK(INDEX(Backlog[Priority],MATCH($A67,Backlog[Requirement ID],0))),"",INDEX(Backlog[Priority],MATCH($A67,Backlog[Requirement ID],0))),"")</f>
        <v>Medium</v>
      </c>
      <c r="E67" s="1" t="str">
        <f aca="false">IFERROR(IF(ISBLANK(INDEX(Backlog[Status],MATCH($A67,Backlog[Requirement ID],0))),"",INDEX(Backlog[Status],MATCH($A67,Backlog[Requirement ID],0))),"")</f>
        <v>NEW</v>
      </c>
      <c r="F67" s="23" t="s">
        <v>411</v>
      </c>
      <c r="G67" s="1" t="n">
        <f aca="false">IFERROR(IF(ISBLANK(INDEX(Backlog[HLE],MATCH($A67,Backlog[Requirement ID],0))),"",INDEX(Backlog[HLE],MATCH($A67,Backlog[Requirement ID],0))),"")</f>
        <v>5</v>
      </c>
      <c r="H67" s="1" t="n">
        <f aca="false">IFERROR(VALUE(SUBSTITUTE($F67,"Sprint ","")),9999)</f>
        <v>9999</v>
      </c>
    </row>
    <row r="68" customFormat="false" ht="15" hidden="true" customHeight="true" outlineLevel="0" collapsed="false">
      <c r="A68" s="1" t="str">
        <f aca="false">Backlog!A68</f>
        <v>NEW-0415</v>
      </c>
      <c r="B68" s="1"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IFERROR(IF(ISBLANK(INDEX(Backlog[Priority],MATCH($A68,Backlog[Requirement ID],0))),"",INDEX(Backlog[Priority],MATCH($A68,Backlog[Requirement ID],0))),"")</f>
        <v>Medium</v>
      </c>
      <c r="E68" s="1" t="str">
        <f aca="false">IFERROR(IF(ISBLANK(INDEX(Backlog[Status],MATCH($A68,Backlog[Requirement ID],0))),"",INDEX(Backlog[Status],MATCH($A68,Backlog[Requirement ID],0))),"")</f>
        <v>NEW</v>
      </c>
      <c r="F68" s="23" t="s">
        <v>411</v>
      </c>
      <c r="G68" s="1" t="n">
        <f aca="false">IFERROR(IF(ISBLANK(INDEX(Backlog[HLE],MATCH($A68,Backlog[Requirement ID],0))),"",INDEX(Backlog[HLE],MATCH($A68,Backlog[Requirement ID],0))),"")</f>
        <v>5</v>
      </c>
      <c r="H68" s="1" t="n">
        <f aca="false">IFERROR(VALUE(SUBSTITUTE($F68,"Sprint ","")),9999)</f>
        <v>9999</v>
      </c>
    </row>
    <row r="69" customFormat="false" ht="15" hidden="true" customHeight="true" outlineLevel="0" collapsed="false">
      <c r="A69" s="1" t="str">
        <f aca="false">Backlog!A69</f>
        <v>NEW-0084</v>
      </c>
      <c r="B69" s="1"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IFERROR(IF(ISBLANK(INDEX(Backlog[Priority],MATCH($A69,Backlog[Requirement ID],0))),"",INDEX(Backlog[Priority],MATCH($A69,Backlog[Requirement ID],0))),"")</f>
        <v>Medium</v>
      </c>
      <c r="E69" s="1" t="str">
        <f aca="false">IFERROR(IF(ISBLANK(INDEX(Backlog[Status],MATCH($A69,Backlog[Requirement ID],0))),"",INDEX(Backlog[Status],MATCH($A69,Backlog[Requirement ID],0))),"")</f>
        <v>NEW</v>
      </c>
      <c r="F69" s="23" t="s">
        <v>411</v>
      </c>
      <c r="G69" s="1" t="str">
        <f aca="false">IFERROR(IF(ISBLANK(INDEX(Backlog[HLE],MATCH($A69,Backlog[Requirement ID],0))),"",INDEX(Backlog[HLE],MATCH($A69,Backlog[Requirement ID],0))),"")</f>
        <v/>
      </c>
      <c r="H69" s="1" t="n">
        <f aca="false">IFERROR(VALUE(SUBSTITUTE($F69,"Sprint ","")),9999)</f>
        <v>9999</v>
      </c>
    </row>
    <row r="70" customFormat="false" ht="15" hidden="true" customHeight="true" outlineLevel="0" collapsed="false">
      <c r="A70" s="1" t="str">
        <f aca="false">Backlog!A70</f>
        <v>NEW-0072</v>
      </c>
      <c r="B70" s="1"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IFERROR(IF(ISBLANK(INDEX(Backlog[Priority],MATCH($A70,Backlog[Requirement ID],0))),"",INDEX(Backlog[Priority],MATCH($A70,Backlog[Requirement ID],0))),"")</f>
        <v>Medium</v>
      </c>
      <c r="E70" s="1" t="str">
        <f aca="false">IFERROR(IF(ISBLANK(INDEX(Backlog[Status],MATCH($A70,Backlog[Requirement ID],0))),"",INDEX(Backlog[Status],MATCH($A70,Backlog[Requirement ID],0))),"")</f>
        <v>NEW</v>
      </c>
      <c r="F70" s="23" t="s">
        <v>411</v>
      </c>
      <c r="G70" s="1" t="n">
        <f aca="false">IFERROR(IF(ISBLANK(INDEX(Backlog[HLE],MATCH($A70,Backlog[Requirement ID],0))),"",INDEX(Backlog[HLE],MATCH($A70,Backlog[Requirement ID],0))),"")</f>
        <v>21</v>
      </c>
      <c r="H70" s="1" t="n">
        <f aca="false">IFERROR(VALUE(SUBSTITUTE($F70,"Sprint ","")),9999)</f>
        <v>9999</v>
      </c>
    </row>
    <row r="71" customFormat="false" ht="15" hidden="true" customHeight="true" outlineLevel="0" collapsed="false">
      <c r="A71" s="1" t="str">
        <f aca="false">Backlog!A71</f>
        <v>NEW-0073</v>
      </c>
      <c r="B71" s="1"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IFERROR(IF(ISBLANK(INDEX(Backlog[Priority],MATCH($A71,Backlog[Requirement ID],0))),"",INDEX(Backlog[Priority],MATCH($A71,Backlog[Requirement ID],0))),"")</f>
        <v>Medium</v>
      </c>
      <c r="E71" s="1" t="str">
        <f aca="false">IFERROR(IF(ISBLANK(INDEX(Backlog[Status],MATCH($A71,Backlog[Requirement ID],0))),"",INDEX(Backlog[Status],MATCH($A71,Backlog[Requirement ID],0))),"")</f>
        <v>NEW</v>
      </c>
      <c r="F71" s="23" t="s">
        <v>411</v>
      </c>
      <c r="G71" s="1" t="str">
        <f aca="false">IFERROR(IF(ISBLANK(INDEX(Backlog[HLE],MATCH($A71,Backlog[Requirement ID],0))),"",INDEX(Backlog[HLE],MATCH($A71,Backlog[Requirement ID],0))),"")</f>
        <v/>
      </c>
      <c r="H71" s="1" t="n">
        <f aca="false">IFERROR(VALUE(SUBSTITUTE($F71,"Sprint ","")),9999)</f>
        <v>9999</v>
      </c>
    </row>
    <row r="72" customFormat="false" ht="15" hidden="false" customHeight="true" outlineLevel="0" collapsed="false">
      <c r="A72" s="1" t="str">
        <f aca="false">Backlog!A72</f>
        <v>NEW-0074</v>
      </c>
      <c r="B72" s="1"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IFERROR(IF(ISBLANK(INDEX(Backlog[Priority],MATCH($A72,Backlog[Requirement ID],0))),"",INDEX(Backlog[Priority],MATCH($A72,Backlog[Requirement ID],0))),"")</f>
        <v>High</v>
      </c>
      <c r="E72" s="1" t="str">
        <f aca="false">IFERROR(IF(ISBLANK(INDEX(Backlog[Status],MATCH($A72,Backlog[Requirement ID],0))),"",INDEX(Backlog[Status],MATCH($A72,Backlog[Requirement ID],0))),"")</f>
        <v>NEW</v>
      </c>
      <c r="F72" s="23" t="s">
        <v>419</v>
      </c>
      <c r="G72" s="1" t="n">
        <f aca="false">IFERROR(IF(ISBLANK(INDEX(Backlog[HLE],MATCH($A72,Backlog[Requirement ID],0))),"",INDEX(Backlog[HLE],MATCH($A72,Backlog[Requirement ID],0))),"")</f>
        <v>1</v>
      </c>
      <c r="H72" s="1" t="n">
        <f aca="false">IFERROR(VALUE(SUBSTITUTE($F72,"Sprint ","")),9999)</f>
        <v>13</v>
      </c>
    </row>
    <row r="73" customFormat="false" ht="15" hidden="true" customHeight="true" outlineLevel="0" collapsed="false">
      <c r="A73" s="1" t="str">
        <f aca="false">Backlog!A73</f>
        <v>NEW-0453</v>
      </c>
      <c r="B73" s="1"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IFERROR(IF(ISBLANK(INDEX(Backlog[Priority],MATCH($A73,Backlog[Requirement ID],0))),"",INDEX(Backlog[Priority],MATCH($A73,Backlog[Requirement ID],0))),"")</f>
        <v>Medium</v>
      </c>
      <c r="E73" s="1" t="str">
        <f aca="false">IFERROR(IF(ISBLANK(INDEX(Backlog[Status],MATCH($A73,Backlog[Requirement ID],0))),"",INDEX(Backlog[Status],MATCH($A73,Backlog[Requirement ID],0))),"")</f>
        <v>NEW</v>
      </c>
      <c r="F73" s="23" t="s">
        <v>411</v>
      </c>
      <c r="G73" s="1" t="str">
        <f aca="false">IFERROR(IF(ISBLANK(INDEX(Backlog[HLE],MATCH($A73,Backlog[Requirement ID],0))),"",INDEX(Backlog[HLE],MATCH($A73,Backlog[Requirement ID],0))),"")</f>
        <v/>
      </c>
      <c r="H73" s="1" t="n">
        <f aca="false">IFERROR(VALUE(SUBSTITUTE($F73,"Sprint ","")),9999)</f>
        <v>9999</v>
      </c>
    </row>
    <row r="74" customFormat="false" ht="15" hidden="false" customHeight="true" outlineLevel="0" collapsed="false">
      <c r="A74" s="1" t="str">
        <f aca="false">Backlog!A74</f>
        <v>NEW-0454</v>
      </c>
      <c r="B74" s="1"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IFERROR(IF(ISBLANK(INDEX(Backlog[Priority],MATCH($A74,Backlog[Requirement ID],0))),"",INDEX(Backlog[Priority],MATCH($A74,Backlog[Requirement ID],0))),"")</f>
        <v>High</v>
      </c>
      <c r="E74" s="1" t="str">
        <f aca="false">IFERROR(IF(ISBLANK(INDEX(Backlog[Status],MATCH($A74,Backlog[Requirement ID],0))),"",INDEX(Backlog[Status],MATCH($A74,Backlog[Requirement ID],0))),"")</f>
        <v>NEW</v>
      </c>
      <c r="F74" s="23" t="s">
        <v>417</v>
      </c>
      <c r="G74" s="1" t="n">
        <f aca="false">IFERROR(IF(ISBLANK(INDEX(Backlog[HLE],MATCH($A74,Backlog[Requirement ID],0))),"",INDEX(Backlog[HLE],MATCH($A74,Backlog[Requirement ID],0))),"")</f>
        <v>5</v>
      </c>
      <c r="H74" s="1" t="n">
        <f aca="false">IFERROR(VALUE(SUBSTITUTE($F74,"Sprint ","")),9999)</f>
        <v>14</v>
      </c>
    </row>
    <row r="75" customFormat="false" ht="15" hidden="true" customHeight="true" outlineLevel="0" collapsed="false">
      <c r="A75" s="1" t="str">
        <f aca="false">Backlog!A75</f>
        <v>NEW-0455</v>
      </c>
      <c r="B75" s="1"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IFERROR(IF(ISBLANK(INDEX(Backlog[Priority],MATCH($A75,Backlog[Requirement ID],0))),"",INDEX(Backlog[Priority],MATCH($A75,Backlog[Requirement ID],0))),"")</f>
        <v>Medium</v>
      </c>
      <c r="E75" s="1" t="str">
        <f aca="false">IFERROR(IF(ISBLANK(INDEX(Backlog[Status],MATCH($A75,Backlog[Requirement ID],0))),"",INDEX(Backlog[Status],MATCH($A75,Backlog[Requirement ID],0))),"")</f>
        <v>NEW</v>
      </c>
      <c r="F75" s="23" t="s">
        <v>411</v>
      </c>
      <c r="G75" s="1" t="str">
        <f aca="false">IFERROR(IF(ISBLANK(INDEX(Backlog[HLE],MATCH($A75,Backlog[Requirement ID],0))),"",INDEX(Backlog[HLE],MATCH($A75,Backlog[Requirement ID],0))),"")</f>
        <v/>
      </c>
      <c r="H75" s="1" t="n">
        <f aca="false">IFERROR(VALUE(SUBSTITUTE($F75,"Sprint ","")),9999)</f>
        <v>9999</v>
      </c>
    </row>
    <row r="76" customFormat="false" ht="15" hidden="false" customHeight="true" outlineLevel="0" collapsed="false">
      <c r="A76" s="1" t="str">
        <f aca="false">Backlog!A76</f>
        <v>NEW-0456</v>
      </c>
      <c r="B76" s="1"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IFERROR(IF(ISBLANK(INDEX(Backlog[Priority],MATCH($A76,Backlog[Requirement ID],0))),"",INDEX(Backlog[Priority],MATCH($A76,Backlog[Requirement ID],0))),"")</f>
        <v>High</v>
      </c>
      <c r="E76" s="1" t="str">
        <f aca="false">IFERROR(IF(ISBLANK(INDEX(Backlog[Status],MATCH($A76,Backlog[Requirement ID],0))),"",INDEX(Backlog[Status],MATCH($A76,Backlog[Requirement ID],0))),"")</f>
        <v>NEW</v>
      </c>
      <c r="F76" s="23" t="s">
        <v>417</v>
      </c>
      <c r="G76" s="1" t="n">
        <f aca="false">IFERROR(IF(ISBLANK(INDEX(Backlog[HLE],MATCH($A76,Backlog[Requirement ID],0))),"",INDEX(Backlog[HLE],MATCH($A76,Backlog[Requirement ID],0))),"")</f>
        <v>5</v>
      </c>
      <c r="H76" s="1" t="n">
        <f aca="false">IFERROR(VALUE(SUBSTITUTE($F76,"Sprint ","")),9999)</f>
        <v>14</v>
      </c>
    </row>
    <row r="77" customFormat="false" ht="15" hidden="true" customHeight="true" outlineLevel="0" collapsed="false">
      <c r="A77" s="1" t="str">
        <f aca="false">Backlog!A77</f>
        <v>NEW-0457</v>
      </c>
      <c r="B77" s="1"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IFERROR(IF(ISBLANK(INDEX(Backlog[Priority],MATCH($A77,Backlog[Requirement ID],0))),"",INDEX(Backlog[Priority],MATCH($A77,Backlog[Requirement ID],0))),"")</f>
        <v>High</v>
      </c>
      <c r="E77" s="1" t="str">
        <f aca="false">IFERROR(IF(ISBLANK(INDEX(Backlog[Status],MATCH($A77,Backlog[Requirement ID],0))),"",INDEX(Backlog[Status],MATCH($A77,Backlog[Requirement ID],0))),"")</f>
        <v>DONE</v>
      </c>
      <c r="F77" s="23" t="s">
        <v>426</v>
      </c>
      <c r="G77" s="1" t="n">
        <f aca="false">IFERROR(IF(ISBLANK(INDEX(Backlog[HLE],MATCH($A77,Backlog[Requirement ID],0))),"",INDEX(Backlog[HLE],MATCH($A77,Backlog[Requirement ID],0))),"")</f>
        <v>8</v>
      </c>
      <c r="H77" s="1" t="n">
        <f aca="false">IFERROR(VALUE(SUBSTITUTE($F77,"Sprint ","")),9999)</f>
        <v>11</v>
      </c>
    </row>
    <row r="78" customFormat="false" ht="15" hidden="true" customHeight="true" outlineLevel="0" collapsed="false">
      <c r="A78" s="1" t="str">
        <f aca="false">Backlog!A78</f>
        <v>NEW-0458</v>
      </c>
      <c r="B78" s="1"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IFERROR(IF(ISBLANK(INDEX(Backlog[Priority],MATCH($A78,Backlog[Requirement ID],0))),"",INDEX(Backlog[Priority],MATCH($A78,Backlog[Requirement ID],0))),"")</f>
        <v>High</v>
      </c>
      <c r="E78" s="1" t="str">
        <f aca="false">IFERROR(IF(ISBLANK(INDEX(Backlog[Status],MATCH($A78,Backlog[Requirement ID],0))),"",INDEX(Backlog[Status],MATCH($A78,Backlog[Requirement ID],0))),"")</f>
        <v>NEW</v>
      </c>
      <c r="F78" s="23" t="s">
        <v>411</v>
      </c>
      <c r="G78" s="1" t="n">
        <f aca="false">IFERROR(IF(ISBLANK(INDEX(Backlog[HLE],MATCH($A78,Backlog[Requirement ID],0))),"",INDEX(Backlog[HLE],MATCH($A78,Backlog[Requirement ID],0))),"")</f>
        <v>8</v>
      </c>
      <c r="H78" s="1" t="n">
        <f aca="false">IFERROR(VALUE(SUBSTITUTE($F78,"Sprint ","")),9999)</f>
        <v>9999</v>
      </c>
    </row>
    <row r="79" customFormat="false" ht="15" hidden="true" customHeight="true" outlineLevel="0" collapsed="false">
      <c r="A79" s="1" t="str">
        <f aca="false">Backlog!A79</f>
        <v>NEW-0459</v>
      </c>
      <c r="B79" s="1"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IFERROR(IF(ISBLANK(INDEX(Backlog[Priority],MATCH($A79,Backlog[Requirement ID],0))),"",INDEX(Backlog[Priority],MATCH($A79,Backlog[Requirement ID],0))),"")</f>
        <v>Medium</v>
      </c>
      <c r="E79" s="1" t="str">
        <f aca="false">IFERROR(IF(ISBLANK(INDEX(Backlog[Status],MATCH($A79,Backlog[Requirement ID],0))),"",INDEX(Backlog[Status],MATCH($A79,Backlog[Requirement ID],0))),"")</f>
        <v>NEW</v>
      </c>
      <c r="F79" s="23" t="s">
        <v>411</v>
      </c>
      <c r="G79" s="1" t="n">
        <f aca="false">IFERROR(IF(ISBLANK(INDEX(Backlog[HLE],MATCH($A79,Backlog[Requirement ID],0))),"",INDEX(Backlog[HLE],MATCH($A79,Backlog[Requirement ID],0))),"")</f>
        <v>3</v>
      </c>
      <c r="H79" s="1" t="n">
        <f aca="false">IFERROR(VALUE(SUBSTITUTE($F79,"Sprint ","")),9999)</f>
        <v>9999</v>
      </c>
    </row>
    <row r="80" customFormat="false" ht="15" hidden="true" customHeight="true" outlineLevel="0" collapsed="false">
      <c r="A80" s="1" t="str">
        <f aca="false">Backlog!A80</f>
        <v>NEW-0460</v>
      </c>
      <c r="B80" s="1"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IFERROR(IF(ISBLANK(INDEX(Backlog[Priority],MATCH($A80,Backlog[Requirement ID],0))),"",INDEX(Backlog[Priority],MATCH($A80,Backlog[Requirement ID],0))),"")</f>
        <v>High</v>
      </c>
      <c r="E80" s="1" t="str">
        <f aca="false">IFERROR(IF(ISBLANK(INDEX(Backlog[Status],MATCH($A80,Backlog[Requirement ID],0))),"",INDEX(Backlog[Status],MATCH($A80,Backlog[Requirement ID],0))),"")</f>
        <v>IN PROGRESS</v>
      </c>
      <c r="F80" s="23" t="s">
        <v>422</v>
      </c>
      <c r="G80" s="1" t="n">
        <f aca="false">IFERROR(IF(ISBLANK(INDEX(Backlog[HLE],MATCH($A80,Backlog[Requirement ID],0))),"",INDEX(Backlog[HLE],MATCH($A80,Backlog[Requirement ID],0))),"")</f>
        <v>13</v>
      </c>
      <c r="H80" s="1" t="n">
        <f aca="false">IFERROR(VALUE(SUBSTITUTE($F80,"Sprint ","")),9999)</f>
        <v>12</v>
      </c>
    </row>
    <row r="81" customFormat="false" ht="15" hidden="true" customHeight="true" outlineLevel="0" collapsed="false">
      <c r="A81" s="1" t="str">
        <f aca="false">Backlog!A81</f>
        <v>NEW-0461</v>
      </c>
      <c r="B81" s="1"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IFERROR(IF(ISBLANK(INDEX(Backlog[Priority],MATCH($A81,Backlog[Requirement ID],0))),"",INDEX(Backlog[Priority],MATCH($A81,Backlog[Requirement ID],0))),"")</f>
        <v>Medium</v>
      </c>
      <c r="E81" s="1" t="str">
        <f aca="false">IFERROR(IF(ISBLANK(INDEX(Backlog[Status],MATCH($A81,Backlog[Requirement ID],0))),"",INDEX(Backlog[Status],MATCH($A81,Backlog[Requirement ID],0))),"")</f>
        <v>NEW</v>
      </c>
      <c r="F81" s="23" t="s">
        <v>411</v>
      </c>
      <c r="G81" s="1" t="str">
        <f aca="false">IFERROR(IF(ISBLANK(INDEX(Backlog[HLE],MATCH($A81,Backlog[Requirement ID],0))),"",INDEX(Backlog[HLE],MATCH($A81,Backlog[Requirement ID],0))),"")</f>
        <v/>
      </c>
      <c r="H81" s="1" t="n">
        <f aca="false">IFERROR(VALUE(SUBSTITUTE($F81,"Sprint ","")),9999)</f>
        <v>9999</v>
      </c>
    </row>
    <row r="82" customFormat="false" ht="15" hidden="true" customHeight="true" outlineLevel="0" collapsed="false">
      <c r="A82" s="1" t="str">
        <f aca="false">Backlog!A82</f>
        <v>NEW-0462</v>
      </c>
      <c r="B82" s="1"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IFERROR(IF(ISBLANK(INDEX(Backlog[Priority],MATCH($A82,Backlog[Requirement ID],0))),"",INDEX(Backlog[Priority],MATCH($A82,Backlog[Requirement ID],0))),"")</f>
        <v>High</v>
      </c>
      <c r="E82" s="1" t="str">
        <f aca="false">IFERROR(IF(ISBLANK(INDEX(Backlog[Status],MATCH($A82,Backlog[Requirement ID],0))),"",INDEX(Backlog[Status],MATCH($A82,Backlog[Requirement ID],0))),"")</f>
        <v>NEW</v>
      </c>
      <c r="F82" s="23" t="s">
        <v>411</v>
      </c>
      <c r="G82" s="1" t="n">
        <f aca="false">IFERROR(IF(ISBLANK(INDEX(Backlog[HLE],MATCH($A82,Backlog[Requirement ID],0))),"",INDEX(Backlog[HLE],MATCH($A82,Backlog[Requirement ID],0))),"")</f>
        <v>5</v>
      </c>
      <c r="H82" s="1" t="n">
        <f aca="false">IFERROR(VALUE(SUBSTITUTE($F82,"Sprint ","")),9999)</f>
        <v>9999</v>
      </c>
    </row>
    <row r="83" customFormat="false" ht="15" hidden="true" customHeight="true" outlineLevel="0" collapsed="false">
      <c r="A83" s="1" t="str">
        <f aca="false">Backlog!A83</f>
        <v>NEW-0463</v>
      </c>
      <c r="B83" s="1"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IFERROR(IF(ISBLANK(INDEX(Backlog[Priority],MATCH($A83,Backlog[Requirement ID],0))),"",INDEX(Backlog[Priority],MATCH($A83,Backlog[Requirement ID],0))),"")</f>
        <v>Low</v>
      </c>
      <c r="E83" s="1" t="str">
        <f aca="false">IFERROR(IF(ISBLANK(INDEX(Backlog[Status],MATCH($A83,Backlog[Requirement ID],0))),"",INDEX(Backlog[Status],MATCH($A83,Backlog[Requirement ID],0))),"")</f>
        <v>NEW</v>
      </c>
      <c r="F83" s="23" t="s">
        <v>411</v>
      </c>
      <c r="G83" s="1" t="str">
        <f aca="false">IFERROR(IF(ISBLANK(INDEX(Backlog[HLE],MATCH($A83,Backlog[Requirement ID],0))),"",INDEX(Backlog[HLE],MATCH($A83,Backlog[Requirement ID],0))),"")</f>
        <v/>
      </c>
      <c r="H83" s="1" t="n">
        <f aca="false">IFERROR(VALUE(SUBSTITUTE($F83,"Sprint ","")),9999)</f>
        <v>9999</v>
      </c>
    </row>
    <row r="84" customFormat="false" ht="15" hidden="true" customHeight="true" outlineLevel="0" collapsed="false">
      <c r="A84" s="1" t="str">
        <f aca="false">Backlog!A84</f>
        <v>NEW-0464</v>
      </c>
      <c r="B84" s="1"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IFERROR(IF(ISBLANK(INDEX(Backlog[Priority],MATCH($A84,Backlog[Requirement ID],0))),"",INDEX(Backlog[Priority],MATCH($A84,Backlog[Requirement ID],0))),"")</f>
        <v>Medium</v>
      </c>
      <c r="E84" s="1" t="str">
        <f aca="false">IFERROR(IF(ISBLANK(INDEX(Backlog[Status],MATCH($A84,Backlog[Requirement ID],0))),"",INDEX(Backlog[Status],MATCH($A84,Backlog[Requirement ID],0))),"")</f>
        <v>NEW</v>
      </c>
      <c r="F84" s="23" t="s">
        <v>411</v>
      </c>
      <c r="G84" s="1" t="n">
        <f aca="false">IFERROR(IF(ISBLANK(INDEX(Backlog[HLE],MATCH($A84,Backlog[Requirement ID],0))),"",INDEX(Backlog[HLE],MATCH($A84,Backlog[Requirement ID],0))),"")</f>
        <v>3</v>
      </c>
      <c r="H84" s="1" t="n">
        <f aca="false">IFERROR(VALUE(SUBSTITUTE($F84,"Sprint ","")),9999)</f>
        <v>9999</v>
      </c>
    </row>
    <row r="85" customFormat="false" ht="15" hidden="true" customHeight="true" outlineLevel="0" collapsed="false">
      <c r="A85" s="1" t="str">
        <f aca="false">Backlog!A85</f>
        <v>NEW-0465</v>
      </c>
      <c r="B85" s="1"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23" t="s">
        <v>411</v>
      </c>
      <c r="G85" s="1" t="n">
        <f aca="false">IFERROR(IF(ISBLANK(INDEX(Backlog[HLE],MATCH($A85,Backlog[Requirement ID],0))),"",INDEX(Backlog[HLE],MATCH($A85,Backlog[Requirement ID],0))),"")</f>
        <v>8</v>
      </c>
      <c r="H85" s="1" t="n">
        <f aca="false">IFERROR(VALUE(SUBSTITUTE($F85,"Sprint ","")),9999)</f>
        <v>9999</v>
      </c>
    </row>
    <row r="86" customFormat="false" ht="15" hidden="true" customHeight="true" outlineLevel="0" collapsed="false">
      <c r="A86" s="1" t="str">
        <f aca="false">Backlog!A86</f>
        <v>NEW-0466</v>
      </c>
      <c r="B86" s="1"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IFERROR(IF(ISBLANK(INDEX(Backlog[Priority],MATCH($A86,Backlog[Requirement ID],0))),"",INDEX(Backlog[Priority],MATCH($A86,Backlog[Requirement ID],0))),"")</f>
        <v>Medium</v>
      </c>
      <c r="E86" s="1" t="str">
        <f aca="false">IFERROR(IF(ISBLANK(INDEX(Backlog[Status],MATCH($A86,Backlog[Requirement ID],0))),"",INDEX(Backlog[Status],MATCH($A86,Backlog[Requirement ID],0))),"")</f>
        <v>NEW</v>
      </c>
      <c r="F86" s="23" t="s">
        <v>411</v>
      </c>
      <c r="G86" s="1" t="n">
        <f aca="false">IFERROR(IF(ISBLANK(INDEX(Backlog[HLE],MATCH($A86,Backlog[Requirement ID],0))),"",INDEX(Backlog[HLE],MATCH($A86,Backlog[Requirement ID],0))),"")</f>
        <v>5</v>
      </c>
      <c r="H86" s="1" t="n">
        <f aca="false">IFERROR(VALUE(SUBSTITUTE($F86,"Sprint ","")),9999)</f>
        <v>9999</v>
      </c>
    </row>
    <row r="87" customFormat="false" ht="15" hidden="true" customHeight="true" outlineLevel="0" collapsed="false">
      <c r="A87" s="1" t="str">
        <f aca="false">Backlog!A87</f>
        <v>NEW-0467</v>
      </c>
      <c r="B87" s="1"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IFERROR(IF(ISBLANK(INDEX(Backlog[Priority],MATCH($A87,Backlog[Requirement ID],0))),"",INDEX(Backlog[Priority],MATCH($A87,Backlog[Requirement ID],0))),"")</f>
        <v>High</v>
      </c>
      <c r="E87" s="1" t="str">
        <f aca="false">IFERROR(IF(ISBLANK(INDEX(Backlog[Status],MATCH($A87,Backlog[Requirement ID],0))),"",INDEX(Backlog[Status],MATCH($A87,Backlog[Requirement ID],0))),"")</f>
        <v>IN PROGRESS</v>
      </c>
      <c r="F87" s="23" t="s">
        <v>422</v>
      </c>
      <c r="G87" s="1" t="n">
        <v>13</v>
      </c>
      <c r="H87" s="1" t="n">
        <f aca="false">IFERROR(VALUE(SUBSTITUTE($F87,"Sprint ","")),9999)</f>
        <v>12</v>
      </c>
    </row>
    <row r="88" customFormat="false" ht="15" hidden="true" customHeight="true" outlineLevel="0" collapsed="false">
      <c r="A88" s="1" t="str">
        <f aca="false">Backlog!A88</f>
        <v>NEW-0468</v>
      </c>
      <c r="B88" s="1"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IFERROR(IF(ISBLANK(INDEX(Backlog[Priority],MATCH($A88,Backlog[Requirement ID],0))),"",INDEX(Backlog[Priority],MATCH($A88,Backlog[Requirement ID],0))),"")</f>
        <v>High</v>
      </c>
      <c r="E88" s="1" t="str">
        <f aca="false">IFERROR(IF(ISBLANK(INDEX(Backlog[Status],MATCH($A88,Backlog[Requirement ID],0))),"",INDEX(Backlog[Status],MATCH($A88,Backlog[Requirement ID],0))),"")</f>
        <v>DONE</v>
      </c>
      <c r="F88" s="23" t="s">
        <v>422</v>
      </c>
      <c r="G88" s="1" t="n">
        <f aca="false">IFERROR(IF(ISBLANK(INDEX(Backlog[HLE],MATCH($A88,Backlog[Requirement ID],0))),"",INDEX(Backlog[HLE],MATCH($A88,Backlog[Requirement ID],0))),"")</f>
        <v>5</v>
      </c>
      <c r="H88" s="1" t="n">
        <f aca="false">IFERROR(VALUE(SUBSTITUTE($F88,"Sprint ","")),9999)</f>
        <v>12</v>
      </c>
    </row>
    <row r="89" customFormat="false" ht="15" hidden="true" customHeight="true" outlineLevel="0" collapsed="false">
      <c r="A89" s="1" t="str">
        <f aca="false">Backlog!A89</f>
        <v>NEW-0469</v>
      </c>
      <c r="B89" s="1"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IFERROR(IF(ISBLANK(INDEX(Backlog[Priority],MATCH($A89,Backlog[Requirement ID],0))),"",INDEX(Backlog[Priority],MATCH($A89,Backlog[Requirement ID],0))),"")</f>
        <v>Critical</v>
      </c>
      <c r="E89" s="1" t="str">
        <f aca="false">IFERROR(IF(ISBLANK(INDEX(Backlog[Status],MATCH($A89,Backlog[Requirement ID],0))),"",INDEX(Backlog[Status],MATCH($A89,Backlog[Requirement ID],0))),"")</f>
        <v>NEW</v>
      </c>
      <c r="F89" s="23" t="s">
        <v>422</v>
      </c>
      <c r="G89" s="1" t="n">
        <f aca="false">IFERROR(IF(ISBLANK(INDEX(Backlog[HLE],MATCH($A89,Backlog[Requirement ID],0))),"",INDEX(Backlog[HLE],MATCH($A89,Backlog[Requirement ID],0))),"")</f>
        <v>2</v>
      </c>
      <c r="H89" s="1" t="n">
        <f aca="false">IFERROR(VALUE(SUBSTITUTE($F89,"Sprint ","")),9999)</f>
        <v>12</v>
      </c>
    </row>
    <row r="90" customFormat="false" ht="15" hidden="true" customHeight="true" outlineLevel="0" collapsed="false">
      <c r="A90" s="1" t="str">
        <f aca="false">Backlog!A90</f>
        <v>NEW-0470</v>
      </c>
      <c r="B90" s="1"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23" t="s">
        <v>411</v>
      </c>
      <c r="G90" s="1" t="str">
        <f aca="false">IFERROR(IF(ISBLANK(INDEX(Backlog[HLE],MATCH($A90,Backlog[Requirement ID],0))),"",INDEX(Backlog[HLE],MATCH($A90,Backlog[Requirement ID],0))),"")</f>
        <v/>
      </c>
      <c r="H90" s="1" t="n">
        <f aca="false">IFERROR(VALUE(SUBSTITUTE($F90,"Sprint ","")),9999)</f>
        <v>9999</v>
      </c>
    </row>
    <row r="91" customFormat="false" ht="15" hidden="true" customHeight="true" outlineLevel="0" collapsed="false">
      <c r="A91" s="1" t="str">
        <f aca="false">Backlog!A91</f>
        <v>NEW-0471</v>
      </c>
      <c r="B91" s="1"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IFERROR(IF(ISBLANK(INDEX(Backlog[Priority],MATCH($A91,Backlog[Requirement ID],0))),"",INDEX(Backlog[Priority],MATCH($A91,Backlog[Requirement ID],0))),"")</f>
        <v>High</v>
      </c>
      <c r="E91" s="1" t="str">
        <f aca="false">IFERROR(IF(ISBLANK(INDEX(Backlog[Status],MATCH($A91,Backlog[Requirement ID],0))),"",INDEX(Backlog[Status],MATCH($A91,Backlog[Requirement ID],0))),"")</f>
        <v>NEW</v>
      </c>
      <c r="F91" s="23" t="s">
        <v>422</v>
      </c>
      <c r="G91" s="1" t="n">
        <f aca="false">IFERROR(IF(ISBLANK(INDEX(Backlog[HLE],MATCH($A91,Backlog[Requirement ID],0))),"",INDEX(Backlog[HLE],MATCH($A91,Backlog[Requirement ID],0))),"")</f>
        <v>5</v>
      </c>
      <c r="H91" s="1" t="n">
        <f aca="false">IFERROR(VALUE(SUBSTITUTE($F91,"Sprint ","")),9999)</f>
        <v>12</v>
      </c>
    </row>
    <row r="92" customFormat="false" ht="15" hidden="true" customHeight="true" outlineLevel="0" collapsed="false">
      <c r="A92" s="1" t="str">
        <f aca="false">Backlog!A92</f>
        <v>NEW-0472</v>
      </c>
      <c r="B92" s="1"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23" t="s">
        <v>411</v>
      </c>
      <c r="G92" s="1" t="str">
        <f aca="false">IFERROR(IF(ISBLANK(INDEX(Backlog[HLE],MATCH($A92,Backlog[Requirement ID],0))),"",INDEX(Backlog[HLE],MATCH($A92,Backlog[Requirement ID],0))),"")</f>
        <v/>
      </c>
      <c r="H92" s="1" t="n">
        <f aca="false">IFERROR(VALUE(SUBSTITUTE($F92,"Sprint ","")),9999)</f>
        <v>9999</v>
      </c>
    </row>
    <row r="93" customFormat="false" ht="15" hidden="true" customHeight="true" outlineLevel="0" collapsed="false">
      <c r="A93" s="1" t="str">
        <f aca="false">Backlog!A93</f>
        <v>NEW-0473</v>
      </c>
      <c r="B93" s="1"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NA</v>
      </c>
      <c r="F93" s="23" t="s">
        <v>411</v>
      </c>
      <c r="G93" s="1" t="str">
        <f aca="false">IFERROR(IF(ISBLANK(INDEX(Backlog[HLE],MATCH($A93,Backlog[Requirement ID],0))),"",INDEX(Backlog[HLE],MATCH($A93,Backlog[Requirement ID],0))),"")</f>
        <v/>
      </c>
      <c r="H93" s="1" t="n">
        <f aca="false">IFERROR(VALUE(SUBSTITUTE($F93,"Sprint ","")),9999)</f>
        <v>9999</v>
      </c>
    </row>
    <row r="94" customFormat="false" ht="15" hidden="false" customHeight="true" outlineLevel="0" collapsed="false">
      <c r="A94" s="1" t="str">
        <f aca="false">Backlog!A94</f>
        <v>NEW-0474</v>
      </c>
      <c r="B94" s="1"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23" t="s">
        <v>427</v>
      </c>
      <c r="G94" s="1" t="n">
        <f aca="false">IFERROR(IF(ISBLANK(INDEX(Backlog[HLE],MATCH($A94,Backlog[Requirement ID],0))),"",INDEX(Backlog[HLE],MATCH($A94,Backlog[Requirement ID],0))),"")</f>
        <v>8</v>
      </c>
      <c r="H94" s="1" t="n">
        <f aca="false">IFERROR(VALUE(SUBSTITUTE($F94,"Sprint ","")),9999)</f>
        <v>15</v>
      </c>
    </row>
    <row r="95" customFormat="false" ht="15" hidden="false" customHeight="true" outlineLevel="0" collapsed="false">
      <c r="A95" s="1" t="str">
        <f aca="false">Backlog!A95</f>
        <v>NEW-0475</v>
      </c>
      <c r="B95" s="1"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IFERROR(IF(ISBLANK(INDEX(Backlog[Priority],MATCH($A95,Backlog[Requirement ID],0))),"",INDEX(Backlog[Priority],MATCH($A95,Backlog[Requirement ID],0))),"")</f>
        <v>Medium</v>
      </c>
      <c r="E95" s="1" t="str">
        <f aca="false">IFERROR(IF(ISBLANK(INDEX(Backlog[Status],MATCH($A95,Backlog[Requirement ID],0))),"",INDEX(Backlog[Status],MATCH($A95,Backlog[Requirement ID],0))),"")</f>
        <v>NEW</v>
      </c>
      <c r="F95" s="23" t="s">
        <v>417</v>
      </c>
      <c r="G95" s="1" t="n">
        <f aca="false">IFERROR(IF(ISBLANK(INDEX(Backlog[HLE],MATCH($A95,Backlog[Requirement ID],0))),"",INDEX(Backlog[HLE],MATCH($A95,Backlog[Requirement ID],0))),"")</f>
        <v>3</v>
      </c>
      <c r="H95" s="1" t="n">
        <f aca="false">IFERROR(VALUE(SUBSTITUTE($F95,"Sprint ","")),9999)</f>
        <v>14</v>
      </c>
    </row>
    <row r="96" customFormat="false" ht="15" hidden="false" customHeight="true" outlineLevel="0" collapsed="false">
      <c r="A96" s="1" t="str">
        <f aca="false">Backlog!A96</f>
        <v>NEW-0476</v>
      </c>
      <c r="B96" s="1"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23" t="s">
        <v>417</v>
      </c>
      <c r="G96" s="1" t="n">
        <f aca="false">IFERROR(IF(ISBLANK(INDEX(Backlog[HLE],MATCH($A96,Backlog[Requirement ID],0))),"",INDEX(Backlog[HLE],MATCH($A96,Backlog[Requirement ID],0))),"")</f>
        <v>3</v>
      </c>
      <c r="H96" s="1" t="n">
        <f aca="false">IFERROR(VALUE(SUBSTITUTE($F96,"Sprint ","")),9999)</f>
        <v>14</v>
      </c>
    </row>
    <row r="97" customFormat="false" ht="15" hidden="true" customHeight="true" outlineLevel="0" collapsed="false">
      <c r="A97" s="1" t="str">
        <f aca="false">Backlog!A97</f>
        <v>NEW-0477</v>
      </c>
      <c r="B97" s="1"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23" t="s">
        <v>422</v>
      </c>
      <c r="G97" s="1" t="n">
        <f aca="false">IFERROR(IF(ISBLANK(INDEX(Backlog[HLE],MATCH($A97,Backlog[Requirement ID],0))),"",INDEX(Backlog[HLE],MATCH($A97,Backlog[Requirement ID],0))),"")</f>
        <v>3</v>
      </c>
      <c r="H97" s="1" t="n">
        <f aca="false">IFERROR(VALUE(SUBSTITUTE($F97,"Sprint ","")),9999)</f>
        <v>12</v>
      </c>
    </row>
    <row r="98" customFormat="false" ht="15" hidden="true" customHeight="true" outlineLevel="0" collapsed="false">
      <c r="A98" s="1" t="str">
        <f aca="false">Backlog!A98</f>
        <v>NEW-0478</v>
      </c>
      <c r="B98" s="1"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IFERROR(IF(ISBLANK(INDEX(Backlog[Priority],MATCH($A98,Backlog[Requirement ID],0))),"",INDEX(Backlog[Priority],MATCH($A98,Backlog[Requirement ID],0))),"")</f>
        <v>Medium</v>
      </c>
      <c r="E98" s="1" t="str">
        <f aca="false">IFERROR(IF(ISBLANK(INDEX(Backlog[Status],MATCH($A98,Backlog[Requirement ID],0))),"",INDEX(Backlog[Status],MATCH($A98,Backlog[Requirement ID],0))),"")</f>
        <v>NA</v>
      </c>
      <c r="F98" s="23"/>
      <c r="G98" s="1" t="str">
        <f aca="false">IFERROR(IF(ISBLANK(INDEX(Backlog[HLE],MATCH($A98,Backlog[Requirement ID],0))),"",INDEX(Backlog[HLE],MATCH($A98,Backlog[Requirement ID],0))),"")</f>
        <v/>
      </c>
      <c r="H98" s="1" t="n">
        <f aca="false">IFERROR(VALUE(SUBSTITUTE($F98,"Sprint ","")),9999)</f>
        <v>9999</v>
      </c>
    </row>
    <row r="99" customFormat="false" ht="15" hidden="true" customHeight="true" outlineLevel="0" collapsed="false">
      <c r="A99" s="1" t="str">
        <f aca="false">Backlog!A99</f>
        <v>NEW-0479</v>
      </c>
      <c r="B99" s="1"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23"/>
      <c r="G99" s="1" t="str">
        <f aca="false">IFERROR(IF(ISBLANK(INDEX(Backlog[HLE],MATCH($A99,Backlog[Requirement ID],0))),"",INDEX(Backlog[HLE],MATCH($A99,Backlog[Requirement ID],0))),"")</f>
        <v/>
      </c>
      <c r="H99" s="1" t="n">
        <f aca="false">IFERROR(VALUE(SUBSTITUTE($F99,"Sprint ","")),9999)</f>
        <v>9999</v>
      </c>
    </row>
    <row r="100" customFormat="false" ht="15" hidden="true" customHeight="true" outlineLevel="0" collapsed="false">
      <c r="A100" s="1" t="str">
        <f aca="false">Backlog!A100</f>
        <v>NEW-0480</v>
      </c>
      <c r="B100" s="1"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IFERROR(IF(ISBLANK(INDEX(Backlog[Priority],MATCH($A100,Backlog[Requirement ID],0))),"",INDEX(Backlog[Priority],MATCH($A100,Backlog[Requirement ID],0))),"")</f>
        <v>Medium</v>
      </c>
      <c r="E100" s="1" t="str">
        <f aca="false">IFERROR(IF(ISBLANK(INDEX(Backlog[Status],MATCH($A100,Backlog[Requirement ID],0))),"",INDEX(Backlog[Status],MATCH($A100,Backlog[Requirement ID],0))),"")</f>
        <v>NEW</v>
      </c>
      <c r="F100" s="23"/>
      <c r="G100" s="1" t="str">
        <f aca="false">IFERROR(IF(ISBLANK(INDEX(Backlog[HLE],MATCH($A100,Backlog[Requirement ID],0))),"",INDEX(Backlog[HLE],MATCH($A100,Backlog[Requirement ID],0))),"")</f>
        <v/>
      </c>
      <c r="H100" s="1" t="n">
        <f aca="false">IFERROR(VALUE(SUBSTITUTE($F100,"Sprint ","")),9999)</f>
        <v>9999</v>
      </c>
    </row>
    <row r="101" customFormat="false" ht="15" hidden="true" customHeight="true" outlineLevel="0" collapsed="false">
      <c r="A101" s="1" t="str">
        <f aca="false">Backlog!A101</f>
        <v>NEW-0481</v>
      </c>
      <c r="B101" s="1"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IFERROR(IF(ISBLANK(INDEX(Backlog[Priority],MATCH($A101,Backlog[Requirement ID],0))),"",INDEX(Backlog[Priority],MATCH($A101,Backlog[Requirement ID],0))),"")</f>
        <v>Medium</v>
      </c>
      <c r="E101" s="1" t="str">
        <f aca="false">IFERROR(IF(ISBLANK(INDEX(Backlog[Status],MATCH($A101,Backlog[Requirement ID],0))),"",INDEX(Backlog[Status],MATCH($A101,Backlog[Requirement ID],0))),"")</f>
        <v>NEW</v>
      </c>
      <c r="F101" s="23"/>
      <c r="G101" s="1" t="str">
        <f aca="false">IFERROR(IF(ISBLANK(INDEX(Backlog[HLE],MATCH($A101,Backlog[Requirement ID],0))),"",INDEX(Backlog[HLE],MATCH($A101,Backlog[Requirement ID],0))),"")</f>
        <v/>
      </c>
      <c r="H101" s="1" t="n">
        <f aca="false">IFERROR(VALUE(SUBSTITUTE($F101,"Sprint ","")),9999)</f>
        <v>9999</v>
      </c>
    </row>
    <row r="102" customFormat="false" ht="15" hidden="true" customHeight="true" outlineLevel="0" collapsed="false">
      <c r="A102" s="1" t="str">
        <f aca="false">Backlog!A102</f>
        <v>NEW-0482</v>
      </c>
      <c r="B102" s="1"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IFERROR(IF(ISBLANK(INDEX(Backlog[Priority],MATCH($A102,Backlog[Requirement ID],0))),"",INDEX(Backlog[Priority],MATCH($A102,Backlog[Requirement ID],0))),"")</f>
        <v>Medium</v>
      </c>
      <c r="E102" s="1" t="str">
        <f aca="false">IFERROR(IF(ISBLANK(INDEX(Backlog[Status],MATCH($A102,Backlog[Requirement ID],0))),"",INDEX(Backlog[Status],MATCH($A102,Backlog[Requirement ID],0))),"")</f>
        <v>NEW</v>
      </c>
      <c r="F102" s="23"/>
      <c r="G102" s="1" t="n">
        <f aca="false">IFERROR(IF(ISBLANK(INDEX(Backlog[HLE],MATCH($A102,Backlog[Requirement ID],0))),"",INDEX(Backlog[HLE],MATCH($A102,Backlog[Requirement ID],0))),"")</f>
        <v>3</v>
      </c>
      <c r="H102" s="1" t="n">
        <f aca="false">IFERROR(VALUE(SUBSTITUTE($F102,"Sprint ","")),9999)</f>
        <v>9999</v>
      </c>
    </row>
    <row r="103" customFormat="false" ht="15" hidden="false" customHeight="true" outlineLevel="0" collapsed="false">
      <c r="A103" s="1" t="str">
        <f aca="false">Backlog!A103</f>
        <v>NEW-0483</v>
      </c>
      <c r="B103" s="1"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23" t="s">
        <v>417</v>
      </c>
      <c r="G103" s="1" t="n">
        <f aca="false">IFERROR(IF(ISBLANK(INDEX(Backlog[HLE],MATCH($A103,Backlog[Requirement ID],0))),"",INDEX(Backlog[HLE],MATCH($A103,Backlog[Requirement ID],0))),"")</f>
        <v>8</v>
      </c>
      <c r="H103" s="1" t="n">
        <f aca="false">IFERROR(VALUE(SUBSTITUTE($F103,"Sprint ","")),9999)</f>
        <v>14</v>
      </c>
    </row>
    <row r="104" customFormat="false" ht="15" hidden="false" customHeight="true" outlineLevel="0" collapsed="false">
      <c r="A104" s="1" t="str">
        <f aca="false">Backlog!A104</f>
        <v>NEW-0484</v>
      </c>
      <c r="B104" s="1"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23" t="s">
        <v>419</v>
      </c>
      <c r="G104" s="1" t="n">
        <f aca="false">IFERROR(IF(ISBLANK(INDEX(Backlog[HLE],MATCH($A104,Backlog[Requirement ID],0))),"",INDEX(Backlog[HLE],MATCH($A104,Backlog[Requirement ID],0))),"")</f>
        <v>8</v>
      </c>
      <c r="H104" s="1" t="n">
        <f aca="false">IFERROR(VALUE(SUBSTITUTE($F104,"Sprint ","")),9999)</f>
        <v>13</v>
      </c>
    </row>
    <row r="105" customFormat="false" ht="15" hidden="false" customHeight="true" outlineLevel="0" collapsed="false">
      <c r="A105" s="1" t="str">
        <f aca="false">Backlog!A105</f>
        <v>NEW-0485</v>
      </c>
      <c r="B105" s="1"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23" t="s">
        <v>419</v>
      </c>
      <c r="G105" s="1" t="n">
        <f aca="false">IFERROR(IF(ISBLANK(INDEX(Backlog[HLE],MATCH($A105,Backlog[Requirement ID],0))),"",INDEX(Backlog[HLE],MATCH($A105,Backlog[Requirement ID],0))),"")</f>
        <v>1</v>
      </c>
      <c r="H105" s="1" t="n">
        <f aca="false">IFERROR(VALUE(SUBSTITUTE($F105,"Sprint ","")),9999)</f>
        <v>13</v>
      </c>
    </row>
    <row r="106" customFormat="false" ht="15" hidden="false" customHeight="true" outlineLevel="0" collapsed="false">
      <c r="A106" s="1" t="str">
        <f aca="false">Backlog!A106</f>
        <v>NEW-0486</v>
      </c>
      <c r="B106" s="1"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IFERROR(IF(ISBLANK(INDEX(Backlog[Priority],MATCH($A106,Backlog[Requirement ID],0))),"",INDEX(Backlog[Priority],MATCH($A106,Backlog[Requirement ID],0))),"")</f>
        <v>Medium</v>
      </c>
      <c r="E106" s="1" t="str">
        <f aca="false">IFERROR(IF(ISBLANK(INDEX(Backlog[Status],MATCH($A106,Backlog[Requirement ID],0))),"",INDEX(Backlog[Status],MATCH($A106,Backlog[Requirement ID],0))),"")</f>
        <v>NEW</v>
      </c>
      <c r="F106" s="23" t="s">
        <v>419</v>
      </c>
      <c r="G106" s="1" t="n">
        <f aca="false">IFERROR(IF(ISBLANK(INDEX(Backlog[HLE],MATCH($A106,Backlog[Requirement ID],0))),"",INDEX(Backlog[HLE],MATCH($A106,Backlog[Requirement ID],0))),"")</f>
        <v>8</v>
      </c>
      <c r="H106" s="1" t="n">
        <f aca="false">IFERROR(VALUE(SUBSTITUTE($F106,"Sprint ","")),9999)</f>
        <v>13</v>
      </c>
    </row>
    <row r="107" customFormat="false" ht="15" hidden="true" customHeight="true" outlineLevel="0" collapsed="false">
      <c r="A107" s="1" t="str">
        <f aca="false">Backlog!A107</f>
        <v>NEW-0487</v>
      </c>
      <c r="B107" s="1"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IFERROR(IF(ISBLANK(INDEX(Backlog[Priority],MATCH($A107,Backlog[Requirement ID],0))),"",INDEX(Backlog[Priority],MATCH($A107,Backlog[Requirement ID],0))),"")</f>
        <v>Medium</v>
      </c>
      <c r="E107" s="1" t="str">
        <f aca="false">IFERROR(IF(ISBLANK(INDEX(Backlog[Status],MATCH($A107,Backlog[Requirement ID],0))),"",INDEX(Backlog[Status],MATCH($A107,Backlog[Requirement ID],0))),"")</f>
        <v>NEW</v>
      </c>
      <c r="F107" s="23"/>
      <c r="G107" s="1" t="str">
        <f aca="false">IFERROR(IF(ISBLANK(INDEX(Backlog[HLE],MATCH($A107,Backlog[Requirement ID],0))),"",INDEX(Backlog[HLE],MATCH($A107,Backlog[Requirement ID],0))),"")</f>
        <v/>
      </c>
      <c r="H107" s="1" t="n">
        <f aca="false">IFERROR(VALUE(SUBSTITUTE($F107,"Sprint ","")),9999)</f>
        <v>9999</v>
      </c>
    </row>
    <row r="108" customFormat="false" ht="15" hidden="true" customHeight="true" outlineLevel="0" collapsed="false">
      <c r="A108" s="1" t="str">
        <f aca="false">Backlog!A108</f>
        <v>NEW-0488</v>
      </c>
      <c r="B108" s="1"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23"/>
      <c r="G108" s="1" t="str">
        <f aca="false">IFERROR(IF(ISBLANK(INDEX(Backlog[HLE],MATCH($A108,Backlog[Requirement ID],0))),"",INDEX(Backlog[HLE],MATCH($A108,Backlog[Requirement ID],0))),"")</f>
        <v/>
      </c>
      <c r="H108" s="1" t="n">
        <f aca="false">IFERROR(VALUE(SUBSTITUTE($F108,"Sprint ","")),9999)</f>
        <v>9999</v>
      </c>
    </row>
    <row r="109" customFormat="false" ht="15" hidden="false" customHeight="true" outlineLevel="0" collapsed="false">
      <c r="A109" s="1" t="str">
        <f aca="false">Backlog!A109</f>
        <v>NEW-0489</v>
      </c>
      <c r="B109" s="1"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IFERROR(IF(ISBLANK(INDEX(Backlog[Priority],MATCH($A109,Backlog[Requirement ID],0))),"",INDEX(Backlog[Priority],MATCH($A109,Backlog[Requirement ID],0))),"")</f>
        <v>High</v>
      </c>
      <c r="E109" s="1" t="str">
        <f aca="false">IFERROR(IF(ISBLANK(INDEX(Backlog[Status],MATCH($A109,Backlog[Requirement ID],0))),"",INDEX(Backlog[Status],MATCH($A109,Backlog[Requirement ID],0))),"")</f>
        <v>NEW</v>
      </c>
      <c r="F109" s="23" t="s">
        <v>419</v>
      </c>
      <c r="G109" s="1" t="n">
        <f aca="false">IFERROR(IF(ISBLANK(INDEX(Backlog[HLE],MATCH($A109,Backlog[Requirement ID],0))),"",INDEX(Backlog[HLE],MATCH($A109,Backlog[Requirement ID],0))),"")</f>
        <v>3</v>
      </c>
      <c r="H109" s="1" t="n">
        <f aca="false">IFERROR(VALUE(SUBSTITUTE($F109,"Sprint ","")),9999)</f>
        <v>13</v>
      </c>
    </row>
    <row r="110" customFormat="false" ht="15" hidden="false" customHeight="true" outlineLevel="0" collapsed="false">
      <c r="A110" s="1" t="str">
        <f aca="false">Backlog!A110</f>
        <v>NEW-0490</v>
      </c>
      <c r="B110" s="1"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IFERROR(IF(ISBLANK(INDEX(Backlog[Priority],MATCH($A110,Backlog[Requirement ID],0))),"",INDEX(Backlog[Priority],MATCH($A110,Backlog[Requirement ID],0))),"")</f>
        <v>Medium</v>
      </c>
      <c r="E110" s="1" t="str">
        <f aca="false">IFERROR(IF(ISBLANK(INDEX(Backlog[Status],MATCH($A110,Backlog[Requirement ID],0))),"",INDEX(Backlog[Status],MATCH($A110,Backlog[Requirement ID],0))),"")</f>
        <v>NEW</v>
      </c>
      <c r="F110" s="23" t="s">
        <v>417</v>
      </c>
      <c r="G110" s="1" t="n">
        <f aca="false">IFERROR(IF(ISBLANK(INDEX(Backlog[HLE],MATCH($A110,Backlog[Requirement ID],0))),"",INDEX(Backlog[HLE],MATCH($A110,Backlog[Requirement ID],0))),"")</f>
        <v>5</v>
      </c>
      <c r="H110" s="1" t="n">
        <f aca="false">IFERROR(VALUE(SUBSTITUTE($F110,"Sprint ","")),9999)</f>
        <v>14</v>
      </c>
    </row>
    <row r="111" customFormat="false" ht="15" hidden="false" customHeight="true" outlineLevel="0" collapsed="false">
      <c r="A111" s="1" t="str">
        <f aca="false">Backlog!A111</f>
        <v>NEW-0491</v>
      </c>
      <c r="B111" s="1"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IFERROR(IF(ISBLANK(INDEX(Backlog[Priority],MATCH($A111,Backlog[Requirement ID],0))),"",INDEX(Backlog[Priority],MATCH($A111,Backlog[Requirement ID],0))),"")</f>
        <v>High</v>
      </c>
      <c r="E111" s="1" t="str">
        <f aca="false">IFERROR(IF(ISBLANK(INDEX(Backlog[Status],MATCH($A111,Backlog[Requirement ID],0))),"",INDEX(Backlog[Status],MATCH($A111,Backlog[Requirement ID],0))),"")</f>
        <v>NEW</v>
      </c>
      <c r="F111" s="23" t="s">
        <v>419</v>
      </c>
      <c r="G111" s="1" t="n">
        <f aca="false">IFERROR(IF(ISBLANK(INDEX(Backlog[HLE],MATCH($A111,Backlog[Requirement ID],0))),"",INDEX(Backlog[HLE],MATCH($A111,Backlog[Requirement ID],0))),"")</f>
        <v>21</v>
      </c>
      <c r="H111" s="1" t="n">
        <f aca="false">IFERROR(VALUE(SUBSTITUTE($F111,"Sprint ","")),9999)</f>
        <v>13</v>
      </c>
    </row>
    <row r="112" customFormat="false" ht="15" hidden="false" customHeight="true" outlineLevel="0" collapsed="false">
      <c r="A112" s="1" t="str">
        <f aca="false">Backlog!A112</f>
        <v>NEW-0492</v>
      </c>
      <c r="B112" s="1"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IFERROR(IF(ISBLANK(INDEX(Backlog[Priority],MATCH($A112,Backlog[Requirement ID],0))),"",INDEX(Backlog[Priority],MATCH($A112,Backlog[Requirement ID],0))),"")</f>
        <v>High</v>
      </c>
      <c r="E112" s="1" t="str">
        <f aca="false">IFERROR(IF(ISBLANK(INDEX(Backlog[Status],MATCH($A112,Backlog[Requirement ID],0))),"",INDEX(Backlog[Status],MATCH($A112,Backlog[Requirement ID],0))),"")</f>
        <v>NEW</v>
      </c>
      <c r="F112" s="23" t="s">
        <v>419</v>
      </c>
      <c r="G112" s="1" t="n">
        <f aca="false">IFERROR(IF(ISBLANK(INDEX(Backlog[HLE],MATCH($A112,Backlog[Requirement ID],0))),"",INDEX(Backlog[HLE],MATCH($A112,Backlog[Requirement ID],0))),"")</f>
        <v>3</v>
      </c>
      <c r="H112" s="1" t="n">
        <f aca="false">IFERROR(VALUE(SUBSTITUTE($F112,"Sprint ","")),9999)</f>
        <v>13</v>
      </c>
    </row>
    <row r="113" customFormat="false" ht="15" hidden="tru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23"/>
      <c r="G113" s="1" t="str">
        <f aca="false">IFERROR(IF(ISBLANK(INDEX(Backlog[HLE],MATCH($A113,Backlog[Requirement ID],0))),"",INDEX(Backlog[HLE],MATCH($A113,Backlog[Requirement ID],0))),"")</f>
        <v/>
      </c>
      <c r="H113" s="1" t="n">
        <f aca="false">IFERROR(VALUE(SUBSTITUTE($F113,"Sprint ","")),9999)</f>
        <v>9999</v>
      </c>
    </row>
    <row r="114" customFormat="false" ht="15" hidden="tru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23"/>
      <c r="G114" s="1" t="str">
        <f aca="false">IFERROR(IF(ISBLANK(INDEX(Backlog[HLE],MATCH($A114,Backlog[Requirement ID],0))),"",INDEX(Backlog[HLE],MATCH($A114,Backlog[Requirement ID],0))),"")</f>
        <v/>
      </c>
      <c r="H114" s="1" t="n">
        <f aca="false">IFERROR(VALUE(SUBSTITUTE($F114,"Sprint ","")),9999)</f>
        <v>9999</v>
      </c>
    </row>
    <row r="115" customFormat="false" ht="15" hidden="tru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23"/>
      <c r="G115" s="1" t="str">
        <f aca="false">IFERROR(IF(ISBLANK(INDEX(Backlog[HLE],MATCH($A115,Backlog[Requirement ID],0))),"",INDEX(Backlog[HLE],MATCH($A115,Backlog[Requirement ID],0))),"")</f>
        <v/>
      </c>
      <c r="H115" s="1" t="n">
        <f aca="false">IFERROR(VALUE(SUBSTITUTE($F115,"Sprint ","")),9999)</f>
        <v>9999</v>
      </c>
    </row>
    <row r="116" customFormat="false" ht="15" hidden="tru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23"/>
      <c r="G116" s="1" t="str">
        <f aca="false">IFERROR(IF(ISBLANK(INDEX(Backlog[HLE],MATCH($A116,Backlog[Requirement ID],0))),"",INDEX(Backlog[HLE],MATCH($A116,Backlog[Requirement ID],0))),"")</f>
        <v/>
      </c>
      <c r="H116" s="1" t="n">
        <f aca="false">IFERROR(VALUE(SUBSTITUTE($F116,"Sprint ","")),9999)</f>
        <v>9999</v>
      </c>
    </row>
    <row r="117" customFormat="false" ht="15" hidden="tru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23"/>
      <c r="G117" s="1" t="str">
        <f aca="false">IFERROR(IF(ISBLANK(INDEX(Backlog[HLE],MATCH($A117,Backlog[Requirement ID],0))),"",INDEX(Backlog[HLE],MATCH($A117,Backlog[Requirement ID],0))),"")</f>
        <v/>
      </c>
      <c r="H117" s="1" t="n">
        <f aca="false">IFERROR(VALUE(SUBSTITUTE($F117,"Sprint ","")),9999)</f>
        <v>9999</v>
      </c>
    </row>
    <row r="118" customFormat="false" ht="15" hidden="tru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23"/>
      <c r="G118" s="1" t="str">
        <f aca="false">IFERROR(IF(ISBLANK(INDEX(Backlog[HLE],MATCH($A118,Backlog[Requirement ID],0))),"",INDEX(Backlog[HLE],MATCH($A118,Backlog[Requirement ID],0))),"")</f>
        <v/>
      </c>
      <c r="H118" s="1" t="n">
        <f aca="false">IFERROR(VALUE(SUBSTITUTE($F118,"Sprint ","")),9999)</f>
        <v>9999</v>
      </c>
    </row>
    <row r="119" customFormat="false" ht="15" hidden="tru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23"/>
      <c r="G119" s="1" t="str">
        <f aca="false">IFERROR(IF(ISBLANK(INDEX(Backlog[HLE],MATCH($A119,Backlog[Requirement ID],0))),"",INDEX(Backlog[HLE],MATCH($A119,Backlog[Requirement ID],0))),"")</f>
        <v/>
      </c>
      <c r="H119" s="1" t="n">
        <f aca="false">IFERROR(VALUE(SUBSTITUTE($F119,"Sprint ","")),9999)</f>
        <v>9999</v>
      </c>
    </row>
    <row r="120" customFormat="false" ht="15" hidden="tru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23"/>
      <c r="G120" s="1" t="str">
        <f aca="false">IFERROR(IF(ISBLANK(INDEX(Backlog[HLE],MATCH($A120,Backlog[Requirement ID],0))),"",INDEX(Backlog[HLE],MATCH($A120,Backlog[Requirement ID],0))),"")</f>
        <v/>
      </c>
      <c r="H120" s="1" t="n">
        <f aca="false">IFERROR(VALUE(SUBSTITUTE($F120,"Sprint ","")),9999)</f>
        <v>9999</v>
      </c>
    </row>
    <row r="121" customFormat="false" ht="15" hidden="tru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23"/>
      <c r="G121" s="1" t="str">
        <f aca="false">IFERROR(IF(ISBLANK(INDEX(Backlog[HLE],MATCH($A121,Backlog[Requirement ID],0))),"",INDEX(Backlog[HLE],MATCH($A121,Backlog[Requirement ID],0))),"")</f>
        <v/>
      </c>
      <c r="H121" s="1" t="n">
        <f aca="false">IFERROR(VALUE(SUBSTITUTE($F121,"Sprint ","")),9999)</f>
        <v>9999</v>
      </c>
    </row>
    <row r="122" customFormat="false" ht="15" hidden="tru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23"/>
      <c r="G122" s="1" t="str">
        <f aca="false">IFERROR(IF(ISBLANK(INDEX(Backlog[HLE],MATCH($A122,Backlog[Requirement ID],0))),"",INDEX(Backlog[HLE],MATCH($A122,Backlog[Requirement ID],0))),"")</f>
        <v/>
      </c>
      <c r="H122" s="1" t="n">
        <f aca="false">IFERROR(VALUE(SUBSTITUTE($F122,"Sprint ","")),9999)</f>
        <v>9999</v>
      </c>
    </row>
    <row r="123" customFormat="false" ht="15" hidden="tru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23"/>
      <c r="G123" s="1" t="str">
        <f aca="false">IFERROR(IF(ISBLANK(INDEX(Backlog[HLE],MATCH($A123,Backlog[Requirement ID],0))),"",INDEX(Backlog[HLE],MATCH($A123,Backlog[Requirement ID],0))),"")</f>
        <v/>
      </c>
      <c r="H123" s="1" t="n">
        <f aca="false">IFERROR(VALUE(SUBSTITUTE($F123,"Sprint ","")),9999)</f>
        <v>9999</v>
      </c>
    </row>
    <row r="124" customFormat="false" ht="15" hidden="tru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23"/>
      <c r="G124" s="1" t="str">
        <f aca="false">IFERROR(IF(ISBLANK(INDEX(Backlog[HLE],MATCH($A124,Backlog[Requirement ID],0))),"",INDEX(Backlog[HLE],MATCH($A124,Backlog[Requirement ID],0))),"")</f>
        <v/>
      </c>
      <c r="H124" s="1" t="n">
        <f aca="false">IFERROR(VALUE(SUBSTITUTE($F124,"Sprint ","")),9999)</f>
        <v>9999</v>
      </c>
    </row>
    <row r="125" customFormat="false" ht="15" hidden="tru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23"/>
      <c r="G125" s="1" t="str">
        <f aca="false">IFERROR(IF(ISBLANK(INDEX(Backlog[HLE],MATCH($A125,Backlog[Requirement ID],0))),"",INDEX(Backlog[HLE],MATCH($A125,Backlog[Requirement ID],0))),"")</f>
        <v/>
      </c>
      <c r="H125" s="1" t="n">
        <f aca="false">IFERROR(VALUE(SUBSTITUTE($F125,"Sprint ","")),9999)</f>
        <v>9999</v>
      </c>
    </row>
    <row r="126" customFormat="false" ht="15" hidden="tru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23"/>
      <c r="G126" s="1" t="str">
        <f aca="false">IFERROR(IF(ISBLANK(INDEX(Backlog[HLE],MATCH($A126,Backlog[Requirement ID],0))),"",INDEX(Backlog[HLE],MATCH($A126,Backlog[Requirement ID],0))),"")</f>
        <v/>
      </c>
      <c r="H126" s="1" t="n">
        <f aca="false">IFERROR(VALUE(SUBSTITUTE($F126,"Sprint ","")),9999)</f>
        <v>9999</v>
      </c>
    </row>
    <row r="127" customFormat="false" ht="15" hidden="tru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23"/>
      <c r="G127" s="1" t="str">
        <f aca="false">IFERROR(IF(ISBLANK(INDEX(Backlog[HLE],MATCH($A127,Backlog[Requirement ID],0))),"",INDEX(Backlog[HLE],MATCH($A127,Backlog[Requirement ID],0))),"")</f>
        <v/>
      </c>
      <c r="H127" s="1" t="n">
        <f aca="false">IFERROR(VALUE(SUBSTITUTE($F127,"Sprint ","")),9999)</f>
        <v>9999</v>
      </c>
    </row>
    <row r="128" customFormat="false" ht="15" hidden="tru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23"/>
      <c r="G128" s="1" t="str">
        <f aca="false">IFERROR(IF(ISBLANK(INDEX(Backlog[HLE],MATCH($A128,Backlog[Requirement ID],0))),"",INDEX(Backlog[HLE],MATCH($A128,Backlog[Requirement ID],0))),"")</f>
        <v/>
      </c>
      <c r="H128" s="1" t="n">
        <f aca="false">IFERROR(VALUE(SUBSTITUTE($F128,"Sprint ","")),9999)</f>
        <v>9999</v>
      </c>
    </row>
    <row r="129" customFormat="false" ht="15" hidden="tru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23"/>
      <c r="G129" s="1" t="str">
        <f aca="false">IFERROR(IF(ISBLANK(INDEX(Backlog[HLE],MATCH($A129,Backlog[Requirement ID],0))),"",INDEX(Backlog[HLE],MATCH($A129,Backlog[Requirement ID],0))),"")</f>
        <v/>
      </c>
      <c r="H129" s="1" t="n">
        <f aca="false">IFERROR(VALUE(SUBSTITUTE($F129,"Sprint ","")),9999)</f>
        <v>9999</v>
      </c>
    </row>
    <row r="130" customFormat="false" ht="15" hidden="tru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23"/>
      <c r="G130" s="1" t="str">
        <f aca="false">IFERROR(IF(ISBLANK(INDEX(Backlog[HLE],MATCH($A130,Backlog[Requirement ID],0))),"",INDEX(Backlog[HLE],MATCH($A130,Backlog[Requirement ID],0))),"")</f>
        <v/>
      </c>
      <c r="H130" s="1" t="n">
        <f aca="false">IFERROR(VALUE(SUBSTITUTE($F130,"Sprint ","")),9999)</f>
        <v>9999</v>
      </c>
    </row>
    <row r="131" customFormat="false" ht="15" hidden="tru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23"/>
      <c r="G131" s="1" t="str">
        <f aca="false">IFERROR(IF(ISBLANK(INDEX(Backlog[HLE],MATCH($A131,Backlog[Requirement ID],0))),"",INDEX(Backlog[HLE],MATCH($A131,Backlog[Requirement ID],0))),"")</f>
        <v/>
      </c>
      <c r="H131" s="1" t="n">
        <f aca="false">IFERROR(VALUE(SUBSTITUTE($F131,"Sprint ","")),9999)</f>
        <v>9999</v>
      </c>
    </row>
    <row r="132" customFormat="false" ht="15" hidden="tru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23"/>
      <c r="G132" s="1" t="str">
        <f aca="false">IFERROR(IF(ISBLANK(INDEX(Backlog[HLE],MATCH($A132,Backlog[Requirement ID],0))),"",INDEX(Backlog[HLE],MATCH($A132,Backlog[Requirement ID],0))),"")</f>
        <v/>
      </c>
      <c r="H132" s="1" t="n">
        <f aca="false">IFERROR(VALUE(SUBSTITUTE($F132,"Sprint ","")),9999)</f>
        <v>9999</v>
      </c>
    </row>
    <row r="133" customFormat="false" ht="23.25" hidden="tru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23"/>
      <c r="G133" s="1" t="str">
        <f aca="false">IFERROR(IF(ISBLANK(INDEX(Backlog[HLE],MATCH($A133,Backlog[Requirement ID],0))),"",INDEX(Backlog[HLE],MATCH($A133,Backlog[Requirement ID],0))),"")</f>
        <v/>
      </c>
      <c r="H133" s="1" t="n">
        <f aca="false">IFERROR(VALUE(SUBSTITUTE($F133,"Sprint ","")),9999)</f>
        <v>9999</v>
      </c>
    </row>
    <row r="134" customFormat="false" ht="15" hidden="tru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23"/>
      <c r="G134" s="1" t="str">
        <f aca="false">IFERROR(IF(ISBLANK(INDEX(Backlog[HLE],MATCH($A134,Backlog[Requirement ID],0))),"",INDEX(Backlog[HLE],MATCH($A134,Backlog[Requirement ID],0))),"")</f>
        <v/>
      </c>
      <c r="H134" s="1" t="n">
        <f aca="false">IFERROR(VALUE(SUBSTITUTE($F134,"Sprint ","")),9999)</f>
        <v>9999</v>
      </c>
    </row>
    <row r="135" customFormat="false" ht="15" hidden="tru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23"/>
      <c r="G135" s="1" t="str">
        <f aca="false">IFERROR(IF(ISBLANK(INDEX(Backlog[HLE],MATCH($A135,Backlog[Requirement ID],0))),"",INDEX(Backlog[HLE],MATCH($A135,Backlog[Requirement ID],0))),"")</f>
        <v/>
      </c>
      <c r="H135" s="1" t="n">
        <f aca="false">IFERROR(VALUE(SUBSTITUTE($F135,"Sprint ","")),9999)</f>
        <v>9999</v>
      </c>
    </row>
    <row r="136" customFormat="false" ht="15" hidden="tru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23"/>
      <c r="G136" s="1" t="str">
        <f aca="false">IFERROR(IF(ISBLANK(INDEX(Backlog[HLE],MATCH($A136,Backlog[Requirement ID],0))),"",INDEX(Backlog[HLE],MATCH($A136,Backlog[Requirement ID],0))),"")</f>
        <v/>
      </c>
      <c r="H136" s="1" t="n">
        <f aca="false">IFERROR(VALUE(SUBSTITUTE($F136,"Sprint ","")),9999)</f>
        <v>9999</v>
      </c>
    </row>
    <row r="137" customFormat="false" ht="15" hidden="tru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23"/>
      <c r="G137" s="1" t="str">
        <f aca="false">IFERROR(IF(ISBLANK(INDEX(Backlog[HLE],MATCH($A137,Backlog[Requirement ID],0))),"",INDEX(Backlog[HLE],MATCH($A137,Backlog[Requirement ID],0))),"")</f>
        <v/>
      </c>
      <c r="H137" s="1" t="n">
        <f aca="false">IFERROR(VALUE(SUBSTITUTE($F137,"Sprint ","")),9999)</f>
        <v>9999</v>
      </c>
    </row>
    <row r="138" customFormat="false" ht="15" hidden="tru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23"/>
      <c r="G138" s="1" t="str">
        <f aca="false">IFERROR(IF(ISBLANK(INDEX(Backlog[HLE],MATCH($A138,Backlog[Requirement ID],0))),"",INDEX(Backlog[HLE],MATCH($A138,Backlog[Requirement ID],0))),"")</f>
        <v/>
      </c>
      <c r="H138" s="1" t="n">
        <f aca="false">IFERROR(VALUE(SUBSTITUTE($F138,"Sprint ","")),9999)</f>
        <v>9999</v>
      </c>
    </row>
    <row r="139" customFormat="false" ht="15" hidden="tru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23"/>
      <c r="G139" s="1" t="str">
        <f aca="false">IFERROR(IF(ISBLANK(INDEX(Backlog[HLE],MATCH($A139,Backlog[Requirement ID],0))),"",INDEX(Backlog[HLE],MATCH($A139,Backlog[Requirement ID],0))),"")</f>
        <v/>
      </c>
      <c r="H139" s="1" t="n">
        <f aca="false">IFERROR(VALUE(SUBSTITUTE($F139,"Sprint ","")),9999)</f>
        <v>9999</v>
      </c>
    </row>
    <row r="140" customFormat="false" ht="15" hidden="tru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23"/>
      <c r="G140" s="1" t="str">
        <f aca="false">IFERROR(IF(ISBLANK(INDEX(Backlog[HLE],MATCH($A140,Backlog[Requirement ID],0))),"",INDEX(Backlog[HLE],MATCH($A140,Backlog[Requirement ID],0))),"")</f>
        <v/>
      </c>
      <c r="H140" s="1" t="n">
        <f aca="false">IFERROR(VALUE(SUBSTITUTE($F140,"Sprint ","")),9999)</f>
        <v>9999</v>
      </c>
    </row>
    <row r="141" customFormat="false" ht="15" hidden="tru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23"/>
      <c r="G141" s="1" t="str">
        <f aca="false">IFERROR(IF(ISBLANK(INDEX(Backlog[HLE],MATCH($A141,Backlog[Requirement ID],0))),"",INDEX(Backlog[HLE],MATCH($A141,Backlog[Requirement ID],0))),"")</f>
        <v/>
      </c>
      <c r="H141" s="1" t="n">
        <f aca="false">IFERROR(VALUE(SUBSTITUTE($F141,"Sprint ","")),9999)</f>
        <v>9999</v>
      </c>
    </row>
    <row r="142" customFormat="false" ht="15" hidden="tru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23"/>
      <c r="G142" s="1" t="str">
        <f aca="false">IFERROR(IF(ISBLANK(INDEX(Backlog[HLE],MATCH($A142,Backlog[Requirement ID],0))),"",INDEX(Backlog[HLE],MATCH($A142,Backlog[Requirement ID],0))),"")</f>
        <v/>
      </c>
      <c r="H142" s="1" t="n">
        <f aca="false">IFERROR(VALUE(SUBSTITUTE($F142,"Sprint ","")),9999)</f>
        <v>9999</v>
      </c>
    </row>
    <row r="143" customFormat="false" ht="15" hidden="tru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23"/>
      <c r="G143" s="1" t="str">
        <f aca="false">IFERROR(IF(ISBLANK(INDEX(Backlog[HLE],MATCH($A143,Backlog[Requirement ID],0))),"",INDEX(Backlog[HLE],MATCH($A143,Backlog[Requirement ID],0))),"")</f>
        <v/>
      </c>
      <c r="H143" s="1" t="n">
        <f aca="false">IFERROR(VALUE(SUBSTITUTE($F143,"Sprint ","")),9999)</f>
        <v>9999</v>
      </c>
    </row>
    <row r="144" customFormat="false" ht="15" hidden="tru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23"/>
      <c r="G144" s="1" t="str">
        <f aca="false">IFERROR(IF(ISBLANK(INDEX(Backlog[HLE],MATCH($A144,Backlog[Requirement ID],0))),"",INDEX(Backlog[HLE],MATCH($A144,Backlog[Requirement ID],0))),"")</f>
        <v/>
      </c>
      <c r="H144" s="1" t="n">
        <f aca="false">IFERROR(VALUE(SUBSTITUTE($F144,"Sprint ","")),9999)</f>
        <v>9999</v>
      </c>
    </row>
    <row r="145" customFormat="false" ht="15" hidden="tru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23"/>
      <c r="G145" s="1" t="str">
        <f aca="false">IFERROR(IF(ISBLANK(INDEX(Backlog[HLE],MATCH($A145,Backlog[Requirement ID],0))),"",INDEX(Backlog[HLE],MATCH($A145,Backlog[Requirement ID],0))),"")</f>
        <v/>
      </c>
      <c r="H145" s="1" t="n">
        <f aca="false">IFERROR(VALUE(SUBSTITUTE($F145,"Sprint ","")),9999)</f>
        <v>9999</v>
      </c>
    </row>
    <row r="146" customFormat="false" ht="15" hidden="tru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23"/>
      <c r="G146" s="1" t="str">
        <f aca="false">IFERROR(IF(ISBLANK(INDEX(Backlog[HLE],MATCH($A146,Backlog[Requirement ID],0))),"",INDEX(Backlog[HLE],MATCH($A146,Backlog[Requirement ID],0))),"")</f>
        <v/>
      </c>
      <c r="H146" s="1" t="n">
        <f aca="false">IFERROR(VALUE(SUBSTITUTE($F146,"Sprint ","")),9999)</f>
        <v>9999</v>
      </c>
    </row>
    <row r="147" customFormat="false" ht="15" hidden="tru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23"/>
      <c r="G147" s="1" t="str">
        <f aca="false">IFERROR(IF(ISBLANK(INDEX(Backlog[HLE],MATCH($A147,Backlog[Requirement ID],0))),"",INDEX(Backlog[HLE],MATCH($A147,Backlog[Requirement ID],0))),"")</f>
        <v/>
      </c>
      <c r="H147" s="1" t="n">
        <f aca="false">IFERROR(VALUE(SUBSTITUTE($F147,"Sprint ","")),9999)</f>
        <v>9999</v>
      </c>
    </row>
    <row r="148" customFormat="false" ht="15" hidden="tru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23"/>
      <c r="G148" s="1" t="str">
        <f aca="false">IFERROR(IF(ISBLANK(INDEX(Backlog[HLE],MATCH($A148,Backlog[Requirement ID],0))),"",INDEX(Backlog[HLE],MATCH($A148,Backlog[Requirement ID],0))),"")</f>
        <v/>
      </c>
      <c r="H148" s="1" t="n">
        <f aca="false">IFERROR(VALUE(SUBSTITUTE($F148,"Sprint ","")),9999)</f>
        <v>9999</v>
      </c>
    </row>
    <row r="149" customFormat="false" ht="15" hidden="tru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23"/>
      <c r="G149" s="1" t="str">
        <f aca="false">IFERROR(IF(ISBLANK(INDEX(Backlog[HLE],MATCH($A149,Backlog[Requirement ID],0))),"",INDEX(Backlog[HLE],MATCH($A149,Backlog[Requirement ID],0))),"")</f>
        <v/>
      </c>
      <c r="H149" s="1" t="n">
        <f aca="false">IFERROR(VALUE(SUBSTITUTE($F149,"Sprint ","")),9999)</f>
        <v>9999</v>
      </c>
    </row>
    <row r="150" customFormat="false" ht="15" hidden="tru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23"/>
      <c r="G150" s="1" t="str">
        <f aca="false">IFERROR(IF(ISBLANK(INDEX(Backlog[HLE],MATCH($A150,Backlog[Requirement ID],0))),"",INDEX(Backlog[HLE],MATCH($A150,Backlog[Requirement ID],0))),"")</f>
        <v/>
      </c>
      <c r="H150" s="1" t="n">
        <f aca="false">IFERROR(VALUE(SUBSTITUTE($F150,"Sprint ","")),9999)</f>
        <v>9999</v>
      </c>
    </row>
    <row r="151" customFormat="false" ht="15" hidden="tru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23"/>
      <c r="G151" s="1" t="str">
        <f aca="false">IFERROR(IF(ISBLANK(INDEX(Backlog[HLE],MATCH($A151,Backlog[Requirement ID],0))),"",INDEX(Backlog[HLE],MATCH($A151,Backlog[Requirement ID],0))),"")</f>
        <v/>
      </c>
      <c r="H151" s="1" t="n">
        <f aca="false">IFERROR(VALUE(SUBSTITUTE($F151,"Sprint ","")),9999)</f>
        <v>9999</v>
      </c>
    </row>
    <row r="152" customFormat="false" ht="15" hidden="tru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23"/>
      <c r="G152" s="1" t="str">
        <f aca="false">IFERROR(IF(ISBLANK(INDEX(Backlog[HLE],MATCH($A152,Backlog[Requirement ID],0))),"",INDEX(Backlog[HLE],MATCH($A152,Backlog[Requirement ID],0))),"")</f>
        <v/>
      </c>
      <c r="H152" s="1" t="n">
        <f aca="false">IFERROR(VALUE(SUBSTITUTE($F152,"Sprint ","")),9999)</f>
        <v>9999</v>
      </c>
    </row>
    <row r="153" customFormat="false" ht="15" hidden="tru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23"/>
      <c r="G153" s="1" t="str">
        <f aca="false">IFERROR(IF(ISBLANK(INDEX(Backlog[HLE],MATCH($A153,Backlog[Requirement ID],0))),"",INDEX(Backlog[HLE],MATCH($A153,Backlog[Requirement ID],0))),"")</f>
        <v/>
      </c>
      <c r="H153" s="1" t="n">
        <f aca="false">IFERROR(VALUE(SUBSTITUTE($F153,"Sprint ","")),9999)</f>
        <v>9999</v>
      </c>
    </row>
    <row r="154" customFormat="false" ht="15" hidden="tru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23"/>
      <c r="G154" s="1" t="str">
        <f aca="false">IFERROR(IF(ISBLANK(INDEX(Backlog[HLE],MATCH($A154,Backlog[Requirement ID],0))),"",INDEX(Backlog[HLE],MATCH($A154,Backlog[Requirement ID],0))),"")</f>
        <v/>
      </c>
      <c r="H154" s="1" t="n">
        <f aca="false">IFERROR(VALUE(SUBSTITUTE($F154,"Sprint ","")),9999)</f>
        <v>9999</v>
      </c>
    </row>
    <row r="155" customFormat="false" ht="15" hidden="tru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23"/>
      <c r="G155" s="1" t="str">
        <f aca="false">IFERROR(IF(ISBLANK(INDEX(Backlog[HLE],MATCH($A155,Backlog[Requirement ID],0))),"",INDEX(Backlog[HLE],MATCH($A155,Backlog[Requirement ID],0))),"")</f>
        <v/>
      </c>
      <c r="H155" s="1" t="n">
        <f aca="false">IFERROR(VALUE(SUBSTITUTE($F155,"Sprint ","")),9999)</f>
        <v>9999</v>
      </c>
    </row>
    <row r="156" customFormat="false" ht="15" hidden="tru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23"/>
      <c r="G156" s="1" t="str">
        <f aca="false">IFERROR(IF(ISBLANK(INDEX(Backlog[HLE],MATCH($A156,Backlog[Requirement ID],0))),"",INDEX(Backlog[HLE],MATCH($A156,Backlog[Requirement ID],0))),"")</f>
        <v/>
      </c>
      <c r="H156" s="1" t="n">
        <f aca="false">IFERROR(VALUE(SUBSTITUTE($F156,"Sprint ","")),9999)</f>
        <v>9999</v>
      </c>
    </row>
    <row r="157" customFormat="false" ht="15" hidden="tru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23"/>
      <c r="G157" s="1" t="str">
        <f aca="false">IFERROR(IF(ISBLANK(INDEX(Backlog[HLE],MATCH($A157,Backlog[Requirement ID],0))),"",INDEX(Backlog[HLE],MATCH($A157,Backlog[Requirement ID],0))),"")</f>
        <v/>
      </c>
      <c r="H157" s="1" t="n">
        <f aca="false">IFERROR(VALUE(SUBSTITUTE($F157,"Sprint ","")),9999)</f>
        <v>9999</v>
      </c>
    </row>
    <row r="158" customFormat="false" ht="15" hidden="tru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23"/>
      <c r="G158" s="1" t="str">
        <f aca="false">IFERROR(IF(ISBLANK(INDEX(Backlog[HLE],MATCH($A158,Backlog[Requirement ID],0))),"",INDEX(Backlog[HLE],MATCH($A158,Backlog[Requirement ID],0))),"")</f>
        <v/>
      </c>
      <c r="H158" s="1" t="n">
        <f aca="false">IFERROR(VALUE(SUBSTITUTE($F158,"Sprint ","")),9999)</f>
        <v>9999</v>
      </c>
    </row>
    <row r="159" customFormat="false" ht="15" hidden="tru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23"/>
      <c r="G159" s="1" t="str">
        <f aca="false">IFERROR(IF(ISBLANK(INDEX(Backlog[HLE],MATCH($A159,Backlog[Requirement ID],0))),"",INDEX(Backlog[HLE],MATCH($A159,Backlog[Requirement ID],0))),"")</f>
        <v/>
      </c>
      <c r="H159" s="1" t="n">
        <f aca="false">IFERROR(VALUE(SUBSTITUTE($F159,"Sprint ","")),9999)</f>
        <v>9999</v>
      </c>
    </row>
    <row r="160" customFormat="false" ht="15" hidden="tru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23"/>
      <c r="G160" s="1" t="str">
        <f aca="false">IFERROR(IF(ISBLANK(INDEX(Backlog[HLE],MATCH($A160,Backlog[Requirement ID],0))),"",INDEX(Backlog[HLE],MATCH($A160,Backlog[Requirement ID],0))),"")</f>
        <v/>
      </c>
      <c r="H160" s="1" t="n">
        <f aca="false">IFERROR(VALUE(SUBSTITUTE($F160,"Sprint ","")),9999)</f>
        <v>9999</v>
      </c>
    </row>
    <row r="161" customFormat="false" ht="15" hidden="tru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23"/>
      <c r="G161" s="1" t="str">
        <f aca="false">IFERROR(IF(ISBLANK(INDEX(Backlog[HLE],MATCH($A161,Backlog[Requirement ID],0))),"",INDEX(Backlog[HLE],MATCH($A161,Backlog[Requirement ID],0))),"")</f>
        <v/>
      </c>
      <c r="H161" s="1" t="n">
        <f aca="false">IFERROR(VALUE(SUBSTITUTE($F161,"Sprint ","")),9999)</f>
        <v>9999</v>
      </c>
    </row>
    <row r="162" customFormat="false" ht="15" hidden="tru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23"/>
      <c r="G162" s="1" t="str">
        <f aca="false">IFERROR(IF(ISBLANK(INDEX(Backlog[HLE],MATCH($A162,Backlog[Requirement ID],0))),"",INDEX(Backlog[HLE],MATCH($A162,Backlog[Requirement ID],0))),"")</f>
        <v/>
      </c>
      <c r="H162" s="1" t="n">
        <f aca="false">IFERROR(VALUE(SUBSTITUTE($F162,"Sprint ","")),9999)</f>
        <v>9999</v>
      </c>
    </row>
    <row r="163" customFormat="false" ht="15" hidden="tru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23"/>
      <c r="G163" s="1" t="str">
        <f aca="false">IFERROR(IF(ISBLANK(INDEX(Backlog[HLE],MATCH($A163,Backlog[Requirement ID],0))),"",INDEX(Backlog[HLE],MATCH($A163,Backlog[Requirement ID],0))),"")</f>
        <v/>
      </c>
      <c r="H163" s="1" t="n">
        <f aca="false">IFERROR(VALUE(SUBSTITUTE($F163,"Sprint ","")),9999)</f>
        <v>9999</v>
      </c>
    </row>
    <row r="164" customFormat="false" ht="15" hidden="tru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23"/>
      <c r="G164" s="1" t="str">
        <f aca="false">IFERROR(IF(ISBLANK(INDEX(Backlog[HLE],MATCH($A164,Backlog[Requirement ID],0))),"",INDEX(Backlog[HLE],MATCH($A164,Backlog[Requirement ID],0))),"")</f>
        <v/>
      </c>
      <c r="H164" s="1" t="n">
        <f aca="false">IFERROR(VALUE(SUBSTITUTE($F164,"Sprint ","")),9999)</f>
        <v>9999</v>
      </c>
    </row>
    <row r="165" customFormat="false" ht="15" hidden="tru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23"/>
      <c r="G165" s="1" t="str">
        <f aca="false">IFERROR(IF(ISBLANK(INDEX(Backlog[HLE],MATCH($A165,Backlog[Requirement ID],0))),"",INDEX(Backlog[HLE],MATCH($A165,Backlog[Requirement ID],0))),"")</f>
        <v/>
      </c>
      <c r="H165" s="1" t="n">
        <f aca="false">IFERROR(VALUE(SUBSTITUTE($F165,"Sprint ","")),9999)</f>
        <v>9999</v>
      </c>
    </row>
    <row r="166" customFormat="false" ht="15" hidden="tru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23"/>
      <c r="G166" s="1" t="str">
        <f aca="false">IFERROR(IF(ISBLANK(INDEX(Backlog[HLE],MATCH($A166,Backlog[Requirement ID],0))),"",INDEX(Backlog[HLE],MATCH($A166,Backlog[Requirement ID],0))),"")</f>
        <v/>
      </c>
      <c r="H166" s="1" t="n">
        <f aca="false">IFERROR(VALUE(SUBSTITUTE($F166,"Sprint ","")),9999)</f>
        <v>9999</v>
      </c>
    </row>
    <row r="167" customFormat="false" ht="15" hidden="tru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23"/>
      <c r="G167" s="1" t="str">
        <f aca="false">IFERROR(IF(ISBLANK(INDEX(Backlog[HLE],MATCH($A167,Backlog[Requirement ID],0))),"",INDEX(Backlog[HLE],MATCH($A167,Backlog[Requirement ID],0))),"")</f>
        <v/>
      </c>
      <c r="H167" s="1" t="n">
        <f aca="false">IFERROR(VALUE(SUBSTITUTE($F167,"Sprint ","")),9999)</f>
        <v>9999</v>
      </c>
    </row>
    <row r="168" customFormat="false" ht="15" hidden="tru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23"/>
      <c r="G168" s="1" t="str">
        <f aca="false">IFERROR(IF(ISBLANK(INDEX(Backlog[HLE],MATCH($A168,Backlog[Requirement ID],0))),"",INDEX(Backlog[HLE],MATCH($A168,Backlog[Requirement ID],0))),"")</f>
        <v/>
      </c>
      <c r="H168" s="1" t="n">
        <f aca="false">IFERROR(VALUE(SUBSTITUTE($F168,"Sprint ","")),9999)</f>
        <v>9999</v>
      </c>
    </row>
    <row r="169" customFormat="false" ht="15" hidden="tru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23"/>
      <c r="G169" s="1" t="str">
        <f aca="false">IFERROR(IF(ISBLANK(INDEX(Backlog[HLE],MATCH($A169,Backlog[Requirement ID],0))),"",INDEX(Backlog[HLE],MATCH($A169,Backlog[Requirement ID],0))),"")</f>
        <v/>
      </c>
      <c r="H169" s="1" t="n">
        <f aca="false">IFERROR(VALUE(SUBSTITUTE($F169,"Sprint ","")),9999)</f>
        <v>9999</v>
      </c>
    </row>
    <row r="170" customFormat="false" ht="15" hidden="tru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23"/>
      <c r="G170" s="1" t="str">
        <f aca="false">IFERROR(IF(ISBLANK(INDEX(Backlog[HLE],MATCH($A170,Backlog[Requirement ID],0))),"",INDEX(Backlog[HLE],MATCH($A170,Backlog[Requirement ID],0))),"")</f>
        <v/>
      </c>
      <c r="H170" s="1" t="n">
        <f aca="false">IFERROR(VALUE(SUBSTITUTE($F170,"Sprint ","")),9999)</f>
        <v>9999</v>
      </c>
    </row>
    <row r="171" customFormat="false" ht="15" hidden="tru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23"/>
      <c r="G171" s="1" t="str">
        <f aca="false">IFERROR(IF(ISBLANK(INDEX(Backlog[HLE],MATCH($A171,Backlog[Requirement ID],0))),"",INDEX(Backlog[HLE],MATCH($A171,Backlog[Requirement ID],0))),"")</f>
        <v/>
      </c>
      <c r="H171" s="1" t="n">
        <f aca="false">IFERROR(VALUE(SUBSTITUTE($F171,"Sprint ","")),9999)</f>
        <v>9999</v>
      </c>
    </row>
    <row r="172" customFormat="false" ht="15" hidden="tru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23"/>
      <c r="G172" s="1" t="str">
        <f aca="false">IFERROR(IF(ISBLANK(INDEX(Backlog[HLE],MATCH($A172,Backlog[Requirement ID],0))),"",INDEX(Backlog[HLE],MATCH($A172,Backlog[Requirement ID],0))),"")</f>
        <v/>
      </c>
      <c r="H172" s="1" t="n">
        <f aca="false">IFERROR(VALUE(SUBSTITUTE($F172,"Sprint ","")),9999)</f>
        <v>9999</v>
      </c>
    </row>
    <row r="173" customFormat="false" ht="15" hidden="tru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23"/>
      <c r="G173" s="1" t="str">
        <f aca="false">IFERROR(IF(ISBLANK(INDEX(Backlog[HLE],MATCH($A173,Backlog[Requirement ID],0))),"",INDEX(Backlog[HLE],MATCH($A173,Backlog[Requirement ID],0))),"")</f>
        <v/>
      </c>
      <c r="H173" s="1" t="n">
        <f aca="false">IFERROR(VALUE(SUBSTITUTE($F173,"Sprint ","")),9999)</f>
        <v>9999</v>
      </c>
    </row>
    <row r="174" customFormat="false" ht="15" hidden="tru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23"/>
      <c r="G174" s="1" t="str">
        <f aca="false">IFERROR(IF(ISBLANK(INDEX(Backlog[HLE],MATCH($A174,Backlog[Requirement ID],0))),"",INDEX(Backlog[HLE],MATCH($A174,Backlog[Requirement ID],0))),"")</f>
        <v/>
      </c>
      <c r="H174" s="1" t="n">
        <f aca="false">IFERROR(VALUE(SUBSTITUTE($F174,"Sprint ","")),9999)</f>
        <v>9999</v>
      </c>
    </row>
    <row r="175" customFormat="false" ht="15" hidden="tru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23"/>
      <c r="G175" s="1" t="str">
        <f aca="false">IFERROR(IF(ISBLANK(INDEX(Backlog[HLE],MATCH($A175,Backlog[Requirement ID],0))),"",INDEX(Backlog[HLE],MATCH($A175,Backlog[Requirement ID],0))),"")</f>
        <v/>
      </c>
      <c r="H175" s="1" t="n">
        <f aca="false">IFERROR(VALUE(SUBSTITUTE($F175,"Sprint ","")),9999)</f>
        <v>9999</v>
      </c>
    </row>
    <row r="176" customFormat="false" ht="15" hidden="tru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23"/>
      <c r="G176" s="1" t="str">
        <f aca="false">IFERROR(IF(ISBLANK(INDEX(Backlog[HLE],MATCH($A176,Backlog[Requirement ID],0))),"",INDEX(Backlog[HLE],MATCH($A176,Backlog[Requirement ID],0))),"")</f>
        <v/>
      </c>
      <c r="H176" s="1" t="n">
        <f aca="false">IFERROR(VALUE(SUBSTITUTE($F176,"Sprint ","")),9999)</f>
        <v>9999</v>
      </c>
    </row>
    <row r="177" customFormat="false" ht="15" hidden="tru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23"/>
      <c r="G177" s="1" t="str">
        <f aca="false">IFERROR(IF(ISBLANK(INDEX(Backlog[HLE],MATCH($A177,Backlog[Requirement ID],0))),"",INDEX(Backlog[HLE],MATCH($A177,Backlog[Requirement ID],0))),"")</f>
        <v/>
      </c>
      <c r="H177" s="1" t="n">
        <f aca="false">IFERROR(VALUE(SUBSTITUTE($F177,"Sprint ","")),9999)</f>
        <v>9999</v>
      </c>
    </row>
    <row r="178" customFormat="false" ht="15" hidden="tru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23"/>
      <c r="G178" s="1" t="str">
        <f aca="false">IFERROR(IF(ISBLANK(INDEX(Backlog[HLE],MATCH($A178,Backlog[Requirement ID],0))),"",INDEX(Backlog[HLE],MATCH($A178,Backlog[Requirement ID],0))),"")</f>
        <v/>
      </c>
      <c r="H178" s="1" t="n">
        <f aca="false">IFERROR(VALUE(SUBSTITUTE($F178,"Sprint ","")),9999)</f>
        <v>9999</v>
      </c>
    </row>
    <row r="179" customFormat="false" ht="15" hidden="tru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23"/>
      <c r="G179" s="1" t="str">
        <f aca="false">IFERROR(IF(ISBLANK(INDEX(Backlog[HLE],MATCH($A179,Backlog[Requirement ID],0))),"",INDEX(Backlog[HLE],MATCH($A179,Backlog[Requirement ID],0))),"")</f>
        <v/>
      </c>
      <c r="H179" s="1" t="n">
        <f aca="false">IFERROR(VALUE(SUBSTITUTE($F179,"Sprint ","")),9999)</f>
        <v>9999</v>
      </c>
    </row>
    <row r="180" customFormat="false" ht="15" hidden="tru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23"/>
      <c r="G180" s="1" t="str">
        <f aca="false">IFERROR(IF(ISBLANK(INDEX(Backlog[HLE],MATCH($A180,Backlog[Requirement ID],0))),"",INDEX(Backlog[HLE],MATCH($A180,Backlog[Requirement ID],0))),"")</f>
        <v/>
      </c>
      <c r="H180" s="1" t="n">
        <f aca="false">IFERROR(VALUE(SUBSTITUTE($F180,"Sprint ","")),9999)</f>
        <v>9999</v>
      </c>
    </row>
    <row r="181" customFormat="false" ht="15" hidden="tru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23"/>
      <c r="G181" s="1" t="str">
        <f aca="false">IFERROR(IF(ISBLANK(INDEX(Backlog[HLE],MATCH($A181,Backlog[Requirement ID],0))),"",INDEX(Backlog[HLE],MATCH($A181,Backlog[Requirement ID],0))),"")</f>
        <v/>
      </c>
      <c r="H181" s="1" t="n">
        <f aca="false">IFERROR(VALUE(SUBSTITUTE($F181,"Sprint ","")),9999)</f>
        <v>9999</v>
      </c>
    </row>
    <row r="182" customFormat="false" ht="15" hidden="tru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23"/>
      <c r="G182" s="1" t="str">
        <f aca="false">IFERROR(IF(ISBLANK(INDEX(Backlog[HLE],MATCH($A182,Backlog[Requirement ID],0))),"",INDEX(Backlog[HLE],MATCH($A182,Backlog[Requirement ID],0))),"")</f>
        <v/>
      </c>
      <c r="H182" s="1" t="n">
        <f aca="false">IFERROR(VALUE(SUBSTITUTE($F182,"Sprint ","")),9999)</f>
        <v>9999</v>
      </c>
    </row>
    <row r="183" customFormat="false" ht="15" hidden="tru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23"/>
      <c r="G183" s="1" t="str">
        <f aca="false">IFERROR(IF(ISBLANK(INDEX(Backlog[HLE],MATCH($A183,Backlog[Requirement ID],0))),"",INDEX(Backlog[HLE],MATCH($A183,Backlog[Requirement ID],0))),"")</f>
        <v/>
      </c>
      <c r="H183" s="1" t="n">
        <f aca="false">IFERROR(VALUE(SUBSTITUTE($F183,"Sprint ","")),9999)</f>
        <v>9999</v>
      </c>
    </row>
    <row r="184" customFormat="false" ht="15" hidden="tru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23"/>
      <c r="G184" s="1" t="str">
        <f aca="false">IFERROR(IF(ISBLANK(INDEX(Backlog[HLE],MATCH($A184,Backlog[Requirement ID],0))),"",INDEX(Backlog[HLE],MATCH($A184,Backlog[Requirement ID],0))),"")</f>
        <v/>
      </c>
      <c r="H184" s="1" t="n">
        <f aca="false">IFERROR(VALUE(SUBSTITUTE($F184,"Sprint ","")),9999)</f>
        <v>9999</v>
      </c>
    </row>
    <row r="185" customFormat="false" ht="15" hidden="tru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23"/>
      <c r="G185" s="1" t="str">
        <f aca="false">IFERROR(IF(ISBLANK(INDEX(Backlog[HLE],MATCH($A185,Backlog[Requirement ID],0))),"",INDEX(Backlog[HLE],MATCH($A185,Backlog[Requirement ID],0))),"")</f>
        <v/>
      </c>
      <c r="H185" s="1" t="n">
        <f aca="false">IFERROR(VALUE(SUBSTITUTE($F185,"Sprint ","")),9999)</f>
        <v>9999</v>
      </c>
    </row>
    <row r="186" customFormat="false" ht="15" hidden="tru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23"/>
      <c r="G186" s="1" t="str">
        <f aca="false">IFERROR(IF(ISBLANK(INDEX(Backlog[HLE],MATCH($A186,Backlog[Requirement ID],0))),"",INDEX(Backlog[HLE],MATCH($A186,Backlog[Requirement ID],0))),"")</f>
        <v/>
      </c>
      <c r="H186" s="1" t="n">
        <f aca="false">IFERROR(VALUE(SUBSTITUTE($F186,"Sprint ","")),9999)</f>
        <v>9999</v>
      </c>
    </row>
    <row r="187" customFormat="false" ht="15" hidden="tru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23"/>
      <c r="G187" s="1" t="str">
        <f aca="false">IFERROR(IF(ISBLANK(INDEX(Backlog[HLE],MATCH($A187,Backlog[Requirement ID],0))),"",INDEX(Backlog[HLE],MATCH($A187,Backlog[Requirement ID],0))),"")</f>
        <v/>
      </c>
      <c r="H187" s="1" t="n">
        <f aca="false">IFERROR(VALUE(SUBSTITUTE($F187,"Sprint ","")),9999)</f>
        <v>9999</v>
      </c>
    </row>
    <row r="188" customFormat="false" ht="15" hidden="tru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23"/>
      <c r="G188" s="1" t="str">
        <f aca="false">IFERROR(IF(ISBLANK(INDEX(Backlog[HLE],MATCH($A188,Backlog[Requirement ID],0))),"",INDEX(Backlog[HLE],MATCH($A188,Backlog[Requirement ID],0))),"")</f>
        <v/>
      </c>
      <c r="H188" s="1" t="n">
        <f aca="false">IFERROR(VALUE(SUBSTITUTE($F188,"Sprint ","")),9999)</f>
        <v>9999</v>
      </c>
    </row>
    <row r="189" customFormat="false" ht="15" hidden="tru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23"/>
      <c r="G189" s="1" t="str">
        <f aca="false">IFERROR(IF(ISBLANK(INDEX(Backlog[HLE],MATCH($A189,Backlog[Requirement ID],0))),"",INDEX(Backlog[HLE],MATCH($A189,Backlog[Requirement ID],0))),"")</f>
        <v/>
      </c>
      <c r="H189" s="1" t="n">
        <f aca="false">IFERROR(VALUE(SUBSTITUTE($F189,"Sprint ","")),9999)</f>
        <v>9999</v>
      </c>
    </row>
    <row r="190" customFormat="false" ht="15" hidden="tru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23"/>
      <c r="G190" s="1" t="str">
        <f aca="false">IFERROR(IF(ISBLANK(INDEX(Backlog[HLE],MATCH($A190,Backlog[Requirement ID],0))),"",INDEX(Backlog[HLE],MATCH($A190,Backlog[Requirement ID],0))),"")</f>
        <v/>
      </c>
      <c r="H190" s="1" t="n">
        <f aca="false">IFERROR(VALUE(SUBSTITUTE($F190,"Sprint ","")),9999)</f>
        <v>9999</v>
      </c>
    </row>
    <row r="191" customFormat="false" ht="15" hidden="tru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23"/>
      <c r="G191" s="1" t="str">
        <f aca="false">IFERROR(IF(ISBLANK(INDEX(Backlog[HLE],MATCH($A191,Backlog[Requirement ID],0))),"",INDEX(Backlog[HLE],MATCH($A191,Backlog[Requirement ID],0))),"")</f>
        <v/>
      </c>
      <c r="H191" s="1" t="n">
        <f aca="false">IFERROR(VALUE(SUBSTITUTE($F191,"Sprint ","")),9999)</f>
        <v>9999</v>
      </c>
    </row>
    <row r="192" customFormat="false" ht="15" hidden="tru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23"/>
      <c r="G192" s="1" t="str">
        <f aca="false">IFERROR(IF(ISBLANK(INDEX(Backlog[HLE],MATCH($A192,Backlog[Requirement ID],0))),"",INDEX(Backlog[HLE],MATCH($A192,Backlog[Requirement ID],0))),"")</f>
        <v/>
      </c>
      <c r="H192" s="1" t="n">
        <f aca="false">IFERROR(VALUE(SUBSTITUTE($F192,"Sprint ","")),9999)</f>
        <v>9999</v>
      </c>
    </row>
    <row r="193" customFormat="false" ht="15" hidden="tru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23"/>
      <c r="G193" s="1" t="str">
        <f aca="false">IFERROR(IF(ISBLANK(INDEX(Backlog[HLE],MATCH($A193,Backlog[Requirement ID],0))),"",INDEX(Backlog[HLE],MATCH($A193,Backlog[Requirement ID],0))),"")</f>
        <v/>
      </c>
      <c r="H193" s="1" t="n">
        <f aca="false">IFERROR(VALUE(SUBSTITUTE($F193,"Sprint ","")),9999)</f>
        <v>9999</v>
      </c>
    </row>
    <row r="194" customFormat="false" ht="15" hidden="tru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23"/>
      <c r="G194" s="1" t="str">
        <f aca="false">IFERROR(IF(ISBLANK(INDEX(Backlog[HLE],MATCH($A194,Backlog[Requirement ID],0))),"",INDEX(Backlog[HLE],MATCH($A194,Backlog[Requirement ID],0))),"")</f>
        <v/>
      </c>
      <c r="H194" s="1" t="n">
        <f aca="false">IFERROR(VALUE(SUBSTITUTE($F194,"Sprint ","")),9999)</f>
        <v>9999</v>
      </c>
    </row>
    <row r="195" customFormat="false" ht="15" hidden="tru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23"/>
      <c r="G195" s="1" t="str">
        <f aca="false">IFERROR(IF(ISBLANK(INDEX(Backlog[HLE],MATCH($A195,Backlog[Requirement ID],0))),"",INDEX(Backlog[HLE],MATCH($A195,Backlog[Requirement ID],0))),"")</f>
        <v/>
      </c>
      <c r="H195" s="1" t="n">
        <f aca="false">IFERROR(VALUE(SUBSTITUTE($F195,"Sprint ","")),9999)</f>
        <v>9999</v>
      </c>
    </row>
    <row r="196" customFormat="false" ht="15" hidden="tru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23"/>
      <c r="G196" s="1" t="str">
        <f aca="false">IFERROR(IF(ISBLANK(INDEX(Backlog[HLE],MATCH($A196,Backlog[Requirement ID],0))),"",INDEX(Backlog[HLE],MATCH($A196,Backlog[Requirement ID],0))),"")</f>
        <v/>
      </c>
      <c r="H196" s="1" t="n">
        <f aca="false">IFERROR(VALUE(SUBSTITUTE($F196,"Sprint ","")),9999)</f>
        <v>9999</v>
      </c>
    </row>
    <row r="197" customFormat="false" ht="15" hidden="tru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23"/>
      <c r="G197" s="1" t="str">
        <f aca="false">IFERROR(IF(ISBLANK(INDEX(Backlog[HLE],MATCH($A197,Backlog[Requirement ID],0))),"",INDEX(Backlog[HLE],MATCH($A197,Backlog[Requirement ID],0))),"")</f>
        <v/>
      </c>
      <c r="H197" s="1" t="n">
        <f aca="false">IFERROR(VALUE(SUBSTITUTE($F197,"Sprint ","")),9999)</f>
        <v>9999</v>
      </c>
    </row>
    <row r="198" customFormat="false" ht="15" hidden="tru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23"/>
      <c r="G198" s="1" t="str">
        <f aca="false">IFERROR(IF(ISBLANK(INDEX(Backlog[HLE],MATCH($A198,Backlog[Requirement ID],0))),"",INDEX(Backlog[HLE],MATCH($A198,Backlog[Requirement ID],0))),"")</f>
        <v/>
      </c>
      <c r="H198" s="1" t="n">
        <f aca="false">IFERROR(VALUE(SUBSTITUTE($F198,"Sprint ","")),9999)</f>
        <v>9999</v>
      </c>
    </row>
    <row r="199" customFormat="false" ht="15" hidden="tru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23"/>
      <c r="G199" s="1" t="str">
        <f aca="false">IFERROR(IF(ISBLANK(INDEX(Backlog[HLE],MATCH($A199,Backlog[Requirement ID],0))),"",INDEX(Backlog[HLE],MATCH($A199,Backlog[Requirement ID],0))),"")</f>
        <v/>
      </c>
      <c r="H199" s="1" t="n">
        <f aca="false">IFERROR(VALUE(SUBSTITUTE($F199,"Sprint ","")),9999)</f>
        <v>9999</v>
      </c>
    </row>
    <row r="200" customFormat="false" ht="15" hidden="tru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23"/>
      <c r="G200" s="1" t="str">
        <f aca="false">IFERROR(IF(ISBLANK(INDEX(Backlog[HLE],MATCH($A200,Backlog[Requirement ID],0))),"",INDEX(Backlog[HLE],MATCH($A200,Backlog[Requirement ID],0))),"")</f>
        <v/>
      </c>
      <c r="H200" s="1" t="n">
        <f aca="false">IFERROR(VALUE(SUBSTITUTE($F200,"Sprint ","")),9999)</f>
        <v>9999</v>
      </c>
    </row>
    <row r="201" customFormat="false" ht="15" hidden="tru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23"/>
      <c r="G201" s="1" t="str">
        <f aca="false">IFERROR(IF(ISBLANK(INDEX(Backlog[HLE],MATCH($A201,Backlog[Requirement ID],0))),"",INDEX(Backlog[HLE],MATCH($A201,Backlog[Requirement ID],0))),"")</f>
        <v/>
      </c>
      <c r="H201" s="1" t="n">
        <f aca="false">IFERROR(VALUE(SUBSTITUTE($F201,"Sprint ","")),9999)</f>
        <v>9999</v>
      </c>
    </row>
    <row r="202" customFormat="false" ht="15" hidden="tru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23"/>
      <c r="G202" s="1" t="str">
        <f aca="false">IFERROR(IF(ISBLANK(INDEX(Backlog[HLE],MATCH($A202,Backlog[Requirement ID],0))),"",INDEX(Backlog[HLE],MATCH($A202,Backlog[Requirement ID],0))),"")</f>
        <v/>
      </c>
      <c r="H202" s="1" t="n">
        <f aca="false">IFERROR(VALUE(SUBSTITUTE($F202,"Sprint ","")),9999)</f>
        <v>9999</v>
      </c>
    </row>
    <row r="203" customFormat="false" ht="15" hidden="tru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23"/>
      <c r="G203" s="1" t="str">
        <f aca="false">IFERROR(IF(ISBLANK(INDEX(Backlog[HLE],MATCH($A203,Backlog[Requirement ID],0))),"",INDEX(Backlog[HLE],MATCH($A203,Backlog[Requirement ID],0))),"")</f>
        <v/>
      </c>
      <c r="H203" s="1" t="n">
        <f aca="false">IFERROR(VALUE(SUBSTITUTE($F203,"Sprint ","")),9999)</f>
        <v>9999</v>
      </c>
    </row>
    <row r="204" customFormat="false" ht="23.25" hidden="tru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23"/>
      <c r="G204" s="1" t="str">
        <f aca="false">IFERROR(IF(ISBLANK(INDEX(Backlog[HLE],MATCH($A204,Backlog[Requirement ID],0))),"",INDEX(Backlog[HLE],MATCH($A204,Backlog[Requirement ID],0))),"")</f>
        <v/>
      </c>
      <c r="H204" s="1" t="n">
        <f aca="false">IFERROR(VALUE(SUBSTITUTE($F204,"Sprint ","")),9999)</f>
        <v>9999</v>
      </c>
    </row>
    <row r="205" customFormat="false" ht="15" hidden="tru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23"/>
      <c r="G205" s="1" t="str">
        <f aca="false">IFERROR(IF(ISBLANK(INDEX(Backlog[HLE],MATCH($A205,Backlog[Requirement ID],0))),"",INDEX(Backlog[HLE],MATCH($A205,Backlog[Requirement ID],0))),"")</f>
        <v/>
      </c>
      <c r="H205" s="1" t="n">
        <f aca="false">IFERROR(VALUE(SUBSTITUTE($F205,"Sprint ","")),9999)</f>
        <v>9999</v>
      </c>
    </row>
    <row r="206" customFormat="false" ht="15" hidden="tru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23"/>
      <c r="G206" s="1" t="str">
        <f aca="false">IFERROR(IF(ISBLANK(INDEX(Backlog[HLE],MATCH($A206,Backlog[Requirement ID],0))),"",INDEX(Backlog[HLE],MATCH($A206,Backlog[Requirement ID],0))),"")</f>
        <v/>
      </c>
      <c r="H206" s="1" t="n">
        <f aca="false">IFERROR(VALUE(SUBSTITUTE($F206,"Sprint ","")),9999)</f>
        <v>9999</v>
      </c>
    </row>
    <row r="207" customFormat="false" ht="15" hidden="tru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23"/>
      <c r="G207" s="1" t="str">
        <f aca="false">IFERROR(IF(ISBLANK(INDEX(Backlog[HLE],MATCH($A207,Backlog[Requirement ID],0))),"",INDEX(Backlog[HLE],MATCH($A207,Backlog[Requirement ID],0))),"")</f>
        <v/>
      </c>
      <c r="H207" s="1" t="n">
        <f aca="false">IFERROR(VALUE(SUBSTITUTE($F207,"Sprint ","")),9999)</f>
        <v>9999</v>
      </c>
    </row>
    <row r="208" customFormat="false" ht="15" hidden="tru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23"/>
      <c r="G208" s="1" t="str">
        <f aca="false">IFERROR(IF(ISBLANK(INDEX(Backlog[HLE],MATCH($A208,Backlog[Requirement ID],0))),"",INDEX(Backlog[HLE],MATCH($A208,Backlog[Requirement ID],0))),"")</f>
        <v/>
      </c>
      <c r="H208" s="1" t="n">
        <f aca="false">IFERROR(VALUE(SUBSTITUTE($F208,"Sprint ","")),9999)</f>
        <v>9999</v>
      </c>
    </row>
    <row r="209" customFormat="false" ht="15" hidden="tru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23"/>
      <c r="G209" s="1" t="str">
        <f aca="false">IFERROR(IF(ISBLANK(INDEX(Backlog[HLE],MATCH($A209,Backlog[Requirement ID],0))),"",INDEX(Backlog[HLE],MATCH($A209,Backlog[Requirement ID],0))),"")</f>
        <v/>
      </c>
      <c r="H209" s="1" t="n">
        <f aca="false">IFERROR(VALUE(SUBSTITUTE($F209,"Sprint ","")),9999)</f>
        <v>9999</v>
      </c>
    </row>
    <row r="210" customFormat="false" ht="15" hidden="tru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23"/>
      <c r="G210" s="1" t="str">
        <f aca="false">IFERROR(IF(ISBLANK(INDEX(Backlog[HLE],MATCH($A210,Backlog[Requirement ID],0))),"",INDEX(Backlog[HLE],MATCH($A210,Backlog[Requirement ID],0))),"")</f>
        <v/>
      </c>
      <c r="H210" s="1" t="n">
        <f aca="false">IFERROR(VALUE(SUBSTITUTE($F210,"Sprint ","")),9999)</f>
        <v>9999</v>
      </c>
    </row>
    <row r="211" customFormat="false" ht="15" hidden="tru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23"/>
      <c r="G211" s="1" t="str">
        <f aca="false">IFERROR(IF(ISBLANK(INDEX(Backlog[HLE],MATCH($A211,Backlog[Requirement ID],0))),"",INDEX(Backlog[HLE],MATCH($A211,Backlog[Requirement ID],0))),"")</f>
        <v/>
      </c>
      <c r="H211" s="1" t="n">
        <f aca="false">IFERROR(VALUE(SUBSTITUTE($F211,"Sprint ","")),9999)</f>
        <v>9999</v>
      </c>
    </row>
    <row r="212" customFormat="false" ht="15" hidden="tru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23"/>
      <c r="G212" s="1" t="str">
        <f aca="false">IFERROR(IF(ISBLANK(INDEX(Backlog[HLE],MATCH($A212,Backlog[Requirement ID],0))),"",INDEX(Backlog[HLE],MATCH($A212,Backlog[Requirement ID],0))),"")</f>
        <v/>
      </c>
      <c r="H212" s="1" t="n">
        <f aca="false">IFERROR(VALUE(SUBSTITUTE($F212,"Sprint ","")),9999)</f>
        <v>9999</v>
      </c>
    </row>
    <row r="213" customFormat="false" ht="15" hidden="tru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23"/>
      <c r="G213" s="1" t="str">
        <f aca="false">IFERROR(IF(ISBLANK(INDEX(Backlog[HLE],MATCH($A213,Backlog[Requirement ID],0))),"",INDEX(Backlog[HLE],MATCH($A213,Backlog[Requirement ID],0))),"")</f>
        <v/>
      </c>
      <c r="H213" s="1" t="n">
        <f aca="false">IFERROR(VALUE(SUBSTITUTE($F213,"Sprint ","")),9999)</f>
        <v>9999</v>
      </c>
    </row>
    <row r="214" customFormat="false" ht="15" hidden="tru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23"/>
      <c r="G214" s="1" t="str">
        <f aca="false">IFERROR(IF(ISBLANK(INDEX(Backlog[HLE],MATCH($A214,Backlog[Requirement ID],0))),"",INDEX(Backlog[HLE],MATCH($A214,Backlog[Requirement ID],0))),"")</f>
        <v/>
      </c>
      <c r="H214" s="1" t="n">
        <f aca="false">IFERROR(VALUE(SUBSTITUTE($F214,"Sprint ","")),9999)</f>
        <v>9999</v>
      </c>
    </row>
    <row r="215" customFormat="false" ht="15" hidden="tru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23"/>
      <c r="G215" s="1" t="str">
        <f aca="false">IFERROR(IF(ISBLANK(INDEX(Backlog[HLE],MATCH($A215,Backlog[Requirement ID],0))),"",INDEX(Backlog[HLE],MATCH($A215,Backlog[Requirement ID],0))),"")</f>
        <v/>
      </c>
      <c r="H215" s="1" t="n">
        <f aca="false">IFERROR(VALUE(SUBSTITUTE($F215,"Sprint ","")),9999)</f>
        <v>9999</v>
      </c>
    </row>
    <row r="216" customFormat="false" ht="15" hidden="tru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23"/>
      <c r="G216" s="1" t="str">
        <f aca="false">IFERROR(IF(ISBLANK(INDEX(Backlog[HLE],MATCH($A216,Backlog[Requirement ID],0))),"",INDEX(Backlog[HLE],MATCH($A216,Backlog[Requirement ID],0))),"")</f>
        <v/>
      </c>
      <c r="H216" s="1" t="n">
        <f aca="false">IFERROR(VALUE(SUBSTITUTE($F216,"Sprint ","")),9999)</f>
        <v>9999</v>
      </c>
    </row>
    <row r="217" customFormat="false" ht="15" hidden="tru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23"/>
      <c r="G217" s="1" t="str">
        <f aca="false">IFERROR(IF(ISBLANK(INDEX(Backlog[HLE],MATCH($A217,Backlog[Requirement ID],0))),"",INDEX(Backlog[HLE],MATCH($A217,Backlog[Requirement ID],0))),"")</f>
        <v/>
      </c>
      <c r="H217" s="1" t="n">
        <f aca="false">IFERROR(VALUE(SUBSTITUTE($F217,"Sprint ","")),9999)</f>
        <v>9999</v>
      </c>
    </row>
    <row r="218" customFormat="false" ht="15" hidden="tru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23"/>
      <c r="G218" s="1" t="str">
        <f aca="false">IFERROR(IF(ISBLANK(INDEX(Backlog[HLE],MATCH($A218,Backlog[Requirement ID],0))),"",INDEX(Backlog[HLE],MATCH($A218,Backlog[Requirement ID],0))),"")</f>
        <v/>
      </c>
      <c r="H218" s="1" t="n">
        <f aca="false">IFERROR(VALUE(SUBSTITUTE($F218,"Sprint ","")),9999)</f>
        <v>9999</v>
      </c>
    </row>
    <row r="219" customFormat="false" ht="15" hidden="tru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23"/>
      <c r="G219" s="1" t="str">
        <f aca="false">IFERROR(IF(ISBLANK(INDEX(Backlog[HLE],MATCH($A219,Backlog[Requirement ID],0))),"",INDEX(Backlog[HLE],MATCH($A219,Backlog[Requirement ID],0))),"")</f>
        <v/>
      </c>
      <c r="H219" s="1" t="n">
        <f aca="false">IFERROR(VALUE(SUBSTITUTE($F219,"Sprint ","")),9999)</f>
        <v>9999</v>
      </c>
    </row>
    <row r="220" customFormat="false" ht="15" hidden="tru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23"/>
      <c r="G220" s="1" t="str">
        <f aca="false">IFERROR(IF(ISBLANK(INDEX(Backlog[HLE],MATCH($A220,Backlog[Requirement ID],0))),"",INDEX(Backlog[HLE],MATCH($A220,Backlog[Requirement ID],0))),"")</f>
        <v/>
      </c>
      <c r="H220" s="1" t="n">
        <f aca="false">IFERROR(VALUE(SUBSTITUTE($F220,"Sprint ","")),9999)</f>
        <v>9999</v>
      </c>
    </row>
    <row r="221" customFormat="false" ht="15" hidden="tru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23"/>
      <c r="G221" s="1" t="str">
        <f aca="false">IFERROR(IF(ISBLANK(INDEX(Backlog[HLE],MATCH($A221,Backlog[Requirement ID],0))),"",INDEX(Backlog[HLE],MATCH($A221,Backlog[Requirement ID],0))),"")</f>
        <v/>
      </c>
      <c r="H221" s="1" t="n">
        <f aca="false">IFERROR(VALUE(SUBSTITUTE($F221,"Sprint ","")),9999)</f>
        <v>9999</v>
      </c>
    </row>
    <row r="222" customFormat="false" ht="15" hidden="tru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23"/>
      <c r="G222" s="1" t="str">
        <f aca="false">IFERROR(IF(ISBLANK(INDEX(Backlog[HLE],MATCH($A222,Backlog[Requirement ID],0))),"",INDEX(Backlog[HLE],MATCH($A222,Backlog[Requirement ID],0))),"")</f>
        <v/>
      </c>
      <c r="H222" s="1" t="n">
        <f aca="false">IFERROR(VALUE(SUBSTITUTE($F222,"Sprint ","")),9999)</f>
        <v>9999</v>
      </c>
    </row>
    <row r="223" customFormat="false" ht="15" hidden="tru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23"/>
      <c r="G223" s="1" t="str">
        <f aca="false">IFERROR(IF(ISBLANK(INDEX(Backlog[HLE],MATCH($A223,Backlog[Requirement ID],0))),"",INDEX(Backlog[HLE],MATCH($A223,Backlog[Requirement ID],0))),"")</f>
        <v/>
      </c>
      <c r="H223" s="1" t="n">
        <f aca="false">IFERROR(VALUE(SUBSTITUTE($F223,"Sprint ","")),9999)</f>
        <v>9999</v>
      </c>
    </row>
    <row r="224" customFormat="false" ht="23.25" hidden="tru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23"/>
      <c r="G224" s="1" t="str">
        <f aca="false">IFERROR(IF(ISBLANK(INDEX(Backlog[HLE],MATCH($A224,Backlog[Requirement ID],0))),"",INDEX(Backlog[HLE],MATCH($A224,Backlog[Requirement ID],0))),"")</f>
        <v/>
      </c>
      <c r="H224" s="1" t="n">
        <f aca="false">IFERROR(VALUE(SUBSTITUTE($F224,"Sprint ","")),9999)</f>
        <v>9999</v>
      </c>
    </row>
    <row r="225" customFormat="false" ht="15" hidden="tru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23"/>
      <c r="G225" s="1" t="str">
        <f aca="false">IFERROR(IF(ISBLANK(INDEX(Backlog[HLE],MATCH($A225,Backlog[Requirement ID],0))),"",INDEX(Backlog[HLE],MATCH($A225,Backlog[Requirement ID],0))),"")</f>
        <v/>
      </c>
      <c r="H225" s="1" t="n">
        <f aca="false">IFERROR(VALUE(SUBSTITUTE($F225,"Sprint ","")),9999)</f>
        <v>9999</v>
      </c>
    </row>
    <row r="226" customFormat="false" ht="15" hidden="tru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23"/>
      <c r="G226" s="1" t="str">
        <f aca="false">IFERROR(IF(ISBLANK(INDEX(Backlog[HLE],MATCH($A226,Backlog[Requirement ID],0))),"",INDEX(Backlog[HLE],MATCH($A226,Backlog[Requirement ID],0))),"")</f>
        <v/>
      </c>
      <c r="H226" s="1" t="n">
        <f aca="false">IFERROR(VALUE(SUBSTITUTE($F226,"Sprint ","")),9999)</f>
        <v>9999</v>
      </c>
    </row>
    <row r="227" customFormat="false" ht="15" hidden="tru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23"/>
      <c r="G227" s="1" t="str">
        <f aca="false">IFERROR(IF(ISBLANK(INDEX(Backlog[HLE],MATCH($A227,Backlog[Requirement ID],0))),"",INDEX(Backlog[HLE],MATCH($A227,Backlog[Requirement ID],0))),"")</f>
        <v/>
      </c>
      <c r="H227" s="1" t="n">
        <f aca="false">IFERROR(VALUE(SUBSTITUTE($F227,"Sprint ","")),9999)</f>
        <v>9999</v>
      </c>
    </row>
    <row r="228" customFormat="false" ht="15" hidden="tru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23"/>
      <c r="G228" s="1" t="str">
        <f aca="false">IFERROR(IF(ISBLANK(INDEX(Backlog[HLE],MATCH($A228,Backlog[Requirement ID],0))),"",INDEX(Backlog[HLE],MATCH($A228,Backlog[Requirement ID],0))),"")</f>
        <v/>
      </c>
      <c r="H228" s="1" t="n">
        <f aca="false">IFERROR(VALUE(SUBSTITUTE($F228,"Sprint ","")),9999)</f>
        <v>9999</v>
      </c>
    </row>
    <row r="229" customFormat="false" ht="15" hidden="tru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23"/>
      <c r="G229" s="1" t="str">
        <f aca="false">IFERROR(IF(ISBLANK(INDEX(Backlog[HLE],MATCH($A229,Backlog[Requirement ID],0))),"",INDEX(Backlog[HLE],MATCH($A229,Backlog[Requirement ID],0))),"")</f>
        <v/>
      </c>
      <c r="H229" s="1" t="n">
        <f aca="false">IFERROR(VALUE(SUBSTITUTE($F229,"Sprint ","")),9999)</f>
        <v>9999</v>
      </c>
    </row>
    <row r="230" customFormat="false" ht="15" hidden="tru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23"/>
      <c r="G230" s="1" t="str">
        <f aca="false">IFERROR(IF(ISBLANK(INDEX(Backlog[HLE],MATCH($A230,Backlog[Requirement ID],0))),"",INDEX(Backlog[HLE],MATCH($A230,Backlog[Requirement ID],0))),"")</f>
        <v/>
      </c>
      <c r="H230" s="1" t="n">
        <f aca="false">IFERROR(VALUE(SUBSTITUTE($F230,"Sprint ","")),9999)</f>
        <v>9999</v>
      </c>
    </row>
    <row r="231" customFormat="false" ht="15" hidden="tru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23"/>
      <c r="G231" s="1" t="str">
        <f aca="false">IFERROR(IF(ISBLANK(INDEX(Backlog[HLE],MATCH($A231,Backlog[Requirement ID],0))),"",INDEX(Backlog[HLE],MATCH($A231,Backlog[Requirement ID],0))),"")</f>
        <v/>
      </c>
      <c r="H231" s="1" t="n">
        <f aca="false">IFERROR(VALUE(SUBSTITUTE($F231,"Sprint ","")),9999)</f>
        <v>9999</v>
      </c>
    </row>
    <row r="232" customFormat="false" ht="15" hidden="tru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23"/>
      <c r="G232" s="1" t="str">
        <f aca="false">IFERROR(IF(ISBLANK(INDEX(Backlog[HLE],MATCH($A232,Backlog[Requirement ID],0))),"",INDEX(Backlog[HLE],MATCH($A232,Backlog[Requirement ID],0))),"")</f>
        <v/>
      </c>
      <c r="H232" s="1" t="n">
        <f aca="false">IFERROR(VALUE(SUBSTITUTE($F232,"Sprint ","")),9999)</f>
        <v>9999</v>
      </c>
    </row>
    <row r="233" customFormat="false" ht="15" hidden="tru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23"/>
      <c r="G233" s="1" t="str">
        <f aca="false">IFERROR(IF(ISBLANK(INDEX(Backlog[HLE],MATCH($A233,Backlog[Requirement ID],0))),"",INDEX(Backlog[HLE],MATCH($A233,Backlog[Requirement ID],0))),"")</f>
        <v/>
      </c>
      <c r="H233" s="1" t="n">
        <f aca="false">IFERROR(VALUE(SUBSTITUTE($F233,"Sprint ","")),9999)</f>
        <v>9999</v>
      </c>
    </row>
    <row r="234" customFormat="false" ht="15" hidden="tru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23"/>
      <c r="G234" s="1" t="str">
        <f aca="false">IFERROR(IF(ISBLANK(INDEX(Backlog[HLE],MATCH($A234,Backlog[Requirement ID],0))),"",INDEX(Backlog[HLE],MATCH($A234,Backlog[Requirement ID],0))),"")</f>
        <v/>
      </c>
      <c r="H234" s="1" t="n">
        <f aca="false">IFERROR(VALUE(SUBSTITUTE($F234,"Sprint ","")),9999)</f>
        <v>9999</v>
      </c>
    </row>
    <row r="235" customFormat="false" ht="15" hidden="tru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23"/>
      <c r="G235" s="1" t="str">
        <f aca="false">IFERROR(IF(ISBLANK(INDEX(Backlog[HLE],MATCH($A235,Backlog[Requirement ID],0))),"",INDEX(Backlog[HLE],MATCH($A235,Backlog[Requirement ID],0))),"")</f>
        <v/>
      </c>
      <c r="H235" s="1" t="n">
        <f aca="false">IFERROR(VALUE(SUBSTITUTE($F235,"Sprint ","")),9999)</f>
        <v>9999</v>
      </c>
    </row>
    <row r="236" customFormat="false" ht="15" hidden="tru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23"/>
      <c r="G236" s="1" t="str">
        <f aca="false">IFERROR(IF(ISBLANK(INDEX(Backlog[HLE],MATCH($A236,Backlog[Requirement ID],0))),"",INDEX(Backlog[HLE],MATCH($A236,Backlog[Requirement ID],0))),"")</f>
        <v/>
      </c>
      <c r="H236" s="1" t="n">
        <f aca="false">IFERROR(VALUE(SUBSTITUTE($F236,"Sprint ","")),9999)</f>
        <v>9999</v>
      </c>
    </row>
    <row r="237" customFormat="false" ht="15" hidden="tru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23"/>
      <c r="G237" s="1" t="str">
        <f aca="false">IFERROR(IF(ISBLANK(INDEX(Backlog[HLE],MATCH($A237,Backlog[Requirement ID],0))),"",INDEX(Backlog[HLE],MATCH($A237,Backlog[Requirement ID],0))),"")</f>
        <v/>
      </c>
      <c r="H237" s="1" t="n">
        <f aca="false">IFERROR(VALUE(SUBSTITUTE($F237,"Sprint ","")),9999)</f>
        <v>9999</v>
      </c>
    </row>
    <row r="238" customFormat="false" ht="15" hidden="tru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23"/>
      <c r="G238" s="1" t="str">
        <f aca="false">IFERROR(IF(ISBLANK(INDEX(Backlog[HLE],MATCH($A238,Backlog[Requirement ID],0))),"",INDEX(Backlog[HLE],MATCH($A238,Backlog[Requirement ID],0))),"")</f>
        <v/>
      </c>
      <c r="H238" s="1" t="n">
        <f aca="false">IFERROR(VALUE(SUBSTITUTE($F238,"Sprint ","")),9999)</f>
        <v>9999</v>
      </c>
    </row>
    <row r="239" customFormat="false" ht="15" hidden="tru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23"/>
      <c r="G239" s="1" t="str">
        <f aca="false">IFERROR(IF(ISBLANK(INDEX(Backlog[HLE],MATCH($A239,Backlog[Requirement ID],0))),"",INDEX(Backlog[HLE],MATCH($A239,Backlog[Requirement ID],0))),"")</f>
        <v/>
      </c>
      <c r="H239" s="1" t="n">
        <f aca="false">IFERROR(VALUE(SUBSTITUTE($F239,"Sprint ","")),9999)</f>
        <v>9999</v>
      </c>
    </row>
    <row r="240" customFormat="false" ht="15" hidden="tru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23"/>
      <c r="G240" s="1" t="str">
        <f aca="false">IFERROR(IF(ISBLANK(INDEX(Backlog[HLE],MATCH($A240,Backlog[Requirement ID],0))),"",INDEX(Backlog[HLE],MATCH($A240,Backlog[Requirement ID],0))),"")</f>
        <v/>
      </c>
      <c r="H240" s="1" t="n">
        <f aca="false">IFERROR(VALUE(SUBSTITUTE($F240,"Sprint ","")),9999)</f>
        <v>9999</v>
      </c>
    </row>
    <row r="241" customFormat="false" ht="15" hidden="tru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23"/>
      <c r="G241" s="1" t="str">
        <f aca="false">IFERROR(IF(ISBLANK(INDEX(Backlog[HLE],MATCH($A241,Backlog[Requirement ID],0))),"",INDEX(Backlog[HLE],MATCH($A241,Backlog[Requirement ID],0))),"")</f>
        <v/>
      </c>
      <c r="H241" s="1" t="n">
        <f aca="false">IFERROR(VALUE(SUBSTITUTE($F241,"Sprint ","")),9999)</f>
        <v>9999</v>
      </c>
    </row>
    <row r="242" customFormat="false" ht="15" hidden="tru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23"/>
      <c r="G242" s="1" t="str">
        <f aca="false">IFERROR(IF(ISBLANK(INDEX(Backlog[HLE],MATCH($A242,Backlog[Requirement ID],0))),"",INDEX(Backlog[HLE],MATCH($A242,Backlog[Requirement ID],0))),"")</f>
        <v/>
      </c>
      <c r="H242" s="1" t="n">
        <f aca="false">IFERROR(VALUE(SUBSTITUTE($F242,"Sprint ","")),9999)</f>
        <v>9999</v>
      </c>
    </row>
    <row r="243" customFormat="false" ht="15" hidden="tru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23"/>
      <c r="G243" s="1" t="str">
        <f aca="false">IFERROR(IF(ISBLANK(INDEX(Backlog[HLE],MATCH($A243,Backlog[Requirement ID],0))),"",INDEX(Backlog[HLE],MATCH($A243,Backlog[Requirement ID],0))),"")</f>
        <v/>
      </c>
      <c r="H243" s="1" t="n">
        <f aca="false">IFERROR(VALUE(SUBSTITUTE($F243,"Sprint ","")),9999)</f>
        <v>9999</v>
      </c>
    </row>
    <row r="244" customFormat="false" ht="15" hidden="tru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23"/>
      <c r="G244" s="1" t="str">
        <f aca="false">IFERROR(IF(ISBLANK(INDEX(Backlog[HLE],MATCH($A244,Backlog[Requirement ID],0))),"",INDEX(Backlog[HLE],MATCH($A244,Backlog[Requirement ID],0))),"")</f>
        <v/>
      </c>
      <c r="H244" s="1" t="n">
        <f aca="false">IFERROR(VALUE(SUBSTITUTE($F244,"Sprint ","")),9999)</f>
        <v>9999</v>
      </c>
    </row>
    <row r="245" customFormat="false" ht="15" hidden="tru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23"/>
      <c r="G245" s="1" t="str">
        <f aca="false">IFERROR(IF(ISBLANK(INDEX(Backlog[HLE],MATCH($A245,Backlog[Requirement ID],0))),"",INDEX(Backlog[HLE],MATCH($A245,Backlog[Requirement ID],0))),"")</f>
        <v/>
      </c>
      <c r="H245" s="1" t="n">
        <f aca="false">IFERROR(VALUE(SUBSTITUTE($F245,"Sprint ","")),9999)</f>
        <v>9999</v>
      </c>
    </row>
    <row r="246" customFormat="false" ht="15" hidden="tru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23"/>
      <c r="G246" s="1" t="str">
        <f aca="false">IFERROR(IF(ISBLANK(INDEX(Backlog[HLE],MATCH($A246,Backlog[Requirement ID],0))),"",INDEX(Backlog[HLE],MATCH($A246,Backlog[Requirement ID],0))),"")</f>
        <v/>
      </c>
      <c r="H246" s="1" t="n">
        <f aca="false">IFERROR(VALUE(SUBSTITUTE($F246,"Sprint ","")),9999)</f>
        <v>9999</v>
      </c>
    </row>
    <row r="247" customFormat="false" ht="15" hidden="tru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23"/>
      <c r="G247" s="1" t="str">
        <f aca="false">IFERROR(IF(ISBLANK(INDEX(Backlog[HLE],MATCH($A247,Backlog[Requirement ID],0))),"",INDEX(Backlog[HLE],MATCH($A247,Backlog[Requirement ID],0))),"")</f>
        <v/>
      </c>
      <c r="H247" s="1" t="n">
        <f aca="false">IFERROR(VALUE(SUBSTITUTE($F247,"Sprint ","")),9999)</f>
        <v>9999</v>
      </c>
    </row>
    <row r="248" customFormat="false" ht="15" hidden="tru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23"/>
      <c r="G248" s="1" t="str">
        <f aca="false">IFERROR(IF(ISBLANK(INDEX(Backlog[HLE],MATCH($A248,Backlog[Requirement ID],0))),"",INDEX(Backlog[HLE],MATCH($A248,Backlog[Requirement ID],0))),"")</f>
        <v/>
      </c>
      <c r="H248" s="1" t="n">
        <f aca="false">IFERROR(VALUE(SUBSTITUTE($F248,"Sprint ","")),9999)</f>
        <v>9999</v>
      </c>
    </row>
    <row r="249" customFormat="false" ht="15" hidden="tru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23"/>
      <c r="G249" s="1" t="str">
        <f aca="false">IFERROR(IF(ISBLANK(INDEX(Backlog[HLE],MATCH($A249,Backlog[Requirement ID],0))),"",INDEX(Backlog[HLE],MATCH($A249,Backlog[Requirement ID],0))),"")</f>
        <v/>
      </c>
      <c r="H249" s="1" t="n">
        <f aca="false">IFERROR(VALUE(SUBSTITUTE($F249,"Sprint ","")),9999)</f>
        <v>9999</v>
      </c>
    </row>
    <row r="250" customFormat="false" ht="15" hidden="tru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23"/>
      <c r="G250" s="1" t="str">
        <f aca="false">IFERROR(IF(ISBLANK(INDEX(Backlog[HLE],MATCH($A250,Backlog[Requirement ID],0))),"",INDEX(Backlog[HLE],MATCH($A250,Backlog[Requirement ID],0))),"")</f>
        <v/>
      </c>
      <c r="H250" s="1" t="n">
        <f aca="false">IFERROR(VALUE(SUBSTITUTE($F250,"Sprint ","")),9999)</f>
        <v>9999</v>
      </c>
    </row>
    <row r="251" customFormat="false" ht="15" hidden="tru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23"/>
      <c r="G251" s="1" t="str">
        <f aca="false">IFERROR(IF(ISBLANK(INDEX(Backlog[HLE],MATCH($A251,Backlog[Requirement ID],0))),"",INDEX(Backlog[HLE],MATCH($A251,Backlog[Requirement ID],0))),"")</f>
        <v/>
      </c>
      <c r="H251" s="1" t="n">
        <f aca="false">IFERROR(VALUE(SUBSTITUTE($F251,"Sprint ","")),9999)</f>
        <v>9999</v>
      </c>
    </row>
    <row r="252" customFormat="false" ht="15" hidden="tru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23"/>
      <c r="G252" s="1" t="str">
        <f aca="false">IFERROR(IF(ISBLANK(INDEX(Backlog[HLE],MATCH($A252,Backlog[Requirement ID],0))),"",INDEX(Backlog[HLE],MATCH($A252,Backlog[Requirement ID],0))),"")</f>
        <v/>
      </c>
      <c r="H252" s="1" t="n">
        <f aca="false">IFERROR(VALUE(SUBSTITUTE($F252,"Sprint ","")),9999)</f>
        <v>9999</v>
      </c>
    </row>
    <row r="253" customFormat="false" ht="15" hidden="tru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23"/>
      <c r="G253" s="1" t="str">
        <f aca="false">IFERROR(IF(ISBLANK(INDEX(Backlog[HLE],MATCH($A253,Backlog[Requirement ID],0))),"",INDEX(Backlog[HLE],MATCH($A253,Backlog[Requirement ID],0))),"")</f>
        <v/>
      </c>
      <c r="H253" s="1" t="n">
        <f aca="false">IFERROR(VALUE(SUBSTITUTE($F253,"Sprint ","")),9999)</f>
        <v>9999</v>
      </c>
    </row>
    <row r="254" customFormat="false" ht="15" hidden="tru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23"/>
      <c r="G254" s="1" t="str">
        <f aca="false">IFERROR(IF(ISBLANK(INDEX(Backlog[HLE],MATCH($A254,Backlog[Requirement ID],0))),"",INDEX(Backlog[HLE],MATCH($A254,Backlog[Requirement ID],0))),"")</f>
        <v/>
      </c>
      <c r="H254" s="1" t="n">
        <f aca="false">IFERROR(VALUE(SUBSTITUTE($F254,"Sprint ","")),9999)</f>
        <v>9999</v>
      </c>
    </row>
    <row r="255" customFormat="false" ht="15" hidden="tru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23"/>
      <c r="G255" s="1" t="str">
        <f aca="false">IFERROR(IF(ISBLANK(INDEX(Backlog[HLE],MATCH($A255,Backlog[Requirement ID],0))),"",INDEX(Backlog[HLE],MATCH($A255,Backlog[Requirement ID],0))),"")</f>
        <v/>
      </c>
      <c r="H255" s="1" t="n">
        <f aca="false">IFERROR(VALUE(SUBSTITUTE($F255,"Sprint ","")),9999)</f>
        <v>9999</v>
      </c>
    </row>
    <row r="256" customFormat="false" ht="15" hidden="tru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23"/>
      <c r="G256" s="1" t="str">
        <f aca="false">IFERROR(IF(ISBLANK(INDEX(Backlog[HLE],MATCH($A256,Backlog[Requirement ID],0))),"",INDEX(Backlog[HLE],MATCH($A256,Backlog[Requirement ID],0))),"")</f>
        <v/>
      </c>
      <c r="H256" s="1" t="n">
        <f aca="false">IFERROR(VALUE(SUBSTITUTE($F256,"Sprint ","")),9999)</f>
        <v>9999</v>
      </c>
    </row>
    <row r="257" customFormat="false" ht="15" hidden="tru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23"/>
      <c r="G257" s="1" t="str">
        <f aca="false">IFERROR(IF(ISBLANK(INDEX(Backlog[HLE],MATCH($A257,Backlog[Requirement ID],0))),"",INDEX(Backlog[HLE],MATCH($A257,Backlog[Requirement ID],0))),"")</f>
        <v/>
      </c>
      <c r="H257" s="1" t="n">
        <f aca="false">IFERROR(VALUE(SUBSTITUTE($F257,"Sprint ","")),9999)</f>
        <v>9999</v>
      </c>
    </row>
    <row r="258" customFormat="false" ht="15" hidden="tru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23"/>
      <c r="G258" s="1" t="str">
        <f aca="false">IFERROR(IF(ISBLANK(INDEX(Backlog[HLE],MATCH($A258,Backlog[Requirement ID],0))),"",INDEX(Backlog[HLE],MATCH($A258,Backlog[Requirement ID],0))),"")</f>
        <v/>
      </c>
      <c r="H258" s="1" t="n">
        <f aca="false">IFERROR(VALUE(SUBSTITUTE($F258,"Sprint ","")),9999)</f>
        <v>9999</v>
      </c>
    </row>
    <row r="259" customFormat="false" ht="15" hidden="tru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23"/>
      <c r="G259" s="1" t="str">
        <f aca="false">IFERROR(IF(ISBLANK(INDEX(Backlog[HLE],MATCH($A259,Backlog[Requirement ID],0))),"",INDEX(Backlog[HLE],MATCH($A259,Backlog[Requirement ID],0))),"")</f>
        <v/>
      </c>
      <c r="H259" s="1" t="n">
        <f aca="false">IFERROR(VALUE(SUBSTITUTE($F259,"Sprint ","")),9999)</f>
        <v>9999</v>
      </c>
    </row>
    <row r="260" customFormat="false" ht="15" hidden="tru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23"/>
      <c r="G260" s="1" t="str">
        <f aca="false">IFERROR(IF(ISBLANK(INDEX(Backlog[HLE],MATCH($A260,Backlog[Requirement ID],0))),"",INDEX(Backlog[HLE],MATCH($A260,Backlog[Requirement ID],0))),"")</f>
        <v/>
      </c>
      <c r="H260" s="1" t="n">
        <f aca="false">IFERROR(VALUE(SUBSTITUTE($F260,"Sprint ","")),9999)</f>
        <v>9999</v>
      </c>
    </row>
    <row r="261" customFormat="false" ht="15" hidden="tru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23"/>
      <c r="G261" s="1" t="str">
        <f aca="false">IFERROR(IF(ISBLANK(INDEX(Backlog[HLE],MATCH($A261,Backlog[Requirement ID],0))),"",INDEX(Backlog[HLE],MATCH($A261,Backlog[Requirement ID],0))),"")</f>
        <v/>
      </c>
      <c r="H261" s="1" t="n">
        <f aca="false">IFERROR(VALUE(SUBSTITUTE($F261,"Sprint ","")),9999)</f>
        <v>9999</v>
      </c>
    </row>
    <row r="262" customFormat="false" ht="15" hidden="tru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23"/>
      <c r="G262" s="1" t="str">
        <f aca="false">IFERROR(IF(ISBLANK(INDEX(Backlog[HLE],MATCH($A262,Backlog[Requirement ID],0))),"",INDEX(Backlog[HLE],MATCH($A262,Backlog[Requirement ID],0))),"")</f>
        <v/>
      </c>
      <c r="H262" s="1" t="n">
        <f aca="false">IFERROR(VALUE(SUBSTITUTE($F262,"Sprint ","")),9999)</f>
        <v>9999</v>
      </c>
    </row>
    <row r="263" customFormat="false" ht="15" hidden="tru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23"/>
      <c r="G263" s="1" t="str">
        <f aca="false">IFERROR(IF(ISBLANK(INDEX(Backlog[HLE],MATCH($A263,Backlog[Requirement ID],0))),"",INDEX(Backlog[HLE],MATCH($A263,Backlog[Requirement ID],0))),"")</f>
        <v/>
      </c>
      <c r="H263" s="1" t="n">
        <f aca="false">IFERROR(VALUE(SUBSTITUTE($F263,"Sprint ","")),9999)</f>
        <v>9999</v>
      </c>
    </row>
    <row r="264" customFormat="false" ht="15" hidden="tru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23"/>
      <c r="G264" s="1" t="str">
        <f aca="false">IFERROR(IF(ISBLANK(INDEX(Backlog[HLE],MATCH($A264,Backlog[Requirement ID],0))),"",INDEX(Backlog[HLE],MATCH($A264,Backlog[Requirement ID],0))),"")</f>
        <v/>
      </c>
      <c r="H264" s="1" t="n">
        <f aca="false">IFERROR(VALUE(SUBSTITUTE($F264,"Sprint ","")),9999)</f>
        <v>9999</v>
      </c>
    </row>
    <row r="265" customFormat="false" ht="15" hidden="tru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23"/>
      <c r="G265" s="1" t="str">
        <f aca="false">IFERROR(IF(ISBLANK(INDEX(Backlog[HLE],MATCH($A265,Backlog[Requirement ID],0))),"",INDEX(Backlog[HLE],MATCH($A265,Backlog[Requirement ID],0))),"")</f>
        <v/>
      </c>
      <c r="H265" s="1" t="n">
        <f aca="false">IFERROR(VALUE(SUBSTITUTE($F265,"Sprint ","")),9999)</f>
        <v>9999</v>
      </c>
    </row>
    <row r="266" customFormat="false" ht="15" hidden="tru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23"/>
      <c r="G266" s="1" t="str">
        <f aca="false">IFERROR(IF(ISBLANK(INDEX(Backlog[HLE],MATCH($A266,Backlog[Requirement ID],0))),"",INDEX(Backlog[HLE],MATCH($A266,Backlog[Requirement ID],0))),"")</f>
        <v/>
      </c>
      <c r="H266" s="1" t="n">
        <f aca="false">IFERROR(VALUE(SUBSTITUTE($F266,"Sprint ","")),9999)</f>
        <v>9999</v>
      </c>
    </row>
    <row r="267" customFormat="false" ht="15" hidden="tru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23"/>
      <c r="G267" s="1" t="str">
        <f aca="false">IFERROR(IF(ISBLANK(INDEX(Backlog[HLE],MATCH($A267,Backlog[Requirement ID],0))),"",INDEX(Backlog[HLE],MATCH($A267,Backlog[Requirement ID],0))),"")</f>
        <v/>
      </c>
      <c r="H267" s="1" t="n">
        <f aca="false">IFERROR(VALUE(SUBSTITUTE($F267,"Sprint ","")),9999)</f>
        <v>9999</v>
      </c>
    </row>
    <row r="268" customFormat="false" ht="15" hidden="tru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23"/>
      <c r="G268" s="1" t="str">
        <f aca="false">IFERROR(IF(ISBLANK(INDEX(Backlog[HLE],MATCH($A268,Backlog[Requirement ID],0))),"",INDEX(Backlog[HLE],MATCH($A268,Backlog[Requirement ID],0))),"")</f>
        <v/>
      </c>
      <c r="H268" s="1" t="n">
        <f aca="false">IFERROR(VALUE(SUBSTITUTE($F268,"Sprint ","")),9999)</f>
        <v>9999</v>
      </c>
    </row>
    <row r="269" customFormat="false" ht="15" hidden="tru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23"/>
      <c r="G269" s="1" t="str">
        <f aca="false">IFERROR(IF(ISBLANK(INDEX(Backlog[HLE],MATCH($A269,Backlog[Requirement ID],0))),"",INDEX(Backlog[HLE],MATCH($A269,Backlog[Requirement ID],0))),"")</f>
        <v/>
      </c>
      <c r="H269" s="1" t="n">
        <f aca="false">IFERROR(VALUE(SUBSTITUTE($F269,"Sprint ","")),9999)</f>
        <v>9999</v>
      </c>
    </row>
    <row r="270" customFormat="false" ht="15" hidden="tru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23"/>
      <c r="G270" s="1" t="str">
        <f aca="false">IFERROR(IF(ISBLANK(INDEX(Backlog[HLE],MATCH($A270,Backlog[Requirement ID],0))),"",INDEX(Backlog[HLE],MATCH($A270,Backlog[Requirement ID],0))),"")</f>
        <v/>
      </c>
      <c r="H270" s="1" t="n">
        <f aca="false">IFERROR(VALUE(SUBSTITUTE($F270,"Sprint ","")),9999)</f>
        <v>9999</v>
      </c>
    </row>
    <row r="271" customFormat="false" ht="15" hidden="tru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23"/>
      <c r="G271" s="1" t="str">
        <f aca="false">IFERROR(IF(ISBLANK(INDEX(Backlog[HLE],MATCH($A271,Backlog[Requirement ID],0))),"",INDEX(Backlog[HLE],MATCH($A271,Backlog[Requirement ID],0))),"")</f>
        <v/>
      </c>
      <c r="H271" s="1" t="n">
        <f aca="false">IFERROR(VALUE(SUBSTITUTE($F271,"Sprint ","")),9999)</f>
        <v>9999</v>
      </c>
    </row>
    <row r="272" customFormat="false" ht="15" hidden="tru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23"/>
      <c r="G272" s="1" t="str">
        <f aca="false">IFERROR(IF(ISBLANK(INDEX(Backlog[HLE],MATCH($A272,Backlog[Requirement ID],0))),"",INDEX(Backlog[HLE],MATCH($A272,Backlog[Requirement ID],0))),"")</f>
        <v/>
      </c>
      <c r="H272" s="1" t="n">
        <f aca="false">IFERROR(VALUE(SUBSTITUTE($F272,"Sprint ","")),9999)</f>
        <v>9999</v>
      </c>
    </row>
    <row r="273" customFormat="false" ht="15" hidden="tru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23"/>
      <c r="G273" s="1" t="str">
        <f aca="false">IFERROR(IF(ISBLANK(INDEX(Backlog[HLE],MATCH($A273,Backlog[Requirement ID],0))),"",INDEX(Backlog[HLE],MATCH($A273,Backlog[Requirement ID],0))),"")</f>
        <v/>
      </c>
      <c r="H273" s="1" t="n">
        <f aca="false">IFERROR(VALUE(SUBSTITUTE($F273,"Sprint ","")),9999)</f>
        <v>9999</v>
      </c>
    </row>
    <row r="274" customFormat="false" ht="15" hidden="tru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23"/>
      <c r="G274" s="1" t="str">
        <f aca="false">IFERROR(IF(ISBLANK(INDEX(Backlog[HLE],MATCH($A274,Backlog[Requirement ID],0))),"",INDEX(Backlog[HLE],MATCH($A274,Backlog[Requirement ID],0))),"")</f>
        <v/>
      </c>
      <c r="H274" s="1" t="n">
        <f aca="false">IFERROR(VALUE(SUBSTITUTE($F274,"Sprint ","")),9999)</f>
        <v>9999</v>
      </c>
    </row>
    <row r="275" customFormat="false" ht="15" hidden="tru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23"/>
      <c r="G275" s="1" t="str">
        <f aca="false">IFERROR(IF(ISBLANK(INDEX(Backlog[HLE],MATCH($A275,Backlog[Requirement ID],0))),"",INDEX(Backlog[HLE],MATCH($A275,Backlog[Requirement ID],0))),"")</f>
        <v/>
      </c>
      <c r="H275" s="1" t="n">
        <f aca="false">IFERROR(VALUE(SUBSTITUTE($F275,"Sprint ","")),9999)</f>
        <v>9999</v>
      </c>
    </row>
    <row r="276" customFormat="false" ht="15" hidden="tru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23"/>
      <c r="G276" s="1" t="str">
        <f aca="false">IFERROR(IF(ISBLANK(INDEX(Backlog[HLE],MATCH($A276,Backlog[Requirement ID],0))),"",INDEX(Backlog[HLE],MATCH($A276,Backlog[Requirement ID],0))),"")</f>
        <v/>
      </c>
      <c r="H276" s="1" t="n">
        <f aca="false">IFERROR(VALUE(SUBSTITUTE($F276,"Sprint ","")),9999)</f>
        <v>9999</v>
      </c>
    </row>
    <row r="277" customFormat="false" ht="15" hidden="tru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23"/>
      <c r="G277" s="1" t="str">
        <f aca="false">IFERROR(IF(ISBLANK(INDEX(Backlog[HLE],MATCH($A277,Backlog[Requirement ID],0))),"",INDEX(Backlog[HLE],MATCH($A277,Backlog[Requirement ID],0))),"")</f>
        <v/>
      </c>
      <c r="H277" s="1" t="n">
        <f aca="false">IFERROR(VALUE(SUBSTITUTE($F277,"Sprint ","")),9999)</f>
        <v>9999</v>
      </c>
    </row>
    <row r="278" customFormat="false" ht="15" hidden="tru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23"/>
      <c r="G278" s="1" t="str">
        <f aca="false">IFERROR(IF(ISBLANK(INDEX(Backlog[HLE],MATCH($A278,Backlog[Requirement ID],0))),"",INDEX(Backlog[HLE],MATCH($A278,Backlog[Requirement ID],0))),"")</f>
        <v/>
      </c>
      <c r="H278" s="1" t="n">
        <f aca="false">IFERROR(VALUE(SUBSTITUTE($F278,"Sprint ","")),9999)</f>
        <v>9999</v>
      </c>
    </row>
    <row r="279" customFormat="false" ht="15" hidden="tru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23"/>
      <c r="G279" s="1" t="str">
        <f aca="false">IFERROR(IF(ISBLANK(INDEX(Backlog[HLE],MATCH($A279,Backlog[Requirement ID],0))),"",INDEX(Backlog[HLE],MATCH($A279,Backlog[Requirement ID],0))),"")</f>
        <v/>
      </c>
      <c r="H279" s="1" t="n">
        <f aca="false">IFERROR(VALUE(SUBSTITUTE($F279,"Sprint ","")),9999)</f>
        <v>9999</v>
      </c>
    </row>
    <row r="280" customFormat="false" ht="15" hidden="tru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23"/>
      <c r="G280" s="1" t="str">
        <f aca="false">IFERROR(IF(ISBLANK(INDEX(Backlog[HLE],MATCH($A280,Backlog[Requirement ID],0))),"",INDEX(Backlog[HLE],MATCH($A280,Backlog[Requirement ID],0))),"")</f>
        <v/>
      </c>
      <c r="H280" s="1" t="n">
        <f aca="false">IFERROR(VALUE(SUBSTITUTE($F280,"Sprint ","")),9999)</f>
        <v>9999</v>
      </c>
    </row>
    <row r="281" customFormat="false" ht="15" hidden="tru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23"/>
      <c r="G281" s="1" t="str">
        <f aca="false">IFERROR(IF(ISBLANK(INDEX(Backlog[HLE],MATCH($A281,Backlog[Requirement ID],0))),"",INDEX(Backlog[HLE],MATCH($A281,Backlog[Requirement ID],0))),"")</f>
        <v/>
      </c>
      <c r="H281" s="1" t="n">
        <f aca="false">IFERROR(VALUE(SUBSTITUTE($F281,"Sprint ","")),9999)</f>
        <v>9999</v>
      </c>
    </row>
    <row r="282" customFormat="false" ht="15" hidden="tru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23"/>
      <c r="G282" s="1" t="str">
        <f aca="false">IFERROR(IF(ISBLANK(INDEX(Backlog[HLE],MATCH($A282,Backlog[Requirement ID],0))),"",INDEX(Backlog[HLE],MATCH($A282,Backlog[Requirement ID],0))),"")</f>
        <v/>
      </c>
      <c r="H282" s="1" t="n">
        <f aca="false">IFERROR(VALUE(SUBSTITUTE($F282,"Sprint ","")),9999)</f>
        <v>9999</v>
      </c>
    </row>
    <row r="283" customFormat="false" ht="15" hidden="tru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23"/>
      <c r="G283" s="1" t="str">
        <f aca="false">IFERROR(IF(ISBLANK(INDEX(Backlog[HLE],MATCH($A283,Backlog[Requirement ID],0))),"",INDEX(Backlog[HLE],MATCH($A283,Backlog[Requirement ID],0))),"")</f>
        <v/>
      </c>
      <c r="H283" s="1" t="n">
        <f aca="false">IFERROR(VALUE(SUBSTITUTE($F283,"Sprint ","")),9999)</f>
        <v>9999</v>
      </c>
    </row>
    <row r="284" customFormat="false" ht="15" hidden="tru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23"/>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F285" s="23"/>
    </row>
    <row r="286" customFormat="false" ht="15" hidden="false" customHeight="true" outlineLevel="0" collapsed="false"/>
    <row r="287" customFormat="false" ht="15" hidden="false" customHeight="true" outlineLevel="0" collapsed="false"/>
    <row r="288" customFormat="false" ht="15" hidden="false" customHeight="true" outlineLevel="0" collapsed="false">
      <c r="F288" s="23"/>
    </row>
    <row r="289" customFormat="false" ht="15" hidden="false" customHeight="true" outlineLevel="0" collapsed="false">
      <c r="F289" s="23"/>
    </row>
    <row r="290" customFormat="false" ht="15" hidden="false" customHeight="true" outlineLevel="0" collapsed="false">
      <c r="F290" s="23"/>
    </row>
    <row r="291" customFormat="false" ht="15" hidden="false" customHeight="true" outlineLevel="0" collapsed="false">
      <c r="F291" s="23"/>
    </row>
    <row r="292" customFormat="false" ht="15" hidden="false" customHeight="true" outlineLevel="0" collapsed="false">
      <c r="F292" s="23"/>
    </row>
    <row r="293" customFormat="false" ht="15" hidden="false" customHeight="true" outlineLevel="0" collapsed="false">
      <c r="F293" s="23"/>
    </row>
    <row r="294" customFormat="false" ht="15" hidden="false" customHeight="true" outlineLevel="0" collapsed="false">
      <c r="F294" s="23"/>
    </row>
    <row r="295" customFormat="false" ht="15" hidden="false" customHeight="true" outlineLevel="0" collapsed="false">
      <c r="F295" s="23"/>
    </row>
    <row r="296" customFormat="false" ht="15" hidden="false" customHeight="true" outlineLevel="0" collapsed="false">
      <c r="F296" s="23"/>
    </row>
    <row r="297" customFormat="false" ht="15" hidden="false" customHeight="true" outlineLevel="0" collapsed="false">
      <c r="F297" s="23"/>
    </row>
    <row r="298" customFormat="false" ht="15" hidden="false" customHeight="true" outlineLevel="0" collapsed="false">
      <c r="F298" s="23"/>
    </row>
    <row r="299" customFormat="false" ht="15" hidden="false" customHeight="true" outlineLevel="0" collapsed="false">
      <c r="F299" s="23"/>
    </row>
    <row r="300" customFormat="false" ht="15" hidden="false" customHeight="true" outlineLevel="0" collapsed="false">
      <c r="F300" s="23"/>
    </row>
    <row r="301" customFormat="false" ht="15" hidden="false" customHeight="true" outlineLevel="0" collapsed="false">
      <c r="F301" s="23"/>
    </row>
    <row r="302" customFormat="false" ht="15" hidden="false" customHeight="true" outlineLevel="0" collapsed="false">
      <c r="F302" s="23"/>
    </row>
    <row r="303" customFormat="false" ht="15" hidden="false" customHeight="true" outlineLevel="0" collapsed="false">
      <c r="F303" s="23"/>
    </row>
    <row r="304" customFormat="false" ht="15" hidden="false" customHeight="true" outlineLevel="0" collapsed="false">
      <c r="F304" s="23"/>
    </row>
    <row r="305" customFormat="false" ht="15" hidden="false" customHeight="true" outlineLevel="0" collapsed="false">
      <c r="F305" s="23"/>
    </row>
    <row r="306" customFormat="false" ht="15" hidden="false" customHeight="true" outlineLevel="0" collapsed="false">
      <c r="F306" s="23"/>
    </row>
    <row r="307" customFormat="false" ht="15" hidden="false" customHeight="true" outlineLevel="0" collapsed="false">
      <c r="F307" s="23"/>
    </row>
    <row r="308" customFormat="false" ht="15" hidden="false" customHeight="true" outlineLevel="0" collapsed="false">
      <c r="F308" s="23"/>
    </row>
    <row r="309" customFormat="false" ht="15" hidden="false" customHeight="true" outlineLevel="0" collapsed="false">
      <c r="F309" s="23"/>
    </row>
    <row r="310" customFormat="false" ht="15" hidden="false" customHeight="true" outlineLevel="0" collapsed="false">
      <c r="F310" s="23"/>
    </row>
    <row r="311" customFormat="false" ht="15" hidden="false" customHeight="true" outlineLevel="0" collapsed="false">
      <c r="F311" s="23"/>
    </row>
    <row r="312" customFormat="false" ht="15" hidden="false" customHeight="true" outlineLevel="0" collapsed="false">
      <c r="F312" s="23"/>
    </row>
    <row r="313" customFormat="false" ht="15" hidden="false" customHeight="true" outlineLevel="0" collapsed="false">
      <c r="F313" s="23"/>
    </row>
    <row r="314" customFormat="false" ht="15" hidden="false" customHeight="true" outlineLevel="0" collapsed="false">
      <c r="F314" s="23"/>
    </row>
    <row r="315" customFormat="false" ht="15" hidden="false" customHeight="true" outlineLevel="0" collapsed="false">
      <c r="F315" s="23"/>
    </row>
    <row r="316" customFormat="false" ht="15" hidden="false" customHeight="true" outlineLevel="0" collapsed="false">
      <c r="F316" s="23"/>
    </row>
    <row r="317" customFormat="false" ht="15" hidden="false" customHeight="true" outlineLevel="0" collapsed="false">
      <c r="F317" s="23"/>
    </row>
    <row r="318" customFormat="false" ht="15" hidden="false" customHeight="true" outlineLevel="0" collapsed="false">
      <c r="F318" s="23"/>
    </row>
    <row r="319" customFormat="false" ht="15" hidden="false" customHeight="true" outlineLevel="0" collapsed="false">
      <c r="F319" s="23"/>
    </row>
    <row r="320" customFormat="false" ht="15" hidden="false" customHeight="true" outlineLevel="0" collapsed="false">
      <c r="F320" s="23"/>
    </row>
    <row r="321" customFormat="false" ht="15" hidden="false" customHeight="true" outlineLevel="0" collapsed="false">
      <c r="F321" s="23"/>
    </row>
    <row r="322" customFormat="false" ht="15" hidden="false" customHeight="true" outlineLevel="0" collapsed="false">
      <c r="F322" s="23"/>
    </row>
    <row r="323" customFormat="false" ht="15" hidden="false" customHeight="true" outlineLevel="0" collapsed="false">
      <c r="F323" s="23"/>
    </row>
    <row r="324" customFormat="false" ht="15" hidden="false" customHeight="true" outlineLevel="0" collapsed="false">
      <c r="F324" s="23"/>
    </row>
    <row r="325" customFormat="false" ht="15" hidden="false" customHeight="true" outlineLevel="0" collapsed="false">
      <c r="F325" s="23"/>
    </row>
    <row r="326" customFormat="false" ht="15" hidden="false" customHeight="true" outlineLevel="0" collapsed="false">
      <c r="F326" s="23"/>
    </row>
    <row r="327" customFormat="false" ht="15" hidden="false" customHeight="true" outlineLevel="0" collapsed="false">
      <c r="F327" s="23"/>
    </row>
    <row r="328" customFormat="false" ht="15" hidden="false" customHeight="true" outlineLevel="0" collapsed="false">
      <c r="F328" s="23"/>
    </row>
    <row r="329" customFormat="false" ht="15" hidden="false" customHeight="true" outlineLevel="0" collapsed="false">
      <c r="F329" s="23"/>
    </row>
    <row r="330" customFormat="false" ht="15" hidden="false" customHeight="true" outlineLevel="0" collapsed="false">
      <c r="F330" s="23"/>
    </row>
    <row r="331" customFormat="false" ht="15" hidden="false" customHeight="true" outlineLevel="0" collapsed="false">
      <c r="F331" s="23"/>
    </row>
    <row r="332" customFormat="false" ht="15" hidden="false" customHeight="true" outlineLevel="0" collapsed="false">
      <c r="F332" s="23"/>
    </row>
    <row r="333" customFormat="false" ht="15" hidden="false" customHeight="true" outlineLevel="0" collapsed="false">
      <c r="F333" s="23"/>
    </row>
    <row r="334" customFormat="false" ht="15" hidden="false" customHeight="true" outlineLevel="0" collapsed="false">
      <c r="F334" s="23"/>
    </row>
    <row r="335" customFormat="false" ht="15" hidden="false" customHeight="true" outlineLevel="0" collapsed="false">
      <c r="F335" s="23"/>
    </row>
    <row r="336" customFormat="false" ht="15" hidden="false" customHeight="true" outlineLevel="0" collapsed="false">
      <c r="F336" s="23"/>
    </row>
    <row r="337" customFormat="false" ht="15" hidden="false" customHeight="true" outlineLevel="0" collapsed="false">
      <c r="F337" s="23"/>
    </row>
    <row r="338" customFormat="false" ht="15" hidden="false" customHeight="true" outlineLevel="0" collapsed="false">
      <c r="F338" s="23"/>
    </row>
    <row r="339" customFormat="false" ht="15" hidden="false" customHeight="true" outlineLevel="0" collapsed="false">
      <c r="F339" s="23"/>
    </row>
    <row r="340" customFormat="false" ht="15" hidden="false" customHeight="true" outlineLevel="0" collapsed="false">
      <c r="F340" s="23"/>
    </row>
    <row r="341" customFormat="false" ht="15" hidden="false" customHeight="true" outlineLevel="0" collapsed="false">
      <c r="F341" s="23"/>
    </row>
    <row r="342" customFormat="false" ht="15" hidden="false" customHeight="true" outlineLevel="0" collapsed="false">
      <c r="F342" s="23"/>
    </row>
    <row r="343" customFormat="false" ht="15" hidden="false" customHeight="true" outlineLevel="0" collapsed="false">
      <c r="F343" s="23"/>
    </row>
    <row r="344" customFormat="false" ht="15" hidden="false" customHeight="true" outlineLevel="0" collapsed="false">
      <c r="F344" s="23"/>
    </row>
    <row r="345" customFormat="false" ht="15" hidden="false" customHeight="true" outlineLevel="0" collapsed="false">
      <c r="F345" s="23"/>
    </row>
    <row r="346" customFormat="false" ht="15" hidden="false" customHeight="true" outlineLevel="0" collapsed="false">
      <c r="F346" s="23"/>
    </row>
    <row r="347" customFormat="false" ht="15" hidden="false" customHeight="true" outlineLevel="0" collapsed="false">
      <c r="F347" s="23"/>
    </row>
    <row r="348" customFormat="false" ht="15" hidden="false" customHeight="true" outlineLevel="0" collapsed="false">
      <c r="F348" s="23"/>
    </row>
    <row r="349" customFormat="false" ht="15" hidden="false" customHeight="true" outlineLevel="0" collapsed="false">
      <c r="F349" s="23"/>
    </row>
    <row r="350" customFormat="false" ht="15" hidden="false" customHeight="true" outlineLevel="0" collapsed="false">
      <c r="F350" s="23"/>
    </row>
    <row r="351" customFormat="false" ht="15" hidden="false" customHeight="true" outlineLevel="0" collapsed="false">
      <c r="F351" s="23"/>
    </row>
    <row r="352" customFormat="false" ht="15" hidden="false" customHeight="true" outlineLevel="0" collapsed="false">
      <c r="F352" s="23"/>
    </row>
    <row r="353" customFormat="false" ht="15" hidden="false" customHeight="true" outlineLevel="0" collapsed="false">
      <c r="F353" s="23"/>
    </row>
    <row r="354" customFormat="false" ht="15" hidden="false" customHeight="true" outlineLevel="0" collapsed="false">
      <c r="F354" s="23"/>
    </row>
    <row r="355" customFormat="false" ht="15" hidden="false" customHeight="true" outlineLevel="0" collapsed="false">
      <c r="F355" s="23"/>
    </row>
    <row r="356" customFormat="false" ht="15" hidden="false" customHeight="true" outlineLevel="0" collapsed="false">
      <c r="F356" s="23"/>
    </row>
    <row r="357" customFormat="false" ht="15" hidden="false" customHeight="true" outlineLevel="0" collapsed="false">
      <c r="F357" s="23"/>
    </row>
    <row r="358" customFormat="false" ht="15" hidden="false" customHeight="true" outlineLevel="0" collapsed="false">
      <c r="F358" s="23"/>
    </row>
    <row r="359" customFormat="false" ht="15" hidden="false" customHeight="true" outlineLevel="0" collapsed="false">
      <c r="F359" s="23"/>
    </row>
    <row r="360" customFormat="false" ht="15" hidden="false" customHeight="true" outlineLevel="0" collapsed="false">
      <c r="F360" s="23"/>
    </row>
    <row r="361" customFormat="false" ht="15" hidden="false" customHeight="true" outlineLevel="0" collapsed="false">
      <c r="F361" s="23"/>
    </row>
    <row r="362" customFormat="false" ht="15" hidden="false" customHeight="true" outlineLevel="0" collapsed="false">
      <c r="F362" s="23"/>
    </row>
    <row r="363" customFormat="false" ht="15" hidden="false" customHeight="true" outlineLevel="0" collapsed="false">
      <c r="F363" s="23"/>
    </row>
    <row r="364" customFormat="false" ht="15" hidden="false" customHeight="true" outlineLevel="0" collapsed="false">
      <c r="F364" s="23"/>
    </row>
    <row r="365" customFormat="false" ht="15" hidden="false" customHeight="true" outlineLevel="0" collapsed="false">
      <c r="F365" s="23"/>
    </row>
    <row r="366" customFormat="false" ht="15" hidden="false" customHeight="true" outlineLevel="0" collapsed="false">
      <c r="F366" s="23"/>
    </row>
    <row r="367" customFormat="false" ht="15" hidden="false" customHeight="true" outlineLevel="0" collapsed="false">
      <c r="F367" s="23"/>
    </row>
    <row r="368" customFormat="false" ht="15" hidden="false" customHeight="true" outlineLevel="0" collapsed="false">
      <c r="F368" s="23"/>
    </row>
    <row r="369" customFormat="false" ht="15" hidden="false" customHeight="true" outlineLevel="0" collapsed="false">
      <c r="F369" s="23"/>
    </row>
    <row r="370" customFormat="false" ht="15" hidden="false" customHeight="true" outlineLevel="0" collapsed="false">
      <c r="F370" s="23"/>
    </row>
    <row r="371" customFormat="false" ht="15" hidden="false" customHeight="true" outlineLevel="0" collapsed="false">
      <c r="F371" s="23"/>
    </row>
    <row r="372" customFormat="false" ht="15" hidden="false" customHeight="true" outlineLevel="0" collapsed="false">
      <c r="F372" s="23"/>
    </row>
    <row r="373" customFormat="false" ht="15" hidden="false" customHeight="true" outlineLevel="0" collapsed="false">
      <c r="F373" s="23"/>
    </row>
    <row r="374" customFormat="false" ht="15" hidden="false" customHeight="true" outlineLevel="0" collapsed="false">
      <c r="F374" s="23"/>
    </row>
    <row r="375" customFormat="false" ht="15" hidden="false" customHeight="true" outlineLevel="0" collapsed="false">
      <c r="F375" s="23"/>
    </row>
    <row r="376" customFormat="false" ht="15" hidden="false" customHeight="true" outlineLevel="0" collapsed="false">
      <c r="F376" s="23"/>
    </row>
    <row r="377" customFormat="false" ht="15" hidden="false" customHeight="true" outlineLevel="0" collapsed="false">
      <c r="F377" s="23"/>
    </row>
    <row r="378" customFormat="false" ht="15" hidden="false" customHeight="true" outlineLevel="0" collapsed="false">
      <c r="F378" s="23"/>
    </row>
    <row r="379" customFormat="false" ht="15" hidden="false" customHeight="true" outlineLevel="0" collapsed="false">
      <c r="F379" s="23"/>
    </row>
    <row r="380" customFormat="false" ht="15" hidden="false" customHeight="true" outlineLevel="0" collapsed="false">
      <c r="F380" s="23"/>
    </row>
    <row r="381" customFormat="false" ht="15" hidden="false" customHeight="true" outlineLevel="0" collapsed="false">
      <c r="F381" s="23"/>
    </row>
    <row r="382" customFormat="false" ht="15" hidden="false" customHeight="true" outlineLevel="0" collapsed="false">
      <c r="F382" s="23"/>
    </row>
    <row r="383" customFormat="false" ht="15" hidden="false" customHeight="true" outlineLevel="0" collapsed="false">
      <c r="F383" s="23"/>
    </row>
    <row r="384" customFormat="false" ht="15" hidden="false" customHeight="true" outlineLevel="0" collapsed="false">
      <c r="F384" s="23"/>
    </row>
    <row r="385" customFormat="false" ht="15" hidden="false" customHeight="true" outlineLevel="0" collapsed="false">
      <c r="F385" s="23"/>
    </row>
    <row r="386" customFormat="false" ht="15" hidden="false" customHeight="true" outlineLevel="0" collapsed="false">
      <c r="F386" s="23"/>
    </row>
    <row r="387" customFormat="false" ht="15" hidden="false" customHeight="true" outlineLevel="0" collapsed="false">
      <c r="F387" s="23"/>
    </row>
    <row r="388" customFormat="false" ht="15" hidden="false" customHeight="true" outlineLevel="0" collapsed="false">
      <c r="F388" s="23"/>
    </row>
    <row r="389" customFormat="false" ht="15" hidden="false" customHeight="true" outlineLevel="0" collapsed="false">
      <c r="F389" s="23"/>
    </row>
    <row r="390" customFormat="false" ht="15" hidden="false" customHeight="true" outlineLevel="0" collapsed="false">
      <c r="F390" s="23"/>
    </row>
    <row r="391" customFormat="false" ht="15" hidden="false" customHeight="true" outlineLevel="0" collapsed="false">
      <c r="F391" s="23"/>
    </row>
    <row r="392" customFormat="false" ht="15" hidden="false" customHeight="true" outlineLevel="0" collapsed="false">
      <c r="F392" s="23"/>
    </row>
    <row r="393" customFormat="false" ht="15" hidden="false" customHeight="true" outlineLevel="0" collapsed="false">
      <c r="F393" s="23"/>
    </row>
    <row r="394" customFormat="false" ht="15" hidden="false" customHeight="true" outlineLevel="0" collapsed="false">
      <c r="F394" s="23"/>
    </row>
    <row r="395" customFormat="false" ht="15" hidden="false" customHeight="true" outlineLevel="0" collapsed="false">
      <c r="F395" s="23"/>
    </row>
    <row r="396" customFormat="false" ht="15" hidden="false" customHeight="true" outlineLevel="0" collapsed="false">
      <c r="F396" s="23"/>
    </row>
    <row r="397" customFormat="false" ht="15" hidden="false" customHeight="true" outlineLevel="0" collapsed="false">
      <c r="F397" s="23"/>
    </row>
    <row r="398" customFormat="false" ht="15" hidden="false" customHeight="true" outlineLevel="0" collapsed="false">
      <c r="F398" s="23"/>
    </row>
    <row r="399" customFormat="false" ht="15" hidden="false" customHeight="true" outlineLevel="0" collapsed="false">
      <c r="F399" s="23"/>
    </row>
    <row r="400" customFormat="false" ht="15" hidden="false" customHeight="true" outlineLevel="0" collapsed="false">
      <c r="F400" s="23"/>
    </row>
    <row r="401" customFormat="false" ht="15" hidden="false" customHeight="true" outlineLevel="0" collapsed="false">
      <c r="F401" s="23"/>
    </row>
    <row r="402" customFormat="false" ht="15" hidden="false" customHeight="true" outlineLevel="0" collapsed="false">
      <c r="F402" s="23"/>
    </row>
    <row r="403" customFormat="false" ht="15" hidden="false" customHeight="true" outlineLevel="0" collapsed="false">
      <c r="F403" s="23"/>
    </row>
    <row r="404" customFormat="false" ht="15" hidden="false" customHeight="true" outlineLevel="0" collapsed="false">
      <c r="F404" s="23"/>
    </row>
    <row r="405" customFormat="false" ht="15" hidden="false" customHeight="true" outlineLevel="0" collapsed="false">
      <c r="F405" s="23"/>
    </row>
    <row r="406" customFormat="false" ht="15" hidden="false" customHeight="true" outlineLevel="0" collapsed="false">
      <c r="F406" s="23"/>
    </row>
    <row r="407" customFormat="false" ht="15" hidden="false" customHeight="true" outlineLevel="0" collapsed="false">
      <c r="F407" s="23"/>
    </row>
    <row r="408" customFormat="false" ht="15" hidden="false" customHeight="true" outlineLevel="0" collapsed="false">
      <c r="F408" s="23"/>
    </row>
    <row r="409" customFormat="false" ht="15" hidden="false" customHeight="true" outlineLevel="0" collapsed="false">
      <c r="F409" s="23"/>
    </row>
    <row r="410" customFormat="false" ht="15" hidden="false" customHeight="true" outlineLevel="0" collapsed="false">
      <c r="F410" s="23"/>
    </row>
    <row r="411" customFormat="false" ht="15" hidden="false" customHeight="true" outlineLevel="0" collapsed="false">
      <c r="F411" s="23"/>
    </row>
    <row r="412" customFormat="false" ht="15" hidden="false" customHeight="true" outlineLevel="0" collapsed="false">
      <c r="F412" s="23"/>
    </row>
    <row r="413" customFormat="false" ht="15" hidden="false" customHeight="true" outlineLevel="0" collapsed="false">
      <c r="F413" s="23"/>
    </row>
    <row r="414" customFormat="false" ht="15" hidden="false" customHeight="true" outlineLevel="0" collapsed="false">
      <c r="F414" s="23"/>
    </row>
    <row r="415" customFormat="false" ht="15" hidden="false" customHeight="true" outlineLevel="0" collapsed="false">
      <c r="F415" s="23"/>
    </row>
    <row r="416" customFormat="false" ht="15" hidden="false" customHeight="true" outlineLevel="0" collapsed="false">
      <c r="F416" s="23"/>
    </row>
    <row r="417" customFormat="false" ht="15" hidden="false" customHeight="true" outlineLevel="0" collapsed="false">
      <c r="F417" s="23"/>
    </row>
    <row r="418" customFormat="false" ht="15" hidden="false" customHeight="true" outlineLevel="0" collapsed="false">
      <c r="F418" s="23"/>
    </row>
    <row r="419" customFormat="false" ht="15" hidden="false" customHeight="true" outlineLevel="0" collapsed="false">
      <c r="F419" s="23"/>
    </row>
    <row r="420" customFormat="false" ht="15" hidden="false" customHeight="true" outlineLevel="0" collapsed="false">
      <c r="F420" s="23"/>
    </row>
    <row r="421" customFormat="false" ht="15" hidden="false" customHeight="true" outlineLevel="0" collapsed="false">
      <c r="F421" s="23"/>
    </row>
    <row r="422" customFormat="false" ht="15" hidden="false" customHeight="true" outlineLevel="0" collapsed="false">
      <c r="F422" s="23"/>
    </row>
    <row r="423" customFormat="false" ht="15" hidden="false" customHeight="true" outlineLevel="0" collapsed="false">
      <c r="F423" s="23"/>
    </row>
    <row r="424" customFormat="false" ht="15" hidden="false" customHeight="true" outlineLevel="0" collapsed="false">
      <c r="F424" s="23"/>
    </row>
    <row r="425" customFormat="false" ht="15" hidden="false" customHeight="true" outlineLevel="0" collapsed="false">
      <c r="F425" s="23"/>
    </row>
    <row r="426" customFormat="false" ht="15" hidden="false" customHeight="true" outlineLevel="0" collapsed="false">
      <c r="F426" s="23"/>
    </row>
    <row r="427" customFormat="false" ht="15" hidden="false" customHeight="true" outlineLevel="0" collapsed="false">
      <c r="F427" s="23"/>
    </row>
    <row r="428" customFormat="false" ht="15" hidden="false" customHeight="true" outlineLevel="0" collapsed="false">
      <c r="F428" s="23"/>
    </row>
    <row r="429" customFormat="false" ht="15" hidden="false" customHeight="true" outlineLevel="0" collapsed="false">
      <c r="F429" s="23"/>
    </row>
    <row r="430" customFormat="false" ht="15" hidden="false" customHeight="true" outlineLevel="0" collapsed="false">
      <c r="F430" s="23"/>
    </row>
    <row r="431" customFormat="false" ht="15" hidden="false" customHeight="true" outlineLevel="0" collapsed="false">
      <c r="F431" s="23"/>
    </row>
    <row r="432" customFormat="false" ht="15" hidden="false" customHeight="true" outlineLevel="0" collapsed="false">
      <c r="F432" s="23"/>
    </row>
    <row r="433" customFormat="false" ht="15" hidden="false" customHeight="true" outlineLevel="0" collapsed="false">
      <c r="F433" s="23"/>
    </row>
    <row r="434" customFormat="false" ht="15" hidden="false" customHeight="true" outlineLevel="0" collapsed="false">
      <c r="F434" s="23"/>
    </row>
    <row r="435" customFormat="false" ht="15" hidden="false" customHeight="true" outlineLevel="0" collapsed="false">
      <c r="F435" s="23"/>
    </row>
    <row r="436" customFormat="false" ht="15" hidden="false" customHeight="true" outlineLevel="0" collapsed="false">
      <c r="F436" s="23"/>
    </row>
    <row r="437" customFormat="false" ht="15" hidden="false" customHeight="true" outlineLevel="0" collapsed="false">
      <c r="F437" s="23"/>
    </row>
    <row r="438" customFormat="false" ht="15" hidden="false" customHeight="true" outlineLevel="0" collapsed="false">
      <c r="F438" s="23"/>
    </row>
    <row r="439" customFormat="false" ht="15" hidden="false" customHeight="true" outlineLevel="0" collapsed="false">
      <c r="F439" s="23"/>
    </row>
    <row r="440" customFormat="false" ht="15" hidden="false" customHeight="true" outlineLevel="0" collapsed="false">
      <c r="F440" s="23"/>
    </row>
    <row r="441" customFormat="false" ht="15" hidden="false" customHeight="true" outlineLevel="0" collapsed="false">
      <c r="F441" s="23"/>
    </row>
    <row r="442" customFormat="false" ht="15" hidden="false" customHeight="true" outlineLevel="0" collapsed="false">
      <c r="F442" s="23"/>
    </row>
    <row r="443" customFormat="false" ht="15" hidden="false" customHeight="true" outlineLevel="0" collapsed="false">
      <c r="F443" s="23"/>
    </row>
    <row r="444" customFormat="false" ht="15" hidden="false" customHeight="true" outlineLevel="0" collapsed="false">
      <c r="F444" s="23"/>
    </row>
    <row r="445" customFormat="false" ht="15" hidden="false" customHeight="true" outlineLevel="0" collapsed="false">
      <c r="F445" s="23"/>
    </row>
    <row r="446" customFormat="false" ht="15" hidden="false" customHeight="true" outlineLevel="0" collapsed="false">
      <c r="F446" s="23"/>
    </row>
    <row r="447" customFormat="false" ht="15" hidden="false" customHeight="true" outlineLevel="0" collapsed="false">
      <c r="F447" s="23"/>
    </row>
    <row r="448" customFormat="false" ht="15" hidden="false" customHeight="true" outlineLevel="0" collapsed="false">
      <c r="F448" s="23"/>
    </row>
    <row r="449" customFormat="false" ht="15" hidden="false" customHeight="true" outlineLevel="0" collapsed="false">
      <c r="F449" s="23"/>
    </row>
    <row r="450" customFormat="false" ht="15" hidden="false" customHeight="true" outlineLevel="0" collapsed="false">
      <c r="F450" s="23"/>
    </row>
    <row r="451" customFormat="false" ht="15" hidden="false" customHeight="true" outlineLevel="0" collapsed="false">
      <c r="F451" s="23"/>
    </row>
    <row r="452" customFormat="false" ht="15" hidden="false" customHeight="true" outlineLevel="0" collapsed="false">
      <c r="F452" s="23"/>
    </row>
    <row r="453" customFormat="false" ht="15" hidden="false" customHeight="true" outlineLevel="0" collapsed="false">
      <c r="F453" s="23"/>
    </row>
    <row r="454" customFormat="false" ht="15" hidden="false" customHeight="true" outlineLevel="0" collapsed="false">
      <c r="F454" s="23"/>
    </row>
    <row r="455" customFormat="false" ht="15" hidden="false" customHeight="true" outlineLevel="0" collapsed="false">
      <c r="F455" s="23"/>
    </row>
    <row r="456" customFormat="false" ht="15" hidden="false" customHeight="true" outlineLevel="0" collapsed="false">
      <c r="F456" s="23"/>
    </row>
    <row r="457" customFormat="false" ht="15" hidden="false" customHeight="true" outlineLevel="0" collapsed="false">
      <c r="F457" s="23"/>
    </row>
    <row r="458" customFormat="false" ht="15" hidden="false" customHeight="true" outlineLevel="0" collapsed="false">
      <c r="F458" s="23"/>
    </row>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sheetData>
  <mergeCells count="1">
    <mergeCell ref="I1:J1"/>
  </mergeCells>
  <conditionalFormatting sqref="A2:H285 A286:E287 A288:H958 G286:H287">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conditionalFormatting sqref="F286">
    <cfRule type="expression" priority="10" aboveAverage="0" equalAverage="0" bottom="0" percent="0" rank="0" text="" dxfId="10">
      <formula>$C287="US"</formula>
    </cfRule>
    <cfRule type="expression" priority="11" aboveAverage="0" equalAverage="0" bottom="0" percent="0" rank="0" text="" dxfId="11">
      <formula>$C287="MyMSC"</formula>
    </cfRule>
    <cfRule type="expression" priority="12" aboveAverage="0" equalAverage="0" bottom="0" percent="0" rank="0" text="" dxfId="12">
      <formula>$C287="Rollout"</formula>
    </cfRule>
    <cfRule type="expression" priority="13" aboveAverage="0" equalAverage="0" bottom="0" percent="0" rank="0" text="" dxfId="12">
      <formula>$C287="MVP Rollout"</formula>
    </cfRule>
    <cfRule type="expression" priority="14" aboveAverage="0" equalAverage="0" bottom="0" percent="0" rank="0" text="" dxfId="13">
      <formula>$C287="Backlog"</formula>
    </cfRule>
    <cfRule type="expression" priority="15" aboveAverage="0" equalAverage="0" bottom="0" percent="0" rank="0" text="" dxfId="13">
      <formula>$C287="Growth"</formula>
    </cfRule>
    <cfRule type="expression" priority="16" aboveAverage="0" equalAverage="0" bottom="0" percent="0" rank="0" text="" dxfId="14">
      <formula>$C287="Tech Enhancements"</formula>
    </cfRule>
    <cfRule type="expression" priority="17" aboveAverage="0" equalAverage="0" bottom="0" percent="0" rank="0" text="" dxfId="15">
      <formula>LEFT($C287,2)="PI"</formula>
    </cfRule>
  </conditionalFormatting>
  <dataValidations count="1">
    <dataValidation allowBlank="true" errorStyle="stop" operator="between" showDropDown="false" showErrorMessage="false" showInputMessage="false" sqref="F2:F286 F288:F45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77"/>
  <sheetViews>
    <sheetView showFormulas="false" showGridLines="true" showRowColHeaders="true" showZeros="true" rightToLeft="false" tabSelected="true" showOutlineSymbols="true" defaultGridColor="true" view="normal" topLeftCell="A1" colorId="64" zoomScale="125" zoomScaleNormal="125" zoomScalePageLayoutView="100" workbookViewId="0">
      <pane xSplit="0" ySplit="1" topLeftCell="A205" activePane="bottomLeft" state="frozen"/>
      <selection pane="topLeft" activeCell="A1" activeCellId="0" sqref="A1"/>
      <selection pane="bottomLeft" activeCell="K207" activeCellId="0" sqref="K20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51.42"/>
    <col collapsed="false" customWidth="true" hidden="false" outlineLevel="0" max="3" min="3" style="1" width="12"/>
    <col collapsed="false" customWidth="true" hidden="false" outlineLevel="0" max="4" min="4" style="1" width="49"/>
    <col collapsed="false" customWidth="true" hidden="false" outlineLevel="0" max="5" min="5" style="1" width="14.14"/>
    <col collapsed="false" customWidth="true" hidden="false" outlineLevel="0" max="6" min="6" style="1" width="14"/>
    <col collapsed="false" customWidth="true" hidden="false" outlineLevel="0" max="7" min="7" style="56" width="14"/>
    <col collapsed="false" customWidth="true" hidden="false" outlineLevel="0" max="8" min="8" style="56" width="17"/>
    <col collapsed="false" customWidth="true" hidden="false" outlineLevel="0" max="9" min="9" style="56" width="16"/>
    <col collapsed="false" customWidth="true" hidden="false" outlineLevel="0" max="10" min="10" style="1" width="12"/>
    <col collapsed="false" customWidth="true" hidden="false" outlineLevel="0" max="11" min="11" style="1" width="20.29"/>
    <col collapsed="false" customWidth="true" hidden="false" outlineLevel="0" max="12" min="12" style="1" width="12"/>
    <col collapsed="false" customWidth="true" hidden="false" outlineLevel="0" max="13" min="13" style="1" width="15.85"/>
    <col collapsed="false" customWidth="true" hidden="false" outlineLevel="0" max="14" min="14" style="1" width="48.42"/>
  </cols>
  <sheetData>
    <row r="1" customFormat="false" ht="27.75" hidden="false" customHeight="true" outlineLevel="0" collapsed="false">
      <c r="A1" s="21" t="s">
        <v>66</v>
      </c>
      <c r="B1" s="22" t="s">
        <v>67</v>
      </c>
      <c r="C1" s="22" t="s">
        <v>69</v>
      </c>
      <c r="D1" s="22" t="s">
        <v>78</v>
      </c>
      <c r="E1" s="22" t="s">
        <v>71</v>
      </c>
      <c r="F1" s="22" t="s">
        <v>74</v>
      </c>
      <c r="G1" s="57" t="s">
        <v>429</v>
      </c>
      <c r="H1" s="57" t="s">
        <v>430</v>
      </c>
      <c r="I1" s="57" t="s">
        <v>431</v>
      </c>
      <c r="J1" s="22" t="s">
        <v>72</v>
      </c>
      <c r="K1" s="21" t="s">
        <v>432</v>
      </c>
      <c r="L1" s="21" t="s">
        <v>433</v>
      </c>
      <c r="M1" s="21" t="s">
        <v>434</v>
      </c>
      <c r="N1" s="58" t="s">
        <v>79</v>
      </c>
    </row>
    <row r="2" customFormat="false" ht="15" hidden="true" customHeight="true" outlineLevel="0" collapsed="false">
      <c r="A2" s="30" t="str">
        <f aca="false">Backlog!A2</f>
        <v>NEW-0267</v>
      </c>
      <c r="B2" s="59" t="str">
        <f aca="false">IFERROR(IF(ISBLANK(INDEX(Backlog[Requirement Name],MATCH($A2,Backlog[Requirement ID],0))),"",INDEX(Backlog[Requirement Name],MATCH($A2,Backlog[Requirement ID],0))),"")</f>
        <v>Outbound leads - Abandoned Cart - Replacement of Salescycle</v>
      </c>
      <c r="C2" s="30" t="str">
        <f aca="false">IFERROR(IF(ISBLANK(INDEX(Backlog[Stream],MATCH($A2,Backlog[Requirement ID],0))),"",INDEX(Backlog[Stream],MATCH($A2,Backlog[Requirement ID],0))),"")</f>
        <v>US</v>
      </c>
      <c r="D2" s="30" t="str">
        <f aca="false">IFERROR(IF(ISBLANK(INDEX(Backlog[Jira Link],MATCH($A2,Backlog[Requirement ID],0))),"",INDEX(Backlog[Jira Link],MATCH($A2,Backlog[Requirement ID],0))),"")</f>
        <v/>
      </c>
      <c r="E2" s="30" t="str">
        <f aca="false">IFERROR(IF(ISBLANK(INDEX(Backlog[Status],MATCH($A2,Backlog[Requirement ID],0))),"",INDEX(Backlog[Status],MATCH($A2,Backlog[Requirement ID],0))),"")</f>
        <v>ON HOLD</v>
      </c>
      <c r="F2" s="30" t="str">
        <f aca="false">IFERROR(IF(ISBLANK(INDEX(SprintPlanning[Sprint],MATCH($A2,SprintPlanning[Requirement ID],0))),"",INDEX(SprintPlanning[Sprint],MATCH($A2,SprintPlanning[Requirement ID],0))),"")</f>
        <v>To Plan</v>
      </c>
      <c r="G2" s="60"/>
      <c r="H2" s="61"/>
      <c r="I2" s="60"/>
      <c r="J2" s="30" t="str">
        <f aca="false">IFERROR(IF(ISBLANK(INDEX(Backlog[Priority],MATCH($A2,Backlog[Requirement ID],0))),"",INDEX(Backlog[Priority],MATCH($A2,Backlog[Requirement ID],0))),"")</f>
        <v>Medium</v>
      </c>
      <c r="K2" s="62" t="s">
        <v>435</v>
      </c>
      <c r="L2" s="1" t="str">
        <f aca="false">IFERROR(IF(ISBLANK(INDEX(Backlog[HLE],MATCH($A2,Backlog[Requirement ID],0))),"",IF(INDEX(Backlog[HLE],MATCH($A2,Backlog[Requirement ID],0))&lt;=5,0.5,IF(INDEX(Backlog[HLE],MATCH($A2,Backlog[Requirement ID],0))&lt;=8,1,IF(INDEX(Backlog[HLE],MATCH($A2,Backlog[Requirement ID],0))&lt;=13,2,IF(INDEX(Backlog[HLE],MATCH($A2,Backlog[Requirement ID],0))&lt;=20,3,5))))),"")</f>
        <v/>
      </c>
      <c r="M2" s="30"/>
    </row>
    <row r="3" customFormat="false" ht="15" hidden="false" customHeight="true" outlineLevel="0" collapsed="false">
      <c r="A3" s="30" t="str">
        <f aca="false">Backlog!A3</f>
        <v>NEW-0064</v>
      </c>
      <c r="B3" s="59" t="str">
        <f aca="false">IFERROR(IF(ISBLANK(INDEX(Backlog[Requirement Name],MATCH($A3,Backlog[Requirement ID],0))),"",INDEX(Backlog[Requirement Name],MATCH($A3,Backlog[Requirement ID],0))),"")</f>
        <v>ZAF Rollout - Market Configurations in CHAIN1 &amp; CHAIN2 and PROD</v>
      </c>
      <c r="C3" s="30" t="str">
        <f aca="false">IFERROR(IF(ISBLANK(INDEX(Backlog[Stream],MATCH($A3,Backlog[Requirement ID],0))),"",INDEX(Backlog[Stream],MATCH($A3,Backlog[Requirement ID],0))),"")</f>
        <v>MVP Rollout</v>
      </c>
      <c r="D3" s="30" t="str">
        <f aca="false">IFERROR(IF(ISBLANK(INDEX(Backlog[Jira Link],MATCH($A3,Backlog[Requirement ID],0))),"",INDEX(Backlog[Jira Link],MATCH($A3,Backlog[Requirement ID],0))),"")</f>
        <v>https://smartship.atlassian.net/browse/DTTP25-41351</v>
      </c>
      <c r="E3" s="30" t="str">
        <f aca="false">IFERROR(IF(ISBLANK(INDEX(Backlog[Status],MATCH($A3,Backlog[Requirement ID],0))),"",INDEX(Backlog[Status],MATCH($A3,Backlog[Requirement ID],0))),"")</f>
        <v>NEW</v>
      </c>
      <c r="F3" s="30" t="str">
        <f aca="false">IFERROR(IF(ISBLANK(INDEX(SprintPlanning[Sprint],MATCH($A3,SprintPlanning[Requirement ID],0))),"",INDEX(SprintPlanning[Sprint],MATCH($A3,SprintPlanning[Requirement ID],0))),"")</f>
        <v>To Plan</v>
      </c>
      <c r="G3" s="60" t="s">
        <v>396</v>
      </c>
      <c r="H3" s="61"/>
      <c r="I3" s="60"/>
      <c r="J3" s="30" t="str">
        <f aca="false">IFERROR(IF(ISBLANK(INDEX(Backlog[Priority],MATCH($A3,Backlog[Requirement ID],0))),"",INDEX(Backlog[Priority],MATCH($A3,Backlog[Requirement ID],0))),"")</f>
        <v>Medium</v>
      </c>
      <c r="K3" s="62" t="s">
        <v>436</v>
      </c>
      <c r="L3" s="1" t="n">
        <f aca="false">IFERROR(IF(ISBLANK(INDEX(Backlog[HLE],MATCH($A3,Backlog[Requirement ID],0))),"",IF(INDEX(Backlog[HLE],MATCH($A3,Backlog[Requirement ID],0))&lt;=5,0.5,IF(INDEX(Backlog[HLE],MATCH($A3,Backlog[Requirement ID],0))&lt;=8,1,IF(INDEX(Backlog[HLE],MATCH($A3,Backlog[Requirement ID],0))&lt;=13,2,IF(INDEX(Backlog[HLE],MATCH($A3,Backlog[Requirement ID],0))&lt;=20,3,5))))),"")</f>
        <v>1</v>
      </c>
      <c r="M3" s="30"/>
    </row>
    <row r="4" customFormat="false" ht="15" hidden="true" customHeight="true" outlineLevel="0" collapsed="false">
      <c r="A4" s="30" t="str">
        <f aca="false">Backlog!A4</f>
        <v>NEW-0077</v>
      </c>
      <c r="B4" s="59" t="str">
        <f aca="false">IFERROR(IF(ISBLANK(INDEX(Backlog[Requirement Name],MATCH($A4,Backlog[Requirement ID],0))),"",INDEX(Backlog[Requirement Name],MATCH($A4,Backlog[Requirement ID],0))),"")</f>
        <v>Nordics SWE, DEN, NOR, FIN Rollout - Market Configurations in CHAIN1 &amp; CHAIN2</v>
      </c>
      <c r="C4" s="30" t="str">
        <f aca="false">IFERROR(IF(ISBLANK(INDEX(Backlog[Stream],MATCH($A4,Backlog[Requirement ID],0))),"",INDEX(Backlog[Stream],MATCH($A4,Backlog[Requirement ID],0))),"")</f>
        <v>MVP Rollout</v>
      </c>
      <c r="D4" s="30" t="str">
        <f aca="false">IFERROR(IF(ISBLANK(INDEX(Backlog[Jira Link],MATCH($A4,Backlog[Requirement ID],0))),"",INDEX(Backlog[Jira Link],MATCH($A4,Backlog[Requirement ID],0))),"")</f>
        <v>https://smartship.atlassian.net/browse/DTTP25-37831</v>
      </c>
      <c r="E4" s="30" t="str">
        <f aca="false">IFERROR(IF(ISBLANK(INDEX(Backlog[Status],MATCH($A4,Backlog[Requirement ID],0))),"",INDEX(Backlog[Status],MATCH($A4,Backlog[Requirement ID],0))),"")</f>
        <v>NEW</v>
      </c>
      <c r="F4" s="30" t="str">
        <f aca="false">IFERROR(IF(ISBLANK(INDEX(SprintPlanning[Sprint],MATCH($A4,SprintPlanning[Requirement ID],0))),"",INDEX(SprintPlanning[Sprint],MATCH($A4,SprintPlanning[Requirement ID],0))),"")</f>
        <v>To Plan</v>
      </c>
      <c r="G4" s="60" t="s">
        <v>396</v>
      </c>
      <c r="H4" s="61"/>
      <c r="I4" s="60"/>
      <c r="J4" s="30" t="str">
        <f aca="false">IFERROR(IF(ISBLANK(INDEX(Backlog[Priority],MATCH($A4,Backlog[Requirement ID],0))),"",INDEX(Backlog[Priority],MATCH($A4,Backlog[Requirement ID],0))),"")</f>
        <v>Medium</v>
      </c>
      <c r="K4" s="62" t="s">
        <v>437</v>
      </c>
      <c r="L4" s="1" t="n">
        <f aca="false">IFERROR(IF(ISBLANK(INDEX(Backlog[HLE],MATCH($A4,Backlog[Requirement ID],0))),"",IF(INDEX(Backlog[HLE],MATCH($A4,Backlog[Requirement ID],0))&lt;=5,0.5,IF(INDEX(Backlog[HLE],MATCH($A4,Backlog[Requirement ID],0))&lt;=8,1,IF(INDEX(Backlog[HLE],MATCH($A4,Backlog[Requirement ID],0))&lt;=13,2,IF(INDEX(Backlog[HLE],MATCH($A4,Backlog[Requirement ID],0))&lt;=20,3,5))))),"")</f>
        <v>1</v>
      </c>
      <c r="M4" s="30"/>
    </row>
    <row r="5" customFormat="false" ht="15" hidden="false" customHeight="true" outlineLevel="0" collapsed="false">
      <c r="A5" s="24" t="str">
        <f aca="false">Backlog!A5</f>
        <v>NEW-0078</v>
      </c>
      <c r="B5" s="47" t="str">
        <f aca="false">IFERROR(IF(ISBLANK(INDEX(Backlog[Requirement Name],MATCH($A5,Backlog[Requirement ID],0))),"",INDEX(Backlog[Requirement Name],MATCH($A5,Backlog[Requirement ID],0))),"")</f>
        <v>Nordics SWE, DEN, NOR, FIN Rollout - Market Configurations in Production</v>
      </c>
      <c r="C5" s="26" t="str">
        <f aca="false">IFERROR(IF(ISBLANK(INDEX(Backlog[Stream],MATCH($A5,Backlog[Requirement ID],0))),"",INDEX(Backlog[Stream],MATCH($A5,Backlog[Requirement ID],0))),"")</f>
        <v>MVP Rollout</v>
      </c>
      <c r="D5" s="26" t="str">
        <f aca="false">IFERROR(IF(ISBLANK(INDEX(Backlog[Jira Link],MATCH($A5,Backlog[Requirement ID],0))),"",INDEX(Backlog[Jira Link],MATCH($A5,Backlog[Requirement ID],0))),"")</f>
        <v>https://smartship.atlassian.net/browse/DTTP25-37831</v>
      </c>
      <c r="E5" s="26" t="str">
        <f aca="false">IFERROR(IF(ISBLANK(INDEX(Backlog[Status],MATCH($A5,Backlog[Requirement ID],0))),"",INDEX(Backlog[Status],MATCH($A5,Backlog[Requirement ID],0))),"")</f>
        <v>NEW</v>
      </c>
      <c r="F5" s="26" t="str">
        <f aca="false">IFERROR(IF(ISBLANK(INDEX(SprintPlanning[Sprint],MATCH($A5,SprintPlanning[Requirement ID],0))),"",INDEX(SprintPlanning[Sprint],MATCH($A5,SprintPlanning[Requirement ID],0))),"")</f>
        <v>To Plan</v>
      </c>
      <c r="G5" s="63" t="s">
        <v>396</v>
      </c>
      <c r="H5" s="64"/>
      <c r="I5" s="63"/>
      <c r="J5" s="26" t="str">
        <f aca="false">IFERROR(IF(ISBLANK(INDEX(Backlog[Priority],MATCH($A5,Backlog[Requirement ID],0))),"",INDEX(Backlog[Priority],MATCH($A5,Backlog[Requirement ID],0))),"")</f>
        <v>Medium</v>
      </c>
      <c r="K5" s="24" t="s">
        <v>436</v>
      </c>
      <c r="L5" s="1" t="n">
        <f aca="false">IFERROR(IF(ISBLANK(INDEX(Backlog[HLE],MATCH($A5,Backlog[Requirement ID],0))),"",IF(INDEX(Backlog[HLE],MATCH($A5,Backlog[Requirement ID],0))&lt;=5,0.5,IF(INDEX(Backlog[HLE],MATCH($A5,Backlog[Requirement ID],0))&lt;=8,1,IF(INDEX(Backlog[HLE],MATCH($A5,Backlog[Requirement ID],0))&lt;=13,2,IF(INDEX(Backlog[HLE],MATCH($A5,Backlog[Requirement ID],0))&lt;=20,3,5))))),"")</f>
        <v>1</v>
      </c>
      <c r="M5" s="24"/>
    </row>
    <row r="6" customFormat="false" ht="15" hidden="false" customHeight="true" outlineLevel="0" collapsed="false">
      <c r="A6" s="24" t="str">
        <f aca="false">Backlog!A6</f>
        <v>NEW-0410</v>
      </c>
      <c r="B6" s="47" t="str">
        <f aca="false">IFERROR(IF(ISBLANK(INDEX(Backlog[Requirement Name],MATCH($A6,Backlog[Requirement ID],0))),"",INDEX(Backlog[Requirement Name],MATCH($A6,Backlog[Requirement ID],0))),"")</f>
        <v>US Growth - M4M Payment billing data/ US Release AVS Check (Adding the fields in M4M transaction init)</v>
      </c>
      <c r="C6" s="26" t="str">
        <f aca="false">IFERROR(IF(ISBLANK(INDEX(Backlog[Stream],MATCH($A6,Backlog[Requirement ID],0))),"",INDEX(Backlog[Stream],MATCH($A6,Backlog[Requirement ID],0))),"")</f>
        <v>Growth</v>
      </c>
      <c r="D6" s="26" t="str">
        <f aca="false">IFERROR(IF(ISBLANK(INDEX(Backlog[Jira Link],MATCH($A6,Backlog[Requirement ID],0))),"",INDEX(Backlog[Jira Link],MATCH($A6,Backlog[Requirement ID],0))),"")</f>
        <v>https://smartship.atlassian.net/browse/MDTTPU-15254</v>
      </c>
      <c r="E6" s="26" t="str">
        <f aca="false">IFERROR(IF(ISBLANK(INDEX(Backlog[Status],MATCH($A6,Backlog[Requirement ID],0))),"",INDEX(Backlog[Status],MATCH($A6,Backlog[Requirement ID],0))),"")</f>
        <v>ON HOLD</v>
      </c>
      <c r="F6" s="26" t="str">
        <f aca="false">IFERROR(IF(ISBLANK(INDEX(SprintPlanning[Sprint],MATCH($A6,SprintPlanning[Requirement ID],0))),"",INDEX(SprintPlanning[Sprint],MATCH($A6,SprintPlanning[Requirement ID],0))),"")</f>
        <v>To Plan</v>
      </c>
      <c r="G6" s="63" t="s">
        <v>396</v>
      </c>
      <c r="H6" s="64"/>
      <c r="I6" s="63"/>
      <c r="J6" s="26" t="str">
        <f aca="false">IFERROR(IF(ISBLANK(INDEX(Backlog[Priority],MATCH($A6,Backlog[Requirement ID],0))),"",INDEX(Backlog[Priority],MATCH($A6,Backlog[Requirement ID],0))),"")</f>
        <v>High</v>
      </c>
      <c r="K6" s="24" t="s">
        <v>436</v>
      </c>
      <c r="L6" s="1" t="n">
        <f aca="false">IFERROR(IF(ISBLANK(INDEX(Backlog[HLE],MATCH($A6,Backlog[Requirement ID],0))),"",IF(INDEX(Backlog[HLE],MATCH($A6,Backlog[Requirement ID],0))&lt;=5,0.5,IF(INDEX(Backlog[HLE],MATCH($A6,Backlog[Requirement ID],0))&lt;=8,1,IF(INDEX(Backlog[HLE],MATCH($A6,Backlog[Requirement ID],0))&lt;=13,2,IF(INDEX(Backlog[HLE],MATCH($A6,Backlog[Requirement ID],0))&lt;=20,3,5))))),"")</f>
        <v>1</v>
      </c>
      <c r="M6" s="24"/>
    </row>
    <row r="7" customFormat="false" ht="15" hidden="true" customHeight="true" outlineLevel="0" collapsed="false">
      <c r="A7" s="30" t="str">
        <f aca="false">Backlog!A7</f>
        <v>NEW-0001</v>
      </c>
      <c r="B7" s="59" t="str">
        <f aca="false">IFERROR(IF(ISBLANK(INDEX(Backlog[Requirement Name],MATCH($A7,Backlog[Requirement ID],0))),"",INDEX(Backlog[Requirement Name],MATCH($A7,Backlog[Requirement ID],0))),"")</f>
        <v>Whatsapp Subscription (Phase 1)</v>
      </c>
      <c r="C7" s="30" t="str">
        <f aca="false">IFERROR(IF(ISBLANK(INDEX(Backlog[Stream],MATCH($A7,Backlog[Requirement ID],0))),"",INDEX(Backlog[Stream],MATCH($A7,Backlog[Requirement ID],0))),"")</f>
        <v>Backlog</v>
      </c>
      <c r="D7" s="30" t="str">
        <f aca="false">IFERROR(IF(ISBLANK(INDEX(Backlog[Jira Link],MATCH($A7,Backlog[Requirement ID],0))),"",INDEX(Backlog[Jira Link],MATCH($A7,Backlog[Requirement ID],0))),"")</f>
        <v>https://smartship.atlassian.net/browse/DTTP25-36678</v>
      </c>
      <c r="E7" s="30" t="str">
        <f aca="false">IFERROR(IF(ISBLANK(INDEX(Backlog[Status],MATCH($A7,Backlog[Requirement ID],0))),"",INDEX(Backlog[Status],MATCH($A7,Backlog[Requirement ID],0))),"")</f>
        <v>NEW</v>
      </c>
      <c r="F7" s="30" t="str">
        <f aca="false">IFERROR(IF(ISBLANK(INDEX(SprintPlanning[Sprint],MATCH($A7,SprintPlanning[Requirement ID],0))),"",INDEX(SprintPlanning[Sprint],MATCH($A7,SprintPlanning[Requirement ID],0))),"")</f>
        <v>Sprint 14</v>
      </c>
      <c r="G7" s="60"/>
      <c r="H7" s="61"/>
      <c r="I7" s="60"/>
      <c r="J7" s="30" t="str">
        <f aca="false">IFERROR(IF(ISBLANK(INDEX(Backlog[Priority],MATCH($A7,Backlog[Requirement ID],0))),"",INDEX(Backlog[Priority],MATCH($A7,Backlog[Requirement ID],0))),"")</f>
        <v>Medium</v>
      </c>
      <c r="K7" s="62"/>
      <c r="L7" s="1" t="n">
        <f aca="false">IFERROR(IF(ISBLANK(INDEX(Backlog[HLE],MATCH($A7,Backlog[Requirement ID],0))),"",IF(INDEX(Backlog[HLE],MATCH($A7,Backlog[Requirement ID],0))&lt;=5,0.5,IF(INDEX(Backlog[HLE],MATCH($A7,Backlog[Requirement ID],0))&lt;=8,1,IF(INDEX(Backlog[HLE],MATCH($A7,Backlog[Requirement ID],0))&lt;=13,2,IF(INDEX(Backlog[HLE],MATCH($A7,Backlog[Requirement ID],0))&lt;=20,3,5))))),"")</f>
        <v>2</v>
      </c>
      <c r="M7" s="30"/>
    </row>
    <row r="8" customFormat="false" ht="28.5" hidden="true" customHeight="true" outlineLevel="0" collapsed="false">
      <c r="A8" s="30" t="str">
        <f aca="false">Backlog!A8</f>
        <v>NEW-0003</v>
      </c>
      <c r="B8" s="59" t="str">
        <f aca="false">IFERROR(IF(ISBLANK(INDEX(Backlog[Requirement Name],MATCH($A8,Backlog[Requirement ID],0))),"",INDEX(Backlog[Requirement Name],MATCH($A8,Backlog[Requirement ID],0))),"")</f>
        <v>Friends and Family INT 157</v>
      </c>
      <c r="C8" s="30" t="str">
        <f aca="false">IFERROR(IF(ISBLANK(INDEX(Backlog[Stream],MATCH($A8,Backlog[Requirement ID],0))),"",INDEX(Backlog[Stream],MATCH($A8,Backlog[Requirement ID],0))),"")</f>
        <v>Backlog</v>
      </c>
      <c r="D8" s="30" t="str">
        <f aca="false">IFERROR(IF(ISBLANK(INDEX(Backlog[Jira Link],MATCH($A8,Backlog[Requirement ID],0))),"",INDEX(Backlog[Jira Link],MATCH($A8,Backlog[Requirement ID],0))),"")</f>
        <v>https://smartship.atlassian.net/browse/DTTP25-36959</v>
      </c>
      <c r="E8" s="30" t="str">
        <f aca="false">IFERROR(IF(ISBLANK(INDEX(Backlog[Status],MATCH($A8,Backlog[Requirement ID],0))),"",INDEX(Backlog[Status],MATCH($A8,Backlog[Requirement ID],0))),"")</f>
        <v>NEW</v>
      </c>
      <c r="F8" s="30" t="str">
        <f aca="false">IFERROR(IF(ISBLANK(INDEX(SprintPlanning[Sprint],MATCH($A8,SprintPlanning[Requirement ID],0))),"",INDEX(SprintPlanning[Sprint],MATCH($A8,SprintPlanning[Requirement ID],0))),"")</f>
        <v>Sprint 13</v>
      </c>
      <c r="G8" s="60"/>
      <c r="H8" s="61"/>
      <c r="I8" s="60"/>
      <c r="J8" s="30" t="str">
        <f aca="false">IFERROR(IF(ISBLANK(INDEX(Backlog[Priority],MATCH($A8,Backlog[Requirement ID],0))),"",INDEX(Backlog[Priority],MATCH($A8,Backlog[Requirement ID],0))),"")</f>
        <v>High</v>
      </c>
      <c r="K8" s="62"/>
      <c r="L8" s="1" t="n">
        <f aca="false">IFERROR(IF(ISBLANK(INDEX(Backlog[HLE],MATCH($A8,Backlog[Requirement ID],0))),"",IF(INDEX(Backlog[HLE],MATCH($A8,Backlog[Requirement ID],0))&lt;=5,0.5,IF(INDEX(Backlog[HLE],MATCH($A8,Backlog[Requirement ID],0))&lt;=8,1,IF(INDEX(Backlog[HLE],MATCH($A8,Backlog[Requirement ID],0))&lt;=13,2,IF(INDEX(Backlog[HLE],MATCH($A8,Backlog[Requirement ID],0))&lt;=20,3,5))))),"")</f>
        <v>5</v>
      </c>
      <c r="M8" s="30"/>
    </row>
    <row r="9" customFormat="false" ht="15" hidden="true" customHeight="true" outlineLevel="0" collapsed="false">
      <c r="A9" s="30" t="str">
        <f aca="false">Backlog!A9</f>
        <v>NEW-0030</v>
      </c>
      <c r="B9" s="59" t="str">
        <f aca="false">IFERROR(IF(ISBLANK(INDEX(Backlog[Requirement Name],MATCH($A9,Backlog[Requirement ID],0))),"",INDEX(Backlog[Requirement Name],MATCH($A9,Backlog[Requirement ID],0))),"")</f>
        <v>Handling of additional errors INT 139/ INT 140</v>
      </c>
      <c r="C9" s="30" t="str">
        <f aca="false">IFERROR(IF(ISBLANK(INDEX(Backlog[Stream],MATCH($A9,Backlog[Requirement ID],0))),"",INDEX(Backlog[Stream],MATCH($A9,Backlog[Requirement ID],0))),"")</f>
        <v>MyMSC</v>
      </c>
      <c r="D9" s="30" t="str">
        <f aca="false">IFERROR(IF(ISBLANK(INDEX(Backlog[Jira Link],MATCH($A9,Backlog[Requirement ID],0))),"",INDEX(Backlog[Jira Link],MATCH($A9,Backlog[Requirement ID],0))),"")</f>
        <v>https://smartship.atlassian.net/browse/DTTP25-40357</v>
      </c>
      <c r="E9" s="30" t="str">
        <f aca="false">IFERROR(IF(ISBLANK(INDEX(Backlog[Status],MATCH($A9,Backlog[Requirement ID],0))),"",INDEX(Backlog[Status],MATCH($A9,Backlog[Requirement ID],0))),"")</f>
        <v>ON HOLD</v>
      </c>
      <c r="F9" s="30" t="str">
        <f aca="false">IFERROR(IF(ISBLANK(INDEX(SprintPlanning[Sprint],MATCH($A9,SprintPlanning[Requirement ID],0))),"",INDEX(SprintPlanning[Sprint],MATCH($A9,SprintPlanning[Requirement ID],0))),"")</f>
        <v>To Plan</v>
      </c>
      <c r="G9" s="60"/>
      <c r="H9" s="61"/>
      <c r="I9" s="60"/>
      <c r="J9" s="30" t="str">
        <f aca="false">IFERROR(IF(ISBLANK(INDEX(Backlog[Priority],MATCH($A9,Backlog[Requirement ID],0))),"",INDEX(Backlog[Priority],MATCH($A9,Backlog[Requirement ID],0))),"")</f>
        <v>Medium</v>
      </c>
      <c r="K9" s="62"/>
      <c r="L9" s="1" t="n">
        <f aca="false">IFERROR(IF(ISBLANK(INDEX(Backlog[HLE],MATCH($A9,Backlog[Requirement ID],0))),"",IF(INDEX(Backlog[HLE],MATCH($A9,Backlog[Requirement ID],0))&lt;=5,0.5,IF(INDEX(Backlog[HLE],MATCH($A9,Backlog[Requirement ID],0))&lt;=8,1,IF(INDEX(Backlog[HLE],MATCH($A9,Backlog[Requirement ID],0))&lt;=13,2,IF(INDEX(Backlog[HLE],MATCH($A9,Backlog[Requirement ID],0))&lt;=20,3,5))))),"")</f>
        <v>1</v>
      </c>
      <c r="M9" s="30"/>
    </row>
    <row r="10" customFormat="false" ht="15" hidden="true" customHeight="true" outlineLevel="0" collapsed="false">
      <c r="A10" s="30" t="str">
        <f aca="false">Backlog!A10</f>
        <v>NEW-0080</v>
      </c>
      <c r="B10" s="59" t="str">
        <f aca="false">IFERROR(IF(ISBLANK(INDEX(Backlog[Requirement Name],MATCH($A10,Backlog[Requirement ID],0))),"",INDEX(Backlog[Requirement Name],MATCH($A10,Backlog[Requirement ID],0))),"")</f>
        <v>Hypercare</v>
      </c>
      <c r="C10" s="30" t="str">
        <f aca="false">IFERROR(IF(ISBLANK(INDEX(Backlog[Stream],MATCH($A10,Backlog[Requirement ID],0))),"",INDEX(Backlog[Stream],MATCH($A10,Backlog[Requirement ID],0))),"")</f>
        <v>US</v>
      </c>
      <c r="D10" s="30" t="str">
        <f aca="false">IFERROR(IF(ISBLANK(INDEX(Backlog[Jira Link],MATCH($A10,Backlog[Requirement ID],0))),"",INDEX(Backlog[Jira Link],MATCH($A10,Backlog[Requirement ID],0))),"")</f>
        <v/>
      </c>
      <c r="E10" s="30" t="str">
        <f aca="false">IFERROR(IF(ISBLANK(INDEX(Backlog[Status],MATCH($A10,Backlog[Requirement ID],0))),"",INDEX(Backlog[Status],MATCH($A10,Backlog[Requirement ID],0))),"")</f>
        <v>IN PROGRESS</v>
      </c>
      <c r="F10" s="30" t="str">
        <f aca="false">IFERROR(IF(ISBLANK(INDEX(SprintPlanning[Sprint],MATCH($A10,SprintPlanning[Requirement ID],0))),"",INDEX(SprintPlanning[Sprint],MATCH($A10,SprintPlanning[Requirement ID],0))),"")</f>
        <v>Sprint 12</v>
      </c>
      <c r="G10" s="60"/>
      <c r="H10" s="61"/>
      <c r="I10" s="60"/>
      <c r="J10" s="30" t="str">
        <f aca="false">IFERROR(IF(ISBLANK(INDEX(Backlog[Priority],MATCH($A10,Backlog[Requirement ID],0))),"",INDEX(Backlog[Priority],MATCH($A10,Backlog[Requirement ID],0))),"")</f>
        <v>High</v>
      </c>
      <c r="K10" s="62"/>
      <c r="L10" s="1" t="n">
        <f aca="false">IFERROR(IF(ISBLANK(INDEX(Backlog[HLE],MATCH($A10,Backlog[Requirement ID],0))),"",IF(INDEX(Backlog[HLE],MATCH($A10,Backlog[Requirement ID],0))&lt;=5,0.5,IF(INDEX(Backlog[HLE],MATCH($A10,Backlog[Requirement ID],0))&lt;=8,1,IF(INDEX(Backlog[HLE],MATCH($A10,Backlog[Requirement ID],0))&lt;=13,2,IF(INDEX(Backlog[HLE],MATCH($A10,Backlog[Requirement ID],0))&lt;=20,3,5))))),"")</f>
        <v>2</v>
      </c>
      <c r="M10" s="30"/>
    </row>
    <row r="11" customFormat="false" ht="15" hidden="true" customHeight="true" outlineLevel="0" collapsed="false">
      <c r="A11" s="30" t="str">
        <f aca="false">Backlog!A11</f>
        <v>NEW-0085</v>
      </c>
      <c r="B11" s="59" t="str">
        <f aca="false">IFERROR(IF(ISBLANK(INDEX(Backlog[Requirement Name],MATCH($A11,Backlog[Requirement ID],0))),"",INDEX(Backlog[Requirement Name],MATCH($A11,Backlog[Requirement ID],0))),"")</f>
        <v>PI11-08 [CDP] [INTP-21] Lead Management - Option event creation in CDP</v>
      </c>
      <c r="C11" s="30" t="str">
        <f aca="false">IFERROR(IF(ISBLANK(INDEX(Backlog[Stream],MATCH($A11,Backlog[Requirement ID],0))),"",INDEX(Backlog[Stream],MATCH($A11,Backlog[Requirement ID],0))),"")</f>
        <v>PI11</v>
      </c>
      <c r="D11" s="30" t="str">
        <f aca="false">IFERROR(IF(ISBLANK(INDEX(Backlog[Jira Link],MATCH($A11,Backlog[Requirement ID],0))),"",INDEX(Backlog[Jira Link],MATCH($A11,Backlog[Requirement ID],0))),"")</f>
        <v>https://smartship.atlassian.net/browse/DTTP25-41937</v>
      </c>
      <c r="E11" s="30" t="str">
        <f aca="false">IFERROR(IF(ISBLANK(INDEX(Backlog[Status],MATCH($A11,Backlog[Requirement ID],0))),"",INDEX(Backlog[Status],MATCH($A11,Backlog[Requirement ID],0))),"")</f>
        <v>NEW</v>
      </c>
      <c r="F11" s="30" t="str">
        <f aca="false">IFERROR(IF(ISBLANK(INDEX(SprintPlanning[Sprint],MATCH($A11,SprintPlanning[Requirement ID],0))),"",INDEX(SprintPlanning[Sprint],MATCH($A11,SprintPlanning[Requirement ID],0))),"")</f>
        <v>To Plan</v>
      </c>
      <c r="G11" s="60"/>
      <c r="H11" s="61"/>
      <c r="I11" s="60"/>
      <c r="J11" s="30" t="str">
        <f aca="false">IFERROR(IF(ISBLANK(INDEX(Backlog[Priority],MATCH($A11,Backlog[Requirement ID],0))),"",INDEX(Backlog[Priority],MATCH($A11,Backlog[Requirement ID],0))),"")</f>
        <v>Medium</v>
      </c>
      <c r="K11" s="62"/>
      <c r="L11" s="1" t="n">
        <f aca="false">IFERROR(IF(ISBLANK(INDEX(Backlog[HLE],MATCH($A11,Backlog[Requirement ID],0))),"",IF(INDEX(Backlog[HLE],MATCH($A11,Backlog[Requirement ID],0))&lt;=5,0.5,IF(INDEX(Backlog[HLE],MATCH($A11,Backlog[Requirement ID],0))&lt;=8,1,IF(INDEX(Backlog[HLE],MATCH($A11,Backlog[Requirement ID],0))&lt;=13,2,IF(INDEX(Backlog[HLE],MATCH($A11,Backlog[Requirement ID],0))&lt;=20,3,5))))),"")</f>
        <v>0.5</v>
      </c>
      <c r="M11" s="30"/>
    </row>
    <row r="12" customFormat="false" ht="15" hidden="true" customHeight="true" outlineLevel="0" collapsed="false">
      <c r="A12" s="24" t="str">
        <f aca="false">Backlog!A12</f>
        <v>NEW-0086</v>
      </c>
      <c r="B12" s="47" t="str">
        <f aca="false">IFERROR(IF(ISBLANK(INDEX(Backlog[Requirement Name],MATCH($A12,Backlog[Requirement ID],0))),"",INDEX(Backlog[Requirement Name],MATCH($A12,Backlog[Requirement ID],0))),"")</f>
        <v>PI11-11 [CRM] [EA-1008] DTTP - Lead Management - FCC new outbound sources</v>
      </c>
      <c r="C12" s="26" t="str">
        <f aca="false">IFERROR(IF(ISBLANK(INDEX(Backlog[Stream],MATCH($A12,Backlog[Requirement ID],0))),"",INDEX(Backlog[Stream],MATCH($A12,Backlog[Requirement ID],0))),"")</f>
        <v>PI11</v>
      </c>
      <c r="D12" s="26" t="str">
        <f aca="false">IFERROR(IF(ISBLANK(INDEX(Backlog[Jira Link],MATCH($A12,Backlog[Requirement ID],0))),"",INDEX(Backlog[Jira Link],MATCH($A12,Backlog[Requirement ID],0))),"")</f>
        <v>https://smartship.atlassian.net/browse/DTTP25-41939</v>
      </c>
      <c r="E12" s="26" t="str">
        <f aca="false">IFERROR(IF(ISBLANK(INDEX(Backlog[Status],MATCH($A12,Backlog[Requirement ID],0))),"",INDEX(Backlog[Status],MATCH($A12,Backlog[Requirement ID],0))),"")</f>
        <v>NA</v>
      </c>
      <c r="F12" s="26" t="str">
        <f aca="false">IFERROR(IF(ISBLANK(INDEX(SprintPlanning[Sprint],MATCH($A12,SprintPlanning[Requirement ID],0))),"",INDEX(SprintPlanning[Sprint],MATCH($A12,SprintPlanning[Requirement ID],0))),"")</f>
        <v>To Plan</v>
      </c>
      <c r="G12" s="63" t="s">
        <v>396</v>
      </c>
      <c r="H12" s="64"/>
      <c r="I12" s="63"/>
      <c r="J12" s="26" t="str">
        <f aca="false">IFERROR(IF(ISBLANK(INDEX(Backlog[Priority],MATCH($A12,Backlog[Requirement ID],0))),"",INDEX(Backlog[Priority],MATCH($A12,Backlog[Requirement ID],0))),"")</f>
        <v>Medium</v>
      </c>
      <c r="K12" s="24" t="s">
        <v>436</v>
      </c>
      <c r="L12" s="1" t="n">
        <f aca="false">IFERROR(IF(ISBLANK(INDEX(Backlog[HLE],MATCH($A12,Backlog[Requirement ID],0))),"",IF(INDEX(Backlog[HLE],MATCH($A12,Backlog[Requirement ID],0))&lt;=5,0.5,IF(INDEX(Backlog[HLE],MATCH($A12,Backlog[Requirement ID],0))&lt;=8,1,IF(INDEX(Backlog[HLE],MATCH($A12,Backlog[Requirement ID],0))&lt;=13,2,IF(INDEX(Backlog[HLE],MATCH($A12,Backlog[Requirement ID],0))&lt;=20,3,5))))),"")</f>
        <v>1</v>
      </c>
      <c r="M12" s="24"/>
    </row>
    <row r="13" customFormat="false" ht="15" hidden="true" customHeight="true" outlineLevel="0" collapsed="false">
      <c r="A13" s="30" t="str">
        <f aca="false">Backlog!A13</f>
        <v>NEW-0087</v>
      </c>
      <c r="B13" s="59" t="str">
        <f aca="false">IFERROR(IF(ISBLANK(INDEX(Backlog[Requirement Name],MATCH($A13,Backlog[Requirement ID],0))),"",INDEX(Backlog[Requirement Name],MATCH($A13,Backlog[Requirement ID],0))),"")</f>
        <v>PI11-12 [CDP/CRM] CRM2-11097 / [INTP-20] Lead Management - IRL Outbound Sources Activation &amp; Form Creation</v>
      </c>
      <c r="C13" s="30" t="str">
        <f aca="false">IFERROR(IF(ISBLANK(INDEX(Backlog[Stream],MATCH($A13,Backlog[Requirement ID],0))),"",INDEX(Backlog[Stream],MATCH($A13,Backlog[Requirement ID],0))),"")</f>
        <v>PI11</v>
      </c>
      <c r="D13" s="30" t="str">
        <f aca="false">IFERROR(IF(ISBLANK(INDEX(Backlog[Jira Link],MATCH($A13,Backlog[Requirement ID],0))),"",INDEX(Backlog[Jira Link],MATCH($A13,Backlog[Requirement ID],0))),"")</f>
        <v>https://smartship.atlassian.net/browse/DTTP25-41940</v>
      </c>
      <c r="E13" s="30" t="str">
        <f aca="false">IFERROR(IF(ISBLANK(INDEX(Backlog[Status],MATCH($A13,Backlog[Requirement ID],0))),"",INDEX(Backlog[Status],MATCH($A13,Backlog[Requirement ID],0))),"")</f>
        <v>NEW</v>
      </c>
      <c r="F13" s="30" t="str">
        <f aca="false">IFERROR(IF(ISBLANK(INDEX(SprintPlanning[Sprint],MATCH($A13,SprintPlanning[Requirement ID],0))),"",INDEX(SprintPlanning[Sprint],MATCH($A13,SprintPlanning[Requirement ID],0))),"")</f>
        <v>To Plan</v>
      </c>
      <c r="G13" s="60"/>
      <c r="H13" s="61"/>
      <c r="I13" s="60"/>
      <c r="J13" s="30" t="str">
        <f aca="false">IFERROR(IF(ISBLANK(INDEX(Backlog[Priority],MATCH($A13,Backlog[Requirement ID],0))),"",INDEX(Backlog[Priority],MATCH($A13,Backlog[Requirement ID],0))),"")</f>
        <v>Medium</v>
      </c>
      <c r="K13" s="62"/>
      <c r="L13" s="1" t="n">
        <f aca="false">IFERROR(IF(ISBLANK(INDEX(Backlog[HLE],MATCH($A13,Backlog[Requirement ID],0))),"",IF(INDEX(Backlog[HLE],MATCH($A13,Backlog[Requirement ID],0))&lt;=5,0.5,IF(INDEX(Backlog[HLE],MATCH($A13,Backlog[Requirement ID],0))&lt;=8,1,IF(INDEX(Backlog[HLE],MATCH($A13,Backlog[Requirement ID],0))&lt;=13,2,IF(INDEX(Backlog[HLE],MATCH($A13,Backlog[Requirement ID],0))&lt;=20,3,5))))),"")</f>
        <v>0.5</v>
      </c>
      <c r="M13" s="30"/>
    </row>
    <row r="14" customFormat="false" ht="15" hidden="true" customHeight="true" outlineLevel="0" collapsed="false">
      <c r="A14" s="30" t="str">
        <f aca="false">Backlog!A14</f>
        <v>NEW-0316</v>
      </c>
      <c r="B14" s="59" t="str">
        <f aca="false">IFERROR(IF(ISBLANK(INDEX(Backlog[Requirement Name],MATCH($A14,Backlog[Requirement ID],0))),"",INDEX(Backlog[Requirement Name],MATCH($A14,Backlog[Requirement ID],0))),"")</f>
        <v>INT139 / INT140 / INT187 / INT188 / INT163 - speciality restaurants CR to handle dining inventory errors</v>
      </c>
      <c r="C14" s="30" t="str">
        <f aca="false">IFERROR(IF(ISBLANK(INDEX(Backlog[Stream],MATCH($A14,Backlog[Requirement ID],0))),"",INDEX(Backlog[Stream],MATCH($A14,Backlog[Requirement ID],0))),"")</f>
        <v>MyMSC</v>
      </c>
      <c r="D14" s="30" t="str">
        <f aca="false">IFERROR(IF(ISBLANK(INDEX(Backlog[Jira Link],MATCH($A14,Backlog[Requirement ID],0))),"",INDEX(Backlog[Jira Link],MATCH($A14,Backlog[Requirement ID],0))),"")</f>
        <v>https://smartship.atlassian.net/browse/DTTP25-40356</v>
      </c>
      <c r="E14" s="30" t="str">
        <f aca="false">IFERROR(IF(ISBLANK(INDEX(Backlog[Status],MATCH($A14,Backlog[Requirement ID],0))),"",INDEX(Backlog[Status],MATCH($A14,Backlog[Requirement ID],0))),"")</f>
        <v>ON HOLD</v>
      </c>
      <c r="F14" s="30" t="str">
        <f aca="false">IFERROR(IF(ISBLANK(INDEX(SprintPlanning[Sprint],MATCH($A14,SprintPlanning[Requirement ID],0))),"",INDEX(SprintPlanning[Sprint],MATCH($A14,SprintPlanning[Requirement ID],0))),"")</f>
        <v>Sprint 15</v>
      </c>
      <c r="G14" s="60" t="s">
        <v>83</v>
      </c>
      <c r="H14" s="61"/>
      <c r="I14" s="60"/>
      <c r="J14" s="30" t="str">
        <f aca="false">IFERROR(IF(ISBLANK(INDEX(Backlog[Priority],MATCH($A14,Backlog[Requirement ID],0))),"",INDEX(Backlog[Priority],MATCH($A14,Backlog[Requirement ID],0))),"")</f>
        <v>Medium</v>
      </c>
      <c r="K14" s="62" t="s">
        <v>435</v>
      </c>
      <c r="L14" s="1" t="n">
        <f aca="false">IFERROR(IF(ISBLANK(INDEX(Backlog[HLE],MATCH($A14,Backlog[Requirement ID],0))),"",IF(INDEX(Backlog[HLE],MATCH($A14,Backlog[Requirement ID],0))&lt;=5,0.5,IF(INDEX(Backlog[HLE],MATCH($A14,Backlog[Requirement ID],0))&lt;=8,1,IF(INDEX(Backlog[HLE],MATCH($A14,Backlog[Requirement ID],0))&lt;=13,2,IF(INDEX(Backlog[HLE],MATCH($A14,Backlog[Requirement ID],0))&lt;=20,3,5))))),"")</f>
        <v>1</v>
      </c>
      <c r="M14" s="30"/>
    </row>
    <row r="15" customFormat="false" ht="15" hidden="true" customHeight="true" outlineLevel="0" collapsed="false">
      <c r="A15" s="30" t="str">
        <f aca="false">Backlog!A15</f>
        <v>NEW-0066</v>
      </c>
      <c r="B15" s="59" t="str">
        <f aca="false">IFERROR(IF(ISBLANK(INDEX(Backlog[Requirement Name],MATCH($A15,Backlog[Requirement ID],0))),"",INDEX(Backlog[Requirement Name],MATCH($A15,Backlog[Requirement ID],0))),"")</f>
        <v>PI11-03 [B2C] Flight Enhancement - DTTP25-38915</v>
      </c>
      <c r="C15" s="30" t="str">
        <f aca="false">IFERROR(IF(ISBLANK(INDEX(Backlog[Stream],MATCH($A15,Backlog[Requirement ID],0))),"",INDEX(Backlog[Stream],MATCH($A15,Backlog[Requirement ID],0))),"")</f>
        <v>PI11</v>
      </c>
      <c r="D15" s="30" t="str">
        <f aca="false">IFERROR(IF(ISBLANK(INDEX(Backlog[Jira Link],MATCH($A15,Backlog[Requirement ID],0))),"",INDEX(Backlog[Jira Link],MATCH($A15,Backlog[Requirement ID],0))),"")</f>
        <v>https://smartship.atlassian.net/browse/DTTP25-41930</v>
      </c>
      <c r="E15" s="30" t="str">
        <f aca="false">IFERROR(IF(ISBLANK(INDEX(Backlog[Status],MATCH($A15,Backlog[Requirement ID],0))),"",INDEX(Backlog[Status],MATCH($A15,Backlog[Requirement ID],0))),"")</f>
        <v>NEW</v>
      </c>
      <c r="F15" s="30" t="str">
        <f aca="false">IFERROR(IF(ISBLANK(INDEX(SprintPlanning[Sprint],MATCH($A15,SprintPlanning[Requirement ID],0))),"",INDEX(SprintPlanning[Sprint],MATCH($A15,SprintPlanning[Requirement ID],0))),"")</f>
        <v>Sprint 13</v>
      </c>
      <c r="G15" s="60" t="s">
        <v>396</v>
      </c>
      <c r="H15" s="61"/>
      <c r="I15" s="60"/>
      <c r="J15" s="30" t="str">
        <f aca="false">IFERROR(IF(ISBLANK(INDEX(Backlog[Priority],MATCH($A15,Backlog[Requirement ID],0))),"",INDEX(Backlog[Priority],MATCH($A15,Backlog[Requirement ID],0))),"")</f>
        <v>High</v>
      </c>
      <c r="K15" s="62" t="s">
        <v>437</v>
      </c>
      <c r="L15" s="1" t="n">
        <f aca="false">IFERROR(IF(ISBLANK(INDEX(Backlog[HLE],MATCH($A15,Backlog[Requirement ID],0))),"",IF(INDEX(Backlog[HLE],MATCH($A15,Backlog[Requirement ID],0))&lt;=5,0.5,IF(INDEX(Backlog[HLE],MATCH($A15,Backlog[Requirement ID],0))&lt;=8,1,IF(INDEX(Backlog[HLE],MATCH($A15,Backlog[Requirement ID],0))&lt;=13,2,IF(INDEX(Backlog[HLE],MATCH($A15,Backlog[Requirement ID],0))&lt;=20,3,5))))),"")</f>
        <v>0.5</v>
      </c>
      <c r="M15" s="30"/>
    </row>
    <row r="16" customFormat="false" ht="15" hidden="true" customHeight="true" outlineLevel="0" collapsed="false">
      <c r="A16" s="30" t="str">
        <f aca="false">Backlog!A16</f>
        <v>NEW-0002</v>
      </c>
      <c r="B16" s="59" t="str">
        <f aca="false">IFERROR(IF(ISBLANK(INDEX(Backlog[Requirement Name],MATCH($A16,Backlog[Requirement ID],0))),"",INDEX(Backlog[Requirement Name],MATCH($A16,Backlog[Requirement ID],0))),"")</f>
        <v>Whatsapp Subscription (Phase 2)</v>
      </c>
      <c r="C16" s="30" t="str">
        <f aca="false">IFERROR(IF(ISBLANK(INDEX(Backlog[Stream],MATCH($A16,Backlog[Requirement ID],0))),"",INDEX(Backlog[Stream],MATCH($A16,Backlog[Requirement ID],0))),"")</f>
        <v>Backlog</v>
      </c>
      <c r="D16" s="30" t="str">
        <f aca="false">IFERROR(IF(ISBLANK(INDEX(Backlog[Jira Link],MATCH($A16,Backlog[Requirement ID],0))),"",INDEX(Backlog[Jira Link],MATCH($A16,Backlog[Requirement ID],0))),"")</f>
        <v/>
      </c>
      <c r="E16" s="30" t="str">
        <f aca="false">IFERROR(IF(ISBLANK(INDEX(Backlog[Status],MATCH($A16,Backlog[Requirement ID],0))),"",INDEX(Backlog[Status],MATCH($A16,Backlog[Requirement ID],0))),"")</f>
        <v>ON HOLD</v>
      </c>
      <c r="F16" s="30" t="str">
        <f aca="false">IFERROR(IF(ISBLANK(INDEX(SprintPlanning[Sprint],MATCH($A16,SprintPlanning[Requirement ID],0))),"",INDEX(SprintPlanning[Sprint],MATCH($A16,SprintPlanning[Requirement ID],0))),"")</f>
        <v>To Plan</v>
      </c>
      <c r="G16" s="60" t="s">
        <v>396</v>
      </c>
      <c r="H16" s="61"/>
      <c r="I16" s="60"/>
      <c r="J16" s="30" t="str">
        <f aca="false">IFERROR(IF(ISBLANK(INDEX(Backlog[Priority],MATCH($A16,Backlog[Requirement ID],0))),"",INDEX(Backlog[Priority],MATCH($A16,Backlog[Requirement ID],0))),"")</f>
        <v>Medium</v>
      </c>
      <c r="K16" s="62" t="s">
        <v>437</v>
      </c>
      <c r="L16" s="1" t="str">
        <f aca="false">IFERROR(IF(ISBLANK(INDEX(Backlog[HLE],MATCH($A16,Backlog[Requirement ID],0))),"",IF(INDEX(Backlog[HLE],MATCH($A16,Backlog[Requirement ID],0))&lt;=5,0.5,IF(INDEX(Backlog[HLE],MATCH($A16,Backlog[Requirement ID],0))&lt;=8,1,IF(INDEX(Backlog[HLE],MATCH($A16,Backlog[Requirement ID],0))&lt;=13,2,IF(INDEX(Backlog[HLE],MATCH($A16,Backlog[Requirement ID],0))&lt;=20,3,5))))),"")</f>
        <v/>
      </c>
      <c r="M16" s="30"/>
    </row>
    <row r="17" customFormat="false" ht="0.75" hidden="true" customHeight="true" outlineLevel="0" collapsed="false">
      <c r="A17" s="30" t="str">
        <f aca="false">Backlog!A17</f>
        <v>NEW-0005</v>
      </c>
      <c r="B17" s="59" t="str">
        <f aca="false">IFERROR(IF(ISBLANK(INDEX(Backlog[Requirement Name],MATCH($A17,Backlog[Requirement ID],0))),"",INDEX(Backlog[Requirement Name],MATCH($A17,Backlog[Requirement ID],0))),"")</f>
        <v>Handling multicabin booking</v>
      </c>
      <c r="C17" s="30" t="str">
        <f aca="false">IFERROR(IF(ISBLANK(INDEX(Backlog[Stream],MATCH($A17,Backlog[Requirement ID],0))),"",INDEX(Backlog[Stream],MATCH($A17,Backlog[Requirement ID],0))),"")</f>
        <v>Growth</v>
      </c>
      <c r="D17" s="30" t="str">
        <f aca="false">IFERROR(IF(ISBLANK(INDEX(Backlog[Jira Link],MATCH($A17,Backlog[Requirement ID],0))),"",INDEX(Backlog[Jira Link],MATCH($A17,Backlog[Requirement ID],0))),"")</f>
        <v/>
      </c>
      <c r="E17" s="30" t="str">
        <f aca="false">IFERROR(IF(ISBLANK(INDEX(Backlog[Status],MATCH($A17,Backlog[Requirement ID],0))),"",INDEX(Backlog[Status],MATCH($A17,Backlog[Requirement ID],0))),"")</f>
        <v>NEW</v>
      </c>
      <c r="F17" s="30" t="str">
        <f aca="false">IFERROR(IF(ISBLANK(INDEX(SprintPlanning[Sprint],MATCH($A17,SprintPlanning[Requirement ID],0))),"",INDEX(SprintPlanning[Sprint],MATCH($A17,SprintPlanning[Requirement ID],0))),"")</f>
        <v>To Plan</v>
      </c>
      <c r="G17" s="60"/>
      <c r="H17" s="61"/>
      <c r="I17" s="60"/>
      <c r="J17" s="30" t="str">
        <f aca="false">IFERROR(IF(ISBLANK(INDEX(Backlog[Priority],MATCH($A17,Backlog[Requirement ID],0))),"",INDEX(Backlog[Priority],MATCH($A17,Backlog[Requirement ID],0))),"")</f>
        <v>Medium</v>
      </c>
      <c r="K17" s="62"/>
      <c r="L17" s="1" t="n">
        <f aca="false">IFERROR(IF(ISBLANK(INDEX(Backlog[HLE],MATCH($A17,Backlog[Requirement ID],0))),"",IF(INDEX(Backlog[HLE],MATCH($A17,Backlog[Requirement ID],0))&lt;=5,0.5,IF(INDEX(Backlog[HLE],MATCH($A17,Backlog[Requirement ID],0))&lt;=8,1,IF(INDEX(Backlog[HLE],MATCH($A17,Backlog[Requirement ID],0))&lt;=13,2,IF(INDEX(Backlog[HLE],MATCH($A17,Backlog[Requirement ID],0))&lt;=20,3,5))))),"")</f>
        <v>5</v>
      </c>
      <c r="M17" s="30"/>
    </row>
    <row r="18" customFormat="false" ht="28.5" hidden="true" customHeight="true" outlineLevel="0" collapsed="false">
      <c r="A18" s="30" t="str">
        <f aca="false">Backlog!A18</f>
        <v>NEW-0006</v>
      </c>
      <c r="B18" s="59" t="str">
        <f aca="false">IFERROR(IF(ISBLANK(INDEX(Backlog[Requirement Name],MATCH($A18,Backlog[Requirement ID],0))),"",INDEX(Backlog[Requirement Name],MATCH($A18,Backlog[Requirement ID],0))),"")</f>
        <v>New UWO Interface (decoupling) </v>
      </c>
      <c r="C18" s="30" t="str">
        <f aca="false">IFERROR(IF(ISBLANK(INDEX(Backlog[Stream],MATCH($A18,Backlog[Requirement ID],0))),"",INDEX(Backlog[Stream],MATCH($A18,Backlog[Requirement ID],0))),"")</f>
        <v>Growth</v>
      </c>
      <c r="D18" s="30" t="str">
        <f aca="false">IFERROR(IF(ISBLANK(INDEX(Backlog[Jira Link],MATCH($A18,Backlog[Requirement ID],0))),"",INDEX(Backlog[Jira Link],MATCH($A18,Backlog[Requirement ID],0))),"")</f>
        <v/>
      </c>
      <c r="E18" s="30" t="str">
        <f aca="false">IFERROR(IF(ISBLANK(INDEX(Backlog[Status],MATCH($A18,Backlog[Requirement ID],0))),"",INDEX(Backlog[Status],MATCH($A18,Backlog[Requirement ID],0))),"")</f>
        <v>NEW</v>
      </c>
      <c r="F18" s="30" t="str">
        <f aca="false">IFERROR(IF(ISBLANK(INDEX(SprintPlanning[Sprint],MATCH($A18,SprintPlanning[Requirement ID],0))),"",INDEX(SprintPlanning[Sprint],MATCH($A18,SprintPlanning[Requirement ID],0))),"")</f>
        <v>To Plan</v>
      </c>
      <c r="G18" s="60"/>
      <c r="H18" s="61"/>
      <c r="I18" s="60"/>
      <c r="J18" s="30" t="str">
        <f aca="false">IFERROR(IF(ISBLANK(INDEX(Backlog[Priority],MATCH($A18,Backlog[Requirement ID],0))),"",INDEX(Backlog[Priority],MATCH($A18,Backlog[Requirement ID],0))),"")</f>
        <v>Medium</v>
      </c>
      <c r="K18" s="30"/>
      <c r="L18" s="1" t="n">
        <f aca="false">IFERROR(IF(ISBLANK(INDEX(Backlog[HLE],MATCH($A18,Backlog[Requirement ID],0))),"",IF(INDEX(Backlog[HLE],MATCH($A18,Backlog[Requirement ID],0))&lt;=5,0.5,IF(INDEX(Backlog[HLE],MATCH($A18,Backlog[Requirement ID],0))&lt;=8,1,IF(INDEX(Backlog[HLE],MATCH($A18,Backlog[Requirement ID],0))&lt;=13,2,IF(INDEX(Backlog[HLE],MATCH($A18,Backlog[Requirement ID],0))&lt;=20,3,5))))),"")</f>
        <v>0.5</v>
      </c>
      <c r="M18" s="30"/>
    </row>
    <row r="19" customFormat="false" ht="15" hidden="true" customHeight="true" outlineLevel="0" collapsed="false">
      <c r="A19" s="30" t="str">
        <f aca="false">Backlog!A19</f>
        <v>NEW-0007</v>
      </c>
      <c r="B19" s="59" t="str">
        <f aca="false">IFERROR(IF(ISBLANK(INDEX(Backlog[Requirement Name],MATCH($A19,Backlog[Requirement ID],0))),"",INDEX(Backlog[Requirement Name],MATCH($A19,Backlog[Requirement ID],0))),"")</f>
        <v>Update Hold option (decoupling)</v>
      </c>
      <c r="C19" s="30" t="str">
        <f aca="false">IFERROR(IF(ISBLANK(INDEX(Backlog[Stream],MATCH($A19,Backlog[Requirement ID],0))),"",INDEX(Backlog[Stream],MATCH($A19,Backlog[Requirement ID],0))),"")</f>
        <v>Growth</v>
      </c>
      <c r="D19" s="30" t="str">
        <f aca="false">IFERROR(IF(ISBLANK(INDEX(Backlog[Jira Link],MATCH($A19,Backlog[Requirement ID],0))),"",INDEX(Backlog[Jira Link],MATCH($A19,Backlog[Requirement ID],0))),"")</f>
        <v/>
      </c>
      <c r="E19" s="30" t="str">
        <f aca="false">IFERROR(IF(ISBLANK(INDEX(Backlog[Status],MATCH($A19,Backlog[Requirement ID],0))),"",INDEX(Backlog[Status],MATCH($A19,Backlog[Requirement ID],0))),"")</f>
        <v>NEW</v>
      </c>
      <c r="F19" s="30" t="str">
        <f aca="false">IFERROR(IF(ISBLANK(INDEX(SprintPlanning[Sprint],MATCH($A19,SprintPlanning[Requirement ID],0))),"",INDEX(SprintPlanning[Sprint],MATCH($A19,SprintPlanning[Requirement ID],0))),"")</f>
        <v>To Plan</v>
      </c>
      <c r="G19" s="60"/>
      <c r="H19" s="61"/>
      <c r="I19" s="60"/>
      <c r="J19" s="30" t="str">
        <f aca="false">IFERROR(IF(ISBLANK(INDEX(Backlog[Priority],MATCH($A19,Backlog[Requirement ID],0))),"",INDEX(Backlog[Priority],MATCH($A19,Backlog[Requirement ID],0))),"")</f>
        <v>Medium</v>
      </c>
      <c r="K19" s="62"/>
      <c r="L19" s="1" t="n">
        <f aca="false">IFERROR(IF(ISBLANK(INDEX(Backlog[HLE],MATCH($A19,Backlog[Requirement ID],0))),"",IF(INDEX(Backlog[HLE],MATCH($A19,Backlog[Requirement ID],0))&lt;=5,0.5,IF(INDEX(Backlog[HLE],MATCH($A19,Backlog[Requirement ID],0))&lt;=8,1,IF(INDEX(Backlog[HLE],MATCH($A19,Backlog[Requirement ID],0))&lt;=13,2,IF(INDEX(Backlog[HLE],MATCH($A19,Backlog[Requirement ID],0))&lt;=20,3,5))))),"")</f>
        <v>0.5</v>
      </c>
      <c r="M19" s="30"/>
    </row>
    <row r="20" customFormat="false" ht="15.75" hidden="true" customHeight="true" outlineLevel="0" collapsed="false">
      <c r="A20" s="30" t="str">
        <f aca="false">Backlog!A20</f>
        <v>NEW-0011</v>
      </c>
      <c r="B20" s="59" t="str">
        <f aca="false">IFERROR(IF(ISBLANK(INDEX(Backlog[Requirement Name],MATCH($A20,Backlog[Requirement ID],0))),"",INDEX(Backlog[Requirement Name],MATCH($A20,Backlog[Requirement ID],0))),"")</f>
        <v>INT 101 - Cabin Selections (Booking Group Management) </v>
      </c>
      <c r="C20" s="30" t="str">
        <f aca="false">IFERROR(IF(ISBLANK(INDEX(Backlog[Stream],MATCH($A20,Backlog[Requirement ID],0))),"",INDEX(Backlog[Stream],MATCH($A20,Backlog[Requirement ID],0))),"")</f>
        <v>Growth</v>
      </c>
      <c r="D20" s="30" t="str">
        <f aca="false">IFERROR(IF(ISBLANK(INDEX(Backlog[Jira Link],MATCH($A20,Backlog[Requirement ID],0))),"",INDEX(Backlog[Jira Link],MATCH($A20,Backlog[Requirement ID],0))),"")</f>
        <v>https://smartship.atlassian.net/browse/MDTTPU-8135</v>
      </c>
      <c r="E20" s="30" t="str">
        <f aca="false">IFERROR(IF(ISBLANK(INDEX(Backlog[Status],MATCH($A20,Backlog[Requirement ID],0))),"",INDEX(Backlog[Status],MATCH($A20,Backlog[Requirement ID],0))),"")</f>
        <v>NEW</v>
      </c>
      <c r="F20" s="30" t="str">
        <f aca="false">IFERROR(IF(ISBLANK(INDEX(SprintPlanning[Sprint],MATCH($A20,SprintPlanning[Requirement ID],0))),"",INDEX(SprintPlanning[Sprint],MATCH($A20,SprintPlanning[Requirement ID],0))),"")</f>
        <v>To Plan</v>
      </c>
      <c r="G20" s="60" t="s">
        <v>83</v>
      </c>
      <c r="H20" s="61"/>
      <c r="I20" s="60"/>
      <c r="J20" s="30" t="str">
        <f aca="false">IFERROR(IF(ISBLANK(INDEX(Backlog[Priority],MATCH($A20,Backlog[Requirement ID],0))),"",INDEX(Backlog[Priority],MATCH($A20,Backlog[Requirement ID],0))),"")</f>
        <v>Medium</v>
      </c>
      <c r="K20" s="62" t="s">
        <v>438</v>
      </c>
      <c r="L20" s="1" t="n">
        <f aca="false">IFERROR(IF(ISBLANK(INDEX(Backlog[HLE],MATCH($A20,Backlog[Requirement ID],0))),"",IF(INDEX(Backlog[HLE],MATCH($A20,Backlog[Requirement ID],0))&lt;=5,0.5,IF(INDEX(Backlog[HLE],MATCH($A20,Backlog[Requirement ID],0))&lt;=8,1,IF(INDEX(Backlog[HLE],MATCH($A20,Backlog[Requirement ID],0))&lt;=13,2,IF(INDEX(Backlog[HLE],MATCH($A20,Backlog[Requirement ID],0))&lt;=20,3,5))))),"")</f>
        <v>1</v>
      </c>
      <c r="M20" s="30"/>
    </row>
    <row r="21" customFormat="false" ht="15" hidden="true" customHeight="true" outlineLevel="0" collapsed="false">
      <c r="A21" s="30" t="str">
        <f aca="false">Backlog!A21</f>
        <v>NEW-0016</v>
      </c>
      <c r="B21" s="59" t="str">
        <f aca="false">IFERROR(IF(ISBLANK(INDEX(Backlog[Requirement Name],MATCH($A21,Backlog[Requirement ID],0))),"",INDEX(Backlog[Requirement Name],MATCH($A21,Backlog[Requirement ID],0))),"")</f>
        <v>myMSC Add USA Market Configuration - Chain 1/ Chain 2 </v>
      </c>
      <c r="C21" s="30" t="str">
        <f aca="false">IFERROR(IF(ISBLANK(INDEX(Backlog[Stream],MATCH($A21,Backlog[Requirement ID],0))),"",INDEX(Backlog[Stream],MATCH($A21,Backlog[Requirement ID],0))),"")</f>
        <v>US</v>
      </c>
      <c r="D21" s="30" t="str">
        <f aca="false">IFERROR(IF(ISBLANK(INDEX(Backlog[Jira Link],MATCH($A21,Backlog[Requirement ID],0))),"",INDEX(Backlog[Jira Link],MATCH($A21,Backlog[Requirement ID],0))),"")</f>
        <v>https://smartship.atlassian.net/browse/MDTTPU-13662</v>
      </c>
      <c r="E21" s="30" t="str">
        <f aca="false">IFERROR(IF(ISBLANK(INDEX(Backlog[Status],MATCH($A21,Backlog[Requirement ID],0))),"",INDEX(Backlog[Status],MATCH($A21,Backlog[Requirement ID],0))),"")</f>
        <v>NEW</v>
      </c>
      <c r="F21" s="30" t="str">
        <f aca="false">IFERROR(IF(ISBLANK(INDEX(SprintPlanning[Sprint],MATCH($A21,SprintPlanning[Requirement ID],0))),"",INDEX(SprintPlanning[Sprint],MATCH($A21,SprintPlanning[Requirement ID],0))),"")</f>
        <v>To Plan</v>
      </c>
      <c r="G21" s="60" t="s">
        <v>396</v>
      </c>
      <c r="H21" s="61"/>
      <c r="I21" s="60"/>
      <c r="J21" s="30" t="str">
        <f aca="false">IFERROR(IF(ISBLANK(INDEX(Backlog[Priority],MATCH($A21,Backlog[Requirement ID],0))),"",INDEX(Backlog[Priority],MATCH($A21,Backlog[Requirement ID],0))),"")</f>
        <v>Medium</v>
      </c>
      <c r="K21" s="62" t="s">
        <v>437</v>
      </c>
      <c r="L21" s="1" t="n">
        <f aca="false">IFERROR(IF(ISBLANK(INDEX(Backlog[HLE],MATCH($A21,Backlog[Requirement ID],0))),"",IF(INDEX(Backlog[HLE],MATCH($A21,Backlog[Requirement ID],0))&lt;=5,0.5,IF(INDEX(Backlog[HLE],MATCH($A21,Backlog[Requirement ID],0))&lt;=8,1,IF(INDEX(Backlog[HLE],MATCH($A21,Backlog[Requirement ID],0))&lt;=13,2,IF(INDEX(Backlog[HLE],MATCH($A21,Backlog[Requirement ID],0))&lt;=20,3,5))))),"")</f>
        <v>1</v>
      </c>
      <c r="M21" s="30"/>
    </row>
    <row r="22" customFormat="false" ht="15" hidden="true" customHeight="true" outlineLevel="0" collapsed="false">
      <c r="A22" s="30" t="str">
        <f aca="false">Backlog!A22</f>
        <v>NEW-0017</v>
      </c>
      <c r="B22" s="59" t="str">
        <f aca="false">IFERROR(IF(ISBLANK(INDEX(Backlog[Requirement Name],MATCH($A22,Backlog[Requirement ID],0))),"",INDEX(Backlog[Requirement Name],MATCH($A22,Backlog[Requirement ID],0))),"")</f>
        <v>ARG Payment provider Pagtur</v>
      </c>
      <c r="C22" s="30" t="str">
        <f aca="false">IFERROR(IF(ISBLANK(INDEX(Backlog[Stream],MATCH($A22,Backlog[Requirement ID],0))),"",INDEX(Backlog[Stream],MATCH($A22,Backlog[Requirement ID],0))),"")</f>
        <v>MVP Rollout</v>
      </c>
      <c r="D22" s="30" t="str">
        <f aca="false">IFERROR(IF(ISBLANK(INDEX(Backlog[Jira Link],MATCH($A22,Backlog[Requirement ID],0))),"",INDEX(Backlog[Jira Link],MATCH($A22,Backlog[Requirement ID],0))),"")</f>
        <v/>
      </c>
      <c r="E22" s="30" t="str">
        <f aca="false">IFERROR(IF(ISBLANK(INDEX(Backlog[Status],MATCH($A22,Backlog[Requirement ID],0))),"",INDEX(Backlog[Status],MATCH($A22,Backlog[Requirement ID],0))),"")</f>
        <v>NEW</v>
      </c>
      <c r="F22" s="30" t="str">
        <f aca="false">IFERROR(IF(ISBLANK(INDEX(SprintPlanning[Sprint],MATCH($A22,SprintPlanning[Requirement ID],0))),"",INDEX(SprintPlanning[Sprint],MATCH($A22,SprintPlanning[Requirement ID],0))),"")</f>
        <v>To Plan</v>
      </c>
      <c r="G22" s="60" t="s">
        <v>396</v>
      </c>
      <c r="H22" s="61"/>
      <c r="I22" s="60"/>
      <c r="J22" s="30" t="str">
        <f aca="false">IFERROR(IF(ISBLANK(INDEX(Backlog[Priority],MATCH($A22,Backlog[Requirement ID],0))),"",INDEX(Backlog[Priority],MATCH($A22,Backlog[Requirement ID],0))),"")</f>
        <v>Medium</v>
      </c>
      <c r="K22" s="62" t="s">
        <v>437</v>
      </c>
      <c r="L22" s="1" t="n">
        <f aca="false">IFERROR(IF(ISBLANK(INDEX(Backlog[HLE],MATCH($A22,Backlog[Requirement ID],0))),"",IF(INDEX(Backlog[HLE],MATCH($A22,Backlog[Requirement ID],0))&lt;=5,0.5,IF(INDEX(Backlog[HLE],MATCH($A22,Backlog[Requirement ID],0))&lt;=8,1,IF(INDEX(Backlog[HLE],MATCH($A22,Backlog[Requirement ID],0))&lt;=13,2,IF(INDEX(Backlog[HLE],MATCH($A22,Backlog[Requirement ID],0))&lt;=20,3,5))))),"")</f>
        <v>5</v>
      </c>
      <c r="M22" s="30"/>
    </row>
    <row r="23" customFormat="false" ht="15" hidden="true" customHeight="true" outlineLevel="0" collapsed="false">
      <c r="A23" s="30" t="str">
        <f aca="false">Backlog!A23</f>
        <v>NEW-0018</v>
      </c>
      <c r="B23" s="59" t="str">
        <f aca="false">IFERROR(IF(ISBLANK(INDEX(Backlog[Requirement Name],MATCH($A23,Backlog[Requirement ID],0))),"",INDEX(Backlog[Requirement Name],MATCH($A23,Backlog[Requirement ID],0))),"")</f>
        <v>BR Payment providerDireçao</v>
      </c>
      <c r="C23" s="30" t="str">
        <f aca="false">IFERROR(IF(ISBLANK(INDEX(Backlog[Stream],MATCH($A23,Backlog[Requirement ID],0))),"",INDEX(Backlog[Stream],MATCH($A23,Backlog[Requirement ID],0))),"")</f>
        <v>MVP Rollout</v>
      </c>
      <c r="D23" s="30" t="str">
        <f aca="false">IFERROR(IF(ISBLANK(INDEX(Backlog[Jira Link],MATCH($A23,Backlog[Requirement ID],0))),"",INDEX(Backlog[Jira Link],MATCH($A23,Backlog[Requirement ID],0))),"")</f>
        <v/>
      </c>
      <c r="E23" s="30" t="str">
        <f aca="false">IFERROR(IF(ISBLANK(INDEX(Backlog[Status],MATCH($A23,Backlog[Requirement ID],0))),"",INDEX(Backlog[Status],MATCH($A23,Backlog[Requirement ID],0))),"")</f>
        <v>NEW</v>
      </c>
      <c r="F23" s="30" t="str">
        <f aca="false">IFERROR(IF(ISBLANK(INDEX(SprintPlanning[Sprint],MATCH($A23,SprintPlanning[Requirement ID],0))),"",INDEX(SprintPlanning[Sprint],MATCH($A23,SprintPlanning[Requirement ID],0))),"")</f>
        <v>To Plan</v>
      </c>
      <c r="G23" s="60"/>
      <c r="H23" s="61"/>
      <c r="I23" s="60"/>
      <c r="J23" s="30" t="str">
        <f aca="false">IFERROR(IF(ISBLANK(INDEX(Backlog[Priority],MATCH($A23,Backlog[Requirement ID],0))),"",INDEX(Backlog[Priority],MATCH($A23,Backlog[Requirement ID],0))),"")</f>
        <v>Medium</v>
      </c>
      <c r="K23" s="62"/>
      <c r="L23" s="1" t="n">
        <f aca="false">IFERROR(IF(ISBLANK(INDEX(Backlog[HLE],MATCH($A23,Backlog[Requirement ID],0))),"",IF(INDEX(Backlog[HLE],MATCH($A23,Backlog[Requirement ID],0))&lt;=5,0.5,IF(INDEX(Backlog[HLE],MATCH($A23,Backlog[Requirement ID],0))&lt;=8,1,IF(INDEX(Backlog[HLE],MATCH($A23,Backlog[Requirement ID],0))&lt;=13,2,IF(INDEX(Backlog[HLE],MATCH($A23,Backlog[Requirement ID],0))&lt;=20,3,5))))),"")</f>
        <v>5</v>
      </c>
      <c r="M23" s="30"/>
    </row>
    <row r="24" customFormat="false" ht="15" hidden="true" customHeight="true" outlineLevel="0" collapsed="false">
      <c r="A24" s="30" t="str">
        <f aca="false">Backlog!A24</f>
        <v>NEW-0020</v>
      </c>
      <c r="B24" s="59" t="str">
        <f aca="false">IFERROR(IF(ISBLANK(INDEX(Backlog[Requirement Name],MATCH($A24,Backlog[Requirement ID],0))),"",INDEX(Backlog[Requirement Name],MATCH($A24,Backlog[Requirement ID],0))),"")</f>
        <v>MyMSC Spa </v>
      </c>
      <c r="C24" s="30" t="str">
        <f aca="false">IFERROR(IF(ISBLANK(INDEX(Backlog[Stream],MATCH($A24,Backlog[Requirement ID],0))),"",INDEX(Backlog[Stream],MATCH($A24,Backlog[Requirement ID],0))),"")</f>
        <v>MyMSC</v>
      </c>
      <c r="D24" s="30" t="str">
        <f aca="false">IFERROR(IF(ISBLANK(INDEX(Backlog[Jira Link],MATCH($A24,Backlog[Requirement ID],0))),"",INDEX(Backlog[Jira Link],MATCH($A24,Backlog[Requirement ID],0))),"")</f>
        <v>https://smartship.atlassian.net/browse/DTTP25-44114</v>
      </c>
      <c r="E24" s="30" t="str">
        <f aca="false">IFERROR(IF(ISBLANK(INDEX(Backlog[Status],MATCH($A24,Backlog[Requirement ID],0))),"",INDEX(Backlog[Status],MATCH($A24,Backlog[Requirement ID],0))),"")</f>
        <v>NEW</v>
      </c>
      <c r="F24" s="30" t="str">
        <f aca="false">IFERROR(IF(ISBLANK(INDEX(SprintPlanning[Sprint],MATCH($A24,SprintPlanning[Requirement ID],0))),"",INDEX(SprintPlanning[Sprint],MATCH($A24,SprintPlanning[Requirement ID],0))),"")</f>
        <v>Sprint 14</v>
      </c>
      <c r="G24" s="60"/>
      <c r="H24" s="61"/>
      <c r="I24" s="60"/>
      <c r="J24" s="30" t="str">
        <f aca="false">IFERROR(IF(ISBLANK(INDEX(Backlog[Priority],MATCH($A24,Backlog[Requirement ID],0))),"",INDEX(Backlog[Priority],MATCH($A24,Backlog[Requirement ID],0))),"")</f>
        <v>Medium</v>
      </c>
      <c r="K24" s="62"/>
      <c r="L24" s="1" t="n">
        <f aca="false">IFERROR(IF(ISBLANK(INDEX(Backlog[HLE],MATCH($A24,Backlog[Requirement ID],0))),"",IF(INDEX(Backlog[HLE],MATCH($A24,Backlog[Requirement ID],0))&lt;=5,0.5,IF(INDEX(Backlog[HLE],MATCH($A24,Backlog[Requirement ID],0))&lt;=8,1,IF(INDEX(Backlog[HLE],MATCH($A24,Backlog[Requirement ID],0))&lt;=13,2,IF(INDEX(Backlog[HLE],MATCH($A24,Backlog[Requirement ID],0))&lt;=20,3,5))))),"")</f>
        <v>3</v>
      </c>
      <c r="M24" s="30"/>
    </row>
    <row r="25" customFormat="false" ht="15" hidden="true" customHeight="true" outlineLevel="0" collapsed="false">
      <c r="A25" s="30" t="str">
        <f aca="false">Backlog!A25</f>
        <v>NEW-0022</v>
      </c>
      <c r="B25" s="59" t="str">
        <f aca="false">IFERROR(IF(ISBLANK(INDEX(Backlog[Requirement Name],MATCH($A25,Backlog[Requirement ID],0))),"",INDEX(Backlog[Requirement Name],MATCH($A25,Backlog[Requirement ID],0))),"")</f>
        <v>Super Agency Access</v>
      </c>
      <c r="C25" s="30" t="str">
        <f aca="false">IFERROR(IF(ISBLANK(INDEX(Backlog[Stream],MATCH($A25,Backlog[Requirement ID],0))),"",INDEX(Backlog[Stream],MATCH($A25,Backlog[Requirement ID],0))),"")</f>
        <v>MyMSC</v>
      </c>
      <c r="D25" s="30" t="str">
        <f aca="false">IFERROR(IF(ISBLANK(INDEX(Backlog[Jira Link],MATCH($A25,Backlog[Requirement ID],0))),"",INDEX(Backlog[Jira Link],MATCH($A25,Backlog[Requirement ID],0))),"")</f>
        <v/>
      </c>
      <c r="E25" s="30" t="str">
        <f aca="false">IFERROR(IF(ISBLANK(INDEX(Backlog[Status],MATCH($A25,Backlog[Requirement ID],0))),"",INDEX(Backlog[Status],MATCH($A25,Backlog[Requirement ID],0))),"")</f>
        <v>NEW</v>
      </c>
      <c r="F25" s="30" t="str">
        <f aca="false">IFERROR(IF(ISBLANK(INDEX(SprintPlanning[Sprint],MATCH($A25,SprintPlanning[Requirement ID],0))),"",INDEX(SprintPlanning[Sprint],MATCH($A25,SprintPlanning[Requirement ID],0))),"")</f>
        <v>To Plan</v>
      </c>
      <c r="G25" s="60"/>
      <c r="H25" s="61"/>
      <c r="I25" s="60"/>
      <c r="J25" s="30" t="str">
        <f aca="false">IFERROR(IF(ISBLANK(INDEX(Backlog[Priority],MATCH($A25,Backlog[Requirement ID],0))),"",INDEX(Backlog[Priority],MATCH($A25,Backlog[Requirement ID],0))),"")</f>
        <v>Medium</v>
      </c>
      <c r="K25" s="62"/>
      <c r="L25" s="1" t="n">
        <f aca="false">IFERROR(IF(ISBLANK(INDEX(Backlog[HLE],MATCH($A25,Backlog[Requirement ID],0))),"",IF(INDEX(Backlog[HLE],MATCH($A25,Backlog[Requirement ID],0))&lt;=5,0.5,IF(INDEX(Backlog[HLE],MATCH($A25,Backlog[Requirement ID],0))&lt;=8,1,IF(INDEX(Backlog[HLE],MATCH($A25,Backlog[Requirement ID],0))&lt;=13,2,IF(INDEX(Backlog[HLE],MATCH($A25,Backlog[Requirement ID],0))&lt;=20,3,5))))),"")</f>
        <v>1</v>
      </c>
      <c r="M25" s="30"/>
    </row>
    <row r="26" customFormat="false" ht="15" hidden="true" customHeight="true" outlineLevel="0" collapsed="false">
      <c r="A26" s="30" t="str">
        <f aca="false">Backlog!A26</f>
        <v>NEW-0033</v>
      </c>
      <c r="B26" s="59" t="str">
        <f aca="false">IFERROR(IF(ISBLANK(INDEX(Backlog[Requirement Name],MATCH($A26,Backlog[Requirement ID],0))),"",INDEX(Backlog[Requirement Name],MATCH($A26,Backlog[Requirement ID],0))),"")</f>
        <v>Pending Configurations for DACH, MED, LATAM</v>
      </c>
      <c r="C26" s="30" t="str">
        <f aca="false">IFERROR(IF(ISBLANK(INDEX(Backlog[Stream],MATCH($A26,Backlog[Requirement ID],0))),"",INDEX(Backlog[Stream],MATCH($A26,Backlog[Requirement ID],0))),"")</f>
        <v>MyMSC</v>
      </c>
      <c r="D26" s="30" t="str">
        <f aca="false">IFERROR(IF(ISBLANK(INDEX(Backlog[Jira Link],MATCH($A26,Backlog[Requirement ID],0))),"",INDEX(Backlog[Jira Link],MATCH($A26,Backlog[Requirement ID],0))),"")</f>
        <v>https://smartship.atlassian.net/browse/DTTP25-21230</v>
      </c>
      <c r="E26" s="30" t="str">
        <f aca="false">IFERROR(IF(ISBLANK(INDEX(Backlog[Status],MATCH($A26,Backlog[Requirement ID],0))),"",INDEX(Backlog[Status],MATCH($A26,Backlog[Requirement ID],0))),"")</f>
        <v>NEW</v>
      </c>
      <c r="F26" s="30" t="str">
        <f aca="false">IFERROR(IF(ISBLANK(INDEX(SprintPlanning[Sprint],MATCH($A26,SprintPlanning[Requirement ID],0))),"",INDEX(SprintPlanning[Sprint],MATCH($A26,SprintPlanning[Requirement ID],0))),"")</f>
        <v>To Plan</v>
      </c>
      <c r="G26" s="60"/>
      <c r="H26" s="61"/>
      <c r="I26" s="60"/>
      <c r="J26" s="30" t="str">
        <f aca="false">IFERROR(IF(ISBLANK(INDEX(Backlog[Priority],MATCH($A26,Backlog[Requirement ID],0))),"",INDEX(Backlog[Priority],MATCH($A26,Backlog[Requirement ID],0))),"")</f>
        <v>Medium</v>
      </c>
      <c r="K26" s="62"/>
      <c r="L26" s="1" t="n">
        <f aca="false">IFERROR(IF(ISBLANK(INDEX(Backlog[HLE],MATCH($A26,Backlog[Requirement ID],0))),"",IF(INDEX(Backlog[HLE],MATCH($A26,Backlog[Requirement ID],0))&lt;=5,0.5,IF(INDEX(Backlog[HLE],MATCH($A26,Backlog[Requirement ID],0))&lt;=8,1,IF(INDEX(Backlog[HLE],MATCH($A26,Backlog[Requirement ID],0))&lt;=13,2,IF(INDEX(Backlog[HLE],MATCH($A26,Backlog[Requirement ID],0))&lt;=20,3,5))))),"")</f>
        <v>0.5</v>
      </c>
      <c r="M26" s="30"/>
    </row>
    <row r="27" customFormat="false" ht="15" hidden="true" customHeight="true" outlineLevel="0" collapsed="false">
      <c r="A27" s="30" t="str">
        <f aca="false">Backlog!A27</f>
        <v>NEW-0068</v>
      </c>
      <c r="B27" s="59" t="str">
        <f aca="false">IFERROR(IF(ISBLANK(INDEX(Backlog[Requirement Name],MATCH($A27,Backlog[Requirement ID],0))),"",INDEX(Backlog[Requirement Name],MATCH($A27,Backlog[Requirement ID],0))),"")</f>
        <v>[EAINT] [CR][INT026][INT133][INT130] Split calls to CMS for excursion/OBS data into chunks</v>
      </c>
      <c r="C27" s="30" t="str">
        <f aca="false">IFERROR(IF(ISBLANK(INDEX(Backlog[Stream],MATCH($A27,Backlog[Requirement ID],0))),"",INDEX(Backlog[Stream],MATCH($A27,Backlog[Requirement ID],0))),"")</f>
        <v>MyMSC</v>
      </c>
      <c r="D27" s="30" t="str">
        <f aca="false">IFERROR(IF(ISBLANK(INDEX(Backlog[Jira Link],MATCH($A27,Backlog[Requirement ID],0))),"",INDEX(Backlog[Jira Link],MATCH($A27,Backlog[Requirement ID],0))),"")</f>
        <v/>
      </c>
      <c r="E27" s="30" t="str">
        <f aca="false">IFERROR(IF(ISBLANK(INDEX(Backlog[Status],MATCH($A27,Backlog[Requirement ID],0))),"",INDEX(Backlog[Status],MATCH($A27,Backlog[Requirement ID],0))),"")</f>
        <v>NEW</v>
      </c>
      <c r="F27" s="30" t="str">
        <f aca="false">IFERROR(IF(ISBLANK(INDEX(SprintPlanning[Sprint],MATCH($A27,SprintPlanning[Requirement ID],0))),"",INDEX(SprintPlanning[Sprint],MATCH($A27,SprintPlanning[Requirement ID],0))),"")</f>
        <v>To Plan</v>
      </c>
      <c r="G27" s="60"/>
      <c r="H27" s="61"/>
      <c r="I27" s="60"/>
      <c r="J27" s="30" t="str">
        <f aca="false">IFERROR(IF(ISBLANK(INDEX(Backlog[Priority],MATCH($A27,Backlog[Requirement ID],0))),"",INDEX(Backlog[Priority],MATCH($A27,Backlog[Requirement ID],0))),"")</f>
        <v>Medium</v>
      </c>
      <c r="K27" s="62"/>
      <c r="L27" s="1" t="n">
        <f aca="false">IFERROR(IF(ISBLANK(INDEX(Backlog[HLE],MATCH($A27,Backlog[Requirement ID],0))),"",IF(INDEX(Backlog[HLE],MATCH($A27,Backlog[Requirement ID],0))&lt;=5,0.5,IF(INDEX(Backlog[HLE],MATCH($A27,Backlog[Requirement ID],0))&lt;=8,1,IF(INDEX(Backlog[HLE],MATCH($A27,Backlog[Requirement ID],0))&lt;=13,2,IF(INDEX(Backlog[HLE],MATCH($A27,Backlog[Requirement ID],0))&lt;=20,3,5))))),"")</f>
        <v>1</v>
      </c>
      <c r="M27" s="30"/>
    </row>
    <row r="28" customFormat="false" ht="15" hidden="true" customHeight="true" outlineLevel="0" collapsed="false">
      <c r="A28" s="30" t="str">
        <f aca="false">Backlog!A28</f>
        <v>NEW-0270</v>
      </c>
      <c r="B28" s="59" t="str">
        <f aca="false">IFERROR(IF(ISBLANK(INDEX(Backlog[Requirement Name],MATCH($A28,Backlog[Requirement ID],0))),"",INDEX(Backlog[Requirement Name],MATCH($A28,Backlog[Requirement ID],0))),"")</f>
        <v>Booking Group Management Cabin Selections</v>
      </c>
      <c r="C28" s="30" t="str">
        <f aca="false">IFERROR(IF(ISBLANK(INDEX(Backlog[Stream],MATCH($A28,Backlog[Requirement ID],0))),"",INDEX(Backlog[Stream],MATCH($A28,Backlog[Requirement ID],0))),"")</f>
        <v>US</v>
      </c>
      <c r="D28" s="30" t="str">
        <f aca="false">IFERROR(IF(ISBLANK(INDEX(Backlog[Jira Link],MATCH($A28,Backlog[Requirement ID],0))),"",INDEX(Backlog[Jira Link],MATCH($A28,Backlog[Requirement ID],0))),"")</f>
        <v/>
      </c>
      <c r="E28" s="30" t="str">
        <f aca="false">IFERROR(IF(ISBLANK(INDEX(Backlog[Status],MATCH($A28,Backlog[Requirement ID],0))),"",INDEX(Backlog[Status],MATCH($A28,Backlog[Requirement ID],0))),"")</f>
        <v>NEW</v>
      </c>
      <c r="F28" s="30" t="str">
        <f aca="false">IFERROR(IF(ISBLANK(INDEX(SprintPlanning[Sprint],MATCH($A28,SprintPlanning[Requirement ID],0))),"",INDEX(SprintPlanning[Sprint],MATCH($A28,SprintPlanning[Requirement ID],0))),"")</f>
        <v>To Plan</v>
      </c>
      <c r="G28" s="60"/>
      <c r="H28" s="61"/>
      <c r="I28" s="60"/>
      <c r="J28" s="30" t="str">
        <f aca="false">IFERROR(IF(ISBLANK(INDEX(Backlog[Priority],MATCH($A28,Backlog[Requirement ID],0))),"",INDEX(Backlog[Priority],MATCH($A28,Backlog[Requirement ID],0))),"")</f>
        <v>Medium</v>
      </c>
      <c r="K28" s="62"/>
      <c r="L28" s="1" t="n">
        <f aca="false">IFERROR(IF(ISBLANK(INDEX(Backlog[HLE],MATCH($A28,Backlog[Requirement ID],0))),"",IF(INDEX(Backlog[HLE],MATCH($A28,Backlog[Requirement ID],0))&lt;=5,0.5,IF(INDEX(Backlog[HLE],MATCH($A28,Backlog[Requirement ID],0))&lt;=8,1,IF(INDEX(Backlog[HLE],MATCH($A28,Backlog[Requirement ID],0))&lt;=13,2,IF(INDEX(Backlog[HLE],MATCH($A28,Backlog[Requirement ID],0))&lt;=20,3,5))))),"")</f>
        <v>0.5</v>
      </c>
      <c r="M28" s="30"/>
    </row>
    <row r="29" customFormat="false" ht="15" hidden="true" customHeight="true" outlineLevel="0" collapsed="false">
      <c r="A29" s="30" t="str">
        <f aca="false">Backlog!A29</f>
        <v>NEW-0274</v>
      </c>
      <c r="B29" s="59" t="str">
        <f aca="false">IFERROR(IF(ISBLANK(INDEX(Backlog[Requirement Name],MATCH($A29,Backlog[Requirement ID],0))),"",INDEX(Backlog[Requirement Name],MATCH($A29,Backlog[Requirement ID],0))),"")</f>
        <v>INT024.2 - Addition of “Disembarkation Date” and “Pay By” fields</v>
      </c>
      <c r="C29" s="30" t="str">
        <f aca="false">IFERROR(IF(ISBLANK(INDEX(Backlog[Stream],MATCH($A29,Backlog[Requirement ID],0))),"",INDEX(Backlog[Stream],MATCH($A29,Backlog[Requirement ID],0))),"")</f>
        <v>Growth</v>
      </c>
      <c r="D29" s="30" t="str">
        <f aca="false">IFERROR(IF(ISBLANK(INDEX(Backlog[Jira Link],MATCH($A29,Backlog[Requirement ID],0))),"",INDEX(Backlog[Jira Link],MATCH($A29,Backlog[Requirement ID],0))),"")</f>
        <v/>
      </c>
      <c r="E29" s="30" t="str">
        <f aca="false">IFERROR(IF(ISBLANK(INDEX(Backlog[Status],MATCH($A29,Backlog[Requirement ID],0))),"",INDEX(Backlog[Status],MATCH($A29,Backlog[Requirement ID],0))),"")</f>
        <v>NEW</v>
      </c>
      <c r="F29" s="30" t="str">
        <f aca="false">IFERROR(IF(ISBLANK(INDEX(SprintPlanning[Sprint],MATCH($A29,SprintPlanning[Requirement ID],0))),"",INDEX(SprintPlanning[Sprint],MATCH($A29,SprintPlanning[Requirement ID],0))),"")</f>
        <v>To Plan</v>
      </c>
      <c r="G29" s="60"/>
      <c r="H29" s="61"/>
      <c r="I29" s="60"/>
      <c r="J29" s="30" t="str">
        <f aca="false">IFERROR(IF(ISBLANK(INDEX(Backlog[Priority],MATCH($A29,Backlog[Requirement ID],0))),"",INDEX(Backlog[Priority],MATCH($A29,Backlog[Requirement ID],0))),"")</f>
        <v>Medium</v>
      </c>
      <c r="K29" s="62"/>
      <c r="L29" s="1" t="n">
        <f aca="false">IFERROR(IF(ISBLANK(INDEX(Backlog[HLE],MATCH($A29,Backlog[Requirement ID],0))),"",IF(INDEX(Backlog[HLE],MATCH($A29,Backlog[Requirement ID],0))&lt;=5,0.5,IF(INDEX(Backlog[HLE],MATCH($A29,Backlog[Requirement ID],0))&lt;=8,1,IF(INDEX(Backlog[HLE],MATCH($A29,Backlog[Requirement ID],0))&lt;=13,2,IF(INDEX(Backlog[HLE],MATCH($A29,Backlog[Requirement ID],0))&lt;=20,3,5))))),"")</f>
        <v>0.5</v>
      </c>
      <c r="M29" s="30"/>
    </row>
    <row r="30" customFormat="false" ht="15" hidden="true" customHeight="true" outlineLevel="0" collapsed="false">
      <c r="A30" s="30" t="str">
        <f aca="false">Backlog!A30</f>
        <v>NEW-0284</v>
      </c>
      <c r="B30" s="59" t="str">
        <f aca="false">IFERROR(IF(ISBLANK(INDEX(Backlog[Requirement Name],MATCH($A30,Backlog[Requirement ID],0))),"",INDEX(Backlog[Requirement Name],MATCH($A30,Backlog[Requirement ID],0))),"")</f>
        <v>DACH, MED, LATAM Configurations</v>
      </c>
      <c r="C30" s="30" t="str">
        <f aca="false">IFERROR(IF(ISBLANK(INDEX(Backlog[Stream],MATCH($A30,Backlog[Requirement ID],0))),"",INDEX(Backlog[Stream],MATCH($A30,Backlog[Requirement ID],0))),"")</f>
        <v>MyMSC</v>
      </c>
      <c r="D30" s="30" t="str">
        <f aca="false">IFERROR(IF(ISBLANK(INDEX(Backlog[Jira Link],MATCH($A30,Backlog[Requirement ID],0))),"",INDEX(Backlog[Jira Link],MATCH($A30,Backlog[Requirement ID],0))),"")</f>
        <v/>
      </c>
      <c r="E30" s="30" t="str">
        <f aca="false">IFERROR(IF(ISBLANK(INDEX(Backlog[Status],MATCH($A30,Backlog[Requirement ID],0))),"",INDEX(Backlog[Status],MATCH($A30,Backlog[Requirement ID],0))),"")</f>
        <v>NEW</v>
      </c>
      <c r="F30" s="30" t="str">
        <f aca="false">IFERROR(IF(ISBLANK(INDEX(SprintPlanning[Sprint],MATCH($A30,SprintPlanning[Requirement ID],0))),"",INDEX(SprintPlanning[Sprint],MATCH($A30,SprintPlanning[Requirement ID],0))),"")</f>
        <v>To Plan</v>
      </c>
      <c r="G30" s="60"/>
      <c r="H30" s="61"/>
      <c r="I30" s="60"/>
      <c r="J30" s="30" t="str">
        <f aca="false">IFERROR(IF(ISBLANK(INDEX(Backlog[Priority],MATCH($A30,Backlog[Requirement ID],0))),"",INDEX(Backlog[Priority],MATCH($A30,Backlog[Requirement ID],0))),"")</f>
        <v>Medium</v>
      </c>
      <c r="K30" s="62"/>
      <c r="L30" s="1" t="str">
        <f aca="false">IFERROR(IF(ISBLANK(INDEX(Backlog[HLE],MATCH($A30,Backlog[Requirement ID],0))),"",IF(INDEX(Backlog[HLE],MATCH($A30,Backlog[Requirement ID],0))&lt;=5,0.5,IF(INDEX(Backlog[HLE],MATCH($A30,Backlog[Requirement ID],0))&lt;=8,1,IF(INDEX(Backlog[HLE],MATCH($A30,Backlog[Requirement ID],0))&lt;=13,2,IF(INDEX(Backlog[HLE],MATCH($A30,Backlog[Requirement ID],0))&lt;=20,3,5))))),"")</f>
        <v/>
      </c>
      <c r="M30" s="30"/>
    </row>
    <row r="31" customFormat="false" ht="15" hidden="true" customHeight="true" outlineLevel="0" collapsed="false">
      <c r="A31" s="30" t="str">
        <f aca="false">Backlog!A31</f>
        <v>NEW-0288</v>
      </c>
      <c r="B31" s="59" t="str">
        <f aca="false">IFERROR(IF(ISBLANK(INDEX(Backlog[Requirement Name],MATCH($A31,Backlog[Requirement ID],0))),"",INDEX(Backlog[Requirement Name],MATCH($A31,Backlog[Requirement ID],0))),"")</f>
        <v>Remove of login endpoints from MyMSC EAPI</v>
      </c>
      <c r="C31" s="30" t="str">
        <f aca="false">IFERROR(IF(ISBLANK(INDEX(Backlog[Stream],MATCH($A31,Backlog[Requirement ID],0))),"",INDEX(Backlog[Stream],MATCH($A31,Backlog[Requirement ID],0))),"")</f>
        <v>MyMSC</v>
      </c>
      <c r="D31" s="30" t="str">
        <f aca="false">IFERROR(IF(ISBLANK(INDEX(Backlog[Jira Link],MATCH($A31,Backlog[Requirement ID],0))),"",INDEX(Backlog[Jira Link],MATCH($A31,Backlog[Requirement ID],0))),"")</f>
        <v/>
      </c>
      <c r="E31" s="30" t="str">
        <f aca="false">IFERROR(IF(ISBLANK(INDEX(Backlog[Status],MATCH($A31,Backlog[Requirement ID],0))),"",INDEX(Backlog[Status],MATCH($A31,Backlog[Requirement ID],0))),"")</f>
        <v>NEW</v>
      </c>
      <c r="F31" s="30" t="str">
        <f aca="false">IFERROR(IF(ISBLANK(INDEX(SprintPlanning[Sprint],MATCH($A31,SprintPlanning[Requirement ID],0))),"",INDEX(SprintPlanning[Sprint],MATCH($A31,SprintPlanning[Requirement ID],0))),"")</f>
        <v>To Plan</v>
      </c>
      <c r="G31" s="60"/>
      <c r="H31" s="61"/>
      <c r="I31" s="60"/>
      <c r="J31" s="30" t="str">
        <f aca="false">IFERROR(IF(ISBLANK(INDEX(Backlog[Priority],MATCH($A31,Backlog[Requirement ID],0))),"",INDEX(Backlog[Priority],MATCH($A31,Backlog[Requirement ID],0))),"")</f>
        <v>Medium</v>
      </c>
      <c r="K31" s="62"/>
      <c r="L31" s="1" t="n">
        <f aca="false">IFERROR(IF(ISBLANK(INDEX(Backlog[HLE],MATCH($A31,Backlog[Requirement ID],0))),"",IF(INDEX(Backlog[HLE],MATCH($A31,Backlog[Requirement ID],0))&lt;=5,0.5,IF(INDEX(Backlog[HLE],MATCH($A31,Backlog[Requirement ID],0))&lt;=8,1,IF(INDEX(Backlog[HLE],MATCH($A31,Backlog[Requirement ID],0))&lt;=13,2,IF(INDEX(Backlog[HLE],MATCH($A31,Backlog[Requirement ID],0))&lt;=20,3,5))))),"")</f>
        <v>1</v>
      </c>
      <c r="M31" s="30"/>
    </row>
    <row r="32" customFormat="false" ht="15" hidden="true" customHeight="true" outlineLevel="0" collapsed="false">
      <c r="A32" s="30" t="str">
        <f aca="false">Backlog!A32</f>
        <v>NEW-0290</v>
      </c>
      <c r="B32" s="59" t="str">
        <f aca="false">IFERROR(IF(ISBLANK(INDEX(Backlog[Requirement Name],MATCH($A32,Backlog[Requirement ID],0))),"",INDEX(Backlog[Requirement Name],MATCH($A32,Backlog[Requirement ID],0))),"")</f>
        <v>Bug fix for cabin logic in INT135.1/135.2</v>
      </c>
      <c r="C32" s="30" t="str">
        <f aca="false">IFERROR(IF(ISBLANK(INDEX(Backlog[Stream],MATCH($A32,Backlog[Requirement ID],0))),"",INDEX(Backlog[Stream],MATCH($A32,Backlog[Requirement ID],0))),"")</f>
        <v>MyMSC</v>
      </c>
      <c r="D32" s="30" t="str">
        <f aca="false">IFERROR(IF(ISBLANK(INDEX(Backlog[Jira Link],MATCH($A32,Backlog[Requirement ID],0))),"",INDEX(Backlog[Jira Link],MATCH($A32,Backlog[Requirement ID],0))),"")</f>
        <v>https://smartship.atlassian.net/browse/DTTP25-29399</v>
      </c>
      <c r="E32" s="30" t="str">
        <f aca="false">IFERROR(IF(ISBLANK(INDEX(Backlog[Status],MATCH($A32,Backlog[Requirement ID],0))),"",INDEX(Backlog[Status],MATCH($A32,Backlog[Requirement ID],0))),"")</f>
        <v>NEW</v>
      </c>
      <c r="F32" s="30" t="str">
        <f aca="false">IFERROR(IF(ISBLANK(INDEX(SprintPlanning[Sprint],MATCH($A32,SprintPlanning[Requirement ID],0))),"",INDEX(SprintPlanning[Sprint],MATCH($A32,SprintPlanning[Requirement ID],0))),"")</f>
        <v>To Plan</v>
      </c>
      <c r="G32" s="60"/>
      <c r="H32" s="61"/>
      <c r="I32" s="60"/>
      <c r="J32" s="30" t="str">
        <f aca="false">IFERROR(IF(ISBLANK(INDEX(Backlog[Priority],MATCH($A32,Backlog[Requirement ID],0))),"",INDEX(Backlog[Priority],MATCH($A32,Backlog[Requirement ID],0))),"")</f>
        <v>Medium</v>
      </c>
      <c r="K32" s="62"/>
      <c r="L32" s="1" t="n">
        <f aca="false">IFERROR(IF(ISBLANK(INDEX(Backlog[HLE],MATCH($A32,Backlog[Requirement ID],0))),"",IF(INDEX(Backlog[HLE],MATCH($A32,Backlog[Requirement ID],0))&lt;=5,0.5,IF(INDEX(Backlog[HLE],MATCH($A32,Backlog[Requirement ID],0))&lt;=8,1,IF(INDEX(Backlog[HLE],MATCH($A32,Backlog[Requirement ID],0))&lt;=13,2,IF(INDEX(Backlog[HLE],MATCH($A32,Backlog[Requirement ID],0))&lt;=20,3,5))))),"")</f>
        <v>0.5</v>
      </c>
      <c r="M32" s="30"/>
    </row>
    <row r="33" customFormat="false" ht="15" hidden="true" customHeight="true" outlineLevel="0" collapsed="false">
      <c r="A33" s="30" t="str">
        <f aca="false">Backlog!A33</f>
        <v>NEW-0299</v>
      </c>
      <c r="B33" s="59" t="str">
        <f aca="false">IFERROR(IF(ISBLANK(INDEX(Backlog[Requirement Name],MATCH($A33,Backlog[Requirement ID],0))),"",INDEX(Backlog[Requirement Name],MATCH($A33,Backlog[Requirement ID],0))),"")</f>
        <v>Spa</v>
      </c>
      <c r="C33" s="30" t="str">
        <f aca="false">IFERROR(IF(ISBLANK(INDEX(Backlog[Stream],MATCH($A33,Backlog[Requirement ID],0))),"",INDEX(Backlog[Stream],MATCH($A33,Backlog[Requirement ID],0))),"")</f>
        <v>MyMSC</v>
      </c>
      <c r="D33" s="30" t="str">
        <f aca="false">IFERROR(IF(ISBLANK(INDEX(Backlog[Jira Link],MATCH($A33,Backlog[Requirement ID],0))),"",INDEX(Backlog[Jira Link],MATCH($A33,Backlog[Requirement ID],0))),"")</f>
        <v/>
      </c>
      <c r="E33" s="30" t="str">
        <f aca="false">IFERROR(IF(ISBLANK(INDEX(Backlog[Status],MATCH($A33,Backlog[Requirement ID],0))),"",INDEX(Backlog[Status],MATCH($A33,Backlog[Requirement ID],0))),"")</f>
        <v>NEW</v>
      </c>
      <c r="F33" s="30" t="str">
        <f aca="false">IFERROR(IF(ISBLANK(INDEX(SprintPlanning[Sprint],MATCH($A33,SprintPlanning[Requirement ID],0))),"",INDEX(SprintPlanning[Sprint],MATCH($A33,SprintPlanning[Requirement ID],0))),"")</f>
        <v>To Plan</v>
      </c>
      <c r="G33" s="60"/>
      <c r="H33" s="61"/>
      <c r="I33" s="60"/>
      <c r="J33" s="30" t="str">
        <f aca="false">IFERROR(IF(ISBLANK(INDEX(Backlog[Priority],MATCH($A33,Backlog[Requirement ID],0))),"",INDEX(Backlog[Priority],MATCH($A33,Backlog[Requirement ID],0))),"")</f>
        <v>Medium</v>
      </c>
      <c r="K33" s="62"/>
      <c r="L33" s="1" t="n">
        <f aca="false">IFERROR(IF(ISBLANK(INDEX(Backlog[HLE],MATCH($A33,Backlog[Requirement ID],0))),"",IF(INDEX(Backlog[HLE],MATCH($A33,Backlog[Requirement ID],0))&lt;=5,0.5,IF(INDEX(Backlog[HLE],MATCH($A33,Backlog[Requirement ID],0))&lt;=8,1,IF(INDEX(Backlog[HLE],MATCH($A33,Backlog[Requirement ID],0))&lt;=13,2,IF(INDEX(Backlog[HLE],MATCH($A33,Backlog[Requirement ID],0))&lt;=20,3,5))))),"")</f>
        <v>5</v>
      </c>
      <c r="M33" s="30"/>
    </row>
    <row r="34" customFormat="false" ht="15" hidden="true" customHeight="true" outlineLevel="0" collapsed="false">
      <c r="A34" s="30" t="str">
        <f aca="false">Backlog!A34</f>
        <v>NEW-0315</v>
      </c>
      <c r="B34" s="59" t="str">
        <f aca="false">IFERROR(IF(ISBLANK(INDEX(Backlog[Requirement Name],MATCH($A34,Backlog[Requirement ID],0))),"",INDEX(Backlog[Requirement Name],MATCH($A34,Backlog[Requirement ID],0))),"")</f>
        <v>MyMSC CR to handle BKG_001 when booking retrieved</v>
      </c>
      <c r="C34" s="30" t="str">
        <f aca="false">IFERROR(IF(ISBLANK(INDEX(Backlog[Stream],MATCH($A34,Backlog[Requirement ID],0))),"",INDEX(Backlog[Stream],MATCH($A34,Backlog[Requirement ID],0))),"")</f>
        <v>MyMSC</v>
      </c>
      <c r="D34" s="30" t="str">
        <f aca="false">IFERROR(IF(ISBLANK(INDEX(Backlog[Jira Link],MATCH($A34,Backlog[Requirement ID],0))),"",INDEX(Backlog[Jira Link],MATCH($A34,Backlog[Requirement ID],0))),"")</f>
        <v/>
      </c>
      <c r="E34" s="30" t="str">
        <f aca="false">IFERROR(IF(ISBLANK(INDEX(Backlog[Status],MATCH($A34,Backlog[Requirement ID],0))),"",INDEX(Backlog[Status],MATCH($A34,Backlog[Requirement ID],0))),"")</f>
        <v>NEW</v>
      </c>
      <c r="F34" s="30" t="str">
        <f aca="false">IFERROR(IF(ISBLANK(INDEX(SprintPlanning[Sprint],MATCH($A34,SprintPlanning[Requirement ID],0))),"",INDEX(SprintPlanning[Sprint],MATCH($A34,SprintPlanning[Requirement ID],0))),"")</f>
        <v>To Plan</v>
      </c>
      <c r="G34" s="60"/>
      <c r="H34" s="61"/>
      <c r="I34" s="60"/>
      <c r="J34" s="30" t="str">
        <f aca="false">IFERROR(IF(ISBLANK(INDEX(Backlog[Priority],MATCH($A34,Backlog[Requirement ID],0))),"",INDEX(Backlog[Priority],MATCH($A34,Backlog[Requirement ID],0))),"")</f>
        <v>Medium</v>
      </c>
      <c r="K34" s="62"/>
      <c r="L34" s="1" t="n">
        <f aca="false">IFERROR(IF(ISBLANK(INDEX(Backlog[HLE],MATCH($A34,Backlog[Requirement ID],0))),"",IF(INDEX(Backlog[HLE],MATCH($A34,Backlog[Requirement ID],0))&lt;=5,0.5,IF(INDEX(Backlog[HLE],MATCH($A34,Backlog[Requirement ID],0))&lt;=8,1,IF(INDEX(Backlog[HLE],MATCH($A34,Backlog[Requirement ID],0))&lt;=13,2,IF(INDEX(Backlog[HLE],MATCH($A34,Backlog[Requirement ID],0))&lt;=20,3,5))))),"")</f>
        <v>1</v>
      </c>
      <c r="M34" s="30"/>
    </row>
    <row r="35" customFormat="false" ht="15" hidden="false" customHeight="true" outlineLevel="0" collapsed="false">
      <c r="A35" s="24" t="str">
        <f aca="false">Backlog!A35</f>
        <v>NEW-0322</v>
      </c>
      <c r="B35" s="47" t="str">
        <f aca="false">IFERROR(IF(ISBLANK(INDEX(Backlog[Requirement Name],MATCH($A35,Backlog[Requirement ID],0))),"",INDEX(Backlog[Requirement Name],MATCH($A35,Backlog[Requirement ID],0))),"")</f>
        <v>MyMSC/MA CR for enabling DEM links to light login</v>
      </c>
      <c r="C35" s="26" t="str">
        <f aca="false">IFERROR(IF(ISBLANK(INDEX(Backlog[Stream],MATCH($A35,Backlog[Requirement ID],0))),"",INDEX(Backlog[Stream],MATCH($A35,Backlog[Requirement ID],0))),"")</f>
        <v>MyMSC</v>
      </c>
      <c r="D35" s="26" t="str">
        <f aca="false">IFERROR(IF(ISBLANK(INDEX(Backlog[Jira Link],MATCH($A35,Backlog[Requirement ID],0))),"",INDEX(Backlog[Jira Link],MATCH($A35,Backlog[Requirement ID],0))),"")</f>
        <v/>
      </c>
      <c r="E35" s="26" t="str">
        <f aca="false">IFERROR(IF(ISBLANK(INDEX(Backlog[Status],MATCH($A35,Backlog[Requirement ID],0))),"",INDEX(Backlog[Status],MATCH($A35,Backlog[Requirement ID],0))),"")</f>
        <v>NEW</v>
      </c>
      <c r="F35" s="26" t="str">
        <f aca="false">IFERROR(IF(ISBLANK(INDEX(SprintPlanning[Sprint],MATCH($A35,SprintPlanning[Requirement ID],0))),"",INDEX(SprintPlanning[Sprint],MATCH($A35,SprintPlanning[Requirement ID],0))),"")</f>
        <v>To Plan</v>
      </c>
      <c r="G35" s="63" t="s">
        <v>396</v>
      </c>
      <c r="H35" s="64"/>
      <c r="I35" s="63"/>
      <c r="J35" s="26" t="str">
        <f aca="false">IFERROR(IF(ISBLANK(INDEX(Backlog[Priority],MATCH($A35,Backlog[Requirement ID],0))),"",INDEX(Backlog[Priority],MATCH($A35,Backlog[Requirement ID],0))),"")</f>
        <v>Medium</v>
      </c>
      <c r="K35" s="65" t="s">
        <v>436</v>
      </c>
      <c r="L35" s="1" t="n">
        <f aca="false">IFERROR(IF(ISBLANK(INDEX(Backlog[HLE],MATCH($A35,Backlog[Requirement ID],0))),"",IF(INDEX(Backlog[HLE],MATCH($A35,Backlog[Requirement ID],0))&lt;=5,0.5,IF(INDEX(Backlog[HLE],MATCH($A35,Backlog[Requirement ID],0))&lt;=8,1,IF(INDEX(Backlog[HLE],MATCH($A35,Backlog[Requirement ID],0))&lt;=13,2,IF(INDEX(Backlog[HLE],MATCH($A35,Backlog[Requirement ID],0))&lt;=20,3,5))))),"")</f>
        <v>2</v>
      </c>
      <c r="M35" s="24" t="s">
        <v>395</v>
      </c>
    </row>
    <row r="36" customFormat="false" ht="15" hidden="true" customHeight="true" outlineLevel="0" collapsed="false">
      <c r="A36" s="30" t="str">
        <f aca="false">Backlog!A36</f>
        <v>NEW-0324</v>
      </c>
      <c r="B36" s="59" t="str">
        <f aca="false">IFERROR(IF(ISBLANK(INDEX(Backlog[Requirement Name],MATCH($A36,Backlog[Requirement ID],0))),"",INDEX(Backlog[Requirement Name],MATCH($A36,Backlog[Requirement ID],0))),"")</f>
        <v>MSC- MyMSC PRE_CRM_002 error scenario change CR to additem</v>
      </c>
      <c r="C36" s="30" t="str">
        <f aca="false">IFERROR(IF(ISBLANK(INDEX(Backlog[Stream],MATCH($A36,Backlog[Requirement ID],0))),"",INDEX(Backlog[Stream],MATCH($A36,Backlog[Requirement ID],0))),"")</f>
        <v>MyMSC</v>
      </c>
      <c r="D36" s="30" t="str">
        <f aca="false">IFERROR(IF(ISBLANK(INDEX(Backlog[Jira Link],MATCH($A36,Backlog[Requirement ID],0))),"",INDEX(Backlog[Jira Link],MATCH($A36,Backlog[Requirement ID],0))),"")</f>
        <v/>
      </c>
      <c r="E36" s="30" t="str">
        <f aca="false">IFERROR(IF(ISBLANK(INDEX(Backlog[Status],MATCH($A36,Backlog[Requirement ID],0))),"",INDEX(Backlog[Status],MATCH($A36,Backlog[Requirement ID],0))),"")</f>
        <v>NEW</v>
      </c>
      <c r="F36" s="30" t="str">
        <f aca="false">IFERROR(IF(ISBLANK(INDEX(SprintPlanning[Sprint],MATCH($A36,SprintPlanning[Requirement ID],0))),"",INDEX(SprintPlanning[Sprint],MATCH($A36,SprintPlanning[Requirement ID],0))),"")</f>
        <v>To Plan</v>
      </c>
      <c r="G36" s="60"/>
      <c r="H36" s="61"/>
      <c r="I36" s="60"/>
      <c r="J36" s="30" t="str">
        <f aca="false">IFERROR(IF(ISBLANK(INDEX(Backlog[Priority],MATCH($A36,Backlog[Requirement ID],0))),"",INDEX(Backlog[Priority],MATCH($A36,Backlog[Requirement ID],0))),"")</f>
        <v>Medium</v>
      </c>
      <c r="K36" s="62"/>
      <c r="L36" s="1" t="str">
        <f aca="false">IFERROR(IF(ISBLANK(INDEX(Backlog[HLE],MATCH($A36,Backlog[Requirement ID],0))),"",IF(INDEX(Backlog[HLE],MATCH($A36,Backlog[Requirement ID],0))&lt;=5,0.5,IF(INDEX(Backlog[HLE],MATCH($A36,Backlog[Requirement ID],0))&lt;=8,1,IF(INDEX(Backlog[HLE],MATCH($A36,Backlog[Requirement ID],0))&lt;=13,2,IF(INDEX(Backlog[HLE],MATCH($A36,Backlog[Requirement ID],0))&lt;=20,3,5))))),"")</f>
        <v/>
      </c>
      <c r="M36" s="30"/>
    </row>
    <row r="37" customFormat="false" ht="15" hidden="true" customHeight="true" outlineLevel="0" collapsed="false">
      <c r="A37" s="30" t="str">
        <f aca="false">Backlog!A37</f>
        <v>NEW-0343</v>
      </c>
      <c r="B37" s="59" t="str">
        <f aca="false">IFERROR(IF(ISBLANK(INDEX(Backlog[Requirement Name],MATCH($A37,Backlog[Requirement ID],0))),"",INDEX(Backlog[Requirement Name],MATCH($A37,Backlog[Requirement ID],0))),"")</f>
        <v>CDP / DTS Post Booking - CR - Passenger name filter</v>
      </c>
      <c r="C37" s="30" t="str">
        <f aca="false">IFERROR(IF(ISBLANK(INDEX(Backlog[Stream],MATCH($A37,Backlog[Requirement ID],0))),"",INDEX(Backlog[Stream],MATCH($A37,Backlog[Requirement ID],0))),"")</f>
        <v>Backlog</v>
      </c>
      <c r="D37" s="30" t="str">
        <f aca="false">IFERROR(IF(ISBLANK(INDEX(Backlog[Jira Link],MATCH($A37,Backlog[Requirement ID],0))),"",INDEX(Backlog[Jira Link],MATCH($A37,Backlog[Requirement ID],0))),"")</f>
        <v/>
      </c>
      <c r="E37" s="30" t="str">
        <f aca="false">IFERROR(IF(ISBLANK(INDEX(Backlog[Status],MATCH($A37,Backlog[Requirement ID],0))),"",INDEX(Backlog[Status],MATCH($A37,Backlog[Requirement ID],0))),"")</f>
        <v>ON HOLD</v>
      </c>
      <c r="F37" s="30" t="str">
        <f aca="false">IFERROR(IF(ISBLANK(INDEX(SprintPlanning[Sprint],MATCH($A37,SprintPlanning[Requirement ID],0))),"",INDEX(SprintPlanning[Sprint],MATCH($A37,SprintPlanning[Requirement ID],0))),"")</f>
        <v>To Plan</v>
      </c>
      <c r="G37" s="60"/>
      <c r="H37" s="61"/>
      <c r="I37" s="60"/>
      <c r="J37" s="30" t="str">
        <f aca="false">IFERROR(IF(ISBLANK(INDEX(Backlog[Priority],MATCH($A37,Backlog[Requirement ID],0))),"",INDEX(Backlog[Priority],MATCH($A37,Backlog[Requirement ID],0))),"")</f>
        <v>Medium</v>
      </c>
      <c r="K37" s="62"/>
      <c r="L37" s="1" t="str">
        <f aca="false">IFERROR(IF(ISBLANK(INDEX(Backlog[HLE],MATCH($A37,Backlog[Requirement ID],0))),"",IF(INDEX(Backlog[HLE],MATCH($A37,Backlog[Requirement ID],0))&lt;=5,0.5,IF(INDEX(Backlog[HLE],MATCH($A37,Backlog[Requirement ID],0))&lt;=8,1,IF(INDEX(Backlog[HLE],MATCH($A37,Backlog[Requirement ID],0))&lt;=13,2,IF(INDEX(Backlog[HLE],MATCH($A37,Backlog[Requirement ID],0))&lt;=20,3,5))))),"")</f>
        <v/>
      </c>
      <c r="M37" s="30"/>
    </row>
    <row r="38" customFormat="false" ht="15" hidden="true" customHeight="true" outlineLevel="0" collapsed="false">
      <c r="A38" s="30" t="str">
        <f aca="false">Backlog!A38</f>
        <v>NEW-0344</v>
      </c>
      <c r="B38" s="59" t="str">
        <f aca="false">IFERROR(IF(ISBLANK(INDEX(Backlog[Requirement Name],MATCH($A38,Backlog[Requirement ID],0))),"",INDEX(Backlog[Requirement Name],MATCH($A38,Backlog[Requirement ID],0))),"")</f>
        <v>CDP / DTS Post Booking - CR  - INT024.1 Improve data quality handling and optimise customer  search</v>
      </c>
      <c r="C38" s="30" t="str">
        <f aca="false">IFERROR(IF(ISBLANK(INDEX(Backlog[Stream],MATCH($A38,Backlog[Requirement ID],0))),"",INDEX(Backlog[Stream],MATCH($A38,Backlog[Requirement ID],0))),"")</f>
        <v>Backlog</v>
      </c>
      <c r="D38" s="30" t="str">
        <f aca="false">IFERROR(IF(ISBLANK(INDEX(Backlog[Jira Link],MATCH($A38,Backlog[Requirement ID],0))),"",INDEX(Backlog[Jira Link],MATCH($A38,Backlog[Requirement ID],0))),"")</f>
        <v/>
      </c>
      <c r="E38" s="30" t="str">
        <f aca="false">IFERROR(IF(ISBLANK(INDEX(Backlog[Status],MATCH($A38,Backlog[Requirement ID],0))),"",INDEX(Backlog[Status],MATCH($A38,Backlog[Requirement ID],0))),"")</f>
        <v>NEW</v>
      </c>
      <c r="F38" s="30" t="str">
        <f aca="false">IFERROR(IF(ISBLANK(INDEX(SprintPlanning[Sprint],MATCH($A38,SprintPlanning[Requirement ID],0))),"",INDEX(SprintPlanning[Sprint],MATCH($A38,SprintPlanning[Requirement ID],0))),"")</f>
        <v>To Plan</v>
      </c>
      <c r="G38" s="60"/>
      <c r="H38" s="61"/>
      <c r="I38" s="60"/>
      <c r="J38" s="30" t="str">
        <f aca="false">IFERROR(IF(ISBLANK(INDEX(Backlog[Priority],MATCH($A38,Backlog[Requirement ID],0))),"",INDEX(Backlog[Priority],MATCH($A38,Backlog[Requirement ID],0))),"")</f>
        <v>Medium</v>
      </c>
      <c r="K38" s="62"/>
      <c r="L38" s="1" t="str">
        <f aca="false">IFERROR(IF(ISBLANK(INDEX(Backlog[HLE],MATCH($A38,Backlog[Requirement ID],0))),"",IF(INDEX(Backlog[HLE],MATCH($A38,Backlog[Requirement ID],0))&lt;=5,0.5,IF(INDEX(Backlog[HLE],MATCH($A38,Backlog[Requirement ID],0))&lt;=8,1,IF(INDEX(Backlog[HLE],MATCH($A38,Backlog[Requirement ID],0))&lt;=13,2,IF(INDEX(Backlog[HLE],MATCH($A38,Backlog[Requirement ID],0))&lt;=20,3,5))))),"")</f>
        <v/>
      </c>
      <c r="M38" s="30"/>
    </row>
    <row r="39" customFormat="false" ht="15" hidden="true" customHeight="true" outlineLevel="0" collapsed="false">
      <c r="A39" s="30" t="str">
        <f aca="false">Backlog!A39</f>
        <v>NEW-0345</v>
      </c>
      <c r="B39" s="59" t="str">
        <f aca="false">IFERROR(IF(ISBLANK(INDEX(Backlog[Requirement Name],MATCH($A39,Backlog[Requirement ID],0))),"",INDEX(Backlog[Requirement Name],MATCH($A39,Backlog[Requirement ID],0))),"")</f>
        <v>CDP / DTS Post Booking - CR - INT024.1 Long term Improved data quality handling</v>
      </c>
      <c r="C39" s="30" t="str">
        <f aca="false">IFERROR(IF(ISBLANK(INDEX(Backlog[Stream],MATCH($A39,Backlog[Requirement ID],0))),"",INDEX(Backlog[Stream],MATCH($A39,Backlog[Requirement ID],0))),"")</f>
        <v>Backlog</v>
      </c>
      <c r="D39" s="30" t="str">
        <f aca="false">IFERROR(IF(ISBLANK(INDEX(Backlog[Jira Link],MATCH($A39,Backlog[Requirement ID],0))),"",INDEX(Backlog[Jira Link],MATCH($A39,Backlog[Requirement ID],0))),"")</f>
        <v/>
      </c>
      <c r="E39" s="30" t="str">
        <f aca="false">IFERROR(IF(ISBLANK(INDEX(Backlog[Status],MATCH($A39,Backlog[Requirement ID],0))),"",INDEX(Backlog[Status],MATCH($A39,Backlog[Requirement ID],0))),"")</f>
        <v>NEW</v>
      </c>
      <c r="F39" s="30" t="str">
        <f aca="false">IFERROR(IF(ISBLANK(INDEX(SprintPlanning[Sprint],MATCH($A39,SprintPlanning[Requirement ID],0))),"",INDEX(SprintPlanning[Sprint],MATCH($A39,SprintPlanning[Requirement ID],0))),"")</f>
        <v>To Plan</v>
      </c>
      <c r="G39" s="60"/>
      <c r="H39" s="61"/>
      <c r="I39" s="60"/>
      <c r="J39" s="30" t="str">
        <f aca="false">IFERROR(IF(ISBLANK(INDEX(Backlog[Priority],MATCH($A39,Backlog[Requirement ID],0))),"",INDEX(Backlog[Priority],MATCH($A39,Backlog[Requirement ID],0))),"")</f>
        <v>Medium</v>
      </c>
      <c r="K39" s="62"/>
      <c r="L39" s="1" t="str">
        <f aca="false">IFERROR(IF(ISBLANK(INDEX(Backlog[HLE],MATCH($A39,Backlog[Requirement ID],0))),"",IF(INDEX(Backlog[HLE],MATCH($A39,Backlog[Requirement ID],0))&lt;=5,0.5,IF(INDEX(Backlog[HLE],MATCH($A39,Backlog[Requirement ID],0))&lt;=8,1,IF(INDEX(Backlog[HLE],MATCH($A39,Backlog[Requirement ID],0))&lt;=13,2,IF(INDEX(Backlog[HLE],MATCH($A39,Backlog[Requirement ID],0))&lt;=20,3,5))))),"")</f>
        <v/>
      </c>
      <c r="M39" s="30"/>
    </row>
    <row r="40" customFormat="false" ht="15" hidden="true" customHeight="true" outlineLevel="0" collapsed="false">
      <c r="A40" s="30" t="str">
        <f aca="false">Backlog!A40</f>
        <v>NEW-0346</v>
      </c>
      <c r="B40" s="59" t="str">
        <f aca="false">IFERROR(IF(ISBLANK(INDEX(Backlog[Requirement Name],MATCH($A40,Backlog[Requirement ID],0))),"",INDEX(Backlog[Requirement Name],MATCH($A40,Backlog[Requirement ID],0))),"")</f>
        <v>CR - Improved data quality handling optimise customer search page size across other integrations</v>
      </c>
      <c r="C40" s="30" t="str">
        <f aca="false">IFERROR(IF(ISBLANK(INDEX(Backlog[Stream],MATCH($A40,Backlog[Requirement ID],0))),"",INDEX(Backlog[Stream],MATCH($A40,Backlog[Requirement ID],0))),"")</f>
        <v>Backlog</v>
      </c>
      <c r="D40" s="30" t="str">
        <f aca="false">IFERROR(IF(ISBLANK(INDEX(Backlog[Jira Link],MATCH($A40,Backlog[Requirement ID],0))),"",INDEX(Backlog[Jira Link],MATCH($A40,Backlog[Requirement ID],0))),"")</f>
        <v/>
      </c>
      <c r="E40" s="30" t="str">
        <f aca="false">IFERROR(IF(ISBLANK(INDEX(Backlog[Status],MATCH($A40,Backlog[Requirement ID],0))),"",INDEX(Backlog[Status],MATCH($A40,Backlog[Requirement ID],0))),"")</f>
        <v>NEW</v>
      </c>
      <c r="F40" s="30" t="str">
        <f aca="false">IFERROR(IF(ISBLANK(INDEX(SprintPlanning[Sprint],MATCH($A40,SprintPlanning[Requirement ID],0))),"",INDEX(SprintPlanning[Sprint],MATCH($A40,SprintPlanning[Requirement ID],0))),"")</f>
        <v>To Plan</v>
      </c>
      <c r="G40" s="60"/>
      <c r="H40" s="61"/>
      <c r="I40" s="60"/>
      <c r="J40" s="30" t="str">
        <f aca="false">IFERROR(IF(ISBLANK(INDEX(Backlog[Priority],MATCH($A40,Backlog[Requirement ID],0))),"",INDEX(Backlog[Priority],MATCH($A40,Backlog[Requirement ID],0))),"")</f>
        <v>Medium</v>
      </c>
      <c r="K40" s="62"/>
      <c r="L40" s="1" t="str">
        <f aca="false">IFERROR(IF(ISBLANK(INDEX(Backlog[HLE],MATCH($A40,Backlog[Requirement ID],0))),"",IF(INDEX(Backlog[HLE],MATCH($A40,Backlog[Requirement ID],0))&lt;=5,0.5,IF(INDEX(Backlog[HLE],MATCH($A40,Backlog[Requirement ID],0))&lt;=8,1,IF(INDEX(Backlog[HLE],MATCH($A40,Backlog[Requirement ID],0))&lt;=13,2,IF(INDEX(Backlog[HLE],MATCH($A40,Backlog[Requirement ID],0))&lt;=20,3,5))))),"")</f>
        <v/>
      </c>
      <c r="M40" s="30"/>
    </row>
    <row r="41" customFormat="false" ht="15" hidden="true" customHeight="true" outlineLevel="0" collapsed="false">
      <c r="A41" s="30" t="str">
        <f aca="false">Backlog!A41</f>
        <v>NEW-0356</v>
      </c>
      <c r="B41" s="59" t="str">
        <f aca="false">IFERROR(IF(ISBLANK(INDEX(Backlog[Requirement Name],MATCH($A41,Backlog[Requirement ID],0))),"",INDEX(Backlog[Requirement Name],MATCH($A41,Backlog[Requirement ID],0))),"")</f>
        <v>MED Insurance - Do not sell any insurance if CoR differ across pax</v>
      </c>
      <c r="C41" s="30" t="str">
        <f aca="false">IFERROR(IF(ISBLANK(INDEX(Backlog[Stream],MATCH($A41,Backlog[Requirement ID],0))),"",INDEX(Backlog[Stream],MATCH($A41,Backlog[Requirement ID],0))),"")</f>
        <v>Growth</v>
      </c>
      <c r="D41" s="30" t="str">
        <f aca="false">IFERROR(IF(ISBLANK(INDEX(Backlog[Jira Link],MATCH($A41,Backlog[Requirement ID],0))),"",INDEX(Backlog[Jira Link],MATCH($A41,Backlog[Requirement ID],0))),"")</f>
        <v/>
      </c>
      <c r="E41" s="30" t="str">
        <f aca="false">IFERROR(IF(ISBLANK(INDEX(Backlog[Status],MATCH($A41,Backlog[Requirement ID],0))),"",INDEX(Backlog[Status],MATCH($A41,Backlog[Requirement ID],0))),"")</f>
        <v>ON HOLD</v>
      </c>
      <c r="F41" s="30" t="str">
        <f aca="false">IFERROR(IF(ISBLANK(INDEX(SprintPlanning[Sprint],MATCH($A41,SprintPlanning[Requirement ID],0))),"",INDEX(SprintPlanning[Sprint],MATCH($A41,SprintPlanning[Requirement ID],0))),"")</f>
        <v>To Plan</v>
      </c>
      <c r="G41" s="60"/>
      <c r="H41" s="61"/>
      <c r="I41" s="60"/>
      <c r="J41" s="30" t="str">
        <f aca="false">IFERROR(IF(ISBLANK(INDEX(Backlog[Priority],MATCH($A41,Backlog[Requirement ID],0))),"",INDEX(Backlog[Priority],MATCH($A41,Backlog[Requirement ID],0))),"")</f>
        <v>Medium</v>
      </c>
      <c r="K41" s="62"/>
      <c r="L41" s="1" t="n">
        <f aca="false">IFERROR(IF(ISBLANK(INDEX(Backlog[HLE],MATCH($A41,Backlog[Requirement ID],0))),"",IF(INDEX(Backlog[HLE],MATCH($A41,Backlog[Requirement ID],0))&lt;=5,0.5,IF(INDEX(Backlog[HLE],MATCH($A41,Backlog[Requirement ID],0))&lt;=8,1,IF(INDEX(Backlog[HLE],MATCH($A41,Backlog[Requirement ID],0))&lt;=13,2,IF(INDEX(Backlog[HLE],MATCH($A41,Backlog[Requirement ID],0))&lt;=20,3,5))))),"")</f>
        <v>1</v>
      </c>
      <c r="M41" s="30"/>
    </row>
    <row r="42" customFormat="false" ht="15" hidden="true" customHeight="true" outlineLevel="0" collapsed="false">
      <c r="A42" s="30" t="str">
        <f aca="false">Backlog!A42</f>
        <v>NEW-0358</v>
      </c>
      <c r="B42" s="59" t="str">
        <f aca="false">IFERROR(IF(ISBLANK(INDEX(Backlog[Requirement Name],MATCH($A42,Backlog[Requirement ID],0))),"",INDEX(Backlog[Requirement Name],MATCH($A42,Backlog[Requirement ID],0))),"")</f>
        <v>CMS Configuration for Airports in B2CW Booking Funnel</v>
      </c>
      <c r="C42" s="30" t="str">
        <f aca="false">IFERROR(IF(ISBLANK(INDEX(Backlog[Stream],MATCH($A42,Backlog[Requirement ID],0))),"",INDEX(Backlog[Stream],MATCH($A42,Backlog[Requirement ID],0))),"")</f>
        <v>Growth</v>
      </c>
      <c r="D42" s="30" t="str">
        <f aca="false">IFERROR(IF(ISBLANK(INDEX(Backlog[Jira Link],MATCH($A42,Backlog[Requirement ID],0))),"",INDEX(Backlog[Jira Link],MATCH($A42,Backlog[Requirement ID],0))),"")</f>
        <v/>
      </c>
      <c r="E42" s="30" t="str">
        <f aca="false">IFERROR(IF(ISBLANK(INDEX(Backlog[Status],MATCH($A42,Backlog[Requirement ID],0))),"",INDEX(Backlog[Status],MATCH($A42,Backlog[Requirement ID],0))),"")</f>
        <v>ON HOLD</v>
      </c>
      <c r="F42" s="30" t="str">
        <f aca="false">IFERROR(IF(ISBLANK(INDEX(SprintPlanning[Sprint],MATCH($A42,SprintPlanning[Requirement ID],0))),"",INDEX(SprintPlanning[Sprint],MATCH($A42,SprintPlanning[Requirement ID],0))),"")</f>
        <v>To Plan</v>
      </c>
      <c r="G42" s="60"/>
      <c r="H42" s="61"/>
      <c r="I42" s="60"/>
      <c r="J42" s="30" t="str">
        <f aca="false">IFERROR(IF(ISBLANK(INDEX(Backlog[Priority],MATCH($A42,Backlog[Requirement ID],0))),"",INDEX(Backlog[Priority],MATCH($A42,Backlog[Requirement ID],0))),"")</f>
        <v>Medium</v>
      </c>
      <c r="K42" s="62"/>
      <c r="L42" s="1" t="str">
        <f aca="false">IFERROR(IF(ISBLANK(INDEX(Backlog[HLE],MATCH($A42,Backlog[Requirement ID],0))),"",IF(INDEX(Backlog[HLE],MATCH($A42,Backlog[Requirement ID],0))&lt;=5,0.5,IF(INDEX(Backlog[HLE],MATCH($A42,Backlog[Requirement ID],0))&lt;=8,1,IF(INDEX(Backlog[HLE],MATCH($A42,Backlog[Requirement ID],0))&lt;=13,2,IF(INDEX(Backlog[HLE],MATCH($A42,Backlog[Requirement ID],0))&lt;=20,3,5))))),"")</f>
        <v/>
      </c>
      <c r="M42" s="30"/>
    </row>
    <row r="43" customFormat="false" ht="15" hidden="true" customHeight="true" outlineLevel="0" collapsed="false">
      <c r="A43" s="30" t="str">
        <f aca="false">Backlog!A43</f>
        <v>NEW-0360</v>
      </c>
      <c r="B43" s="59" t="str">
        <f aca="false">IFERROR(IF(ISBLANK(INDEX(Backlog[Requirement Name],MATCH($A43,Backlog[Requirement ID],0))),"",INDEX(Backlog[Requirement Name],MATCH($A43,Backlog[Requirement ID],0))),"")</f>
        <v>Paypal Reconciliation for prepaid</v>
      </c>
      <c r="C43" s="30" t="str">
        <f aca="false">IFERROR(IF(ISBLANK(INDEX(Backlog[Stream],MATCH($A43,Backlog[Requirement ID],0))),"",INDEX(Backlog[Stream],MATCH($A43,Backlog[Requirement ID],0))),"")</f>
        <v>Growth</v>
      </c>
      <c r="D43" s="30" t="str">
        <f aca="false">IFERROR(IF(ISBLANK(INDEX(Backlog[Jira Link],MATCH($A43,Backlog[Requirement ID],0))),"",INDEX(Backlog[Jira Link],MATCH($A43,Backlog[Requirement ID],0))),"")</f>
        <v/>
      </c>
      <c r="E43" s="30" t="str">
        <f aca="false">IFERROR(IF(ISBLANK(INDEX(Backlog[Status],MATCH($A43,Backlog[Requirement ID],0))),"",INDEX(Backlog[Status],MATCH($A43,Backlog[Requirement ID],0))),"")</f>
        <v>NEW</v>
      </c>
      <c r="F43" s="30" t="str">
        <f aca="false">IFERROR(IF(ISBLANK(INDEX(SprintPlanning[Sprint],MATCH($A43,SprintPlanning[Requirement ID],0))),"",INDEX(SprintPlanning[Sprint],MATCH($A43,SprintPlanning[Requirement ID],0))),"")</f>
        <v>To Plan</v>
      </c>
      <c r="G43" s="60"/>
      <c r="H43" s="61"/>
      <c r="I43" s="60"/>
      <c r="J43" s="30" t="str">
        <f aca="false">IFERROR(IF(ISBLANK(INDEX(Backlog[Priority],MATCH($A43,Backlog[Requirement ID],0))),"",INDEX(Backlog[Priority],MATCH($A43,Backlog[Requirement ID],0))),"")</f>
        <v>Medium</v>
      </c>
      <c r="K43" s="62"/>
      <c r="L43" s="1" t="n">
        <f aca="false">IFERROR(IF(ISBLANK(INDEX(Backlog[HLE],MATCH($A43,Backlog[Requirement ID],0))),"",IF(INDEX(Backlog[HLE],MATCH($A43,Backlog[Requirement ID],0))&lt;=5,0.5,IF(INDEX(Backlog[HLE],MATCH($A43,Backlog[Requirement ID],0))&lt;=8,1,IF(INDEX(Backlog[HLE],MATCH($A43,Backlog[Requirement ID],0))&lt;=13,2,IF(INDEX(Backlog[HLE],MATCH($A43,Backlog[Requirement ID],0))&lt;=20,3,5))))),"")</f>
        <v>0.5</v>
      </c>
      <c r="M43" s="30"/>
    </row>
    <row r="44" customFormat="false" ht="15" hidden="true" customHeight="true" outlineLevel="0" collapsed="false">
      <c r="A44" s="30" t="str">
        <f aca="false">Backlog!A44</f>
        <v>NEW-0361</v>
      </c>
      <c r="B44" s="59" t="str">
        <f aca="false">IFERROR(IF(ISBLANK(INDEX(Backlog[Requirement Name],MATCH($A44,Backlog[Requirement ID],0))),"",INDEX(Backlog[Requirement Name],MATCH($A44,Backlog[Requirement ID],0))),"")</f>
        <v>US - adding of fields to Hold option orchestration in call to AJO  -cabincode, embarkation date, cruise area</v>
      </c>
      <c r="C44" s="30" t="str">
        <f aca="false">IFERROR(IF(ISBLANK(INDEX(Backlog[Stream],MATCH($A44,Backlog[Requirement ID],0))),"",INDEX(Backlog[Stream],MATCH($A44,Backlog[Requirement ID],0))),"")</f>
        <v>Growth</v>
      </c>
      <c r="D44" s="30" t="str">
        <f aca="false">IFERROR(IF(ISBLANK(INDEX(Backlog[Jira Link],MATCH($A44,Backlog[Requirement ID],0))),"",INDEX(Backlog[Jira Link],MATCH($A44,Backlog[Requirement ID],0))),"")</f>
        <v/>
      </c>
      <c r="E44" s="30" t="str">
        <f aca="false">IFERROR(IF(ISBLANK(INDEX(Backlog[Status],MATCH($A44,Backlog[Requirement ID],0))),"",INDEX(Backlog[Status],MATCH($A44,Backlog[Requirement ID],0))),"")</f>
        <v>NEW</v>
      </c>
      <c r="F44" s="30" t="str">
        <f aca="false">IFERROR(IF(ISBLANK(INDEX(SprintPlanning[Sprint],MATCH($A44,SprintPlanning[Requirement ID],0))),"",INDEX(SprintPlanning[Sprint],MATCH($A44,SprintPlanning[Requirement ID],0))),"")</f>
        <v>To Plan</v>
      </c>
      <c r="G44" s="60"/>
      <c r="H44" s="61"/>
      <c r="I44" s="60"/>
      <c r="J44" s="30" t="str">
        <f aca="false">IFERROR(IF(ISBLANK(INDEX(Backlog[Priority],MATCH($A44,Backlog[Requirement ID],0))),"",INDEX(Backlog[Priority],MATCH($A44,Backlog[Requirement ID],0))),"")</f>
        <v>Medium</v>
      </c>
      <c r="K44" s="62"/>
      <c r="L44" s="1" t="str">
        <f aca="false">IFERROR(IF(ISBLANK(INDEX(Backlog[HLE],MATCH($A44,Backlog[Requirement ID],0))),"",IF(INDEX(Backlog[HLE],MATCH($A44,Backlog[Requirement ID],0))&lt;=5,0.5,IF(INDEX(Backlog[HLE],MATCH($A44,Backlog[Requirement ID],0))&lt;=8,1,IF(INDEX(Backlog[HLE],MATCH($A44,Backlog[Requirement ID],0))&lt;=13,2,IF(INDEX(Backlog[HLE],MATCH($A44,Backlog[Requirement ID],0))&lt;=20,3,5))))),"")</f>
        <v/>
      </c>
      <c r="M44" s="30"/>
    </row>
    <row r="45" customFormat="false" ht="15" hidden="true" customHeight="true" outlineLevel="0" collapsed="false">
      <c r="A45" s="30" t="str">
        <f aca="false">Backlog!A45</f>
        <v>NEW-0362</v>
      </c>
      <c r="B45" s="59" t="str">
        <f aca="false">IFERROR(IF(ISBLANK(INDEX(Backlog[Requirement Name],MATCH($A45,Backlog[Requirement ID],0))),"",INDEX(Backlog[Requirement Name],MATCH($A45,Backlog[Requirement ID],0))),"")</f>
        <v>US - Known and Unknown management analysis for US (CDP/AJO)</v>
      </c>
      <c r="C45" s="30" t="str">
        <f aca="false">IFERROR(IF(ISBLANK(INDEX(Backlog[Stream],MATCH($A45,Backlog[Requirement ID],0))),"",INDEX(Backlog[Stream],MATCH($A45,Backlog[Requirement ID],0))),"")</f>
        <v>Growth</v>
      </c>
      <c r="D45" s="30" t="str">
        <f aca="false">IFERROR(IF(ISBLANK(INDEX(Backlog[Jira Link],MATCH($A45,Backlog[Requirement ID],0))),"",INDEX(Backlog[Jira Link],MATCH($A45,Backlog[Requirement ID],0))),"")</f>
        <v/>
      </c>
      <c r="E45" s="30" t="str">
        <f aca="false">IFERROR(IF(ISBLANK(INDEX(Backlog[Status],MATCH($A45,Backlog[Requirement ID],0))),"",INDEX(Backlog[Status],MATCH($A45,Backlog[Requirement ID],0))),"")</f>
        <v>NEW</v>
      </c>
      <c r="F45" s="30" t="str">
        <f aca="false">IFERROR(IF(ISBLANK(INDEX(SprintPlanning[Sprint],MATCH($A45,SprintPlanning[Requirement ID],0))),"",INDEX(SprintPlanning[Sprint],MATCH($A45,SprintPlanning[Requirement ID],0))),"")</f>
        <v>To Plan</v>
      </c>
      <c r="G45" s="60"/>
      <c r="H45" s="61"/>
      <c r="I45" s="60"/>
      <c r="J45" s="30" t="str">
        <f aca="false">IFERROR(IF(ISBLANK(INDEX(Backlog[Priority],MATCH($A45,Backlog[Requirement ID],0))),"",INDEX(Backlog[Priority],MATCH($A45,Backlog[Requirement ID],0))),"")</f>
        <v>Medium</v>
      </c>
      <c r="K45" s="62"/>
      <c r="L45" s="1" t="str">
        <f aca="false">IFERROR(IF(ISBLANK(INDEX(Backlog[HLE],MATCH($A45,Backlog[Requirement ID],0))),"",IF(INDEX(Backlog[HLE],MATCH($A45,Backlog[Requirement ID],0))&lt;=5,0.5,IF(INDEX(Backlog[HLE],MATCH($A45,Backlog[Requirement ID],0))&lt;=8,1,IF(INDEX(Backlog[HLE],MATCH($A45,Backlog[Requirement ID],0))&lt;=13,2,IF(INDEX(Backlog[HLE],MATCH($A45,Backlog[Requirement ID],0))&lt;=20,3,5))))),"")</f>
        <v/>
      </c>
      <c r="M45" s="30"/>
    </row>
    <row r="46" customFormat="false" ht="15" hidden="true" customHeight="true" outlineLevel="0" collapsed="false">
      <c r="A46" s="30" t="str">
        <f aca="false">Backlog!A46</f>
        <v>NEW-0363</v>
      </c>
      <c r="B46" s="59" t="str">
        <f aca="false">IFERROR(IF(ISBLANK(INDEX(Backlog[Requirement Name],MATCH($A46,Backlog[Requirement ID],0))),"",INDEX(Backlog[Requirement Name],MATCH($A46,Backlog[Requirement ID],0))),"")</f>
        <v>US - Outbound Leads - Light Login for Leads Moving Option Expiring</v>
      </c>
      <c r="C46" s="30" t="str">
        <f aca="false">IFERROR(IF(ISBLANK(INDEX(Backlog[Stream],MATCH($A46,Backlog[Requirement ID],0))),"",INDEX(Backlog[Stream],MATCH($A46,Backlog[Requirement ID],0))),"")</f>
        <v>Growth</v>
      </c>
      <c r="D46" s="30" t="str">
        <f aca="false">IFERROR(IF(ISBLANK(INDEX(Backlog[Jira Link],MATCH($A46,Backlog[Requirement ID],0))),"",INDEX(Backlog[Jira Link],MATCH($A46,Backlog[Requirement ID],0))),"")</f>
        <v/>
      </c>
      <c r="E46" s="30" t="str">
        <f aca="false">IFERROR(IF(ISBLANK(INDEX(Backlog[Status],MATCH($A46,Backlog[Requirement ID],0))),"",INDEX(Backlog[Status],MATCH($A46,Backlog[Requirement ID],0))),"")</f>
        <v>NEW</v>
      </c>
      <c r="F46" s="30" t="str">
        <f aca="false">IFERROR(IF(ISBLANK(INDEX(SprintPlanning[Sprint],MATCH($A46,SprintPlanning[Requirement ID],0))),"",INDEX(SprintPlanning[Sprint],MATCH($A46,SprintPlanning[Requirement ID],0))),"")</f>
        <v>To Plan</v>
      </c>
      <c r="G46" s="60"/>
      <c r="H46" s="61"/>
      <c r="I46" s="60"/>
      <c r="J46" s="30" t="str">
        <f aca="false">IFERROR(IF(ISBLANK(INDEX(Backlog[Priority],MATCH($A46,Backlog[Requirement ID],0))),"",INDEX(Backlog[Priority],MATCH($A46,Backlog[Requirement ID],0))),"")</f>
        <v>Medium</v>
      </c>
      <c r="K46" s="62"/>
      <c r="L46" s="1" t="str">
        <f aca="false">IFERROR(IF(ISBLANK(INDEX(Backlog[HLE],MATCH($A46,Backlog[Requirement ID],0))),"",IF(INDEX(Backlog[HLE],MATCH($A46,Backlog[Requirement ID],0))&lt;=5,0.5,IF(INDEX(Backlog[HLE],MATCH($A46,Backlog[Requirement ID],0))&lt;=8,1,IF(INDEX(Backlog[HLE],MATCH($A46,Backlog[Requirement ID],0))&lt;=13,2,IF(INDEX(Backlog[HLE],MATCH($A46,Backlog[Requirement ID],0))&lt;=20,3,5))))),"")</f>
        <v/>
      </c>
      <c r="M46" s="30"/>
    </row>
    <row r="47" customFormat="false" ht="15" hidden="true" customHeight="true" outlineLevel="0" collapsed="false">
      <c r="A47" s="30" t="str">
        <f aca="false">Backlog!A47</f>
        <v>NEW-0364</v>
      </c>
      <c r="B47" s="59" t="str">
        <f aca="false">IFERROR(IF(ISBLANK(INDEX(Backlog[Requirement Name],MATCH($A47,Backlog[Requirement ID],0))),"",INDEX(Backlog[Requirement Name],MATCH($A47,Backlog[Requirement ID],0))),"")</f>
        <v>B2CW Booking Funnel - TRF and Pricing Structure Assessment – ESP Market</v>
      </c>
      <c r="C47" s="30" t="str">
        <f aca="false">IFERROR(IF(ISBLANK(INDEX(Backlog[Stream],MATCH($A47,Backlog[Requirement ID],0))),"",INDEX(Backlog[Stream],MATCH($A47,Backlog[Requirement ID],0))),"")</f>
        <v>Growth</v>
      </c>
      <c r="D47" s="30" t="str">
        <f aca="false">IFERROR(IF(ISBLANK(INDEX(Backlog[Jira Link],MATCH($A47,Backlog[Requirement ID],0))),"",INDEX(Backlog[Jira Link],MATCH($A47,Backlog[Requirement ID],0))),"")</f>
        <v/>
      </c>
      <c r="E47" s="30" t="str">
        <f aca="false">IFERROR(IF(ISBLANK(INDEX(Backlog[Status],MATCH($A47,Backlog[Requirement ID],0))),"",INDEX(Backlog[Status],MATCH($A47,Backlog[Requirement ID],0))),"")</f>
        <v>NA</v>
      </c>
      <c r="F47" s="30" t="str">
        <f aca="false">IFERROR(IF(ISBLANK(INDEX(SprintPlanning[Sprint],MATCH($A47,SprintPlanning[Requirement ID],0))),"",INDEX(SprintPlanning[Sprint],MATCH($A47,SprintPlanning[Requirement ID],0))),"")</f>
        <v>To Plan</v>
      </c>
      <c r="G47" s="60"/>
      <c r="H47" s="61"/>
      <c r="I47" s="60"/>
      <c r="J47" s="30" t="str">
        <f aca="false">IFERROR(IF(ISBLANK(INDEX(Backlog[Priority],MATCH($A47,Backlog[Requirement ID],0))),"",INDEX(Backlog[Priority],MATCH($A47,Backlog[Requirement ID],0))),"")</f>
        <v>Medium</v>
      </c>
      <c r="K47" s="62"/>
      <c r="L47" s="1" t="str">
        <f aca="false">IFERROR(IF(ISBLANK(INDEX(Backlog[HLE],MATCH($A47,Backlog[Requirement ID],0))),"",IF(INDEX(Backlog[HLE],MATCH($A47,Backlog[Requirement ID],0))&lt;=5,0.5,IF(INDEX(Backlog[HLE],MATCH($A47,Backlog[Requirement ID],0))&lt;=8,1,IF(INDEX(Backlog[HLE],MATCH($A47,Backlog[Requirement ID],0))&lt;=13,2,IF(INDEX(Backlog[HLE],MATCH($A47,Backlog[Requirement ID],0))&lt;=20,3,5))))),"")</f>
        <v/>
      </c>
      <c r="M47" s="30"/>
    </row>
    <row r="48" customFormat="false" ht="15" hidden="true" customHeight="true" outlineLevel="0" collapsed="false">
      <c r="A48" s="30" t="str">
        <f aca="false">Backlog!A48</f>
        <v>NEW-0366</v>
      </c>
      <c r="B48" s="59" t="str">
        <f aca="false">IFERROR(IF(ISBLANK(INDEX(Backlog[Requirement Name],MATCH($A48,Backlog[Requirement ID],0))),"",INDEX(Backlog[Requirement Name],MATCH($A48,Backlog[Requirement ID],0))),"")</f>
        <v>B2CW Accessibility &amp; Medical Webform Business Rules for booking</v>
      </c>
      <c r="C48" s="30" t="str">
        <f aca="false">IFERROR(IF(ISBLANK(INDEX(Backlog[Stream],MATCH($A48,Backlog[Requirement ID],0))),"",INDEX(Backlog[Stream],MATCH($A48,Backlog[Requirement ID],0))),"")</f>
        <v>Growth</v>
      </c>
      <c r="D48" s="30" t="str">
        <f aca="false">IFERROR(IF(ISBLANK(INDEX(Backlog[Jira Link],MATCH($A48,Backlog[Requirement ID],0))),"",INDEX(Backlog[Jira Link],MATCH($A48,Backlog[Requirement ID],0))),"")</f>
        <v/>
      </c>
      <c r="E48" s="30" t="str">
        <f aca="false">IFERROR(IF(ISBLANK(INDEX(Backlog[Status],MATCH($A48,Backlog[Requirement ID],0))),"",INDEX(Backlog[Status],MATCH($A48,Backlog[Requirement ID],0))),"")</f>
        <v>NEW</v>
      </c>
      <c r="F48" s="30" t="str">
        <f aca="false">IFERROR(IF(ISBLANK(INDEX(SprintPlanning[Sprint],MATCH($A48,SprintPlanning[Requirement ID],0))),"",INDEX(SprintPlanning[Sprint],MATCH($A48,SprintPlanning[Requirement ID],0))),"")</f>
        <v>To Plan</v>
      </c>
      <c r="G48" s="60"/>
      <c r="H48" s="61"/>
      <c r="I48" s="60"/>
      <c r="J48" s="30" t="str">
        <f aca="false">IFERROR(IF(ISBLANK(INDEX(Backlog[Priority],MATCH($A48,Backlog[Requirement ID],0))),"",INDEX(Backlog[Priority],MATCH($A48,Backlog[Requirement ID],0))),"")</f>
        <v>Medium</v>
      </c>
      <c r="K48" s="62"/>
      <c r="L48" s="1" t="str">
        <f aca="false">IFERROR(IF(ISBLANK(INDEX(Backlog[HLE],MATCH($A48,Backlog[Requirement ID],0))),"",IF(INDEX(Backlog[HLE],MATCH($A48,Backlog[Requirement ID],0))&lt;=5,0.5,IF(INDEX(Backlog[HLE],MATCH($A48,Backlog[Requirement ID],0))&lt;=8,1,IF(INDEX(Backlog[HLE],MATCH($A48,Backlog[Requirement ID],0))&lt;=13,2,IF(INDEX(Backlog[HLE],MATCH($A48,Backlog[Requirement ID],0))&lt;=20,3,5))))),"")</f>
        <v/>
      </c>
      <c r="M48" s="30"/>
    </row>
    <row r="49" customFormat="false" ht="15" hidden="true" customHeight="true" outlineLevel="0" collapsed="false">
      <c r="A49" s="30" t="str">
        <f aca="false">Backlog!A49</f>
        <v>NEW-0367</v>
      </c>
      <c r="B49" s="59" t="str">
        <f aca="false">IFERROR(IF(ISBLANK(INDEX(Backlog[Requirement Name],MATCH($A49,Backlog[Requirement ID],0))),"",INDEX(Backlog[Requirement Name],MATCH($A49,Backlog[Requirement ID],0))),"")</f>
        <v>MyMSC US | Extend JWT expiry</v>
      </c>
      <c r="C49" s="30" t="str">
        <f aca="false">IFERROR(IF(ISBLANK(INDEX(Backlog[Stream],MATCH($A49,Backlog[Requirement ID],0))),"",INDEX(Backlog[Stream],MATCH($A49,Backlog[Requirement ID],0))),"")</f>
        <v>Growth</v>
      </c>
      <c r="D49" s="30" t="str">
        <f aca="false">IFERROR(IF(ISBLANK(INDEX(Backlog[Jira Link],MATCH($A49,Backlog[Requirement ID],0))),"",INDEX(Backlog[Jira Link],MATCH($A49,Backlog[Requirement ID],0))),"")</f>
        <v/>
      </c>
      <c r="E49" s="30" t="str">
        <f aca="false">IFERROR(IF(ISBLANK(INDEX(Backlog[Status],MATCH($A49,Backlog[Requirement ID],0))),"",INDEX(Backlog[Status],MATCH($A49,Backlog[Requirement ID],0))),"")</f>
        <v>NEW</v>
      </c>
      <c r="F49" s="30" t="str">
        <f aca="false">IFERROR(IF(ISBLANK(INDEX(SprintPlanning[Sprint],MATCH($A49,SprintPlanning[Requirement ID],0))),"",INDEX(SprintPlanning[Sprint],MATCH($A49,SprintPlanning[Requirement ID],0))),"")</f>
        <v>To Plan</v>
      </c>
      <c r="G49" s="60"/>
      <c r="H49" s="61"/>
      <c r="I49" s="60"/>
      <c r="J49" s="30" t="str">
        <f aca="false">IFERROR(IF(ISBLANK(INDEX(Backlog[Priority],MATCH($A49,Backlog[Requirement ID],0))),"",INDEX(Backlog[Priority],MATCH($A49,Backlog[Requirement ID],0))),"")</f>
        <v>Medium</v>
      </c>
      <c r="K49" s="62"/>
      <c r="L49" s="1" t="n">
        <f aca="false">IFERROR(IF(ISBLANK(INDEX(Backlog[HLE],MATCH($A49,Backlog[Requirement ID],0))),"",IF(INDEX(Backlog[HLE],MATCH($A49,Backlog[Requirement ID],0))&lt;=5,0.5,IF(INDEX(Backlog[HLE],MATCH($A49,Backlog[Requirement ID],0))&lt;=8,1,IF(INDEX(Backlog[HLE],MATCH($A49,Backlog[Requirement ID],0))&lt;=13,2,IF(INDEX(Backlog[HLE],MATCH($A49,Backlog[Requirement ID],0))&lt;=20,3,5))))),"")</f>
        <v>0.5</v>
      </c>
      <c r="M49" s="30"/>
    </row>
    <row r="50" customFormat="false" ht="15" hidden="true" customHeight="true" outlineLevel="0" collapsed="false">
      <c r="A50" s="30" t="str">
        <f aca="false">Backlog!A50</f>
        <v>NEW-0370</v>
      </c>
      <c r="B50" s="59" t="str">
        <f aca="false">IFERROR(IF(ISBLANK(INDEX(Backlog[Requirement Name],MATCH($A50,Backlog[Requirement ID],0))),"",INDEX(Backlog[Requirement Name],MATCH($A50,Backlog[Requirement ID],0))),"")</f>
        <v>Handling DSC_076 scenario in booking funnel</v>
      </c>
      <c r="C50" s="30" t="str">
        <f aca="false">IFERROR(IF(ISBLANK(INDEX(Backlog[Stream],MATCH($A50,Backlog[Requirement ID],0))),"",INDEX(Backlog[Stream],MATCH($A50,Backlog[Requirement ID],0))),"")</f>
        <v>Growth</v>
      </c>
      <c r="D50" s="30" t="str">
        <f aca="false">IFERROR(IF(ISBLANK(INDEX(Backlog[Jira Link],MATCH($A50,Backlog[Requirement ID],0))),"",INDEX(Backlog[Jira Link],MATCH($A50,Backlog[Requirement ID],0))),"")</f>
        <v/>
      </c>
      <c r="E50" s="30" t="str">
        <f aca="false">IFERROR(IF(ISBLANK(INDEX(Backlog[Status],MATCH($A50,Backlog[Requirement ID],0))),"",INDEX(Backlog[Status],MATCH($A50,Backlog[Requirement ID],0))),"")</f>
        <v>NEW</v>
      </c>
      <c r="F50" s="30" t="str">
        <f aca="false">IFERROR(IF(ISBLANK(INDEX(SprintPlanning[Sprint],MATCH($A50,SprintPlanning[Requirement ID],0))),"",INDEX(SprintPlanning[Sprint],MATCH($A50,SprintPlanning[Requirement ID],0))),"")</f>
        <v>To Plan</v>
      </c>
      <c r="G50" s="60"/>
      <c r="H50" s="61"/>
      <c r="I50" s="60"/>
      <c r="J50" s="30" t="str">
        <f aca="false">IFERROR(IF(ISBLANK(INDEX(Backlog[Priority],MATCH($A50,Backlog[Requirement ID],0))),"",INDEX(Backlog[Priority],MATCH($A50,Backlog[Requirement ID],0))),"")</f>
        <v>Medium</v>
      </c>
      <c r="K50" s="62"/>
      <c r="L50" s="1" t="str">
        <f aca="false">IFERROR(IF(ISBLANK(INDEX(Backlog[HLE],MATCH($A50,Backlog[Requirement ID],0))),"",IF(INDEX(Backlog[HLE],MATCH($A50,Backlog[Requirement ID],0))&lt;=5,0.5,IF(INDEX(Backlog[HLE],MATCH($A50,Backlog[Requirement ID],0))&lt;=8,1,IF(INDEX(Backlog[HLE],MATCH($A50,Backlog[Requirement ID],0))&lt;=13,2,IF(INDEX(Backlog[HLE],MATCH($A50,Backlog[Requirement ID],0))&lt;=20,3,5))))),"")</f>
        <v/>
      </c>
      <c r="M50" s="30"/>
    </row>
    <row r="51" customFormat="false" ht="15" hidden="true" customHeight="true" outlineLevel="0" collapsed="false">
      <c r="A51" s="30" t="str">
        <f aca="false">Backlog!A51</f>
        <v>NEW-0371</v>
      </c>
      <c r="B51" s="59" t="str">
        <f aca="false">IFERROR(IF(ISBLANK(INDEX(Backlog[Requirement Name],MATCH($A51,Backlog[Requirement ID],0))),"",INDEX(Backlog[Requirement Name],MATCH($A51,Backlog[Requirement ID],0))),"")</f>
        <v>B2CW Prospect Onsite Quotation</v>
      </c>
      <c r="C51" s="30" t="str">
        <f aca="false">IFERROR(IF(ISBLANK(INDEX(Backlog[Stream],MATCH($A51,Backlog[Requirement ID],0))),"",INDEX(Backlog[Stream],MATCH($A51,Backlog[Requirement ID],0))),"")</f>
        <v>Growth</v>
      </c>
      <c r="D51" s="30" t="str">
        <f aca="false">IFERROR(IF(ISBLANK(INDEX(Backlog[Jira Link],MATCH($A51,Backlog[Requirement ID],0))),"",INDEX(Backlog[Jira Link],MATCH($A51,Backlog[Requirement ID],0))),"")</f>
        <v/>
      </c>
      <c r="E51" s="30" t="str">
        <f aca="false">IFERROR(IF(ISBLANK(INDEX(Backlog[Status],MATCH($A51,Backlog[Requirement ID],0))),"",INDEX(Backlog[Status],MATCH($A51,Backlog[Requirement ID],0))),"")</f>
        <v>NEW</v>
      </c>
      <c r="F51" s="30" t="str">
        <f aca="false">IFERROR(IF(ISBLANK(INDEX(SprintPlanning[Sprint],MATCH($A51,SprintPlanning[Requirement ID],0))),"",INDEX(SprintPlanning[Sprint],MATCH($A51,SprintPlanning[Requirement ID],0))),"")</f>
        <v>To Plan</v>
      </c>
      <c r="G51" s="60"/>
      <c r="H51" s="61"/>
      <c r="I51" s="60"/>
      <c r="J51" s="30" t="str">
        <f aca="false">IFERROR(IF(ISBLANK(INDEX(Backlog[Priority],MATCH($A51,Backlog[Requirement ID],0))),"",INDEX(Backlog[Priority],MATCH($A51,Backlog[Requirement ID],0))),"")</f>
        <v>Medium</v>
      </c>
      <c r="K51" s="62"/>
      <c r="L51" s="1" t="n">
        <f aca="false">IFERROR(IF(ISBLANK(INDEX(Backlog[HLE],MATCH($A51,Backlog[Requirement ID],0))),"",IF(INDEX(Backlog[HLE],MATCH($A51,Backlog[Requirement ID],0))&lt;=5,0.5,IF(INDEX(Backlog[HLE],MATCH($A51,Backlog[Requirement ID],0))&lt;=8,1,IF(INDEX(Backlog[HLE],MATCH($A51,Backlog[Requirement ID],0))&lt;=13,2,IF(INDEX(Backlog[HLE],MATCH($A51,Backlog[Requirement ID],0))&lt;=20,3,5))))),"")</f>
        <v>0.5</v>
      </c>
      <c r="M51" s="30"/>
    </row>
    <row r="52" customFormat="false" ht="15" hidden="true" customHeight="true" outlineLevel="0" collapsed="false">
      <c r="A52" s="30" t="str">
        <f aca="false">Backlog!A52</f>
        <v>NEW-0373</v>
      </c>
      <c r="B52" s="59" t="str">
        <f aca="false">IFERROR(IF(ISBLANK(INDEX(Backlog[Requirement Name],MATCH($A52,Backlog[Requirement ID],0))),"",INDEX(Backlog[Requirement Name],MATCH($A52,Backlog[Requirement ID],0))),"")</f>
        <v>Booking Funnel - AI Optimisation</v>
      </c>
      <c r="C52" s="30" t="str">
        <f aca="false">IFERROR(IF(ISBLANK(INDEX(Backlog[Stream],MATCH($A52,Backlog[Requirement ID],0))),"",INDEX(Backlog[Stream],MATCH($A52,Backlog[Requirement ID],0))),"")</f>
        <v>Backlog / Tech Enh</v>
      </c>
      <c r="D52" s="30" t="str">
        <f aca="false">IFERROR(IF(ISBLANK(INDEX(Backlog[Jira Link],MATCH($A52,Backlog[Requirement ID],0))),"",INDEX(Backlog[Jira Link],MATCH($A52,Backlog[Requirement ID],0))),"")</f>
        <v/>
      </c>
      <c r="E52" s="30" t="str">
        <f aca="false">IFERROR(IF(ISBLANK(INDEX(Backlog[Status],MATCH($A52,Backlog[Requirement ID],0))),"",INDEX(Backlog[Status],MATCH($A52,Backlog[Requirement ID],0))),"")</f>
        <v>NEW</v>
      </c>
      <c r="F52" s="30" t="str">
        <f aca="false">IFERROR(IF(ISBLANK(INDEX(SprintPlanning[Sprint],MATCH($A52,SprintPlanning[Requirement ID],0))),"",INDEX(SprintPlanning[Sprint],MATCH($A52,SprintPlanning[Requirement ID],0))),"")</f>
        <v>To Plan</v>
      </c>
      <c r="G52" s="60"/>
      <c r="H52" s="61"/>
      <c r="I52" s="60"/>
      <c r="J52" s="30" t="str">
        <f aca="false">IFERROR(IF(ISBLANK(INDEX(Backlog[Priority],MATCH($A52,Backlog[Requirement ID],0))),"",INDEX(Backlog[Priority],MATCH($A52,Backlog[Requirement ID],0))),"")</f>
        <v>Medium</v>
      </c>
      <c r="K52" s="62"/>
      <c r="L52" s="1" t="str">
        <f aca="false">IFERROR(IF(ISBLANK(INDEX(Backlog[HLE],MATCH($A52,Backlog[Requirement ID],0))),"",IF(INDEX(Backlog[HLE],MATCH($A52,Backlog[Requirement ID],0))&lt;=5,0.5,IF(INDEX(Backlog[HLE],MATCH($A52,Backlog[Requirement ID],0))&lt;=8,1,IF(INDEX(Backlog[HLE],MATCH($A52,Backlog[Requirement ID],0))&lt;=13,2,IF(INDEX(Backlog[HLE],MATCH($A52,Backlog[Requirement ID],0))&lt;=20,3,5))))),"")</f>
        <v/>
      </c>
      <c r="M52" s="30"/>
    </row>
    <row r="53" customFormat="false" ht="15" hidden="true" customHeight="true" outlineLevel="0" collapsed="false">
      <c r="A53" s="30" t="str">
        <f aca="false">Backlog!A53</f>
        <v>NEW-0375</v>
      </c>
      <c r="B53" s="59" t="str">
        <f aca="false">IFERROR(IF(ISBLANK(INDEX(Backlog[Requirement Name],MATCH($A53,Backlog[Requirement ID],0))),"",INDEX(Backlog[Requirement Name],MATCH($A53,Backlog[Requirement ID],0))),"")</f>
        <v>Booking Funnel - OTEL</v>
      </c>
      <c r="C53" s="30" t="str">
        <f aca="false">IFERROR(IF(ISBLANK(INDEX(Backlog[Stream],MATCH($A53,Backlog[Requirement ID],0))),"",INDEX(Backlog[Stream],MATCH($A53,Backlog[Requirement ID],0))),"")</f>
        <v>Backlog / Tech Enh</v>
      </c>
      <c r="D53" s="30" t="str">
        <f aca="false">IFERROR(IF(ISBLANK(INDEX(Backlog[Jira Link],MATCH($A53,Backlog[Requirement ID],0))),"",INDEX(Backlog[Jira Link],MATCH($A53,Backlog[Requirement ID],0))),"")</f>
        <v/>
      </c>
      <c r="E53" s="30" t="str">
        <f aca="false">IFERROR(IF(ISBLANK(INDEX(Backlog[Status],MATCH($A53,Backlog[Requirement ID],0))),"",INDEX(Backlog[Status],MATCH($A53,Backlog[Requirement ID],0))),"")</f>
        <v>IN PROGRESS</v>
      </c>
      <c r="F53" s="30" t="str">
        <f aca="false">IFERROR(IF(ISBLANK(INDEX(SprintPlanning[Sprint],MATCH($A53,SprintPlanning[Requirement ID],0))),"",INDEX(SprintPlanning[Sprint],MATCH($A53,SprintPlanning[Requirement ID],0))),"")</f>
        <v>To Plan</v>
      </c>
      <c r="G53" s="60"/>
      <c r="H53" s="61"/>
      <c r="I53" s="60"/>
      <c r="J53" s="30" t="str">
        <f aca="false">IFERROR(IF(ISBLANK(INDEX(Backlog[Priority],MATCH($A53,Backlog[Requirement ID],0))),"",INDEX(Backlog[Priority],MATCH($A53,Backlog[Requirement ID],0))),"")</f>
        <v>Medium</v>
      </c>
      <c r="K53" s="62"/>
      <c r="L53" s="1" t="str">
        <f aca="false">IFERROR(IF(ISBLANK(INDEX(Backlog[HLE],MATCH($A53,Backlog[Requirement ID],0))),"",IF(INDEX(Backlog[HLE],MATCH($A53,Backlog[Requirement ID],0))&lt;=5,0.5,IF(INDEX(Backlog[HLE],MATCH($A53,Backlog[Requirement ID],0))&lt;=8,1,IF(INDEX(Backlog[HLE],MATCH($A53,Backlog[Requirement ID],0))&lt;=13,2,IF(INDEX(Backlog[HLE],MATCH($A53,Backlog[Requirement ID],0))&lt;=20,3,5))))),"")</f>
        <v/>
      </c>
      <c r="M53" s="30"/>
    </row>
    <row r="54" customFormat="false" ht="15" hidden="true" customHeight="true" outlineLevel="0" collapsed="false">
      <c r="A54" s="30" t="str">
        <f aca="false">Backlog!A54</f>
        <v>NEW-0376</v>
      </c>
      <c r="B54" s="59" t="str">
        <f aca="false">IFERROR(IF(ISBLANK(INDEX(Backlog[Requirement Name],MATCH($A54,Backlog[Requirement ID],0))),"",INDEX(Backlog[Requirement Name],MATCH($A54,Backlog[Requirement ID],0))),"")</f>
        <v>Improve error handling in booking creation</v>
      </c>
      <c r="C54" s="30" t="str">
        <f aca="false">IFERROR(IF(ISBLANK(INDEX(Backlog[Stream],MATCH($A54,Backlog[Requirement ID],0))),"",INDEX(Backlog[Stream],MATCH($A54,Backlog[Requirement ID],0))),"")</f>
        <v>Backlog / Tech Enh</v>
      </c>
      <c r="D54" s="30" t="str">
        <f aca="false">IFERROR(IF(ISBLANK(INDEX(Backlog[Jira Link],MATCH($A54,Backlog[Requirement ID],0))),"",INDEX(Backlog[Jira Link],MATCH($A54,Backlog[Requirement ID],0))),"")</f>
        <v/>
      </c>
      <c r="E54" s="30" t="str">
        <f aca="false">IFERROR(IF(ISBLANK(INDEX(Backlog[Status],MATCH($A54,Backlog[Requirement ID],0))),"",INDEX(Backlog[Status],MATCH($A54,Backlog[Requirement ID],0))),"")</f>
        <v>NEW</v>
      </c>
      <c r="F54" s="30" t="str">
        <f aca="false">IFERROR(IF(ISBLANK(INDEX(SprintPlanning[Sprint],MATCH($A54,SprintPlanning[Requirement ID],0))),"",INDEX(SprintPlanning[Sprint],MATCH($A54,SprintPlanning[Requirement ID],0))),"")</f>
        <v>To Plan</v>
      </c>
      <c r="G54" s="60"/>
      <c r="H54" s="61"/>
      <c r="I54" s="60"/>
      <c r="J54" s="30" t="str">
        <f aca="false">IFERROR(IF(ISBLANK(INDEX(Backlog[Priority],MATCH($A54,Backlog[Requirement ID],0))),"",INDEX(Backlog[Priority],MATCH($A54,Backlog[Requirement ID],0))),"")</f>
        <v>Medium</v>
      </c>
      <c r="K54" s="62"/>
      <c r="L54" s="1" t="str">
        <f aca="false">IFERROR(IF(ISBLANK(INDEX(Backlog[HLE],MATCH($A54,Backlog[Requirement ID],0))),"",IF(INDEX(Backlog[HLE],MATCH($A54,Backlog[Requirement ID],0))&lt;=5,0.5,IF(INDEX(Backlog[HLE],MATCH($A54,Backlog[Requirement ID],0))&lt;=8,1,IF(INDEX(Backlog[HLE],MATCH($A54,Backlog[Requirement ID],0))&lt;=13,2,IF(INDEX(Backlog[HLE],MATCH($A54,Backlog[Requirement ID],0))&lt;=20,3,5))))),"")</f>
        <v/>
      </c>
      <c r="M54" s="30"/>
    </row>
    <row r="55" customFormat="false" ht="15" hidden="true" customHeight="true" outlineLevel="0" collapsed="false">
      <c r="A55" s="30" t="str">
        <f aca="false">Backlog!A55</f>
        <v>NEW-0377</v>
      </c>
      <c r="B55" s="59" t="str">
        <f aca="false">IFERROR(IF(ISBLANK(INDEX(Backlog[Requirement Name],MATCH($A55,Backlog[Requirement ID],0))),"",INDEX(Backlog[Requirement Name],MATCH($A55,Backlog[Requirement ID],0))),"")</f>
        <v>DTTP25-27161 Change payment and newsletter redirection URL logic</v>
      </c>
      <c r="C55" s="30" t="str">
        <f aca="false">IFERROR(IF(ISBLANK(INDEX(Backlog[Stream],MATCH($A55,Backlog[Requirement ID],0))),"",INDEX(Backlog[Stream],MATCH($A55,Backlog[Requirement ID],0))),"")</f>
        <v>Backlog / Tech Enh</v>
      </c>
      <c r="D55" s="30" t="str">
        <f aca="false">IFERROR(IF(ISBLANK(INDEX(Backlog[Jira Link],MATCH($A55,Backlog[Requirement ID],0))),"",INDEX(Backlog[Jira Link],MATCH($A55,Backlog[Requirement ID],0))),"")</f>
        <v/>
      </c>
      <c r="E55" s="30" t="str">
        <f aca="false">IFERROR(IF(ISBLANK(INDEX(Backlog[Status],MATCH($A55,Backlog[Requirement ID],0))),"",INDEX(Backlog[Status],MATCH($A55,Backlog[Requirement ID],0))),"")</f>
        <v>NEW</v>
      </c>
      <c r="F55" s="30" t="str">
        <f aca="false">IFERROR(IF(ISBLANK(INDEX(SprintPlanning[Sprint],MATCH($A55,SprintPlanning[Requirement ID],0))),"",INDEX(SprintPlanning[Sprint],MATCH($A55,SprintPlanning[Requirement ID],0))),"")</f>
        <v>To Plan</v>
      </c>
      <c r="G55" s="60"/>
      <c r="H55" s="61"/>
      <c r="I55" s="60"/>
      <c r="J55" s="30" t="str">
        <f aca="false">IFERROR(IF(ISBLANK(INDEX(Backlog[Priority],MATCH($A55,Backlog[Requirement ID],0))),"",INDEX(Backlog[Priority],MATCH($A55,Backlog[Requirement ID],0))),"")</f>
        <v>Medium</v>
      </c>
      <c r="K55" s="62"/>
      <c r="L55" s="1" t="str">
        <f aca="false">IFERROR(IF(ISBLANK(INDEX(Backlog[HLE],MATCH($A55,Backlog[Requirement ID],0))),"",IF(INDEX(Backlog[HLE],MATCH($A55,Backlog[Requirement ID],0))&lt;=5,0.5,IF(INDEX(Backlog[HLE],MATCH($A55,Backlog[Requirement ID],0))&lt;=8,1,IF(INDEX(Backlog[HLE],MATCH($A55,Backlog[Requirement ID],0))&lt;=13,2,IF(INDEX(Backlog[HLE],MATCH($A55,Backlog[Requirement ID],0))&lt;=20,3,5))))),"")</f>
        <v/>
      </c>
      <c r="M55" s="30"/>
    </row>
    <row r="56" customFormat="false" ht="15" hidden="true" customHeight="true" outlineLevel="0" collapsed="false">
      <c r="A56" s="30" t="str">
        <f aca="false">Backlog!A56</f>
        <v>NEW-0395</v>
      </c>
      <c r="B56" s="59" t="str">
        <f aca="false">IFERROR(IF(ISBLANK(INDEX(Backlog[Requirement Name],MATCH($A56,Backlog[Requirement ID],0))),"",INDEX(Backlog[Requirement Name],MATCH($A56,Backlog[Requirement ID],0))),"")</f>
        <v>PDF: age restrictions management</v>
      </c>
      <c r="C56" s="30" t="str">
        <f aca="false">IFERROR(IF(ISBLANK(INDEX(Backlog[Stream],MATCH($A56,Backlog[Requirement ID],0))),"",INDEX(Backlog[Stream],MATCH($A56,Backlog[Requirement ID],0))),"")</f>
        <v>MyMSC</v>
      </c>
      <c r="D56" s="30" t="str">
        <f aca="false">IFERROR(IF(ISBLANK(INDEX(Backlog[Jira Link],MATCH($A56,Backlog[Requirement ID],0))),"",INDEX(Backlog[Jira Link],MATCH($A56,Backlog[Requirement ID],0))),"")</f>
        <v/>
      </c>
      <c r="E56" s="30" t="str">
        <f aca="false">IFERROR(IF(ISBLANK(INDEX(Backlog[Status],MATCH($A56,Backlog[Requirement ID],0))),"",INDEX(Backlog[Status],MATCH($A56,Backlog[Requirement ID],0))),"")</f>
        <v>NEW</v>
      </c>
      <c r="F56" s="30" t="str">
        <f aca="false">IFERROR(IF(ISBLANK(INDEX(SprintPlanning[Sprint],MATCH($A56,SprintPlanning[Requirement ID],0))),"",INDEX(SprintPlanning[Sprint],MATCH($A56,SprintPlanning[Requirement ID],0))),"")</f>
        <v>To Plan</v>
      </c>
      <c r="G56" s="60"/>
      <c r="H56" s="61"/>
      <c r="I56" s="60"/>
      <c r="J56" s="30" t="str">
        <f aca="false">IFERROR(IF(ISBLANK(INDEX(Backlog[Priority],MATCH($A56,Backlog[Requirement ID],0))),"",INDEX(Backlog[Priority],MATCH($A56,Backlog[Requirement ID],0))),"")</f>
        <v>Medium</v>
      </c>
      <c r="K56" s="62"/>
      <c r="L56" s="1" t="n">
        <f aca="false">IFERROR(IF(ISBLANK(INDEX(Backlog[HLE],MATCH($A56,Backlog[Requirement ID],0))),"",IF(INDEX(Backlog[HLE],MATCH($A56,Backlog[Requirement ID],0))&lt;=5,0.5,IF(INDEX(Backlog[HLE],MATCH($A56,Backlog[Requirement ID],0))&lt;=8,1,IF(INDEX(Backlog[HLE],MATCH($A56,Backlog[Requirement ID],0))&lt;=13,2,IF(INDEX(Backlog[HLE],MATCH($A56,Backlog[Requirement ID],0))&lt;=20,3,5))))),"")</f>
        <v>0.5</v>
      </c>
      <c r="M56" s="30"/>
    </row>
    <row r="57" customFormat="false" ht="15" hidden="true" customHeight="true" outlineLevel="0" collapsed="false">
      <c r="A57" s="30" t="str">
        <f aca="false">Backlog!A57</f>
        <v>NEW-0397</v>
      </c>
      <c r="B57" s="59" t="str">
        <f aca="false">IFERROR(IF(ISBLANK(INDEX(Backlog[Requirement Name],MATCH($A57,Backlog[Requirement ID],0))),"",INDEX(Backlog[Requirement Name],MATCH($A57,Backlog[Requirement ID],0))),"")</f>
        <v>MSC Voyagers Club subscription block for pending Status Match request for the same user</v>
      </c>
      <c r="C57" s="30" t="str">
        <f aca="false">IFERROR(IF(ISBLANK(INDEX(Backlog[Stream],MATCH($A57,Backlog[Requirement ID],0))),"",INDEX(Backlog[Stream],MATCH($A57,Backlog[Requirement ID],0))),"")</f>
        <v>MyMSC</v>
      </c>
      <c r="D57" s="30" t="str">
        <f aca="false">IFERROR(IF(ISBLANK(INDEX(Backlog[Jira Link],MATCH($A57,Backlog[Requirement ID],0))),"",INDEX(Backlog[Jira Link],MATCH($A57,Backlog[Requirement ID],0))),"")</f>
        <v/>
      </c>
      <c r="E57" s="30" t="str">
        <f aca="false">IFERROR(IF(ISBLANK(INDEX(Backlog[Status],MATCH($A57,Backlog[Requirement ID],0))),"",INDEX(Backlog[Status],MATCH($A57,Backlog[Requirement ID],0))),"")</f>
        <v>NEW</v>
      </c>
      <c r="F57" s="30" t="str">
        <f aca="false">IFERROR(IF(ISBLANK(INDEX(SprintPlanning[Sprint],MATCH($A57,SprintPlanning[Requirement ID],0))),"",INDEX(SprintPlanning[Sprint],MATCH($A57,SprintPlanning[Requirement ID],0))),"")</f>
        <v>To Plan</v>
      </c>
      <c r="G57" s="60"/>
      <c r="H57" s="61"/>
      <c r="I57" s="60"/>
      <c r="J57" s="30" t="str">
        <f aca="false">IFERROR(IF(ISBLANK(INDEX(Backlog[Priority],MATCH($A57,Backlog[Requirement ID],0))),"",INDEX(Backlog[Priority],MATCH($A57,Backlog[Requirement ID],0))),"")</f>
        <v>Medium</v>
      </c>
      <c r="K57" s="62"/>
      <c r="L57" s="1" t="n">
        <f aca="false">IFERROR(IF(ISBLANK(INDEX(Backlog[HLE],MATCH($A57,Backlog[Requirement ID],0))),"",IF(INDEX(Backlog[HLE],MATCH($A57,Backlog[Requirement ID],0))&lt;=5,0.5,IF(INDEX(Backlog[HLE],MATCH($A57,Backlog[Requirement ID],0))&lt;=8,1,IF(INDEX(Backlog[HLE],MATCH($A57,Backlog[Requirement ID],0))&lt;=13,2,IF(INDEX(Backlog[HLE],MATCH($A57,Backlog[Requirement ID],0))&lt;=20,3,5))))),"")</f>
        <v>1</v>
      </c>
      <c r="M57" s="30"/>
    </row>
    <row r="58" customFormat="false" ht="15" hidden="true" customHeight="true" outlineLevel="0" collapsed="false">
      <c r="A58" s="30" t="str">
        <f aca="false">Backlog!A58</f>
        <v>NEW-0398</v>
      </c>
      <c r="B58" s="59" t="str">
        <f aca="false">IFERROR(IF(ISBLANK(INDEX(Backlog[Requirement Name],MATCH($A58,Backlog[Requirement ID],0))),"",INDEX(Backlog[Requirement Name],MATCH($A58,Backlog[Requirement ID],0))),"")</f>
        <v>MSC Voyagers Club children association</v>
      </c>
      <c r="C58" s="30" t="str">
        <f aca="false">IFERROR(IF(ISBLANK(INDEX(Backlog[Stream],MATCH($A58,Backlog[Requirement ID],0))),"",INDEX(Backlog[Stream],MATCH($A58,Backlog[Requirement ID],0))),"")</f>
        <v>MyMSC</v>
      </c>
      <c r="D58" s="30" t="str">
        <f aca="false">IFERROR(IF(ISBLANK(INDEX(Backlog[Jira Link],MATCH($A58,Backlog[Requirement ID],0))),"",INDEX(Backlog[Jira Link],MATCH($A58,Backlog[Requirement ID],0))),"")</f>
        <v/>
      </c>
      <c r="E58" s="30" t="str">
        <f aca="false">IFERROR(IF(ISBLANK(INDEX(Backlog[Status],MATCH($A58,Backlog[Requirement ID],0))),"",INDEX(Backlog[Status],MATCH($A58,Backlog[Requirement ID],0))),"")</f>
        <v>NEW</v>
      </c>
      <c r="F58" s="30" t="str">
        <f aca="false">IFERROR(IF(ISBLANK(INDEX(SprintPlanning[Sprint],MATCH($A58,SprintPlanning[Requirement ID],0))),"",INDEX(SprintPlanning[Sprint],MATCH($A58,SprintPlanning[Requirement ID],0))),"")</f>
        <v>To Plan</v>
      </c>
      <c r="G58" s="60"/>
      <c r="H58" s="61"/>
      <c r="I58" s="60"/>
      <c r="J58" s="30" t="str">
        <f aca="false">IFERROR(IF(ISBLANK(INDEX(Backlog[Priority],MATCH($A58,Backlog[Requirement ID],0))),"",INDEX(Backlog[Priority],MATCH($A58,Backlog[Requirement ID],0))),"")</f>
        <v>Medium</v>
      </c>
      <c r="K58" s="62"/>
      <c r="L58" s="1" t="n">
        <f aca="false">IFERROR(IF(ISBLANK(INDEX(Backlog[HLE],MATCH($A58,Backlog[Requirement ID],0))),"",IF(INDEX(Backlog[HLE],MATCH($A58,Backlog[Requirement ID],0))&lt;=5,0.5,IF(INDEX(Backlog[HLE],MATCH($A58,Backlog[Requirement ID],0))&lt;=8,1,IF(INDEX(Backlog[HLE],MATCH($A58,Backlog[Requirement ID],0))&lt;=13,2,IF(INDEX(Backlog[HLE],MATCH($A58,Backlog[Requirement ID],0))&lt;=20,3,5))))),"")</f>
        <v>2</v>
      </c>
      <c r="M58" s="30"/>
    </row>
    <row r="59" customFormat="false" ht="15" hidden="true" customHeight="true" outlineLevel="0" collapsed="false">
      <c r="A59" s="30" t="str">
        <f aca="false">Backlog!A59</f>
        <v>NEW-0399</v>
      </c>
      <c r="B59" s="59" t="str">
        <f aca="false">IFERROR(IF(ISBLANK(INDEX(Backlog[Requirement Name],MATCH($A59,Backlog[Requirement ID],0))),"",INDEX(Backlog[Requirement Name],MATCH($A59,Backlog[Requirement ID],0))),"")</f>
        <v>Managing the possibility of multiple categories for the same EXC item</v>
      </c>
      <c r="C59" s="30" t="str">
        <f aca="false">IFERROR(IF(ISBLANK(INDEX(Backlog[Stream],MATCH($A59,Backlog[Requirement ID],0))),"",INDEX(Backlog[Stream],MATCH($A59,Backlog[Requirement ID],0))),"")</f>
        <v>MyMSC</v>
      </c>
      <c r="D59" s="30" t="str">
        <f aca="false">IFERROR(IF(ISBLANK(INDEX(Backlog[Jira Link],MATCH($A59,Backlog[Requirement ID],0))),"",INDEX(Backlog[Jira Link],MATCH($A59,Backlog[Requirement ID],0))),"")</f>
        <v/>
      </c>
      <c r="E59" s="30" t="str">
        <f aca="false">IFERROR(IF(ISBLANK(INDEX(Backlog[Status],MATCH($A59,Backlog[Requirement ID],0))),"",INDEX(Backlog[Status],MATCH($A59,Backlog[Requirement ID],0))),"")</f>
        <v>NEW</v>
      </c>
      <c r="F59" s="30" t="str">
        <f aca="false">IFERROR(IF(ISBLANK(INDEX(SprintPlanning[Sprint],MATCH($A59,SprintPlanning[Requirement ID],0))),"",INDEX(SprintPlanning[Sprint],MATCH($A59,SprintPlanning[Requirement ID],0))),"")</f>
        <v>To Plan</v>
      </c>
      <c r="G59" s="60"/>
      <c r="H59" s="61"/>
      <c r="I59" s="60"/>
      <c r="J59" s="30" t="str">
        <f aca="false">IFERROR(IF(ISBLANK(INDEX(Backlog[Priority],MATCH($A59,Backlog[Requirement ID],0))),"",INDEX(Backlog[Priority],MATCH($A59,Backlog[Requirement ID],0))),"")</f>
        <v>Medium</v>
      </c>
      <c r="K59" s="62"/>
      <c r="L59" s="1" t="n">
        <f aca="false">IFERROR(IF(ISBLANK(INDEX(Backlog[HLE],MATCH($A59,Backlog[Requirement ID],0))),"",IF(INDEX(Backlog[HLE],MATCH($A59,Backlog[Requirement ID],0))&lt;=5,0.5,IF(INDEX(Backlog[HLE],MATCH($A59,Backlog[Requirement ID],0))&lt;=8,1,IF(INDEX(Backlog[HLE],MATCH($A59,Backlog[Requirement ID],0))&lt;=13,2,IF(INDEX(Backlog[HLE],MATCH($A59,Backlog[Requirement ID],0))&lt;=20,3,5))))),"")</f>
        <v>1</v>
      </c>
      <c r="M59" s="30"/>
    </row>
    <row r="60" customFormat="false" ht="15" hidden="true" customHeight="true" outlineLevel="0" collapsed="false">
      <c r="A60" s="30" t="str">
        <f aca="false">Backlog!A60</f>
        <v>NEW-0400</v>
      </c>
      <c r="B60" s="59" t="str">
        <f aca="false">IFERROR(IF(ISBLANK(INDEX(Backlog[Requirement Name],MATCH($A60,Backlog[Requirement ID],0))),"",INDEX(Backlog[Requirement Name],MATCH($A60,Backlog[Requirement ID],0))),"")</f>
        <v>Card Points History Reliability Enhancement - B2C</v>
      </c>
      <c r="C60" s="30" t="str">
        <f aca="false">IFERROR(IF(ISBLANK(INDEX(Backlog[Stream],MATCH($A60,Backlog[Requirement ID],0))),"",INDEX(Backlog[Stream],MATCH($A60,Backlog[Requirement ID],0))),"")</f>
        <v>MyMSC</v>
      </c>
      <c r="D60" s="30" t="str">
        <f aca="false">IFERROR(IF(ISBLANK(INDEX(Backlog[Jira Link],MATCH($A60,Backlog[Requirement ID],0))),"",INDEX(Backlog[Jira Link],MATCH($A60,Backlog[Requirement ID],0))),"")</f>
        <v/>
      </c>
      <c r="E60" s="30" t="str">
        <f aca="false">IFERROR(IF(ISBLANK(INDEX(Backlog[Status],MATCH($A60,Backlog[Requirement ID],0))),"",INDEX(Backlog[Status],MATCH($A60,Backlog[Requirement ID],0))),"")</f>
        <v>NEW</v>
      </c>
      <c r="F60" s="30" t="str">
        <f aca="false">IFERROR(IF(ISBLANK(INDEX(SprintPlanning[Sprint],MATCH($A60,SprintPlanning[Requirement ID],0))),"",INDEX(SprintPlanning[Sprint],MATCH($A60,SprintPlanning[Requirement ID],0))),"")</f>
        <v>To Plan</v>
      </c>
      <c r="G60" s="60"/>
      <c r="H60" s="61"/>
      <c r="I60" s="60"/>
      <c r="J60" s="30" t="str">
        <f aca="false">IFERROR(IF(ISBLANK(INDEX(Backlog[Priority],MATCH($A60,Backlog[Requirement ID],0))),"",INDEX(Backlog[Priority],MATCH($A60,Backlog[Requirement ID],0))),"")</f>
        <v>Medium</v>
      </c>
      <c r="K60" s="62"/>
      <c r="L60" s="1" t="n">
        <f aca="false">IFERROR(IF(ISBLANK(INDEX(Backlog[HLE],MATCH($A60,Backlog[Requirement ID],0))),"",IF(INDEX(Backlog[HLE],MATCH($A60,Backlog[Requirement ID],0))&lt;=5,0.5,IF(INDEX(Backlog[HLE],MATCH($A60,Backlog[Requirement ID],0))&lt;=8,1,IF(INDEX(Backlog[HLE],MATCH($A60,Backlog[Requirement ID],0))&lt;=13,2,IF(INDEX(Backlog[HLE],MATCH($A60,Backlog[Requirement ID],0))&lt;=20,3,5))))),"")</f>
        <v>1</v>
      </c>
      <c r="M60" s="30"/>
    </row>
    <row r="61" customFormat="false" ht="15" hidden="true" customHeight="true" outlineLevel="0" collapsed="false">
      <c r="A61" s="30" t="str">
        <f aca="false">Backlog!A61</f>
        <v>NEW-0401</v>
      </c>
      <c r="B61" s="59" t="str">
        <f aca="false">IFERROR(IF(ISBLANK(INDEX(Backlog[Requirement Name],MATCH($A61,Backlog[Requirement ID],0))),"",INDEX(Backlog[Requirement Name],MATCH($A61,Backlog[Requirement ID],0))),"")</f>
        <v>Excursions' category not visible, neither in the catalogue nor in the modal</v>
      </c>
      <c r="C61" s="30" t="str">
        <f aca="false">IFERROR(IF(ISBLANK(INDEX(Backlog[Stream],MATCH($A61,Backlog[Requirement ID],0))),"",INDEX(Backlog[Stream],MATCH($A61,Backlog[Requirement ID],0))),"")</f>
        <v>MyMSC</v>
      </c>
      <c r="D61" s="30" t="str">
        <f aca="false">IFERROR(IF(ISBLANK(INDEX(Backlog[Jira Link],MATCH($A61,Backlog[Requirement ID],0))),"",INDEX(Backlog[Jira Link],MATCH($A61,Backlog[Requirement ID],0))),"")</f>
        <v/>
      </c>
      <c r="E61" s="30" t="str">
        <f aca="false">IFERROR(IF(ISBLANK(INDEX(Backlog[Status],MATCH($A61,Backlog[Requirement ID],0))),"",INDEX(Backlog[Status],MATCH($A61,Backlog[Requirement ID],0))),"")</f>
        <v>NEW</v>
      </c>
      <c r="F61" s="30" t="str">
        <f aca="false">IFERROR(IF(ISBLANK(INDEX(SprintPlanning[Sprint],MATCH($A61,SprintPlanning[Requirement ID],0))),"",INDEX(SprintPlanning[Sprint],MATCH($A61,SprintPlanning[Requirement ID],0))),"")</f>
        <v>To Plan</v>
      </c>
      <c r="G61" s="60"/>
      <c r="H61" s="61"/>
      <c r="I61" s="60"/>
      <c r="J61" s="30" t="str">
        <f aca="false">IFERROR(IF(ISBLANK(INDEX(Backlog[Priority],MATCH($A61,Backlog[Requirement ID],0))),"",INDEX(Backlog[Priority],MATCH($A61,Backlog[Requirement ID],0))),"")</f>
        <v>Medium</v>
      </c>
      <c r="K61" s="62"/>
      <c r="L61" s="1" t="n">
        <f aca="false">IFERROR(IF(ISBLANK(INDEX(Backlog[HLE],MATCH($A61,Backlog[Requirement ID],0))),"",IF(INDEX(Backlog[HLE],MATCH($A61,Backlog[Requirement ID],0))&lt;=5,0.5,IF(INDEX(Backlog[HLE],MATCH($A61,Backlog[Requirement ID],0))&lt;=8,1,IF(INDEX(Backlog[HLE],MATCH($A61,Backlog[Requirement ID],0))&lt;=13,2,IF(INDEX(Backlog[HLE],MATCH($A61,Backlog[Requirement ID],0))&lt;=20,3,5))))),"")</f>
        <v>1</v>
      </c>
      <c r="M61" s="30"/>
    </row>
    <row r="62" customFormat="false" ht="15" hidden="true" customHeight="true" outlineLevel="0" collapsed="false">
      <c r="A62" s="30" t="str">
        <f aca="false">Backlog!A62</f>
        <v>NEW-0402</v>
      </c>
      <c r="B62" s="59" t="str">
        <f aca="false">IFERROR(IF(ISBLANK(INDEX(Backlog[Requirement Name],MATCH($A62,Backlog[Requirement ID],0))),"",INDEX(Backlog[Requirement Name],MATCH($A62,Backlog[Requirement ID],0))),"")</f>
        <v>Cross Device &gt; Plan my cruise: Cart &gt; Impossible to apply a coupon on a NON-Discounted item</v>
      </c>
      <c r="C62" s="30" t="str">
        <f aca="false">IFERROR(IF(ISBLANK(INDEX(Backlog[Stream],MATCH($A62,Backlog[Requirement ID],0))),"",INDEX(Backlog[Stream],MATCH($A62,Backlog[Requirement ID],0))),"")</f>
        <v>MyMSC</v>
      </c>
      <c r="D62" s="30" t="str">
        <f aca="false">IFERROR(IF(ISBLANK(INDEX(Backlog[Jira Link],MATCH($A62,Backlog[Requirement ID],0))),"",INDEX(Backlog[Jira Link],MATCH($A62,Backlog[Requirement ID],0))),"")</f>
        <v/>
      </c>
      <c r="E62" s="30" t="str">
        <f aca="false">IFERROR(IF(ISBLANK(INDEX(Backlog[Status],MATCH($A62,Backlog[Requirement ID],0))),"",INDEX(Backlog[Status],MATCH($A62,Backlog[Requirement ID],0))),"")</f>
        <v>NEW</v>
      </c>
      <c r="F62" s="30" t="str">
        <f aca="false">IFERROR(IF(ISBLANK(INDEX(SprintPlanning[Sprint],MATCH($A62,SprintPlanning[Requirement ID],0))),"",INDEX(SprintPlanning[Sprint],MATCH($A62,SprintPlanning[Requirement ID],0))),"")</f>
        <v>To Plan</v>
      </c>
      <c r="G62" s="60"/>
      <c r="H62" s="61"/>
      <c r="I62" s="60"/>
      <c r="J62" s="30" t="str">
        <f aca="false">IFERROR(IF(ISBLANK(INDEX(Backlog[Priority],MATCH($A62,Backlog[Requirement ID],0))),"",INDEX(Backlog[Priority],MATCH($A62,Backlog[Requirement ID],0))),"")</f>
        <v>Medium</v>
      </c>
      <c r="K62" s="62"/>
      <c r="L62" s="1" t="n">
        <f aca="false">IFERROR(IF(ISBLANK(INDEX(Backlog[HLE],MATCH($A62,Backlog[Requirement ID],0))),"",IF(INDEX(Backlog[HLE],MATCH($A62,Backlog[Requirement ID],0))&lt;=5,0.5,IF(INDEX(Backlog[HLE],MATCH($A62,Backlog[Requirement ID],0))&lt;=8,1,IF(INDEX(Backlog[HLE],MATCH($A62,Backlog[Requirement ID],0))&lt;=13,2,IF(INDEX(Backlog[HLE],MATCH($A62,Backlog[Requirement ID],0))&lt;=20,3,5))))),"")</f>
        <v>1</v>
      </c>
      <c r="M62" s="30"/>
    </row>
    <row r="63" customFormat="false" ht="15" hidden="true" customHeight="true" outlineLevel="0" collapsed="false">
      <c r="A63" s="30" t="str">
        <f aca="false">Backlog!A63</f>
        <v>NEW-0403</v>
      </c>
      <c r="B63" s="59" t="str">
        <f aca="false">IFERROR(IF(ISBLANK(INDEX(Backlog[Requirement Name],MATCH($A63,Backlog[Requirement ID],0))),"",INDEX(Backlog[Requirement Name],MATCH($A63,Backlog[Requirement ID],0))),"")</f>
        <v>Wider management of label</v>
      </c>
      <c r="C63" s="30" t="str">
        <f aca="false">IFERROR(IF(ISBLANK(INDEX(Backlog[Stream],MATCH($A63,Backlog[Requirement ID],0))),"",INDEX(Backlog[Stream],MATCH($A63,Backlog[Requirement ID],0))),"")</f>
        <v>MyMSC</v>
      </c>
      <c r="D63" s="30" t="str">
        <f aca="false">IFERROR(IF(ISBLANK(INDEX(Backlog[Jira Link],MATCH($A63,Backlog[Requirement ID],0))),"",INDEX(Backlog[Jira Link],MATCH($A63,Backlog[Requirement ID],0))),"")</f>
        <v/>
      </c>
      <c r="E63" s="30" t="str">
        <f aca="false">IFERROR(IF(ISBLANK(INDEX(Backlog[Status],MATCH($A63,Backlog[Requirement ID],0))),"",INDEX(Backlog[Status],MATCH($A63,Backlog[Requirement ID],0))),"")</f>
        <v>NEW</v>
      </c>
      <c r="F63" s="30" t="str">
        <f aca="false">IFERROR(IF(ISBLANK(INDEX(SprintPlanning[Sprint],MATCH($A63,SprintPlanning[Requirement ID],0))),"",INDEX(SprintPlanning[Sprint],MATCH($A63,SprintPlanning[Requirement ID],0))),"")</f>
        <v>To Plan</v>
      </c>
      <c r="G63" s="60"/>
      <c r="H63" s="61"/>
      <c r="I63" s="60"/>
      <c r="J63" s="30" t="str">
        <f aca="false">IFERROR(IF(ISBLANK(INDEX(Backlog[Priority],MATCH($A63,Backlog[Requirement ID],0))),"",INDEX(Backlog[Priority],MATCH($A63,Backlog[Requirement ID],0))),"")</f>
        <v>Medium</v>
      </c>
      <c r="K63" s="62"/>
      <c r="L63" s="1" t="str">
        <f aca="false">IFERROR(IF(ISBLANK(INDEX(Backlog[HLE],MATCH($A63,Backlog[Requirement ID],0))),"",IF(INDEX(Backlog[HLE],MATCH($A63,Backlog[Requirement ID],0))&lt;=5,0.5,IF(INDEX(Backlog[HLE],MATCH($A63,Backlog[Requirement ID],0))&lt;=8,1,IF(INDEX(Backlog[HLE],MATCH($A63,Backlog[Requirement ID],0))&lt;=13,2,IF(INDEX(Backlog[HLE],MATCH($A63,Backlog[Requirement ID],0))&lt;=20,3,5))))),"")</f>
        <v/>
      </c>
      <c r="M63" s="30"/>
    </row>
    <row r="64" customFormat="false" ht="15" hidden="true" customHeight="true" outlineLevel="0" collapsed="false">
      <c r="A64" s="30" t="str">
        <f aca="false">Backlog!A64</f>
        <v>NEW-0404</v>
      </c>
      <c r="B64" s="59" t="str">
        <f aca="false">IFERROR(IF(ISBLANK(INDEX(Backlog[Requirement Name],MATCH($A64,Backlog[Requirement ID],0))),"",INDEX(Backlog[Requirement Name],MATCH($A64,Backlog[Requirement ID],0))),"")</f>
        <v>Cross Device &gt; Plan My Cruise &gt; OBS/ACT 'Add passenger' CTA shown even if only non-eligible pax</v>
      </c>
      <c r="C64" s="30" t="str">
        <f aca="false">IFERROR(IF(ISBLANK(INDEX(Backlog[Stream],MATCH($A64,Backlog[Requirement ID],0))),"",INDEX(Backlog[Stream],MATCH($A64,Backlog[Requirement ID],0))),"")</f>
        <v>MyMSC</v>
      </c>
      <c r="D64" s="30" t="str">
        <f aca="false">IFERROR(IF(ISBLANK(INDEX(Backlog[Jira Link],MATCH($A64,Backlog[Requirement ID],0))),"",INDEX(Backlog[Jira Link],MATCH($A64,Backlog[Requirement ID],0))),"")</f>
        <v/>
      </c>
      <c r="E64" s="30" t="str">
        <f aca="false">IFERROR(IF(ISBLANK(INDEX(Backlog[Status],MATCH($A64,Backlog[Requirement ID],0))),"",INDEX(Backlog[Status],MATCH($A64,Backlog[Requirement ID],0))),"")</f>
        <v>NEW</v>
      </c>
      <c r="F64" s="30" t="str">
        <f aca="false">IFERROR(IF(ISBLANK(INDEX(SprintPlanning[Sprint],MATCH($A64,SprintPlanning[Requirement ID],0))),"",INDEX(SprintPlanning[Sprint],MATCH($A64,SprintPlanning[Requirement ID],0))),"")</f>
        <v>To Plan</v>
      </c>
      <c r="G64" s="60"/>
      <c r="H64" s="61"/>
      <c r="I64" s="60"/>
      <c r="J64" s="30" t="str">
        <f aca="false">IFERROR(IF(ISBLANK(INDEX(Backlog[Priority],MATCH($A64,Backlog[Requirement ID],0))),"",INDEX(Backlog[Priority],MATCH($A64,Backlog[Requirement ID],0))),"")</f>
        <v>Medium</v>
      </c>
      <c r="K64" s="62"/>
      <c r="L64" s="1" t="str">
        <f aca="false">IFERROR(IF(ISBLANK(INDEX(Backlog[HLE],MATCH($A64,Backlog[Requirement ID],0))),"",IF(INDEX(Backlog[HLE],MATCH($A64,Backlog[Requirement ID],0))&lt;=5,0.5,IF(INDEX(Backlog[HLE],MATCH($A64,Backlog[Requirement ID],0))&lt;=8,1,IF(INDEX(Backlog[HLE],MATCH($A64,Backlog[Requirement ID],0))&lt;=13,2,IF(INDEX(Backlog[HLE],MATCH($A64,Backlog[Requirement ID],0))&lt;=20,3,5))))),"")</f>
        <v/>
      </c>
      <c r="M64" s="30"/>
    </row>
    <row r="65" customFormat="false" ht="15" hidden="true" customHeight="true" outlineLevel="0" collapsed="false">
      <c r="A65" s="30" t="str">
        <f aca="false">Backlog!A65</f>
        <v>NEW-0405</v>
      </c>
      <c r="B65" s="59" t="str">
        <f aca="false">IFERROR(IF(ISBLANK(INDEX(Backlog[Requirement Name],MATCH($A65,Backlog[Requirement ID],0))),"",INDEX(Backlog[Requirement Name],MATCH($A65,Backlog[Requirement ID],0))),"")</f>
        <v>Whatsapp Subscription (Phase 3)</v>
      </c>
      <c r="C65" s="30" t="str">
        <f aca="false">IFERROR(IF(ISBLANK(INDEX(Backlog[Stream],MATCH($A65,Backlog[Requirement ID],0))),"",INDEX(Backlog[Stream],MATCH($A65,Backlog[Requirement ID],0))),"")</f>
        <v>Backlog</v>
      </c>
      <c r="D65" s="30" t="str">
        <f aca="false">IFERROR(IF(ISBLANK(INDEX(Backlog[Jira Link],MATCH($A65,Backlog[Requirement ID],0))),"",INDEX(Backlog[Jira Link],MATCH($A65,Backlog[Requirement ID],0))),"")</f>
        <v/>
      </c>
      <c r="E65" s="30" t="str">
        <f aca="false">IFERROR(IF(ISBLANK(INDEX(Backlog[Status],MATCH($A65,Backlog[Requirement ID],0))),"",INDEX(Backlog[Status],MATCH($A65,Backlog[Requirement ID],0))),"")</f>
        <v>NEW</v>
      </c>
      <c r="F65" s="30" t="str">
        <f aca="false">IFERROR(IF(ISBLANK(INDEX(SprintPlanning[Sprint],MATCH($A65,SprintPlanning[Requirement ID],0))),"",INDEX(SprintPlanning[Sprint],MATCH($A65,SprintPlanning[Requirement ID],0))),"")</f>
        <v>To Plan</v>
      </c>
      <c r="G65" s="60"/>
      <c r="H65" s="61"/>
      <c r="I65" s="60"/>
      <c r="J65" s="30" t="str">
        <f aca="false">IFERROR(IF(ISBLANK(INDEX(Backlog[Priority],MATCH($A65,Backlog[Requirement ID],0))),"",INDEX(Backlog[Priority],MATCH($A65,Backlog[Requirement ID],0))),"")</f>
        <v>Medium</v>
      </c>
      <c r="K65" s="62"/>
      <c r="L65" s="1" t="n">
        <f aca="false">IFERROR(IF(ISBLANK(INDEX(Backlog[HLE],MATCH($A65,Backlog[Requirement ID],0))),"",IF(INDEX(Backlog[HLE],MATCH($A65,Backlog[Requirement ID],0))&lt;=5,0.5,IF(INDEX(Backlog[HLE],MATCH($A65,Backlog[Requirement ID],0))&lt;=8,1,IF(INDEX(Backlog[HLE],MATCH($A65,Backlog[Requirement ID],0))&lt;=13,2,IF(INDEX(Backlog[HLE],MATCH($A65,Backlog[Requirement ID],0))&lt;=20,3,5))))),"")</f>
        <v>3</v>
      </c>
      <c r="M65" s="30"/>
    </row>
    <row r="66" customFormat="false" ht="15" hidden="true" customHeight="true" outlineLevel="0" collapsed="false">
      <c r="A66" s="30" t="str">
        <f aca="false">Backlog!A66</f>
        <v>NEW-0413</v>
      </c>
      <c r="B66" s="59" t="str">
        <f aca="false">IFERROR(IF(ISBLANK(INDEX(Backlog[Requirement Name],MATCH($A66,Backlog[Requirement ID],0))),"",INDEX(Backlog[Requirement Name],MATCH($A66,Backlog[Requirement ID],0))),"")</f>
        <v>[EINT][INT187][INT139][INT145] - Remove phone number mapping from Datatrans transaction creation</v>
      </c>
      <c r="C66" s="30" t="str">
        <f aca="false">IFERROR(IF(ISBLANK(INDEX(Backlog[Stream],MATCH($A66,Backlog[Requirement ID],0))),"",INDEX(Backlog[Stream],MATCH($A66,Backlog[Requirement ID],0))),"")</f>
        <v>PI10</v>
      </c>
      <c r="D66" s="30" t="str">
        <f aca="false">IFERROR(IF(ISBLANK(INDEX(Backlog[Jira Link],MATCH($A66,Backlog[Requirement ID],0))),"",INDEX(Backlog[Jira Link],MATCH($A66,Backlog[Requirement ID],0))),"")</f>
        <v>https://smartship.atlassian.net/browse/DTTP25-41728</v>
      </c>
      <c r="E66" s="30" t="str">
        <f aca="false">IFERROR(IF(ISBLANK(INDEX(Backlog[Status],MATCH($A66,Backlog[Requirement ID],0))),"",INDEX(Backlog[Status],MATCH($A66,Backlog[Requirement ID],0))),"")</f>
        <v>NEW</v>
      </c>
      <c r="F66" s="30" t="str">
        <f aca="false">IFERROR(IF(ISBLANK(INDEX(SprintPlanning[Sprint],MATCH($A66,SprintPlanning[Requirement ID],0))),"",INDEX(SprintPlanning[Sprint],MATCH($A66,SprintPlanning[Requirement ID],0))),"")</f>
        <v>To Plan</v>
      </c>
      <c r="G66" s="60"/>
      <c r="H66" s="61"/>
      <c r="I66" s="60"/>
      <c r="J66" s="30" t="str">
        <f aca="false">IFERROR(IF(ISBLANK(INDEX(Backlog[Priority],MATCH($A66,Backlog[Requirement ID],0))),"",INDEX(Backlog[Priority],MATCH($A66,Backlog[Requirement ID],0))),"")</f>
        <v>Medium</v>
      </c>
      <c r="K66" s="62"/>
      <c r="L66" s="1" t="n">
        <f aca="false">IFERROR(IF(ISBLANK(INDEX(Backlog[HLE],MATCH($A66,Backlog[Requirement ID],0))),"",IF(INDEX(Backlog[HLE],MATCH($A66,Backlog[Requirement ID],0))&lt;=5,0.5,IF(INDEX(Backlog[HLE],MATCH($A66,Backlog[Requirement ID],0))&lt;=8,1,IF(INDEX(Backlog[HLE],MATCH($A66,Backlog[Requirement ID],0))&lt;=13,2,IF(INDEX(Backlog[HLE],MATCH($A66,Backlog[Requirement ID],0))&lt;=20,3,5))))),"")</f>
        <v>0.5</v>
      </c>
      <c r="M66" s="30"/>
    </row>
    <row r="67" customFormat="false" ht="15" hidden="true" customHeight="true" outlineLevel="0" collapsed="false">
      <c r="A67" s="1" t="str">
        <f aca="false">Backlog!A67</f>
        <v>NEW-0414</v>
      </c>
      <c r="B67" s="49" t="str">
        <f aca="false">IFERROR(IF(ISBLANK(INDEX(Backlog[Requirement Name],MATCH($A67,Backlog[Requirement ID],0))),"",INDEX(Backlog[Requirement Name],MATCH($A67,Backlog[Requirement ID],0))),"")</f>
        <v>[EINT][INT139][INT140][INT187][INT188] - Fix PromoCodeData coupon/discount code field mapping</v>
      </c>
      <c r="C67" s="1" t="str">
        <f aca="false">IFERROR(IF(ISBLANK(INDEX(Backlog[Stream],MATCH($A67,Backlog[Requirement ID],0))),"",INDEX(Backlog[Stream],MATCH($A67,Backlog[Requirement ID],0))),"")</f>
        <v>PI10</v>
      </c>
      <c r="D67" s="1" t="str">
        <f aca="false">IFERROR(IF(ISBLANK(INDEX(Backlog[Jira Link],MATCH($A67,Backlog[Requirement ID],0))),"",INDEX(Backlog[Jira Link],MATCH($A67,Backlog[Requirement ID],0))),"")</f>
        <v>https://smartship.atlassian.net/browse/DTTP25-41730</v>
      </c>
      <c r="E67" s="1" t="str">
        <f aca="false">IFERROR(IF(ISBLANK(INDEX(Backlog[Status],MATCH($A67,Backlog[Requirement ID],0))),"",INDEX(Backlog[Status],MATCH($A67,Backlog[Requirement ID],0))),"")</f>
        <v>NEW</v>
      </c>
      <c r="F67" s="1" t="str">
        <f aca="false">IFERROR(IF(ISBLANK(INDEX(SprintPlanning[Sprint],MATCH($A67,SprintPlanning[Requirement ID],0))),"",INDEX(SprintPlanning[Sprint],MATCH($A67,SprintPlanning[Requirement ID],0))),"")</f>
        <v>To Plan</v>
      </c>
      <c r="H67" s="66"/>
      <c r="J67" s="1" t="str">
        <f aca="false">IFERROR(IF(ISBLANK(INDEX(Backlog[Priority],MATCH($A67,Backlog[Requirement ID],0))),"",INDEX(Backlog[Priority],MATCH($A67,Backlog[Requirement ID],0))),"")</f>
        <v>Medium</v>
      </c>
      <c r="L67" s="1" t="n">
        <f aca="false">IFERROR(IF(ISBLANK(INDEX(Backlog[HLE],MATCH($A67,Backlog[Requirement ID],0))),"",IF(INDEX(Backlog[HLE],MATCH($A67,Backlog[Requirement ID],0))&lt;=5,0.5,IF(INDEX(Backlog[HLE],MATCH($A67,Backlog[Requirement ID],0))&lt;=8,1,IF(INDEX(Backlog[HLE],MATCH($A67,Backlog[Requirement ID],0))&lt;=13,2,IF(INDEX(Backlog[HLE],MATCH($A67,Backlog[Requirement ID],0))&lt;=20,3,5))))),"")</f>
        <v>0.5</v>
      </c>
    </row>
    <row r="68" customFormat="false" ht="15" hidden="true" customHeight="true" outlineLevel="0" collapsed="false">
      <c r="A68" s="1" t="str">
        <f aca="false">Backlog!A68</f>
        <v>NEW-0415</v>
      </c>
      <c r="B68" s="49" t="str">
        <f aca="false">IFERROR(IF(ISBLANK(INDEX(Backlog[Requirement Name],MATCH($A68,Backlog[Requirement ID],0))),"",INDEX(Backlog[Requirement Name],MATCH($A68,Backlog[Requirement ID],0))),"")</f>
        <v>[EINT][INT139][INT187][INT140][INT188] - Improve error handling: BKGREQ_098, BKGREQ_050, PPI_DRIPR_11</v>
      </c>
      <c r="C68" s="1" t="str">
        <f aca="false">IFERROR(IF(ISBLANK(INDEX(Backlog[Stream],MATCH($A68,Backlog[Requirement ID],0))),"",INDEX(Backlog[Stream],MATCH($A68,Backlog[Requirement ID],0))),"")</f>
        <v>PI10</v>
      </c>
      <c r="D68" s="1" t="str">
        <f aca="false">IFERROR(IF(ISBLANK(INDEX(Backlog[Jira Link],MATCH($A68,Backlog[Requirement ID],0))),"",INDEX(Backlog[Jira Link],MATCH($A68,Backlog[Requirement ID],0))),"")</f>
        <v>https://smartship.atlassian.net/browse/DTTP25-41725</v>
      </c>
      <c r="E68" s="1" t="str">
        <f aca="false">IFERROR(IF(ISBLANK(INDEX(Backlog[Status],MATCH($A68,Backlog[Requirement ID],0))),"",INDEX(Backlog[Status],MATCH($A68,Backlog[Requirement ID],0))),"")</f>
        <v>NEW</v>
      </c>
      <c r="F68" s="1" t="str">
        <f aca="false">IFERROR(IF(ISBLANK(INDEX(SprintPlanning[Sprint],MATCH($A68,SprintPlanning[Requirement ID],0))),"",INDEX(SprintPlanning[Sprint],MATCH($A68,SprintPlanning[Requirement ID],0))),"")</f>
        <v>To Plan</v>
      </c>
      <c r="H68" s="66"/>
      <c r="J68" s="1" t="str">
        <f aca="false">IFERROR(IF(ISBLANK(INDEX(Backlog[Priority],MATCH($A68,Backlog[Requirement ID],0))),"",INDEX(Backlog[Priority],MATCH($A68,Backlog[Requirement ID],0))),"")</f>
        <v>Medium</v>
      </c>
      <c r="L68" s="1" t="n">
        <f aca="false">IFERROR(IF(ISBLANK(INDEX(Backlog[HLE],MATCH($A68,Backlog[Requirement ID],0))),"",IF(INDEX(Backlog[HLE],MATCH($A68,Backlog[Requirement ID],0))&lt;=5,0.5,IF(INDEX(Backlog[HLE],MATCH($A68,Backlog[Requirement ID],0))&lt;=8,1,IF(INDEX(Backlog[HLE],MATCH($A68,Backlog[Requirement ID],0))&lt;=13,2,IF(INDEX(Backlog[HLE],MATCH($A68,Backlog[Requirement ID],0))&lt;=20,3,5))))),"")</f>
        <v>0.5</v>
      </c>
    </row>
    <row r="69" customFormat="false" ht="15" hidden="true" customHeight="true" outlineLevel="0" collapsed="false">
      <c r="A69" s="1" t="str">
        <f aca="false">Backlog!A69</f>
        <v>NEW-0084</v>
      </c>
      <c r="B69" s="49" t="str">
        <f aca="false">IFERROR(IF(ISBLANK(INDEX(Backlog[Requirement Name],MATCH($A69,Backlog[Requirement ID],0))),"",INDEX(Backlog[Requirement Name],MATCH($A69,Backlog[Requirement ID],0))),"")</f>
        <v>PI11-07 [B2C] Hold Option (Placeholder - MuleSoft should not be involved)</v>
      </c>
      <c r="C69" s="1" t="str">
        <f aca="false">IFERROR(IF(ISBLANK(INDEX(Backlog[Stream],MATCH($A69,Backlog[Requirement ID],0))),"",INDEX(Backlog[Stream],MATCH($A69,Backlog[Requirement ID],0))),"")</f>
        <v>PI11</v>
      </c>
      <c r="D69" s="1" t="str">
        <f aca="false">IFERROR(IF(ISBLANK(INDEX(Backlog[Jira Link],MATCH($A69,Backlog[Requirement ID],0))),"",INDEX(Backlog[Jira Link],MATCH($A69,Backlog[Requirement ID],0))),"")</f>
        <v/>
      </c>
      <c r="E69" s="1" t="str">
        <f aca="false">IFERROR(IF(ISBLANK(INDEX(Backlog[Status],MATCH($A69,Backlog[Requirement ID],0))),"",INDEX(Backlog[Status],MATCH($A69,Backlog[Requirement ID],0))),"")</f>
        <v>NEW</v>
      </c>
      <c r="F69" s="1" t="str">
        <f aca="false">IFERROR(IF(ISBLANK(INDEX(SprintPlanning[Sprint],MATCH($A69,SprintPlanning[Requirement ID],0))),"",INDEX(SprintPlanning[Sprint],MATCH($A69,SprintPlanning[Requirement ID],0))),"")</f>
        <v>To Plan</v>
      </c>
      <c r="H69" s="66"/>
      <c r="J69" s="1" t="str">
        <f aca="false">IFERROR(IF(ISBLANK(INDEX(Backlog[Priority],MATCH($A69,Backlog[Requirement ID],0))),"",INDEX(Backlog[Priority],MATCH($A69,Backlog[Requirement ID],0))),"")</f>
        <v>Medium</v>
      </c>
      <c r="L69" s="1" t="str">
        <f aca="false">IFERROR(IF(ISBLANK(INDEX(Backlog[HLE],MATCH($A69,Backlog[Requirement ID],0))),"",IF(INDEX(Backlog[HLE],MATCH($A69,Backlog[Requirement ID],0))&lt;=5,0.5,IF(INDEX(Backlog[HLE],MATCH($A69,Backlog[Requirement ID],0))&lt;=8,1,IF(INDEX(Backlog[HLE],MATCH($A69,Backlog[Requirement ID],0))&lt;=13,2,IF(INDEX(Backlog[HLE],MATCH($A69,Backlog[Requirement ID],0))&lt;=20,3,5))))),"")</f>
        <v/>
      </c>
    </row>
    <row r="70" customFormat="false" ht="15" hidden="true" customHeight="true" outlineLevel="0" collapsed="false">
      <c r="A70" s="1" t="str">
        <f aca="false">Backlog!A70</f>
        <v>NEW-0072</v>
      </c>
      <c r="B70" s="49" t="str">
        <f aca="false">IFERROR(IF(ISBLANK(INDEX(Backlog[Requirement Name],MATCH($A70,Backlog[Requirement ID],0))),"",INDEX(Backlog[Requirement Name],MATCH($A70,Backlog[Requirement ID],0))),"")</f>
        <v>PI11-04 [B2C] Post Cruise Complaint Form Part 2 (Multiple Attachment) - DTTP25-38913</v>
      </c>
      <c r="C70" s="1" t="str">
        <f aca="false">IFERROR(IF(ISBLANK(INDEX(Backlog[Stream],MATCH($A70,Backlog[Requirement ID],0))),"",INDEX(Backlog[Stream],MATCH($A70,Backlog[Requirement ID],0))),"")</f>
        <v>PI11</v>
      </c>
      <c r="D70" s="1" t="str">
        <f aca="false">IFERROR(IF(ISBLANK(INDEX(Backlog[Jira Link],MATCH($A70,Backlog[Requirement ID],0))),"",INDEX(Backlog[Jira Link],MATCH($A70,Backlog[Requirement ID],0))),"")</f>
        <v>https://smartship.atlassian.net/browse/DTTP25-41932</v>
      </c>
      <c r="E70" s="1" t="str">
        <f aca="false">IFERROR(IF(ISBLANK(INDEX(Backlog[Status],MATCH($A70,Backlog[Requirement ID],0))),"",INDEX(Backlog[Status],MATCH($A70,Backlog[Requirement ID],0))),"")</f>
        <v>NEW</v>
      </c>
      <c r="F70" s="1" t="str">
        <f aca="false">IFERROR(IF(ISBLANK(INDEX(SprintPlanning[Sprint],MATCH($A70,SprintPlanning[Requirement ID],0))),"",INDEX(SprintPlanning[Sprint],MATCH($A70,SprintPlanning[Requirement ID],0))),"")</f>
        <v>To Plan</v>
      </c>
      <c r="H70" s="66"/>
      <c r="J70" s="1" t="str">
        <f aca="false">IFERROR(IF(ISBLANK(INDEX(Backlog[Priority],MATCH($A70,Backlog[Requirement ID],0))),"",INDEX(Backlog[Priority],MATCH($A70,Backlog[Requirement ID],0))),"")</f>
        <v>Medium</v>
      </c>
      <c r="L70" s="1" t="n">
        <f aca="false">IFERROR(IF(ISBLANK(INDEX(Backlog[HLE],MATCH($A70,Backlog[Requirement ID],0))),"",IF(INDEX(Backlog[HLE],MATCH($A70,Backlog[Requirement ID],0))&lt;=5,0.5,IF(INDEX(Backlog[HLE],MATCH($A70,Backlog[Requirement ID],0))&lt;=8,1,IF(INDEX(Backlog[HLE],MATCH($A70,Backlog[Requirement ID],0))&lt;=13,2,IF(INDEX(Backlog[HLE],MATCH($A70,Backlog[Requirement ID],0))&lt;=20,3,5))))),"")</f>
        <v>5</v>
      </c>
    </row>
    <row r="71" customFormat="false" ht="15" hidden="true" customHeight="true" outlineLevel="0" collapsed="false">
      <c r="A71" s="1" t="str">
        <f aca="false">Backlog!A71</f>
        <v>NEW-0073</v>
      </c>
      <c r="B71" s="49" t="str">
        <f aca="false">IFERROR(IF(ISBLANK(INDEX(Backlog[Requirement Name],MATCH($A71,Backlog[Requirement ID],0))),"",INDEX(Backlog[Requirement Name],MATCH($A71,Backlog[Requirement ID],0))),"")</f>
        <v>PI11-05 [B2C] Accessibility Form - DTTP25-38914</v>
      </c>
      <c r="C71" s="1" t="str">
        <f aca="false">IFERROR(IF(ISBLANK(INDEX(Backlog[Stream],MATCH($A71,Backlog[Requirement ID],0))),"",INDEX(Backlog[Stream],MATCH($A71,Backlog[Requirement ID],0))),"")</f>
        <v>PI11</v>
      </c>
      <c r="D71" s="1" t="str">
        <f aca="false">IFERROR(IF(ISBLANK(INDEX(Backlog[Jira Link],MATCH($A71,Backlog[Requirement ID],0))),"",INDEX(Backlog[Jira Link],MATCH($A71,Backlog[Requirement ID],0))),"")</f>
        <v>https://smartship.atlassian.net/browse/DTTP25-41933</v>
      </c>
      <c r="E71" s="1" t="str">
        <f aca="false">IFERROR(IF(ISBLANK(INDEX(Backlog[Status],MATCH($A71,Backlog[Requirement ID],0))),"",INDEX(Backlog[Status],MATCH($A71,Backlog[Requirement ID],0))),"")</f>
        <v>NEW</v>
      </c>
      <c r="F71" s="1" t="str">
        <f aca="false">IFERROR(IF(ISBLANK(INDEX(SprintPlanning[Sprint],MATCH($A71,SprintPlanning[Requirement ID],0))),"",INDEX(SprintPlanning[Sprint],MATCH($A71,SprintPlanning[Requirement ID],0))),"")</f>
        <v>To Plan</v>
      </c>
      <c r="H71" s="66"/>
      <c r="J71" s="1" t="str">
        <f aca="false">IFERROR(IF(ISBLANK(INDEX(Backlog[Priority],MATCH($A71,Backlog[Requirement ID],0))),"",INDEX(Backlog[Priority],MATCH($A71,Backlog[Requirement ID],0))),"")</f>
        <v>Medium</v>
      </c>
      <c r="L71" s="1" t="str">
        <f aca="false">IFERROR(IF(ISBLANK(INDEX(Backlog[HLE],MATCH($A71,Backlog[Requirement ID],0))),"",IF(INDEX(Backlog[HLE],MATCH($A71,Backlog[Requirement ID],0))&lt;=5,0.5,IF(INDEX(Backlog[HLE],MATCH($A71,Backlog[Requirement ID],0))&lt;=8,1,IF(INDEX(Backlog[HLE],MATCH($A71,Backlog[Requirement ID],0))&lt;=13,2,IF(INDEX(Backlog[HLE],MATCH($A71,Backlog[Requirement ID],0))&lt;=20,3,5))))),"")</f>
        <v/>
      </c>
    </row>
    <row r="72" customFormat="false" ht="15" hidden="true" customHeight="true" outlineLevel="0" collapsed="false">
      <c r="A72" s="1" t="str">
        <f aca="false">Backlog!A72</f>
        <v>NEW-0074</v>
      </c>
      <c r="B72" s="49" t="str">
        <f aca="false">IFERROR(IF(ISBLANK(INDEX(Backlog[Requirement Name],MATCH($A72,Backlog[Requirement ID],0))),"",INDEX(Backlog[Requirement Name],MATCH($A72,Backlog[Requirement ID],0))),"")</f>
        <v>PI11-06 [B2C] Cabin Position - DTTP25-40042</v>
      </c>
      <c r="C72" s="1" t="str">
        <f aca="false">IFERROR(IF(ISBLANK(INDEX(Backlog[Stream],MATCH($A72,Backlog[Requirement ID],0))),"",INDEX(Backlog[Stream],MATCH($A72,Backlog[Requirement ID],0))),"")</f>
        <v>PI11</v>
      </c>
      <c r="D72" s="1" t="str">
        <f aca="false">IFERROR(IF(ISBLANK(INDEX(Backlog[Jira Link],MATCH($A72,Backlog[Requirement ID],0))),"",INDEX(Backlog[Jira Link],MATCH($A72,Backlog[Requirement ID],0))),"")</f>
        <v>https://smartship.atlassian.net/browse/DTTP25-41934</v>
      </c>
      <c r="E72" s="1" t="str">
        <f aca="false">IFERROR(IF(ISBLANK(INDEX(Backlog[Status],MATCH($A72,Backlog[Requirement ID],0))),"",INDEX(Backlog[Status],MATCH($A72,Backlog[Requirement ID],0))),"")</f>
        <v>NEW</v>
      </c>
      <c r="F72" s="1" t="str">
        <f aca="false">IFERROR(IF(ISBLANK(INDEX(SprintPlanning[Sprint],MATCH($A72,SprintPlanning[Requirement ID],0))),"",INDEX(SprintPlanning[Sprint],MATCH($A72,SprintPlanning[Requirement ID],0))),"")</f>
        <v>Sprint 13</v>
      </c>
      <c r="H72" s="66"/>
      <c r="J72" s="1" t="str">
        <f aca="false">IFERROR(IF(ISBLANK(INDEX(Backlog[Priority],MATCH($A72,Backlog[Requirement ID],0))),"",INDEX(Backlog[Priority],MATCH($A72,Backlog[Requirement ID],0))),"")</f>
        <v>High</v>
      </c>
      <c r="L72" s="1" t="n">
        <f aca="false">IFERROR(IF(ISBLANK(INDEX(Backlog[HLE],MATCH($A72,Backlog[Requirement ID],0))),"",IF(INDEX(Backlog[HLE],MATCH($A72,Backlog[Requirement ID],0))&lt;=5,0.5,IF(INDEX(Backlog[HLE],MATCH($A72,Backlog[Requirement ID],0))&lt;=8,1,IF(INDEX(Backlog[HLE],MATCH($A72,Backlog[Requirement ID],0))&lt;=13,2,IF(INDEX(Backlog[HLE],MATCH($A72,Backlog[Requirement ID],0))&lt;=20,3,5))))),"")</f>
        <v>0.5</v>
      </c>
    </row>
    <row r="73" customFormat="false" ht="15" hidden="true" customHeight="true" outlineLevel="0" collapsed="false">
      <c r="A73" s="1" t="str">
        <f aca="false">Backlog!A73</f>
        <v>NEW-0453</v>
      </c>
      <c r="B73" s="49" t="str">
        <f aca="false">IFERROR(IF(ISBLANK(INDEX(Backlog[Requirement Name],MATCH($A73,Backlog[Requirement ID],0))),"",INDEX(Backlog[Requirement Name],MATCH($A73,Backlog[Requirement ID],0))),"")</f>
        <v>US: Changes to A070/A013 mapping - refund</v>
      </c>
      <c r="C73" s="1" t="str">
        <f aca="false">IFERROR(IF(ISBLANK(INDEX(Backlog[Stream],MATCH($A73,Backlog[Requirement ID],0))),"",INDEX(Backlog[Stream],MATCH($A73,Backlog[Requirement ID],0))),"")</f>
        <v>Growth</v>
      </c>
      <c r="D73" s="1" t="str">
        <f aca="false">IFERROR(IF(ISBLANK(INDEX(Backlog[Jira Link],MATCH($A73,Backlog[Requirement ID],0))),"",INDEX(Backlog[Jira Link],MATCH($A73,Backlog[Requirement ID],0))),"")</f>
        <v/>
      </c>
      <c r="E73" s="1" t="str">
        <f aca="false">IFERROR(IF(ISBLANK(INDEX(Backlog[Status],MATCH($A73,Backlog[Requirement ID],0))),"",INDEX(Backlog[Status],MATCH($A73,Backlog[Requirement ID],0))),"")</f>
        <v>NEW</v>
      </c>
      <c r="F73" s="1" t="str">
        <f aca="false">IFERROR(IF(ISBLANK(INDEX(SprintPlanning[Sprint],MATCH($A73,SprintPlanning[Requirement ID],0))),"",INDEX(SprintPlanning[Sprint],MATCH($A73,SprintPlanning[Requirement ID],0))),"")</f>
        <v>To Plan</v>
      </c>
      <c r="H73" s="66"/>
      <c r="J73" s="1" t="str">
        <f aca="false">IFERROR(IF(ISBLANK(INDEX(Backlog[Priority],MATCH($A73,Backlog[Requirement ID],0))),"",INDEX(Backlog[Priority],MATCH($A73,Backlog[Requirement ID],0))),"")</f>
        <v>Medium</v>
      </c>
      <c r="L73" s="1" t="str">
        <f aca="false">IFERROR(IF(ISBLANK(INDEX(Backlog[HLE],MATCH($A73,Backlog[Requirement ID],0))),"",IF(INDEX(Backlog[HLE],MATCH($A73,Backlog[Requirement ID],0))&lt;=5,0.5,IF(INDEX(Backlog[HLE],MATCH($A73,Backlog[Requirement ID],0))&lt;=8,1,IF(INDEX(Backlog[HLE],MATCH($A73,Backlog[Requirement ID],0))&lt;=13,2,IF(INDEX(Backlog[HLE],MATCH($A73,Backlog[Requirement ID],0))&lt;=20,3,5))))),"")</f>
        <v/>
      </c>
    </row>
    <row r="74" customFormat="false" ht="15" hidden="true" customHeight="true" outlineLevel="0" collapsed="false">
      <c r="A74" s="1" t="str">
        <f aca="false">Backlog!A74</f>
        <v>NEW-0454</v>
      </c>
      <c r="B74" s="49" t="str">
        <f aca="false">IFERROR(IF(ISBLANK(INDEX(Backlog[Requirement Name],MATCH($A74,Backlog[Requirement ID],0))),"",INDEX(Backlog[Requirement Name],MATCH($A74,Backlog[Requirement ID],0))),"")</f>
        <v>M4M New Fields on INT181</v>
      </c>
      <c r="C74" s="1" t="str">
        <f aca="false">IFERROR(IF(ISBLANK(INDEX(Backlog[Stream],MATCH($A74,Backlog[Requirement ID],0))),"",INDEX(Backlog[Stream],MATCH($A74,Backlog[Requirement ID],0))),"")</f>
        <v>M4M</v>
      </c>
      <c r="D74" s="1" t="str">
        <f aca="false">IFERROR(IF(ISBLANK(INDEX(Backlog[Jira Link],MATCH($A74,Backlog[Requirement ID],0))),"",INDEX(Backlog[Jira Link],MATCH($A74,Backlog[Requirement ID],0))),"")</f>
        <v>https://smartship.atlassian.net/browse/DTTP25-43299</v>
      </c>
      <c r="E74" s="1" t="str">
        <f aca="false">IFERROR(IF(ISBLANK(INDEX(Backlog[Status],MATCH($A74,Backlog[Requirement ID],0))),"",INDEX(Backlog[Status],MATCH($A74,Backlog[Requirement ID],0))),"")</f>
        <v>NEW</v>
      </c>
      <c r="F74" s="1" t="str">
        <f aca="false">IFERROR(IF(ISBLANK(INDEX(SprintPlanning[Sprint],MATCH($A74,SprintPlanning[Requirement ID],0))),"",INDEX(SprintPlanning[Sprint],MATCH($A74,SprintPlanning[Requirement ID],0))),"")</f>
        <v>Sprint 14</v>
      </c>
      <c r="H74" s="66"/>
      <c r="J74" s="1" t="str">
        <f aca="false">IFERROR(IF(ISBLANK(INDEX(Backlog[Priority],MATCH($A74,Backlog[Requirement ID],0))),"",INDEX(Backlog[Priority],MATCH($A74,Backlog[Requirement ID],0))),"")</f>
        <v>High</v>
      </c>
      <c r="L74" s="1" t="n">
        <f aca="false">IFERROR(IF(ISBLANK(INDEX(Backlog[HLE],MATCH($A74,Backlog[Requirement ID],0))),"",IF(INDEX(Backlog[HLE],MATCH($A74,Backlog[Requirement ID],0))&lt;=5,0.5,IF(INDEX(Backlog[HLE],MATCH($A74,Backlog[Requirement ID],0))&lt;=8,1,IF(INDEX(Backlog[HLE],MATCH($A74,Backlog[Requirement ID],0))&lt;=13,2,IF(INDEX(Backlog[HLE],MATCH($A74,Backlog[Requirement ID],0))&lt;=20,3,5))))),"")</f>
        <v>0.5</v>
      </c>
    </row>
    <row r="75" customFormat="false" ht="15" hidden="true" customHeight="true" outlineLevel="0" collapsed="false">
      <c r="A75" s="1" t="str">
        <f aca="false">Backlog!A75</f>
        <v>NEW-0455</v>
      </c>
      <c r="B75" s="49" t="str">
        <f aca="false">IFERROR(IF(ISBLANK(INDEX(Backlog[Requirement Name],MATCH($A75,Backlog[Requirement ID],0))),"",INDEX(Backlog[Requirement Name],MATCH($A75,Backlog[Requirement ID],0))),"")</f>
        <v>M4M Gender in Marketing email in INT188</v>
      </c>
      <c r="C75" s="1" t="str">
        <f aca="false">IFERROR(IF(ISBLANK(INDEX(Backlog[Stream],MATCH($A75,Backlog[Requirement ID],0))),"",INDEX(Backlog[Stream],MATCH($A75,Backlog[Requirement ID],0))),"")</f>
        <v>M4M</v>
      </c>
      <c r="D75" s="1" t="str">
        <f aca="false">IFERROR(IF(ISBLANK(INDEX(Backlog[Jira Link],MATCH($A75,Backlog[Requirement ID],0))),"",INDEX(Backlog[Jira Link],MATCH($A75,Backlog[Requirement ID],0))),"")</f>
        <v/>
      </c>
      <c r="E75" s="1" t="str">
        <f aca="false">IFERROR(IF(ISBLANK(INDEX(Backlog[Status],MATCH($A75,Backlog[Requirement ID],0))),"",INDEX(Backlog[Status],MATCH($A75,Backlog[Requirement ID],0))),"")</f>
        <v>NEW</v>
      </c>
      <c r="F75" s="1" t="str">
        <f aca="false">IFERROR(IF(ISBLANK(INDEX(SprintPlanning[Sprint],MATCH($A75,SprintPlanning[Requirement ID],0))),"",INDEX(SprintPlanning[Sprint],MATCH($A75,SprintPlanning[Requirement ID],0))),"")</f>
        <v>To Plan</v>
      </c>
      <c r="H75" s="66"/>
      <c r="J75" s="1" t="str">
        <f aca="false">IFERROR(IF(ISBLANK(INDEX(Backlog[Priority],MATCH($A75,Backlog[Requirement ID],0))),"",INDEX(Backlog[Priority],MATCH($A75,Backlog[Requirement ID],0))),"")</f>
        <v>Medium</v>
      </c>
      <c r="L75" s="1" t="str">
        <f aca="false">IFERROR(IF(ISBLANK(INDEX(Backlog[HLE],MATCH($A75,Backlog[Requirement ID],0))),"",IF(INDEX(Backlog[HLE],MATCH($A75,Backlog[Requirement ID],0))&lt;=5,0.5,IF(INDEX(Backlog[HLE],MATCH($A75,Backlog[Requirement ID],0))&lt;=8,1,IF(INDEX(Backlog[HLE],MATCH($A75,Backlog[Requirement ID],0))&lt;=13,2,IF(INDEX(Backlog[HLE],MATCH($A75,Backlog[Requirement ID],0))&lt;=20,3,5))))),"")</f>
        <v/>
      </c>
    </row>
    <row r="76" customFormat="false" ht="15" hidden="true" customHeight="true" outlineLevel="0" collapsed="false">
      <c r="A76" s="1" t="str">
        <f aca="false">Backlog!A76</f>
        <v>NEW-0456</v>
      </c>
      <c r="B76" s="49" t="str">
        <f aca="false">IFERROR(IF(ISBLANK(INDEX(Backlog[Requirement Name],MATCH($A76,Backlog[Requirement ID],0))),"",INDEX(Backlog[Requirement Name],MATCH($A76,Backlog[Requirement ID],0))),"")</f>
        <v>M4M Datatrans information in INT188 response</v>
      </c>
      <c r="C76" s="1" t="str">
        <f aca="false">IFERROR(IF(ISBLANK(INDEX(Backlog[Stream],MATCH($A76,Backlog[Requirement ID],0))),"",INDEX(Backlog[Stream],MATCH($A76,Backlog[Requirement ID],0))),"")</f>
        <v>M4M</v>
      </c>
      <c r="D76" s="1" t="str">
        <f aca="false">IFERROR(IF(ISBLANK(INDEX(Backlog[Jira Link],MATCH($A76,Backlog[Requirement ID],0))),"",INDEX(Backlog[Jira Link],MATCH($A76,Backlog[Requirement ID],0))),"")</f>
        <v>https://smartship.atlassian.net/browse/DTTP25-43299</v>
      </c>
      <c r="E76" s="1" t="str">
        <f aca="false">IFERROR(IF(ISBLANK(INDEX(Backlog[Status],MATCH($A76,Backlog[Requirement ID],0))),"",INDEX(Backlog[Status],MATCH($A76,Backlog[Requirement ID],0))),"")</f>
        <v>NEW</v>
      </c>
      <c r="F76" s="1" t="str">
        <f aca="false">IFERROR(IF(ISBLANK(INDEX(SprintPlanning[Sprint],MATCH($A76,SprintPlanning[Requirement ID],0))),"",INDEX(SprintPlanning[Sprint],MATCH($A76,SprintPlanning[Requirement ID],0))),"")</f>
        <v>Sprint 14</v>
      </c>
      <c r="H76" s="66"/>
      <c r="J76" s="1" t="str">
        <f aca="false">IFERROR(IF(ISBLANK(INDEX(Backlog[Priority],MATCH($A76,Backlog[Requirement ID],0))),"",INDEX(Backlog[Priority],MATCH($A76,Backlog[Requirement ID],0))),"")</f>
        <v>High</v>
      </c>
      <c r="L76" s="1" t="n">
        <f aca="false">IFERROR(IF(ISBLANK(INDEX(Backlog[HLE],MATCH($A76,Backlog[Requirement ID],0))),"",IF(INDEX(Backlog[HLE],MATCH($A76,Backlog[Requirement ID],0))&lt;=5,0.5,IF(INDEX(Backlog[HLE],MATCH($A76,Backlog[Requirement ID],0))&lt;=8,1,IF(INDEX(Backlog[HLE],MATCH($A76,Backlog[Requirement ID],0))&lt;=13,2,IF(INDEX(Backlog[HLE],MATCH($A76,Backlog[Requirement ID],0))&lt;=20,3,5))))),"")</f>
        <v>0.5</v>
      </c>
    </row>
    <row r="77" customFormat="false" ht="15" hidden="true" customHeight="true" outlineLevel="0" collapsed="false">
      <c r="A77" s="1" t="str">
        <f aca="false">Backlog!A77</f>
        <v>NEW-0457</v>
      </c>
      <c r="B77" s="49" t="str">
        <f aca="false">IFERROR(IF(ISBLANK(INDEX(Backlog[Requirement Name],MATCH($A77,Backlog[Requirement ID],0))),"",INDEX(Backlog[Requirement Name],MATCH($A77,Backlog[Requirement ID],0))),"")</f>
        <v>[EINT] [CR] INT112/ INT 153 :  Voyager Member Club Update Asynch Management</v>
      </c>
      <c r="C77" s="1" t="str">
        <f aca="false">IFERROR(IF(ISBLANK(INDEX(Backlog[Stream],MATCH($A77,Backlog[Requirement ID],0))),"",INDEX(Backlog[Stream],MATCH($A77,Backlog[Requirement ID],0))),"")</f>
        <v>MyMSC</v>
      </c>
      <c r="D77" s="1" t="str">
        <f aca="false">IFERROR(IF(ISBLANK(INDEX(Backlog[Jira Link],MATCH($A77,Backlog[Requirement ID],0))),"",INDEX(Backlog[Jira Link],MATCH($A77,Backlog[Requirement ID],0))),"")</f>
        <v/>
      </c>
      <c r="E77" s="1" t="str">
        <f aca="false">IFERROR(IF(ISBLANK(INDEX(Backlog[Status],MATCH($A77,Backlog[Requirement ID],0))),"",INDEX(Backlog[Status],MATCH($A77,Backlog[Requirement ID],0))),"")</f>
        <v>DONE</v>
      </c>
      <c r="F77" s="1" t="str">
        <f aca="false">IFERROR(IF(ISBLANK(INDEX(SprintPlanning[Sprint],MATCH($A77,SprintPlanning[Requirement ID],0))),"",INDEX(SprintPlanning[Sprint],MATCH($A77,SprintPlanning[Requirement ID],0))),"")</f>
        <v>Sprint 11</v>
      </c>
      <c r="H77" s="66"/>
      <c r="J77" s="1" t="str">
        <f aca="false">IFERROR(IF(ISBLANK(INDEX(Backlog[Priority],MATCH($A77,Backlog[Requirement ID],0))),"",INDEX(Backlog[Priority],MATCH($A77,Backlog[Requirement ID],0))),"")</f>
        <v>High</v>
      </c>
      <c r="L77" s="1" t="n">
        <f aca="false">IFERROR(IF(ISBLANK(INDEX(Backlog[HLE],MATCH($A77,Backlog[Requirement ID],0))),"",IF(INDEX(Backlog[HLE],MATCH($A77,Backlog[Requirement ID],0))&lt;=5,0.5,IF(INDEX(Backlog[HLE],MATCH($A77,Backlog[Requirement ID],0))&lt;=8,1,IF(INDEX(Backlog[HLE],MATCH($A77,Backlog[Requirement ID],0))&lt;=13,2,IF(INDEX(Backlog[HLE],MATCH($A77,Backlog[Requirement ID],0))&lt;=20,3,5))))),"")</f>
        <v>1</v>
      </c>
    </row>
    <row r="78" customFormat="false" ht="15" hidden="true" customHeight="true" outlineLevel="0" collapsed="false">
      <c r="A78" s="1" t="str">
        <f aca="false">Backlog!A78</f>
        <v>NEW-0458</v>
      </c>
      <c r="B78" s="49" t="str">
        <f aca="false">IFERROR(IF(ISBLANK(INDEX(Backlog[Requirement Name],MATCH($A78,Backlog[Requirement ID],0))),"",INDEX(Backlog[Requirement Name],MATCH($A78,Backlog[Requirement ID],0))),"")</f>
        <v>Restructure the orchestration of INT188</v>
      </c>
      <c r="C78" s="1" t="str">
        <f aca="false">IFERROR(IF(ISBLANK(INDEX(Backlog[Stream],MATCH($A78,Backlog[Requirement ID],0))),"",INDEX(Backlog[Stream],MATCH($A78,Backlog[Requirement ID],0))),"")</f>
        <v>M4M</v>
      </c>
      <c r="D78" s="1" t="str">
        <f aca="false">IFERROR(IF(ISBLANK(INDEX(Backlog[Jira Link],MATCH($A78,Backlog[Requirement ID],0))),"",INDEX(Backlog[Jira Link],MATCH($A78,Backlog[Requirement ID],0))),"")</f>
        <v>https://smartship.atlassian.net/browse/DTTP25-42277</v>
      </c>
      <c r="E78" s="1" t="str">
        <f aca="false">IFERROR(IF(ISBLANK(INDEX(Backlog[Status],MATCH($A78,Backlog[Requirement ID],0))),"",INDEX(Backlog[Status],MATCH($A78,Backlog[Requirement ID],0))),"")</f>
        <v>NEW</v>
      </c>
      <c r="F78" s="1" t="str">
        <f aca="false">IFERROR(IF(ISBLANK(INDEX(SprintPlanning[Sprint],MATCH($A78,SprintPlanning[Requirement ID],0))),"",INDEX(SprintPlanning[Sprint],MATCH($A78,SprintPlanning[Requirement ID],0))),"")</f>
        <v>To Plan</v>
      </c>
      <c r="H78" s="66"/>
      <c r="J78" s="1" t="str">
        <f aca="false">IFERROR(IF(ISBLANK(INDEX(Backlog[Priority],MATCH($A78,Backlog[Requirement ID],0))),"",INDEX(Backlog[Priority],MATCH($A78,Backlog[Requirement ID],0))),"")</f>
        <v>High</v>
      </c>
      <c r="L78" s="1" t="n">
        <f aca="false">IFERROR(IF(ISBLANK(INDEX(Backlog[HLE],MATCH($A78,Backlog[Requirement ID],0))),"",IF(INDEX(Backlog[HLE],MATCH($A78,Backlog[Requirement ID],0))&lt;=5,0.5,IF(INDEX(Backlog[HLE],MATCH($A78,Backlog[Requirement ID],0))&lt;=8,1,IF(INDEX(Backlog[HLE],MATCH($A78,Backlog[Requirement ID],0))&lt;=13,2,IF(INDEX(Backlog[HLE],MATCH($A78,Backlog[Requirement ID],0))&lt;=20,3,5))))),"")</f>
        <v>1</v>
      </c>
    </row>
    <row r="79" customFormat="false" ht="15" hidden="true" customHeight="true" outlineLevel="0" collapsed="false">
      <c r="A79" s="1" t="str">
        <f aca="false">Backlog!A79</f>
        <v>NEW-0459</v>
      </c>
      <c r="B79" s="49" t="str">
        <f aca="false">IFERROR(IF(ISBLANK(INDEX(Backlog[Requirement Name],MATCH($A79,Backlog[Requirement ID],0))),"",INDEX(Backlog[Requirement Name],MATCH($A79,Backlog[Requirement ID],0))),"")</f>
        <v>[INT139][INT145] MyMSC Removal of phone number in transaction creation</v>
      </c>
      <c r="C79" s="1" t="str">
        <f aca="false">IFERROR(IF(ISBLANK(INDEX(Backlog[Stream],MATCH($A79,Backlog[Requirement ID],0))),"",INDEX(Backlog[Stream],MATCH($A79,Backlog[Requirement ID],0))),"")</f>
        <v>Growth</v>
      </c>
      <c r="D79" s="1" t="str">
        <f aca="false">IFERROR(IF(ISBLANK(INDEX(Backlog[Jira Link],MATCH($A79,Backlog[Requirement ID],0))),"",INDEX(Backlog[Jira Link],MATCH($A79,Backlog[Requirement ID],0))),"")</f>
        <v/>
      </c>
      <c r="E79" s="1" t="str">
        <f aca="false">IFERROR(IF(ISBLANK(INDEX(Backlog[Status],MATCH($A79,Backlog[Requirement ID],0))),"",INDEX(Backlog[Status],MATCH($A79,Backlog[Requirement ID],0))),"")</f>
        <v>NEW</v>
      </c>
      <c r="F79" s="1" t="str">
        <f aca="false">IFERROR(IF(ISBLANK(INDEX(SprintPlanning[Sprint],MATCH($A79,SprintPlanning[Requirement ID],0))),"",INDEX(SprintPlanning[Sprint],MATCH($A79,SprintPlanning[Requirement ID],0))),"")</f>
        <v>To Plan</v>
      </c>
      <c r="G79" s="56" t="s">
        <v>396</v>
      </c>
      <c r="H79" s="66"/>
      <c r="J79" s="1" t="str">
        <f aca="false">IFERROR(IF(ISBLANK(INDEX(Backlog[Priority],MATCH($A79,Backlog[Requirement ID],0))),"",INDEX(Backlog[Priority],MATCH($A79,Backlog[Requirement ID],0))),"")</f>
        <v>Medium</v>
      </c>
      <c r="K79" s="1" t="s">
        <v>436</v>
      </c>
      <c r="L79" s="1" t="n">
        <f aca="false">IFERROR(IF(ISBLANK(INDEX(Backlog[HLE],MATCH($A79,Backlog[Requirement ID],0))),"",IF(INDEX(Backlog[HLE],MATCH($A79,Backlog[Requirement ID],0))&lt;=5,0.5,IF(INDEX(Backlog[HLE],MATCH($A79,Backlog[Requirement ID],0))&lt;=8,1,IF(INDEX(Backlog[HLE],MATCH($A79,Backlog[Requirement ID],0))&lt;=13,2,IF(INDEX(Backlog[HLE],MATCH($A79,Backlog[Requirement ID],0))&lt;=20,3,5))))),"")</f>
        <v>0.5</v>
      </c>
    </row>
    <row r="80" customFormat="false" ht="15" hidden="true" customHeight="true" outlineLevel="0" collapsed="false">
      <c r="A80" s="1" t="str">
        <f aca="false">Backlog!A80</f>
        <v>NEW-0460</v>
      </c>
      <c r="B80" s="49" t="str">
        <f aca="false">IFERROR(IF(ISBLANK(INDEX(Backlog[Requirement Name],MATCH($A80,Backlog[Requirement ID],0))),"",INDEX(Backlog[Requirement Name],MATCH($A80,Backlog[Requirement ID],0))),"")</f>
        <v>E2E Ticket Support - FAT and Canary Tests - Sprint 12</v>
      </c>
      <c r="C80" s="1" t="str">
        <f aca="false">IFERROR(IF(ISBLANK(INDEX(Backlog[Stream],MATCH($A80,Backlog[Requirement ID],0))),"",INDEX(Backlog[Stream],MATCH($A80,Backlog[Requirement ID],0))),"")</f>
        <v>Cross</v>
      </c>
      <c r="D80" s="1" t="str">
        <f aca="false">IFERROR(IF(ISBLANK(INDEX(Backlog[Jira Link],MATCH($A80,Backlog[Requirement ID],0))),"",INDEX(Backlog[Jira Link],MATCH($A80,Backlog[Requirement ID],0))),"")</f>
        <v/>
      </c>
      <c r="E80" s="1" t="str">
        <f aca="false">IFERROR(IF(ISBLANK(INDEX(Backlog[Status],MATCH($A80,Backlog[Requirement ID],0))),"",INDEX(Backlog[Status],MATCH($A80,Backlog[Requirement ID],0))),"")</f>
        <v>IN PROGRESS</v>
      </c>
      <c r="F80" s="1" t="str">
        <f aca="false">IFERROR(IF(ISBLANK(INDEX(SprintPlanning[Sprint],MATCH($A80,SprintPlanning[Requirement ID],0))),"",INDEX(SprintPlanning[Sprint],MATCH($A80,SprintPlanning[Requirement ID],0))),"")</f>
        <v>Sprint 12</v>
      </c>
      <c r="H80" s="66"/>
      <c r="J80" s="1" t="str">
        <f aca="false">IFERROR(IF(ISBLANK(INDEX(Backlog[Priority],MATCH($A80,Backlog[Requirement ID],0))),"",INDEX(Backlog[Priority],MATCH($A80,Backlog[Requirement ID],0))),"")</f>
        <v>High</v>
      </c>
      <c r="L80" s="1" t="n">
        <f aca="false">IFERROR(IF(ISBLANK(INDEX(Backlog[HLE],MATCH($A80,Backlog[Requirement ID],0))),"",IF(INDEX(Backlog[HLE],MATCH($A80,Backlog[Requirement ID],0))&lt;=5,0.5,IF(INDEX(Backlog[HLE],MATCH($A80,Backlog[Requirement ID],0))&lt;=8,1,IF(INDEX(Backlog[HLE],MATCH($A80,Backlog[Requirement ID],0))&lt;=13,2,IF(INDEX(Backlog[HLE],MATCH($A80,Backlog[Requirement ID],0))&lt;=20,3,5))))),"")</f>
        <v>2</v>
      </c>
    </row>
    <row r="81" customFormat="false" ht="15" hidden="true" customHeight="true" outlineLevel="0" collapsed="false">
      <c r="A81" s="1" t="str">
        <f aca="false">Backlog!A81</f>
        <v>NEW-0461</v>
      </c>
      <c r="B81" s="49" t="str">
        <f aca="false">IFERROR(IF(ISBLANK(INDEX(Backlog[Requirement Name],MATCH($A81,Backlog[Requirement ID],0))),"",INDEX(Backlog[Requirement Name],MATCH($A81,Backlog[Requirement ID],0))),"")</f>
        <v>B2CW CMS Optimisations - INC1117192</v>
      </c>
      <c r="C81" s="1" t="str">
        <f aca="false">IFERROR(IF(ISBLANK(INDEX(Backlog[Stream],MATCH($A81,Backlog[Requirement ID],0))),"",INDEX(Backlog[Stream],MATCH($A81,Backlog[Requirement ID],0))),"")</f>
        <v>Growth</v>
      </c>
      <c r="D81" s="1" t="str">
        <f aca="false">IFERROR(IF(ISBLANK(INDEX(Backlog[Jira Link],MATCH($A81,Backlog[Requirement ID],0))),"",INDEX(Backlog[Jira Link],MATCH($A81,Backlog[Requirement ID],0))),"")</f>
        <v/>
      </c>
      <c r="E81" s="1" t="str">
        <f aca="false">IFERROR(IF(ISBLANK(INDEX(Backlog[Status],MATCH($A81,Backlog[Requirement ID],0))),"",INDEX(Backlog[Status],MATCH($A81,Backlog[Requirement ID],0))),"")</f>
        <v>NEW</v>
      </c>
      <c r="F81" s="1" t="str">
        <f aca="false">IFERROR(IF(ISBLANK(INDEX(SprintPlanning[Sprint],MATCH($A81,SprintPlanning[Requirement ID],0))),"",INDEX(SprintPlanning[Sprint],MATCH($A81,SprintPlanning[Requirement ID],0))),"")</f>
        <v>To Plan</v>
      </c>
      <c r="H81" s="66"/>
      <c r="J81" s="1" t="str">
        <f aca="false">IFERROR(IF(ISBLANK(INDEX(Backlog[Priority],MATCH($A81,Backlog[Requirement ID],0))),"",INDEX(Backlog[Priority],MATCH($A81,Backlog[Requirement ID],0))),"")</f>
        <v>Medium</v>
      </c>
      <c r="L81" s="1" t="str">
        <f aca="false">IFERROR(IF(ISBLANK(INDEX(Backlog[HLE],MATCH($A81,Backlog[Requirement ID],0))),"",IF(INDEX(Backlog[HLE],MATCH($A81,Backlog[Requirement ID],0))&lt;=5,0.5,IF(INDEX(Backlog[HLE],MATCH($A81,Backlog[Requirement ID],0))&lt;=8,1,IF(INDEX(Backlog[HLE],MATCH($A81,Backlog[Requirement ID],0))&lt;=13,2,IF(INDEX(Backlog[HLE],MATCH($A81,Backlog[Requirement ID],0))&lt;=20,3,5))))),"")</f>
        <v/>
      </c>
    </row>
    <row r="82" customFormat="false" ht="15" hidden="true" customHeight="true" outlineLevel="0" collapsed="false">
      <c r="A82" s="1" t="str">
        <f aca="false">Backlog!A82</f>
        <v>NEW-0462</v>
      </c>
      <c r="B82" s="49" t="str">
        <f aca="false">IFERROR(IF(ISBLANK(INDEX(Backlog[Requirement Name],MATCH($A82,Backlog[Requirement ID],0))),"",INDEX(Backlog[Requirement Name],MATCH($A82,Backlog[Requirement ID],0))),"")</f>
        <v>[INT139][INT140][INT187][INT188] MyMSC / M4M Handling of package upgrade not available</v>
      </c>
      <c r="C82" s="1" t="str">
        <f aca="false">IFERROR(IF(ISBLANK(INDEX(Backlog[Stream],MATCH($A82,Backlog[Requirement ID],0))),"",INDEX(Backlog[Stream],MATCH($A82,Backlog[Requirement ID],0))),"")</f>
        <v>M4M</v>
      </c>
      <c r="D82" s="1" t="str">
        <f aca="false">IFERROR(IF(ISBLANK(INDEX(Backlog[Jira Link],MATCH($A82,Backlog[Requirement ID],0))),"",INDEX(Backlog[Jira Link],MATCH($A82,Backlog[Requirement ID],0))),"")</f>
        <v/>
      </c>
      <c r="E82" s="1" t="str">
        <f aca="false">IFERROR(IF(ISBLANK(INDEX(Backlog[Status],MATCH($A82,Backlog[Requirement ID],0))),"",INDEX(Backlog[Status],MATCH($A82,Backlog[Requirement ID],0))),"")</f>
        <v>NEW</v>
      </c>
      <c r="F82" s="1" t="str">
        <f aca="false">IFERROR(IF(ISBLANK(INDEX(SprintPlanning[Sprint],MATCH($A82,SprintPlanning[Requirement ID],0))),"",INDEX(SprintPlanning[Sprint],MATCH($A82,SprintPlanning[Requirement ID],0))),"")</f>
        <v>To Plan</v>
      </c>
      <c r="H82" s="66"/>
      <c r="J82" s="1" t="str">
        <f aca="false">IFERROR(IF(ISBLANK(INDEX(Backlog[Priority],MATCH($A82,Backlog[Requirement ID],0))),"",INDEX(Backlog[Priority],MATCH($A82,Backlog[Requirement ID],0))),"")</f>
        <v>High</v>
      </c>
      <c r="L82" s="1" t="n">
        <f aca="false">IFERROR(IF(ISBLANK(INDEX(Backlog[HLE],MATCH($A82,Backlog[Requirement ID],0))),"",IF(INDEX(Backlog[HLE],MATCH($A82,Backlog[Requirement ID],0))&lt;=5,0.5,IF(INDEX(Backlog[HLE],MATCH($A82,Backlog[Requirement ID],0))&lt;=8,1,IF(INDEX(Backlog[HLE],MATCH($A82,Backlog[Requirement ID],0))&lt;=13,2,IF(INDEX(Backlog[HLE],MATCH($A82,Backlog[Requirement ID],0))&lt;=20,3,5))))),"")</f>
        <v>0.5</v>
      </c>
    </row>
    <row r="83" customFormat="false" ht="15" hidden="true" customHeight="true" outlineLevel="0" collapsed="false">
      <c r="A83" s="1" t="str">
        <f aca="false">Backlog!A83</f>
        <v>NEW-0463</v>
      </c>
      <c r="B83" s="49" t="str">
        <f aca="false">IFERROR(IF(ISBLANK(INDEX(Backlog[Requirement Name],MATCH($A83,Backlog[Requirement ID],0))),"",INDEX(Backlog[Requirement Name],MATCH($A83,Backlog[Requirement ID],0))),"")</f>
        <v>INTP-50 CRM Dependency- Lead Management - Campaign Name value available within AJO API campaigns</v>
      </c>
      <c r="C83" s="1" t="str">
        <f aca="false">IFERROR(IF(ISBLANK(INDEX(Backlog[Stream],MATCH($A83,Backlog[Requirement ID],0))),"",INDEX(Backlog[Stream],MATCH($A83,Backlog[Requirement ID],0))),"")</f>
        <v>PI12</v>
      </c>
      <c r="D83" s="1" t="str">
        <f aca="false">IFERROR(IF(ISBLANK(INDEX(Backlog[Jira Link],MATCH($A83,Backlog[Requirement ID],0))),"",INDEX(Backlog[Jira Link],MATCH($A83,Backlog[Requirement ID],0))),"")</f>
        <v/>
      </c>
      <c r="E83" s="1" t="str">
        <f aca="false">IFERROR(IF(ISBLANK(INDEX(Backlog[Status],MATCH($A83,Backlog[Requirement ID],0))),"",INDEX(Backlog[Status],MATCH($A83,Backlog[Requirement ID],0))),"")</f>
        <v>NEW</v>
      </c>
      <c r="F83" s="1" t="str">
        <f aca="false">IFERROR(IF(ISBLANK(INDEX(SprintPlanning[Sprint],MATCH($A83,SprintPlanning[Requirement ID],0))),"",INDEX(SprintPlanning[Sprint],MATCH($A83,SprintPlanning[Requirement ID],0))),"")</f>
        <v>To Plan</v>
      </c>
      <c r="H83" s="66"/>
      <c r="J83" s="1" t="str">
        <f aca="false">IFERROR(IF(ISBLANK(INDEX(Backlog[Priority],MATCH($A83,Backlog[Requirement ID],0))),"",INDEX(Backlog[Priority],MATCH($A83,Backlog[Requirement ID],0))),"")</f>
        <v>Low</v>
      </c>
      <c r="L83" s="1" t="str">
        <f aca="false">IFERROR(IF(ISBLANK(INDEX(Backlog[HLE],MATCH($A83,Backlog[Requirement ID],0))),"",IF(INDEX(Backlog[HLE],MATCH($A83,Backlog[Requirement ID],0))&lt;=5,0.5,IF(INDEX(Backlog[HLE],MATCH($A83,Backlog[Requirement ID],0))&lt;=8,1,IF(INDEX(Backlog[HLE],MATCH($A83,Backlog[Requirement ID],0))&lt;=13,2,IF(INDEX(Backlog[HLE],MATCH($A83,Backlog[Requirement ID],0))&lt;=20,3,5))))),"")</f>
        <v/>
      </c>
    </row>
    <row r="84" customFormat="false" ht="15" hidden="true" customHeight="true" outlineLevel="0" collapsed="false">
      <c r="A84" s="1" t="str">
        <f aca="false">Backlog!A84</f>
        <v>NEW-0464</v>
      </c>
      <c r="B84" s="49" t="str">
        <f aca="false">IFERROR(IF(ISBLANK(INDEX(Backlog[Requirement Name],MATCH($A84,Backlog[Requirement ID],0))),"",INDEX(Backlog[Requirement Name],MATCH($A84,Backlog[Requirement ID],0))),"")</f>
        <v>ZAF Rollout - Payment success Campaign removal</v>
      </c>
      <c r="C84" s="1" t="str">
        <f aca="false">IFERROR(IF(ISBLANK(INDEX(Backlog[Stream],MATCH($A84,Backlog[Requirement ID],0))),"",INDEX(Backlog[Stream],MATCH($A84,Backlog[Requirement ID],0))),"")</f>
        <v>MVP Rollout</v>
      </c>
      <c r="D84" s="1" t="str">
        <f aca="false">IFERROR(IF(ISBLANK(INDEX(Backlog[Jira Link],MATCH($A84,Backlog[Requirement ID],0))),"",INDEX(Backlog[Jira Link],MATCH($A84,Backlog[Requirement ID],0))),"")</f>
        <v/>
      </c>
      <c r="E84" s="1" t="str">
        <f aca="false">IFERROR(IF(ISBLANK(INDEX(Backlog[Status],MATCH($A84,Backlog[Requirement ID],0))),"",INDEX(Backlog[Status],MATCH($A84,Backlog[Requirement ID],0))),"")</f>
        <v>NEW</v>
      </c>
      <c r="F84" s="1" t="str">
        <f aca="false">IFERROR(IF(ISBLANK(INDEX(SprintPlanning[Sprint],MATCH($A84,SprintPlanning[Requirement ID],0))),"",INDEX(SprintPlanning[Sprint],MATCH($A84,SprintPlanning[Requirement ID],0))),"")</f>
        <v>To Plan</v>
      </c>
      <c r="H84" s="66"/>
      <c r="J84" s="1" t="str">
        <f aca="false">IFERROR(IF(ISBLANK(INDEX(Backlog[Priority],MATCH($A84,Backlog[Requirement ID],0))),"",INDEX(Backlog[Priority],MATCH($A84,Backlog[Requirement ID],0))),"")</f>
        <v>Medium</v>
      </c>
      <c r="L84" s="1" t="n">
        <f aca="false">IFERROR(IF(ISBLANK(INDEX(Backlog[HLE],MATCH($A84,Backlog[Requirement ID],0))),"",IF(INDEX(Backlog[HLE],MATCH($A84,Backlog[Requirement ID],0))&lt;=5,0.5,IF(INDEX(Backlog[HLE],MATCH($A84,Backlog[Requirement ID],0))&lt;=8,1,IF(INDEX(Backlog[HLE],MATCH($A84,Backlog[Requirement ID],0))&lt;=13,2,IF(INDEX(Backlog[HLE],MATCH($A84,Backlog[Requirement ID],0))&lt;=20,3,5))))),"")</f>
        <v>0.5</v>
      </c>
    </row>
    <row r="85" customFormat="false" ht="15" hidden="true" customHeight="true" outlineLevel="0" collapsed="false">
      <c r="A85" s="1" t="str">
        <f aca="false">Backlog!A85</f>
        <v>NEW-0465</v>
      </c>
      <c r="B85" s="49" t="str">
        <f aca="false">IFERROR(IF(ISBLANK(INDEX(Backlog[Requirement Name],MATCH($A85,Backlog[Requirement ID],0))),"",INDEX(Backlog[Requirement Name],MATCH($A85,Backlog[Requirement ID],0))),"")</f>
        <v>MyMSC Light Login session extension</v>
      </c>
      <c r="C85" s="1" t="str">
        <f aca="false">IFERROR(IF(ISBLANK(INDEX(Backlog[Stream],MATCH($A85,Backlog[Requirement ID],0))),"",INDEX(Backlog[Stream],MATCH($A85,Backlog[Requirement ID],0))),"")</f>
        <v>US</v>
      </c>
      <c r="D85" s="1" t="str">
        <f aca="false">IFERROR(IF(ISBLANK(INDEX(Backlog[Jira Link],MATCH($A85,Backlog[Requirement ID],0))),"",INDEX(Backlog[Jira Link],MATCH($A85,Backlog[Requirement ID],0))),"")</f>
        <v/>
      </c>
      <c r="E85" s="1" t="str">
        <f aca="false">IFERROR(IF(ISBLANK(INDEX(Backlog[Status],MATCH($A85,Backlog[Requirement ID],0))),"",INDEX(Backlog[Status],MATCH($A85,Backlog[Requirement ID],0))),"")</f>
        <v>NEW</v>
      </c>
      <c r="F85" s="1" t="str">
        <f aca="false">IFERROR(IF(ISBLANK(INDEX(SprintPlanning[Sprint],MATCH($A85,SprintPlanning[Requirement ID],0))),"",INDEX(SprintPlanning[Sprint],MATCH($A85,SprintPlanning[Requirement ID],0))),"")</f>
        <v>To Plan</v>
      </c>
      <c r="H85" s="66"/>
      <c r="J85" s="1" t="str">
        <f aca="false">IFERROR(IF(ISBLANK(INDEX(Backlog[Priority],MATCH($A85,Backlog[Requirement ID],0))),"",INDEX(Backlog[Priority],MATCH($A85,Backlog[Requirement ID],0))),"")</f>
        <v>Medium</v>
      </c>
      <c r="L85" s="1" t="n">
        <f aca="false">IFERROR(IF(ISBLANK(INDEX(Backlog[HLE],MATCH($A85,Backlog[Requirement ID],0))),"",IF(INDEX(Backlog[HLE],MATCH($A85,Backlog[Requirement ID],0))&lt;=5,0.5,IF(INDEX(Backlog[HLE],MATCH($A85,Backlog[Requirement ID],0))&lt;=8,1,IF(INDEX(Backlog[HLE],MATCH($A85,Backlog[Requirement ID],0))&lt;=13,2,IF(INDEX(Backlog[HLE],MATCH($A85,Backlog[Requirement ID],0))&lt;=20,3,5))))),"")</f>
        <v>1</v>
      </c>
    </row>
    <row r="86" customFormat="false" ht="15" hidden="true" customHeight="true" outlineLevel="0" collapsed="false">
      <c r="A86" s="1" t="str">
        <f aca="false">Backlog!A86</f>
        <v>NEW-0466</v>
      </c>
      <c r="B86" s="49" t="str">
        <f aca="false">IFERROR(IF(ISBLANK(INDEX(Backlog[Requirement Name],MATCH($A86,Backlog[Requirement ID],0))),"",INDEX(Backlog[Requirement Name],MATCH($A86,Backlog[Requirement ID],0))),"")</f>
        <v>INT 139/ INT 140 - Age restriction Errors on ACT items </v>
      </c>
      <c r="C86" s="1" t="str">
        <f aca="false">IFERROR(IF(ISBLANK(INDEX(Backlog[Stream],MATCH($A86,Backlog[Requirement ID],0))),"",INDEX(Backlog[Stream],MATCH($A86,Backlog[Requirement ID],0))),"")</f>
        <v>Growth</v>
      </c>
      <c r="D86" s="1" t="str">
        <f aca="false">IFERROR(IF(ISBLANK(INDEX(Backlog[Jira Link],MATCH($A86,Backlog[Requirement ID],0))),"",INDEX(Backlog[Jira Link],MATCH($A86,Backlog[Requirement ID],0))),"")</f>
        <v>https://smartship.atlassian.net/browse/DTTP25-42997</v>
      </c>
      <c r="E86" s="1" t="str">
        <f aca="false">IFERROR(IF(ISBLANK(INDEX(Backlog[Status],MATCH($A86,Backlog[Requirement ID],0))),"",INDEX(Backlog[Status],MATCH($A86,Backlog[Requirement ID],0))),"")</f>
        <v>NEW</v>
      </c>
      <c r="F86" s="1" t="str">
        <f aca="false">IFERROR(IF(ISBLANK(INDEX(SprintPlanning[Sprint],MATCH($A86,SprintPlanning[Requirement ID],0))),"",INDEX(SprintPlanning[Sprint],MATCH($A86,SprintPlanning[Requirement ID],0))),"")</f>
        <v>To Plan</v>
      </c>
      <c r="H86" s="66"/>
      <c r="J86" s="1" t="str">
        <f aca="false">IFERROR(IF(ISBLANK(INDEX(Backlog[Priority],MATCH($A86,Backlog[Requirement ID],0))),"",INDEX(Backlog[Priority],MATCH($A86,Backlog[Requirement ID],0))),"")</f>
        <v>Medium</v>
      </c>
      <c r="L86" s="1" t="n">
        <f aca="false">IFERROR(IF(ISBLANK(INDEX(Backlog[HLE],MATCH($A86,Backlog[Requirement ID],0))),"",IF(INDEX(Backlog[HLE],MATCH($A86,Backlog[Requirement ID],0))&lt;=5,0.5,IF(INDEX(Backlog[HLE],MATCH($A86,Backlog[Requirement ID],0))&lt;=8,1,IF(INDEX(Backlog[HLE],MATCH($A86,Backlog[Requirement ID],0))&lt;=13,2,IF(INDEX(Backlog[HLE],MATCH($A86,Backlog[Requirement ID],0))&lt;=20,3,5))))),"")</f>
        <v>0.5</v>
      </c>
    </row>
    <row r="87" customFormat="false" ht="15" hidden="true" customHeight="true" outlineLevel="0" collapsed="false">
      <c r="A87" s="1" t="str">
        <f aca="false">Backlog!A87</f>
        <v>NEW-0467</v>
      </c>
      <c r="B87" s="49" t="str">
        <f aca="false">IFERROR(IF(ISBLANK(INDEX(Backlog[Requirement Name],MATCH($A87,Backlog[Requirement ID],0))),"",INDEX(Backlog[Requirement Name],MATCH($A87,Backlog[Requirement ID],0))),"")</f>
        <v>Performance Testing - Enhancements Part 3 </v>
      </c>
      <c r="C87" s="1" t="str">
        <f aca="false">IFERROR(IF(ISBLANK(INDEX(Backlog[Stream],MATCH($A87,Backlog[Requirement ID],0))),"",INDEX(Backlog[Stream],MATCH($A87,Backlog[Requirement ID],0))),"")</f>
        <v>US</v>
      </c>
      <c r="D87" s="1" t="str">
        <f aca="false">IFERROR(IF(ISBLANK(INDEX(Backlog[Jira Link],MATCH($A87,Backlog[Requirement ID],0))),"",INDEX(Backlog[Jira Link],MATCH($A87,Backlog[Requirement ID],0))),"")</f>
        <v/>
      </c>
      <c r="E87" s="1" t="str">
        <f aca="false">IFERROR(IF(ISBLANK(INDEX(Backlog[Status],MATCH($A87,Backlog[Requirement ID],0))),"",INDEX(Backlog[Status],MATCH($A87,Backlog[Requirement ID],0))),"")</f>
        <v>IN PROGRESS</v>
      </c>
      <c r="F87" s="1" t="str">
        <f aca="false">IFERROR(IF(ISBLANK(INDEX(SprintPlanning[Sprint],MATCH($A87,SprintPlanning[Requirement ID],0))),"",INDEX(SprintPlanning[Sprint],MATCH($A87,SprintPlanning[Requirement ID],0))),"")</f>
        <v>Sprint 12</v>
      </c>
      <c r="H87" s="66"/>
      <c r="J87" s="1" t="str">
        <f aca="false">IFERROR(IF(ISBLANK(INDEX(Backlog[Priority],MATCH($A87,Backlog[Requirement ID],0))),"",INDEX(Backlog[Priority],MATCH($A87,Backlog[Requirement ID],0))),"")</f>
        <v>High</v>
      </c>
      <c r="L87" s="1" t="str">
        <f aca="false">IFERROR(IF(ISBLANK(INDEX(Backlog[HLE],MATCH($A87,Backlog[Requirement ID],0))),"",IF(INDEX(Backlog[HLE],MATCH($A87,Backlog[Requirement ID],0))&lt;=5,0.5,IF(INDEX(Backlog[HLE],MATCH($A87,Backlog[Requirement ID],0))&lt;=8,1,IF(INDEX(Backlog[HLE],MATCH($A87,Backlog[Requirement ID],0))&lt;=13,2,IF(INDEX(Backlog[HLE],MATCH($A87,Backlog[Requirement ID],0))&lt;=20,3,5))))),"")</f>
        <v/>
      </c>
    </row>
    <row r="88" customFormat="false" ht="15" hidden="true" customHeight="true" outlineLevel="0" collapsed="false">
      <c r="A88" s="1" t="str">
        <f aca="false">Backlog!A88</f>
        <v>NEW-0468</v>
      </c>
      <c r="B88" s="49" t="str">
        <f aca="false">IFERROR(IF(ISBLANK(INDEX(Backlog[Requirement Name],MATCH($A88,Backlog[Requirement ID],0))),"",INDEX(Backlog[Requirement Name],MATCH($A88,Backlog[Requirement ID],0))),"")</f>
        <v>US: INT178 Eventhub Event Processing for Club Enrolment</v>
      </c>
      <c r="C88" s="1" t="str">
        <f aca="false">IFERROR(IF(ISBLANK(INDEX(Backlog[Stream],MATCH($A88,Backlog[Requirement ID],0))),"",INDEX(Backlog[Stream],MATCH($A88,Backlog[Requirement ID],0))),"")</f>
        <v>MyMSC</v>
      </c>
      <c r="D88" s="1" t="str">
        <f aca="false">IFERROR(IF(ISBLANK(INDEX(Backlog[Jira Link],MATCH($A88,Backlog[Requirement ID],0))),"",INDEX(Backlog[Jira Link],MATCH($A88,Backlog[Requirement ID],0))),"")</f>
        <v/>
      </c>
      <c r="E88" s="1" t="str">
        <f aca="false">IFERROR(IF(ISBLANK(INDEX(Backlog[Status],MATCH($A88,Backlog[Requirement ID],0))),"",INDEX(Backlog[Status],MATCH($A88,Backlog[Requirement ID],0))),"")</f>
        <v>DONE</v>
      </c>
      <c r="F88" s="1" t="str">
        <f aca="false">IFERROR(IF(ISBLANK(INDEX(SprintPlanning[Sprint],MATCH($A88,SprintPlanning[Requirement ID],0))),"",INDEX(SprintPlanning[Sprint],MATCH($A88,SprintPlanning[Requirement ID],0))),"")</f>
        <v>Sprint 12</v>
      </c>
      <c r="H88" s="66"/>
      <c r="J88" s="1" t="str">
        <f aca="false">IFERROR(IF(ISBLANK(INDEX(Backlog[Priority],MATCH($A88,Backlog[Requirement ID],0))),"",INDEX(Backlog[Priority],MATCH($A88,Backlog[Requirement ID],0))),"")</f>
        <v>High</v>
      </c>
      <c r="L88" s="1" t="n">
        <f aca="false">IFERROR(IF(ISBLANK(INDEX(Backlog[HLE],MATCH($A88,Backlog[Requirement ID],0))),"",IF(INDEX(Backlog[HLE],MATCH($A88,Backlog[Requirement ID],0))&lt;=5,0.5,IF(INDEX(Backlog[HLE],MATCH($A88,Backlog[Requirement ID],0))&lt;=8,1,IF(INDEX(Backlog[HLE],MATCH($A88,Backlog[Requirement ID],0))&lt;=13,2,IF(INDEX(Backlog[HLE],MATCH($A88,Backlog[Requirement ID],0))&lt;=20,3,5))))),"")</f>
        <v>0.5</v>
      </c>
    </row>
    <row r="89" customFormat="false" ht="15" hidden="true" customHeight="true" outlineLevel="0" collapsed="false">
      <c r="A89" s="1" t="str">
        <f aca="false">Backlog!A89</f>
        <v>NEW-0469</v>
      </c>
      <c r="B89" s="49" t="str">
        <f aca="false">IFERROR(IF(ISBLANK(INDEX(Backlog[Requirement Name],MATCH($A89,Backlog[Requirement ID],0))),"",INDEX(Backlog[Requirement Name],MATCH($A89,Backlog[Requirement ID],0))),"")</f>
        <v>Fix AVS issues from PROD release on Sep 10th</v>
      </c>
      <c r="C89" s="1" t="str">
        <f aca="false">IFERROR(IF(ISBLANK(INDEX(Backlog[Stream],MATCH($A89,Backlog[Requirement ID],0))),"",INDEX(Backlog[Stream],MATCH($A89,Backlog[Requirement ID],0))),"")</f>
        <v>US</v>
      </c>
      <c r="D89" s="1" t="str">
        <f aca="false">IFERROR(IF(ISBLANK(INDEX(Backlog[Jira Link],MATCH($A89,Backlog[Requirement ID],0))),"",INDEX(Backlog[Jira Link],MATCH($A89,Backlog[Requirement ID],0))),"")</f>
        <v>https://smartship.atlassian.net/browse/MDTTPU-17466</v>
      </c>
      <c r="E89" s="1" t="str">
        <f aca="false">IFERROR(IF(ISBLANK(INDEX(Backlog[Status],MATCH($A89,Backlog[Requirement ID],0))),"",INDEX(Backlog[Status],MATCH($A89,Backlog[Requirement ID],0))),"")</f>
        <v>NEW</v>
      </c>
      <c r="F89" s="1" t="str">
        <f aca="false">IFERROR(IF(ISBLANK(INDEX(SprintPlanning[Sprint],MATCH($A89,SprintPlanning[Requirement ID],0))),"",INDEX(SprintPlanning[Sprint],MATCH($A89,SprintPlanning[Requirement ID],0))),"")</f>
        <v>Sprint 12</v>
      </c>
      <c r="G89" s="56" t="s">
        <v>396</v>
      </c>
      <c r="H89" s="66"/>
      <c r="J89" s="1" t="str">
        <f aca="false">IFERROR(IF(ISBLANK(INDEX(Backlog[Priority],MATCH($A89,Backlog[Requirement ID],0))),"",INDEX(Backlog[Priority],MATCH($A89,Backlog[Requirement ID],0))),"")</f>
        <v>Critical</v>
      </c>
      <c r="K89" s="1" t="s">
        <v>436</v>
      </c>
      <c r="L89" s="1" t="n">
        <f aca="false">IFERROR(IF(ISBLANK(INDEX(Backlog[HLE],MATCH($A89,Backlog[Requirement ID],0))),"",IF(INDEX(Backlog[HLE],MATCH($A89,Backlog[Requirement ID],0))&lt;=5,0.5,IF(INDEX(Backlog[HLE],MATCH($A89,Backlog[Requirement ID],0))&lt;=8,1,IF(INDEX(Backlog[HLE],MATCH($A89,Backlog[Requirement ID],0))&lt;=13,2,IF(INDEX(Backlog[HLE],MATCH($A89,Backlog[Requirement ID],0))&lt;=20,3,5))))),"")</f>
        <v>0.5</v>
      </c>
    </row>
    <row r="90" customFormat="false" ht="15" hidden="true" customHeight="true" outlineLevel="0" collapsed="false">
      <c r="A90" s="1" t="str">
        <f aca="false">Backlog!A90</f>
        <v>NEW-0470</v>
      </c>
      <c r="B90" s="49" t="str">
        <f aca="false">IFERROR(IF(ISBLANK(INDEX(Backlog[Requirement Name],MATCH($A90,Backlog[Requirement ID],0))),"",INDEX(Backlog[Requirement Name],MATCH($A90,Backlog[Requirement ID],0))),"")</f>
        <v>MyMSC Handling login for inactive existing web accounts</v>
      </c>
      <c r="C90" s="1" t="str">
        <f aca="false">IFERROR(IF(ISBLANK(INDEX(Backlog[Stream],MATCH($A90,Backlog[Requirement ID],0))),"",INDEX(Backlog[Stream],MATCH($A90,Backlog[Requirement ID],0))),"")</f>
        <v>MyMSC</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66"/>
      <c r="J90" s="1" t="str">
        <f aca="false">IFERROR(IF(ISBLANK(INDEX(Backlog[Priority],MATCH($A90,Backlog[Requirement ID],0))),"",INDEX(Backlog[Priority],MATCH($A90,Backlog[Requirement ID],0))),"")</f>
        <v>Medium</v>
      </c>
      <c r="L90" s="1" t="str">
        <f aca="false">IFERROR(IF(ISBLANK(INDEX(Backlog[HLE],MATCH($A90,Backlog[Requirement ID],0))),"",IF(INDEX(Backlog[HLE],MATCH($A90,Backlog[Requirement ID],0))&lt;=5,0.5,IF(INDEX(Backlog[HLE],MATCH($A90,Backlog[Requirement ID],0))&lt;=8,1,IF(INDEX(Backlog[HLE],MATCH($A90,Backlog[Requirement ID],0))&lt;=13,2,IF(INDEX(Backlog[HLE],MATCH($A90,Backlog[Requirement ID],0))&lt;=20,3,5))))),"")</f>
        <v/>
      </c>
    </row>
    <row r="91" customFormat="false" ht="15" hidden="true" customHeight="true" outlineLevel="0" collapsed="false">
      <c r="A91" s="1" t="str">
        <f aca="false">Backlog!A91</f>
        <v>NEW-0471</v>
      </c>
      <c r="B91" s="49" t="str">
        <f aca="false">IFERROR(IF(ISBLANK(INDEX(Backlog[Requirement Name],MATCH($A91,Backlog[Requirement ID],0))),"",INDEX(Backlog[Requirement Name],MATCH($A91,Backlog[Requirement ID],0))),"")</f>
        <v>MyMSC Light Login Allowed Agencies</v>
      </c>
      <c r="C91" s="1" t="str">
        <f aca="false">IFERROR(IF(ISBLANK(INDEX(Backlog[Stream],MATCH($A91,Backlog[Requirement ID],0))),"",INDEX(Backlog[Stream],MATCH($A91,Backlog[Requirement ID],0))),"")</f>
        <v>MyMSC</v>
      </c>
      <c r="D91" s="1" t="str">
        <f aca="false">IFERROR(IF(ISBLANK(INDEX(Backlog[Jira Link],MATCH($A91,Backlog[Requirement ID],0))),"",INDEX(Backlog[Jira Link],MATCH($A91,Backlog[Requirement ID],0))),"")</f>
        <v>https://smartship.atlassian.net/browse/MDTTPU-17651</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Sprint 12</v>
      </c>
      <c r="H91" s="66"/>
      <c r="J91" s="1" t="str">
        <f aca="false">IFERROR(IF(ISBLANK(INDEX(Backlog[Priority],MATCH($A91,Backlog[Requirement ID],0))),"",INDEX(Backlog[Priority],MATCH($A91,Backlog[Requirement ID],0))),"")</f>
        <v>High</v>
      </c>
      <c r="L91" s="1" t="n">
        <f aca="false">IFERROR(IF(ISBLANK(INDEX(Backlog[HLE],MATCH($A91,Backlog[Requirement ID],0))),"",IF(INDEX(Backlog[HLE],MATCH($A91,Backlog[Requirement ID],0))&lt;=5,0.5,IF(INDEX(Backlog[HLE],MATCH($A91,Backlog[Requirement ID],0))&lt;=8,1,IF(INDEX(Backlog[HLE],MATCH($A91,Backlog[Requirement ID],0))&lt;=13,2,IF(INDEX(Backlog[HLE],MATCH($A91,Backlog[Requirement ID],0))&lt;=20,3,5))))),"")</f>
        <v>0.5</v>
      </c>
    </row>
    <row r="92" customFormat="false" ht="15" hidden="true" customHeight="true" outlineLevel="0" collapsed="false">
      <c r="A92" s="1" t="str">
        <f aca="false">Backlog!A92</f>
        <v>NEW-0472</v>
      </c>
      <c r="B92" s="49" t="str">
        <f aca="false">IFERROR(IF(ISBLANK(INDEX(Backlog[Requirement Name],MATCH($A92,Backlog[Requirement ID],0))),"",INDEX(Backlog[Requirement Name],MATCH($A92,Backlog[Requirement ID],0))),"")</f>
        <v>[B2C Owned] CRM - LOYALTY - Voyagers Club Enrollment Opportunity After Booking Confirmation</v>
      </c>
      <c r="C92" s="1" t="str">
        <f aca="false">IFERROR(IF(ISBLANK(INDEX(Backlog[Stream],MATCH($A92,Backlog[Requirement ID],0))),"",INDEX(Backlog[Stream],MATCH($A92,Backlog[Requirement ID],0))),"")</f>
        <v>PI12</v>
      </c>
      <c r="D92" s="1" t="str">
        <f aca="false">IFERROR(IF(ISBLANK(INDEX(Backlog[Jira Link],MATCH($A92,Backlog[Requirement ID],0))),"",INDEX(Backlog[Jira Link],MATCH($A92,Backlog[Requirement ID],0))),"")</f>
        <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66"/>
      <c r="J92" s="1" t="str">
        <f aca="false">IFERROR(IF(ISBLANK(INDEX(Backlog[Priority],MATCH($A92,Backlog[Requirement ID],0))),"",INDEX(Backlog[Priority],MATCH($A92,Backlog[Requirement ID],0))),"")</f>
        <v>Medium</v>
      </c>
      <c r="L92" s="1" t="str">
        <f aca="false">IFERROR(IF(ISBLANK(INDEX(Backlog[HLE],MATCH($A92,Backlog[Requirement ID],0))),"",IF(INDEX(Backlog[HLE],MATCH($A92,Backlog[Requirement ID],0))&lt;=5,0.5,IF(INDEX(Backlog[HLE],MATCH($A92,Backlog[Requirement ID],0))&lt;=8,1,IF(INDEX(Backlog[HLE],MATCH($A92,Backlog[Requirement ID],0))&lt;=13,2,IF(INDEX(Backlog[HLE],MATCH($A92,Backlog[Requirement ID],0))&lt;=20,3,5))))),"")</f>
        <v/>
      </c>
    </row>
    <row r="93" customFormat="false" ht="15" hidden="true" customHeight="true" outlineLevel="0" collapsed="false">
      <c r="A93" s="1" t="str">
        <f aca="false">Backlog!A93</f>
        <v>NEW-0473</v>
      </c>
      <c r="B93" s="49" t="str">
        <f aca="false">IFERROR(IF(ISBLANK(INDEX(Backlog[Requirement Name],MATCH($A93,Backlog[Requirement ID],0))),"",INDEX(Backlog[Requirement Name],MATCH($A93,Backlog[Requirement ID],0))),"")</f>
        <v>Removal of campaigns for web user cancellation by market</v>
      </c>
      <c r="C93" s="1" t="str">
        <f aca="false">IFERROR(IF(ISBLANK(INDEX(Backlog[Stream],MATCH($A93,Backlog[Requirement ID],0))),"",INDEX(Backlog[Stream],MATCH($A93,Backlog[Requirement ID],0))),"")</f>
        <v>MVP Rollout</v>
      </c>
      <c r="D93" s="1" t="str">
        <f aca="false">IFERROR(IF(ISBLANK(INDEX(Backlog[Jira Link],MATCH($A93,Backlog[Requirement ID],0))),"",INDEX(Backlog[Jira Link],MATCH($A93,Backlog[Requirement ID],0))),"")</f>
        <v/>
      </c>
      <c r="E93" s="1" t="str">
        <f aca="false">IFERROR(IF(ISBLANK(INDEX(Backlog[Status],MATCH($A93,Backlog[Requirement ID],0))),"",INDEX(Backlog[Status],MATCH($A93,Backlog[Requirement ID],0))),"")</f>
        <v>NA</v>
      </c>
      <c r="F93" s="1" t="str">
        <f aca="false">IFERROR(IF(ISBLANK(INDEX(SprintPlanning[Sprint],MATCH($A93,SprintPlanning[Requirement ID],0))),"",INDEX(SprintPlanning[Sprint],MATCH($A93,SprintPlanning[Requirement ID],0))),"")</f>
        <v>To Plan</v>
      </c>
      <c r="H93" s="66"/>
      <c r="J93" s="1" t="str">
        <f aca="false">IFERROR(IF(ISBLANK(INDEX(Backlog[Priority],MATCH($A93,Backlog[Requirement ID],0))),"",INDEX(Backlog[Priority],MATCH($A93,Backlog[Requirement ID],0))),"")</f>
        <v>Medium</v>
      </c>
      <c r="L93" s="1" t="str">
        <f aca="false">IFERROR(IF(ISBLANK(INDEX(Backlog[HLE],MATCH($A93,Backlog[Requirement ID],0))),"",IF(INDEX(Backlog[HLE],MATCH($A93,Backlog[Requirement ID],0))&lt;=5,0.5,IF(INDEX(Backlog[HLE],MATCH($A93,Backlog[Requirement ID],0))&lt;=8,1,IF(INDEX(Backlog[HLE],MATCH($A93,Backlog[Requirement ID],0))&lt;=13,2,IF(INDEX(Backlog[HLE],MATCH($A93,Backlog[Requirement ID],0))&lt;=20,3,5))))),"")</f>
        <v/>
      </c>
    </row>
    <row r="94" customFormat="false" ht="15" hidden="true" customHeight="true" outlineLevel="0" collapsed="false">
      <c r="A94" s="1" t="str">
        <f aca="false">Backlog!A94</f>
        <v>NEW-0474</v>
      </c>
      <c r="B94" s="49" t="str">
        <f aca="false">IFERROR(IF(ISBLANK(INDEX(Backlog[Requirement Name],MATCH($A94,Backlog[Requirement ID],0))),"",INDEX(Backlog[Requirement Name],MATCH($A94,Backlog[Requirement ID],0))),"")</f>
        <v>[B2CW] Hold-Option hourly validity logic update</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https://smartship.atlassian.net/browse/DTTP25-43302</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15</v>
      </c>
      <c r="H94" s="66"/>
      <c r="J94" s="1" t="str">
        <f aca="false">IFERROR(IF(ISBLANK(INDEX(Backlog[Priority],MATCH($A94,Backlog[Requirement ID],0))),"",INDEX(Backlog[Priority],MATCH($A94,Backlog[Requirement ID],0))),"")</f>
        <v>Medium</v>
      </c>
      <c r="L94" s="1" t="n">
        <f aca="false">IFERROR(IF(ISBLANK(INDEX(Backlog[HLE],MATCH($A94,Backlog[Requirement ID],0))),"",IF(INDEX(Backlog[HLE],MATCH($A94,Backlog[Requirement ID],0))&lt;=5,0.5,IF(INDEX(Backlog[HLE],MATCH($A94,Backlog[Requirement ID],0))&lt;=8,1,IF(INDEX(Backlog[HLE],MATCH($A94,Backlog[Requirement ID],0))&lt;=13,2,IF(INDEX(Backlog[HLE],MATCH($A94,Backlog[Requirement ID],0))&lt;=20,3,5))))),"")</f>
        <v>1</v>
      </c>
    </row>
    <row r="95" customFormat="false" ht="15" hidden="true" customHeight="true" outlineLevel="0" collapsed="false">
      <c r="A95" s="1" t="str">
        <f aca="false">Backlog!A95</f>
        <v>NEW-0475</v>
      </c>
      <c r="B95" s="49" t="str">
        <f aca="false">IFERROR(IF(ISBLANK(INDEX(Backlog[Requirement Name],MATCH($A95,Backlog[Requirement ID],0))),"",INDEX(Backlog[Requirement Name],MATCH($A95,Backlog[Requirement ID],0))),"")</f>
        <v>[M4M][Precruise][Prepaid][Mulesoft] Flexible and Customizable Product Tags System</v>
      </c>
      <c r="C95" s="1" t="str">
        <f aca="false">IFERROR(IF(ISBLANK(INDEX(Backlog[Stream],MATCH($A95,Backlog[Requirement ID],0))),"",INDEX(Backlog[Stream],MATCH($A95,Backlog[Requirement ID],0))),"")</f>
        <v>M4M</v>
      </c>
      <c r="D95" s="1" t="str">
        <f aca="false">IFERROR(IF(ISBLANK(INDEX(Backlog[Jira Link],MATCH($A95,Backlog[Requirement ID],0))),"",INDEX(Backlog[Jira Link],MATCH($A95,Backlog[Requirement ID],0))),"")</f>
        <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14</v>
      </c>
      <c r="H95" s="66"/>
      <c r="J95" s="1" t="str">
        <f aca="false">IFERROR(IF(ISBLANK(INDEX(Backlog[Priority],MATCH($A95,Backlog[Requirement ID],0))),"",INDEX(Backlog[Priority],MATCH($A95,Backlog[Requirement ID],0))),"")</f>
        <v>Medium</v>
      </c>
      <c r="L95" s="1" t="n">
        <f aca="false">IFERROR(IF(ISBLANK(INDEX(Backlog[HLE],MATCH($A95,Backlog[Requirement ID],0))),"",IF(INDEX(Backlog[HLE],MATCH($A95,Backlog[Requirement ID],0))&lt;=5,0.5,IF(INDEX(Backlog[HLE],MATCH($A95,Backlog[Requirement ID],0))&lt;=8,1,IF(INDEX(Backlog[HLE],MATCH($A95,Backlog[Requirement ID],0))&lt;=13,2,IF(INDEX(Backlog[HLE],MATCH($A95,Backlog[Requirement ID],0))&lt;=20,3,5))))),"")</f>
        <v>0.5</v>
      </c>
    </row>
    <row r="96" customFormat="false" ht="15" hidden="true" customHeight="true" outlineLevel="0" collapsed="false">
      <c r="A96" s="1" t="str">
        <f aca="false">Backlog!A96</f>
        <v>NEW-0476</v>
      </c>
      <c r="B96" s="49" t="str">
        <f aca="false">IFERROR(IF(ISBLANK(INDEX(Backlog[Requirement Name],MATCH($A96,Backlog[Requirement ID],0))),"",INDEX(Backlog[Requirement Name],MATCH($A96,Backlog[Requirement ID],0))),"")</f>
        <v>[B2CW] Display CO2 Emissions for Each Flight</v>
      </c>
      <c r="C96" s="1" t="str">
        <f aca="false">IFERROR(IF(ISBLANK(INDEX(Backlog[Stream],MATCH($A96,Backlog[Requirement ID],0))),"",INDEX(Backlog[Stream],MATCH($A96,Backlog[Requirement ID],0))),"")</f>
        <v>PI12</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Sprint 14</v>
      </c>
      <c r="H96" s="66"/>
      <c r="J96" s="1" t="str">
        <f aca="false">IFERROR(IF(ISBLANK(INDEX(Backlog[Priority],MATCH($A96,Backlog[Requirement ID],0))),"",INDEX(Backlog[Priority],MATCH($A96,Backlog[Requirement ID],0))),"")</f>
        <v>Medium</v>
      </c>
      <c r="L96" s="1" t="n">
        <f aca="false">IFERROR(IF(ISBLANK(INDEX(Backlog[HLE],MATCH($A96,Backlog[Requirement ID],0))),"",IF(INDEX(Backlog[HLE],MATCH($A96,Backlog[Requirement ID],0))&lt;=5,0.5,IF(INDEX(Backlog[HLE],MATCH($A96,Backlog[Requirement ID],0))&lt;=8,1,IF(INDEX(Backlog[HLE],MATCH($A96,Backlog[Requirement ID],0))&lt;=13,2,IF(INDEX(Backlog[HLE],MATCH($A96,Backlog[Requirement ID],0))&lt;=20,3,5))))),"")</f>
        <v>0.5</v>
      </c>
    </row>
    <row r="97" customFormat="false" ht="15" hidden="true" customHeight="true" outlineLevel="0" collapsed="false">
      <c r="A97" s="1" t="str">
        <f aca="false">Backlog!A97</f>
        <v>NEW-0477</v>
      </c>
      <c r="B97" s="49" t="str">
        <f aca="false">IFERROR(IF(ISBLANK(INDEX(Backlog[Requirement Name],MATCH($A97,Backlog[Requirement ID],0))),"",INDEX(Backlog[Requirement Name],MATCH($A97,Backlog[Requirement ID],0))),"")</f>
        <v>INT166 Handling of individual markets for LATAM</v>
      </c>
      <c r="C97" s="1" t="str">
        <f aca="false">IFERROR(IF(ISBLANK(INDEX(Backlog[Stream],MATCH($A97,Backlog[Requirement ID],0))),"",INDEX(Backlog[Stream],MATCH($A97,Backlog[Requirement ID],0))),"")</f>
        <v>PI12</v>
      </c>
      <c r="D97" s="1" t="str">
        <f aca="false">IFERROR(IF(ISBLANK(INDEX(Backlog[Jira Link],MATCH($A97,Backlog[Requirement ID],0))),"",INDEX(Backlog[Jira Link],MATCH($A97,Backlog[Requirement ID],0))),"")</f>
        <v>https://smartship.atlassian.net/browse/DTTP25-44262</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12</v>
      </c>
      <c r="H97" s="66"/>
      <c r="J97" s="1" t="str">
        <f aca="false">IFERROR(IF(ISBLANK(INDEX(Backlog[Priority],MATCH($A97,Backlog[Requirement ID],0))),"",INDEX(Backlog[Priority],MATCH($A97,Backlog[Requirement ID],0))),"")</f>
        <v>Medium</v>
      </c>
      <c r="L97" s="1" t="n">
        <f aca="false">IFERROR(IF(ISBLANK(INDEX(Backlog[HLE],MATCH($A97,Backlog[Requirement ID],0))),"",IF(INDEX(Backlog[HLE],MATCH($A97,Backlog[Requirement ID],0))&lt;=5,0.5,IF(INDEX(Backlog[HLE],MATCH($A97,Backlog[Requirement ID],0))&lt;=8,1,IF(INDEX(Backlog[HLE],MATCH($A97,Backlog[Requirement ID],0))&lt;=13,2,IF(INDEX(Backlog[HLE],MATCH($A97,Backlog[Requirement ID],0))&lt;=20,3,5))))),"")</f>
        <v>0.5</v>
      </c>
    </row>
    <row r="98" customFormat="false" ht="15" hidden="true" customHeight="true" outlineLevel="0" collapsed="false">
      <c r="A98" s="1" t="str">
        <f aca="false">Backlog!A98</f>
        <v>NEW-0478</v>
      </c>
      <c r="B98" s="49" t="str">
        <f aca="false">IFERROR(IF(ISBLANK(INDEX(Backlog[Requirement Name],MATCH($A98,Backlog[Requirement ID],0))),"",INDEX(Backlog[Requirement Name],MATCH($A98,Backlog[Requirement ID],0))),"")</f>
        <v>[B2C] ZAF - MyArea Multiple Purchase</v>
      </c>
      <c r="C98" s="1" t="str">
        <f aca="false">IFERROR(IF(ISBLANK(INDEX(Backlog[Stream],MATCH($A98,Backlog[Requirement ID],0))),"",INDEX(Backlog[Stream],MATCH($A98,Backlog[Requirement ID],0))),"")</f>
        <v>MVP Rollout</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NA</v>
      </c>
      <c r="F98" s="1" t="str">
        <f aca="false">IFERROR(IF(ISBLANK(INDEX(SprintPlanning[Sprint],MATCH($A98,SprintPlanning[Requirement ID],0))),"",INDEX(SprintPlanning[Sprint],MATCH($A98,SprintPlanning[Requirement ID],0))),"")</f>
        <v/>
      </c>
      <c r="H98" s="66"/>
      <c r="J98" s="1" t="str">
        <f aca="false">IFERROR(IF(ISBLANK(INDEX(Backlog[Priority],MATCH($A98,Backlog[Requirement ID],0))),"",INDEX(Backlog[Priority],MATCH($A98,Backlog[Requirement ID],0))),"")</f>
        <v>Medium</v>
      </c>
      <c r="L98" s="1" t="str">
        <f aca="false">IFERROR(IF(ISBLANK(INDEX(Backlog[HLE],MATCH($A98,Backlog[Requirement ID],0))),"",IF(INDEX(Backlog[HLE],MATCH($A98,Backlog[Requirement ID],0))&lt;=5,0.5,IF(INDEX(Backlog[HLE],MATCH($A98,Backlog[Requirement ID],0))&lt;=8,1,IF(INDEX(Backlog[HLE],MATCH($A98,Backlog[Requirement ID],0))&lt;=13,2,IF(INDEX(Backlog[HLE],MATCH($A98,Backlog[Requirement ID],0))&lt;=20,3,5))))),"")</f>
        <v/>
      </c>
    </row>
    <row r="99" customFormat="false" ht="15" hidden="true" customHeight="true" outlineLevel="0" collapsed="false">
      <c r="A99" s="1" t="str">
        <f aca="false">Backlog!A99</f>
        <v>NEW-0479</v>
      </c>
      <c r="B99" s="49" t="str">
        <f aca="false">IFERROR(IF(ISBLANK(INDEX(Backlog[Requirement Name],MATCH($A99,Backlog[Requirement ID],0))),"",INDEX(Backlog[Requirement Name],MATCH($A99,Backlog[Requirement ID],0))),"")</f>
        <v>[B2C] ZAF - Management of entertainment fee</v>
      </c>
      <c r="C99" s="1" t="str">
        <f aca="false">IFERROR(IF(ISBLANK(INDEX(Backlog[Stream],MATCH($A99,Backlog[Requirement ID],0))),"",INDEX(Backlog[Stream],MATCH($A99,Backlog[Requirement ID],0))),"")</f>
        <v>MVP Rollout</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
      </c>
      <c r="H99" s="66"/>
      <c r="J99" s="1" t="str">
        <f aca="false">IFERROR(IF(ISBLANK(INDEX(Backlog[Priority],MATCH($A99,Backlog[Requirement ID],0))),"",INDEX(Backlog[Priority],MATCH($A99,Backlog[Requirement ID],0))),"")</f>
        <v>Medium</v>
      </c>
      <c r="L99" s="1" t="str">
        <f aca="false">IFERROR(IF(ISBLANK(INDEX(Backlog[HLE],MATCH($A99,Backlog[Requirement ID],0))),"",IF(INDEX(Backlog[HLE],MATCH($A99,Backlog[Requirement ID],0))&lt;=5,0.5,IF(INDEX(Backlog[HLE],MATCH($A99,Backlog[Requirement ID],0))&lt;=8,1,IF(INDEX(Backlog[HLE],MATCH($A99,Backlog[Requirement ID],0))&lt;=13,2,IF(INDEX(Backlog[HLE],MATCH($A99,Backlog[Requirement ID],0))&lt;=20,3,5))))),"")</f>
        <v/>
      </c>
    </row>
    <row r="100" customFormat="false" ht="15" hidden="true" customHeight="true" outlineLevel="0" collapsed="false">
      <c r="A100" s="1" t="str">
        <f aca="false">Backlog!A100</f>
        <v>NEW-0480</v>
      </c>
      <c r="B100" s="49" t="str">
        <f aca="false">IFERROR(IF(ISBLANK(INDEX(Backlog[Requirement Name],MATCH($A100,Backlog[Requirement ID],0))),"",INDEX(Backlog[Requirement Name],MATCH($A100,Backlog[Requirement ID],0))),"")</f>
        <v>[B2C] ZAF - Age restriction for thematic cruises</v>
      </c>
      <c r="C100" s="1" t="str">
        <f aca="false">IFERROR(IF(ISBLANK(INDEX(Backlog[Stream],MATCH($A100,Backlog[Requirement ID],0))),"",INDEX(Backlog[Stream],MATCH($A100,Backlog[Requirement ID],0))),"")</f>
        <v>MVP Rollout</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
      </c>
      <c r="H100" s="66"/>
      <c r="J100" s="1" t="str">
        <f aca="false">IFERROR(IF(ISBLANK(INDEX(Backlog[Priority],MATCH($A100,Backlog[Requirement ID],0))),"",INDEX(Backlog[Priority],MATCH($A100,Backlog[Requirement ID],0))),"")</f>
        <v>Medium</v>
      </c>
      <c r="L100" s="1" t="str">
        <f aca="false">IFERROR(IF(ISBLANK(INDEX(Backlog[HLE],MATCH($A100,Backlog[Requirement ID],0))),"",IF(INDEX(Backlog[HLE],MATCH($A100,Backlog[Requirement ID],0))&lt;=5,0.5,IF(INDEX(Backlog[HLE],MATCH($A100,Backlog[Requirement ID],0))&lt;=8,1,IF(INDEX(Backlog[HLE],MATCH($A100,Backlog[Requirement ID],0))&lt;=13,2,IF(INDEX(Backlog[HLE],MATCH($A100,Backlog[Requirement ID],0))&lt;=20,3,5))))),"")</f>
        <v/>
      </c>
    </row>
    <row r="101" customFormat="false" ht="15" hidden="true" customHeight="true" outlineLevel="0" collapsed="false">
      <c r="A101" s="1" t="str">
        <f aca="false">Backlog!A101</f>
        <v>NEW-0481</v>
      </c>
      <c r="B101" s="49" t="str">
        <f aca="false">IFERROR(IF(ISBLANK(INDEX(Backlog[Requirement Name],MATCH($A101,Backlog[Requirement ID],0))),"",INDEX(Backlog[Requirement Name],MATCH($A101,Backlog[Requirement ID],0))),"")</f>
        <v>[B2C] ZAF - Min occupancy for adults (4 pax) for specific thematic cruise</v>
      </c>
      <c r="C101" s="1" t="str">
        <f aca="false">IFERROR(IF(ISBLANK(INDEX(Backlog[Stream],MATCH($A101,Backlog[Requirement ID],0))),"",INDEX(Backlog[Stream],MATCH($A101,Backlog[Requirement ID],0))),"")</f>
        <v>MVP Rollout</v>
      </c>
      <c r="D101" s="1" t="str">
        <f aca="false">IFERROR(IF(ISBLANK(INDEX(Backlog[Jira Link],MATCH($A101,Backlog[Requirement ID],0))),"",INDEX(Backlog[Jira Link],MATCH($A101,Backlog[Requirement ID],0))),"")</f>
        <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66"/>
      <c r="J101" s="1" t="str">
        <f aca="false">IFERROR(IF(ISBLANK(INDEX(Backlog[Priority],MATCH($A101,Backlog[Requirement ID],0))),"",INDEX(Backlog[Priority],MATCH($A101,Backlog[Requirement ID],0))),"")</f>
        <v>Medium</v>
      </c>
      <c r="L101" s="1" t="str">
        <f aca="false">IFERROR(IF(ISBLANK(INDEX(Backlog[HLE],MATCH($A101,Backlog[Requirement ID],0))),"",IF(INDEX(Backlog[HLE],MATCH($A101,Backlog[Requirement ID],0))&lt;=5,0.5,IF(INDEX(Backlog[HLE],MATCH($A101,Backlog[Requirement ID],0))&lt;=8,1,IF(INDEX(Backlog[HLE],MATCH($A101,Backlog[Requirement ID],0))&lt;=13,2,IF(INDEX(Backlog[HLE],MATCH($A101,Backlog[Requirement ID],0))&lt;=20,3,5))))),"")</f>
        <v/>
      </c>
    </row>
    <row r="102" customFormat="false" ht="15" hidden="true" customHeight="true" outlineLevel="0" collapsed="false">
      <c r="A102" s="1" t="str">
        <f aca="false">Backlog!A102</f>
        <v>NEW-0482</v>
      </c>
      <c r="B102" s="49" t="str">
        <f aca="false">IFERROR(IF(ISBLANK(INDEX(Backlog[Requirement Name],MATCH($A102,Backlog[Requirement ID],0))),"",INDEX(Backlog[Requirement Name],MATCH($A102,Backlog[Requirement ID],0))),"")</f>
        <v>S&amp;S Map country code of customer address INT014</v>
      </c>
      <c r="C102" s="1" t="str">
        <f aca="false">IFERROR(IF(ISBLANK(INDEX(Backlog[Stream],MATCH($A102,Backlog[Requirement ID],0))),"",INDEX(Backlog[Stream],MATCH($A102,Backlog[Requirement ID],0))),"")</f>
        <v>MyMSC</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66"/>
      <c r="J102" s="1" t="str">
        <f aca="false">IFERROR(IF(ISBLANK(INDEX(Backlog[Priority],MATCH($A102,Backlog[Requirement ID],0))),"",INDEX(Backlog[Priority],MATCH($A102,Backlog[Requirement ID],0))),"")</f>
        <v>Medium</v>
      </c>
      <c r="L102" s="1" t="n">
        <f aca="false">IFERROR(IF(ISBLANK(INDEX(Backlog[HLE],MATCH($A102,Backlog[Requirement ID],0))),"",IF(INDEX(Backlog[HLE],MATCH($A102,Backlog[Requirement ID],0))&lt;=5,0.5,IF(INDEX(Backlog[HLE],MATCH($A102,Backlog[Requirement ID],0))&lt;=8,1,IF(INDEX(Backlog[HLE],MATCH($A102,Backlog[Requirement ID],0))&lt;=13,2,IF(INDEX(Backlog[HLE],MATCH($A102,Backlog[Requirement ID],0))&lt;=20,3,5))))),"")</f>
        <v>0.5</v>
      </c>
    </row>
    <row r="103" customFormat="false" ht="15" hidden="true" customHeight="true" outlineLevel="0" collapsed="false">
      <c r="A103" s="1" t="str">
        <f aca="false">Backlog!A103</f>
        <v>NEW-0483</v>
      </c>
      <c r="B103" s="49" t="str">
        <f aca="false">IFERROR(IF(ISBLANK(INDEX(Backlog[Requirement Name],MATCH($A103,Backlog[Requirement ID],0))),"",INDEX(Backlog[Requirement Name],MATCH($A103,Backlog[Requirement ID],0))),"")</f>
        <v>[EINT] [CR] Customer Error Messaging For special events check-in block</v>
      </c>
      <c r="C103" s="1" t="str">
        <f aca="false">IFERROR(IF(ISBLANK(INDEX(Backlog[Stream],MATCH($A103,Backlog[Requirement ID],0))),"",INDEX(Backlog[Stream],MATCH($A103,Backlog[Requirement ID],0))),"")</f>
        <v>Growth</v>
      </c>
      <c r="D103" s="1" t="str">
        <f aca="false">IFERROR(IF(ISBLANK(INDEX(Backlog[Jira Link],MATCH($A103,Backlog[Requirement ID],0))),"",INDEX(Backlog[Jira Link],MATCH($A103,Backlog[Requirement ID],0))),"")</f>
        <v>https://smartship.atlassian.net/browse/DTTP25-44214</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Sprint 14</v>
      </c>
      <c r="H103" s="66"/>
      <c r="J103" s="1" t="str">
        <f aca="false">IFERROR(IF(ISBLANK(INDEX(Backlog[Priority],MATCH($A103,Backlog[Requirement ID],0))),"",INDEX(Backlog[Priority],MATCH($A103,Backlog[Requirement ID],0))),"")</f>
        <v>Medium</v>
      </c>
      <c r="L103" s="1" t="n">
        <f aca="false">IFERROR(IF(ISBLANK(INDEX(Backlog[HLE],MATCH($A103,Backlog[Requirement ID],0))),"",IF(INDEX(Backlog[HLE],MATCH($A103,Backlog[Requirement ID],0))&lt;=5,0.5,IF(INDEX(Backlog[HLE],MATCH($A103,Backlog[Requirement ID],0))&lt;=8,1,IF(INDEX(Backlog[HLE],MATCH($A103,Backlog[Requirement ID],0))&lt;=13,2,IF(INDEX(Backlog[HLE],MATCH($A103,Backlog[Requirement ID],0))&lt;=20,3,5))))),"")</f>
        <v>1</v>
      </c>
    </row>
    <row r="104" customFormat="false" ht="15" hidden="true" customHeight="true" outlineLevel="0" collapsed="false">
      <c r="A104" s="1" t="str">
        <f aca="false">Backlog!A104</f>
        <v>NEW-0484</v>
      </c>
      <c r="B104" s="49" t="str">
        <f aca="false">IFERROR(IF(ISBLANK(INDEX(Backlog[Requirement Name],MATCH($A104,Backlog[Requirement ID],0))),"",INDEX(Backlog[Requirement Name],MATCH($A104,Backlog[Requirement ID],0))),"")</f>
        <v>MyMSC - ZAF Configurations - Chain 1, Chain 2, Prod </v>
      </c>
      <c r="C104" s="1" t="str">
        <f aca="false">IFERROR(IF(ISBLANK(INDEX(Backlog[Stream],MATCH($A104,Backlog[Requirement ID],0))),"",INDEX(Backlog[Stream],MATCH($A104,Backlog[Requirement ID],0))),"")</f>
        <v>MVP Rollout</v>
      </c>
      <c r="D104" s="1" t="str">
        <f aca="false">IFERROR(IF(ISBLANK(INDEX(Backlog[Jira Link],MATCH($A104,Backlog[Requirement ID],0))),"",INDEX(Backlog[Jira Link],MATCH($A104,Backlog[Requirement ID],0))),"")</f>
        <v>https://smartship.atlassian.net/browse/DTTP25-44234</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Sprint 13</v>
      </c>
      <c r="H104" s="66"/>
      <c r="J104" s="1" t="str">
        <f aca="false">IFERROR(IF(ISBLANK(INDEX(Backlog[Priority],MATCH($A104,Backlog[Requirement ID],0))),"",INDEX(Backlog[Priority],MATCH($A104,Backlog[Requirement ID],0))),"")</f>
        <v>Medium</v>
      </c>
      <c r="L104" s="1" t="n">
        <f aca="false">IFERROR(IF(ISBLANK(INDEX(Backlog[HLE],MATCH($A104,Backlog[Requirement ID],0))),"",IF(INDEX(Backlog[HLE],MATCH($A104,Backlog[Requirement ID],0))&lt;=5,0.5,IF(INDEX(Backlog[HLE],MATCH($A104,Backlog[Requirement ID],0))&lt;=8,1,IF(INDEX(Backlog[HLE],MATCH($A104,Backlog[Requirement ID],0))&lt;=13,2,IF(INDEX(Backlog[HLE],MATCH($A104,Backlog[Requirement ID],0))&lt;=20,3,5))))),"")</f>
        <v>1</v>
      </c>
    </row>
    <row r="105" customFormat="false" ht="15" hidden="true" customHeight="true" outlineLevel="0" collapsed="false">
      <c r="A105" s="1" t="str">
        <f aca="false">Backlog!A105</f>
        <v>NEW-0485</v>
      </c>
      <c r="B105" s="49" t="str">
        <f aca="false">IFERROR(IF(ISBLANK(INDEX(Backlog[Requirement Name],MATCH($A105,Backlog[Requirement ID],0))),"",INDEX(Backlog[Requirement Name],MATCH($A105,Backlog[Requirement ID],0))),"")</f>
        <v>[EINT] [PROD] INT166 Handling of individual markets for LATAM</v>
      </c>
      <c r="C105" s="1" t="str">
        <f aca="false">IFERROR(IF(ISBLANK(INDEX(Backlog[Stream],MATCH($A105,Backlog[Requirement ID],0))),"",INDEX(Backlog[Stream],MATCH($A105,Backlog[Requirement ID],0))),"")</f>
        <v>MVP Rollout</v>
      </c>
      <c r="D105" s="1" t="str">
        <f aca="false">IFERROR(IF(ISBLANK(INDEX(Backlog[Jira Link],MATCH($A105,Backlog[Requirement ID],0))),"",INDEX(Backlog[Jira Link],MATCH($A105,Backlog[Requirement ID],0))),"")</f>
        <v>https://smartship.atlassian.net/browse/DTTP25-44262</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Sprint 13</v>
      </c>
      <c r="H105" s="66"/>
      <c r="J105" s="1" t="str">
        <f aca="false">IFERROR(IF(ISBLANK(INDEX(Backlog[Priority],MATCH($A105,Backlog[Requirement ID],0))),"",INDEX(Backlog[Priority],MATCH($A105,Backlog[Requirement ID],0))),"")</f>
        <v>Medium</v>
      </c>
      <c r="L105" s="1" t="n">
        <f aca="false">IFERROR(IF(ISBLANK(INDEX(Backlog[HLE],MATCH($A105,Backlog[Requirement ID],0))),"",IF(INDEX(Backlog[HLE],MATCH($A105,Backlog[Requirement ID],0))&lt;=5,0.5,IF(INDEX(Backlog[HLE],MATCH($A105,Backlog[Requirement ID],0))&lt;=8,1,IF(INDEX(Backlog[HLE],MATCH($A105,Backlog[Requirement ID],0))&lt;=13,2,IF(INDEX(Backlog[HLE],MATCH($A105,Backlog[Requirement ID],0))&lt;=20,3,5))))),"")</f>
        <v>0.5</v>
      </c>
    </row>
    <row r="106" customFormat="false" ht="15" hidden="true" customHeight="true" outlineLevel="0" collapsed="false">
      <c r="A106" s="1" t="str">
        <f aca="false">Backlog!A106</f>
        <v>NEW-0486</v>
      </c>
      <c r="B106" s="49" t="str">
        <f aca="false">IFERROR(IF(ISBLANK(INDEX(Backlog[Requirement Name],MATCH($A106,Backlog[Requirement ID],0))),"",INDEX(Backlog[Requirement Name],MATCH($A106,Backlog[Requirement ID],0))),"")</f>
        <v>Production Release Preparation (PI11, ALL INC, ZAF)</v>
      </c>
      <c r="C106" s="1" t="str">
        <f aca="false">IFERROR(IF(ISBLANK(INDEX(Backlog[Stream],MATCH($A106,Backlog[Requirement ID],0))),"",INDEX(Backlog[Stream],MATCH($A106,Backlog[Requirement ID],0))),"")</f>
        <v>Cross</v>
      </c>
      <c r="D106" s="1" t="str">
        <f aca="false">IFERROR(IF(ISBLANK(INDEX(Backlog[Jira Link],MATCH($A106,Backlog[Requirement ID],0))),"",INDEX(Backlog[Jira Link],MATCH($A106,Backlog[Requirement ID],0))),"")</f>
        <v>https://smartship.atlassian.net/browse/DTTP25-44262</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Sprint 13</v>
      </c>
      <c r="H106" s="66"/>
      <c r="J106" s="1" t="str">
        <f aca="false">IFERROR(IF(ISBLANK(INDEX(Backlog[Priority],MATCH($A106,Backlog[Requirement ID],0))),"",INDEX(Backlog[Priority],MATCH($A106,Backlog[Requirement ID],0))),"")</f>
        <v>Medium</v>
      </c>
      <c r="L106" s="1" t="n">
        <f aca="false">IFERROR(IF(ISBLANK(INDEX(Backlog[HLE],MATCH($A106,Backlog[Requirement ID],0))),"",IF(INDEX(Backlog[HLE],MATCH($A106,Backlog[Requirement ID],0))&lt;=5,0.5,IF(INDEX(Backlog[HLE],MATCH($A106,Backlog[Requirement ID],0))&lt;=8,1,IF(INDEX(Backlog[HLE],MATCH($A106,Backlog[Requirement ID],0))&lt;=13,2,IF(INDEX(Backlog[HLE],MATCH($A106,Backlog[Requirement ID],0))&lt;=20,3,5))))),"")</f>
        <v>1</v>
      </c>
    </row>
    <row r="107" customFormat="false" ht="15" hidden="true" customHeight="true" outlineLevel="0" collapsed="false">
      <c r="A107" s="1" t="str">
        <f aca="false">Backlog!A107</f>
        <v>NEW-0487</v>
      </c>
      <c r="B107" s="49" t="str">
        <f aca="false">IFERROR(IF(ISBLANK(INDEX(Backlog[Requirement Name],MATCH($A107,Backlog[Requirement ID],0))),"",INDEX(Backlog[Requirement Name],MATCH($A107,Backlog[Requirement ID],0))),"")</f>
        <v>[B2CW] ThankYou page revamp (BKD &amp; OPT)</v>
      </c>
      <c r="C107" s="1" t="str">
        <f aca="false">IFERROR(IF(ISBLANK(INDEX(Backlog[Stream],MATCH($A107,Backlog[Requirement ID],0))),"",INDEX(Backlog[Stream],MATCH($A107,Backlog[Requirement ID],0))),"")</f>
        <v>Growth</v>
      </c>
      <c r="D107" s="1" t="str">
        <f aca="false">IFERROR(IF(ISBLANK(INDEX(Backlog[Jira Link],MATCH($A107,Backlog[Requirement ID],0))),"",INDEX(Backlog[Jira Link],MATCH($A107,Backlog[Requirement ID],0))),"")</f>
        <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
      </c>
      <c r="H107" s="66"/>
      <c r="J107" s="1" t="str">
        <f aca="false">IFERROR(IF(ISBLANK(INDEX(Backlog[Priority],MATCH($A107,Backlog[Requirement ID],0))),"",INDEX(Backlog[Priority],MATCH($A107,Backlog[Requirement ID],0))),"")</f>
        <v>Medium</v>
      </c>
      <c r="L107" s="1" t="str">
        <f aca="false">IFERROR(IF(ISBLANK(INDEX(Backlog[HLE],MATCH($A107,Backlog[Requirement ID],0))),"",IF(INDEX(Backlog[HLE],MATCH($A107,Backlog[Requirement ID],0))&lt;=5,0.5,IF(INDEX(Backlog[HLE],MATCH($A107,Backlog[Requirement ID],0))&lt;=8,1,IF(INDEX(Backlog[HLE],MATCH($A107,Backlog[Requirement ID],0))&lt;=13,2,IF(INDEX(Backlog[HLE],MATCH($A107,Backlog[Requirement ID],0))&lt;=20,3,5))))),"")</f>
        <v/>
      </c>
    </row>
    <row r="108" customFormat="false" ht="15" hidden="true" customHeight="true" outlineLevel="0" collapsed="false">
      <c r="A108" s="1" t="str">
        <f aca="false">Backlog!A108</f>
        <v>NEW-0488</v>
      </c>
      <c r="B108" s="49" t="str">
        <f aca="false">IFERROR(IF(ISBLANK(INDEX(Backlog[Requirement Name],MATCH($A108,Backlog[Requirement ID],0))),"",INDEX(Backlog[Requirement Name],MATCH($A108,Backlog[Requirement ID],0))),"")</f>
        <v>Wrong countryCode passed in the membership on the MSC Voyager Club page</v>
      </c>
      <c r="C108" s="1" t="str">
        <f aca="false">IFERROR(IF(ISBLANK(INDEX(Backlog[Stream],MATCH($A108,Backlog[Requirement ID],0))),"",INDEX(Backlog[Stream],MATCH($A108,Backlog[Requirement ID],0))),"")</f>
        <v>MyMSC</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
      </c>
      <c r="H108" s="66"/>
      <c r="J108" s="1" t="str">
        <f aca="false">IFERROR(IF(ISBLANK(INDEX(Backlog[Priority],MATCH($A108,Backlog[Requirement ID],0))),"",INDEX(Backlog[Priority],MATCH($A108,Backlog[Requirement ID],0))),"")</f>
        <v>High</v>
      </c>
      <c r="L108" s="1" t="str">
        <f aca="false">IFERROR(IF(ISBLANK(INDEX(Backlog[HLE],MATCH($A108,Backlog[Requirement ID],0))),"",IF(INDEX(Backlog[HLE],MATCH($A108,Backlog[Requirement ID],0))&lt;=5,0.5,IF(INDEX(Backlog[HLE],MATCH($A108,Backlog[Requirement ID],0))&lt;=8,1,IF(INDEX(Backlog[HLE],MATCH($A108,Backlog[Requirement ID],0))&lt;=13,2,IF(INDEX(Backlog[HLE],MATCH($A108,Backlog[Requirement ID],0))&lt;=20,3,5))))),"")</f>
        <v/>
      </c>
    </row>
    <row r="109" customFormat="false" ht="15" hidden="true" customHeight="true" outlineLevel="0" collapsed="false">
      <c r="A109" s="1" t="str">
        <f aca="false">Backlog!A109</f>
        <v>NEW-0489</v>
      </c>
      <c r="B109" s="49" t="str">
        <f aca="false">IFERROR(IF(ISBLANK(INDEX(Backlog[Requirement Name],MATCH($A109,Backlog[Requirement ID],0))),"",INDEX(Backlog[Requirement Name],MATCH($A109,Backlog[Requirement ID],0))),"")</f>
        <v>[INT011] Map and transform LanguageCode in DTS Cabin Availability Request</v>
      </c>
      <c r="C109" s="1" t="str">
        <f aca="false">IFERROR(IF(ISBLANK(INDEX(Backlog[Stream],MATCH($A109,Backlog[Requirement ID],0))),"",INDEX(Backlog[Stream],MATCH($A109,Backlog[Requirement ID],0))),"")</f>
        <v>PI11</v>
      </c>
      <c r="D109" s="1" t="str">
        <f aca="false">IFERROR(IF(ISBLANK(INDEX(Backlog[Jira Link],MATCH($A109,Backlog[Requirement ID],0))),"",INDEX(Backlog[Jira Link],MATCH($A109,Backlog[Requirement ID],0))),"")</f>
        <v>https://smartship.atlassian.net/browse/DTTP25-44464</v>
      </c>
      <c r="E109" s="1" t="str">
        <f aca="false">IFERROR(IF(ISBLANK(INDEX(Backlog[Status],MATCH($A109,Backlog[Requirement ID],0))),"",INDEX(Backlog[Status],MATCH($A109,Backlog[Requirement ID],0))),"")</f>
        <v>NEW</v>
      </c>
      <c r="F109" s="1" t="str">
        <f aca="false">IFERROR(IF(ISBLANK(INDEX(SprintPlanning[Sprint],MATCH($A109,SprintPlanning[Requirement ID],0))),"",INDEX(SprintPlanning[Sprint],MATCH($A109,SprintPlanning[Requirement ID],0))),"")</f>
        <v>Sprint 13</v>
      </c>
      <c r="H109" s="66"/>
      <c r="J109" s="1" t="str">
        <f aca="false">IFERROR(IF(ISBLANK(INDEX(Backlog[Priority],MATCH($A109,Backlog[Requirement ID],0))),"",INDEX(Backlog[Priority],MATCH($A109,Backlog[Requirement ID],0))),"")</f>
        <v>High</v>
      </c>
      <c r="L109" s="1" t="n">
        <f aca="false">IFERROR(IF(ISBLANK(INDEX(Backlog[HLE],MATCH($A109,Backlog[Requirement ID],0))),"",IF(INDEX(Backlog[HLE],MATCH($A109,Backlog[Requirement ID],0))&lt;=5,0.5,IF(INDEX(Backlog[HLE],MATCH($A109,Backlog[Requirement ID],0))&lt;=8,1,IF(INDEX(Backlog[HLE],MATCH($A109,Backlog[Requirement ID],0))&lt;=13,2,IF(INDEX(Backlog[HLE],MATCH($A109,Backlog[Requirement ID],0))&lt;=20,3,5))))),"")</f>
        <v>0.5</v>
      </c>
    </row>
    <row r="110" customFormat="false" ht="15" hidden="true" customHeight="true" outlineLevel="0" collapsed="false">
      <c r="A110" s="1" t="str">
        <f aca="false">Backlog!A110</f>
        <v>NEW-0490</v>
      </c>
      <c r="B110" s="49" t="str">
        <f aca="false">IFERROR(IF(ISBLANK(INDEX(Backlog[Requirement Name],MATCH($A110,Backlog[Requirement ID],0))),"",INDEX(Backlog[Requirement Name],MATCH($A110,Backlog[Requirement ID],0))),"")</f>
        <v>Logging Module Optimisation</v>
      </c>
      <c r="C110" s="1" t="str">
        <f aca="false">IFERROR(IF(ISBLANK(INDEX(Backlog[Stream],MATCH($A110,Backlog[Requirement ID],0))),"",INDEX(Backlog[Stream],MATCH($A110,Backlog[Requirement ID],0))),"")</f>
        <v>Cross</v>
      </c>
      <c r="D110" s="1" t="str">
        <f aca="false">IFERROR(IF(ISBLANK(INDEX(Backlog[Jira Link],MATCH($A110,Backlog[Requirement ID],0))),"",INDEX(Backlog[Jira Link],MATCH($A110,Backlog[Requirement ID],0))),"")</f>
        <v>https://smartship.atlassian.net/browse/DTTP25-44467</v>
      </c>
      <c r="E110" s="1" t="str">
        <f aca="false">IFERROR(IF(ISBLANK(INDEX(Backlog[Status],MATCH($A110,Backlog[Requirement ID],0))),"",INDEX(Backlog[Status],MATCH($A110,Backlog[Requirement ID],0))),"")</f>
        <v>NEW</v>
      </c>
      <c r="F110" s="1" t="str">
        <f aca="false">IFERROR(IF(ISBLANK(INDEX(SprintPlanning[Sprint],MATCH($A110,SprintPlanning[Requirement ID],0))),"",INDEX(SprintPlanning[Sprint],MATCH($A110,SprintPlanning[Requirement ID],0))),"")</f>
        <v>Sprint 14</v>
      </c>
      <c r="H110" s="66"/>
      <c r="J110" s="1" t="str">
        <f aca="false">IFERROR(IF(ISBLANK(INDEX(Backlog[Priority],MATCH($A110,Backlog[Requirement ID],0))),"",INDEX(Backlog[Priority],MATCH($A110,Backlog[Requirement ID],0))),"")</f>
        <v>Medium</v>
      </c>
      <c r="L110" s="1" t="n">
        <f aca="false">IFERROR(IF(ISBLANK(INDEX(Backlog[HLE],MATCH($A110,Backlog[Requirement ID],0))),"",IF(INDEX(Backlog[HLE],MATCH($A110,Backlog[Requirement ID],0))&lt;=5,0.5,IF(INDEX(Backlog[HLE],MATCH($A110,Backlog[Requirement ID],0))&lt;=8,1,IF(INDEX(Backlog[HLE],MATCH($A110,Backlog[Requirement ID],0))&lt;=13,2,IF(INDEX(Backlog[HLE],MATCH($A110,Backlog[Requirement ID],0))&lt;=20,3,5))))),"")</f>
        <v>0.5</v>
      </c>
    </row>
    <row r="111" customFormat="false" ht="15" hidden="true" customHeight="true" outlineLevel="0" collapsed="false">
      <c r="A111" s="1" t="str">
        <f aca="false">Backlog!A111</f>
        <v>NEW-0491</v>
      </c>
      <c r="B111" s="49" t="str">
        <f aca="false">IFERROR(IF(ISBLANK(INDEX(Backlog[Requirement Name],MATCH($A111,Backlog[Requirement ID],0))),"",INDEX(Backlog[Requirement Name],MATCH($A111,Backlog[Requirement ID],0))),"")</f>
        <v>Sprint 13 - US GO Live Hypercare Support </v>
      </c>
      <c r="C111" s="1" t="str">
        <f aca="false">IFERROR(IF(ISBLANK(INDEX(Backlog[Stream],MATCH($A111,Backlog[Requirement ID],0))),"",INDEX(Backlog[Stream],MATCH($A111,Backlog[Requirement ID],0))),"")</f>
        <v>Cross</v>
      </c>
      <c r="D111" s="1" t="str">
        <f aca="false">IFERROR(IF(ISBLANK(INDEX(Backlog[Jira Link],MATCH($A111,Backlog[Requirement ID],0))),"",INDEX(Backlog[Jira Link],MATCH($A111,Backlog[Requirement ID],0))),"")</f>
        <v>https://smartship.atlassian.net/browse/DTTP25-44463</v>
      </c>
      <c r="E111" s="1" t="str">
        <f aca="false">IFERROR(IF(ISBLANK(INDEX(Backlog[Status],MATCH($A111,Backlog[Requirement ID],0))),"",INDEX(Backlog[Status],MATCH($A111,Backlog[Requirement ID],0))),"")</f>
        <v>NEW</v>
      </c>
      <c r="F111" s="1" t="str">
        <f aca="false">IFERROR(IF(ISBLANK(INDEX(SprintPlanning[Sprint],MATCH($A111,SprintPlanning[Requirement ID],0))),"",INDEX(SprintPlanning[Sprint],MATCH($A111,SprintPlanning[Requirement ID],0))),"")</f>
        <v>Sprint 13</v>
      </c>
      <c r="H111" s="66"/>
      <c r="J111" s="1" t="str">
        <f aca="false">IFERROR(IF(ISBLANK(INDEX(Backlog[Priority],MATCH($A111,Backlog[Requirement ID],0))),"",INDEX(Backlog[Priority],MATCH($A111,Backlog[Requirement ID],0))),"")</f>
        <v>High</v>
      </c>
      <c r="L111" s="1" t="n">
        <f aca="false">IFERROR(IF(ISBLANK(INDEX(Backlog[HLE],MATCH($A111,Backlog[Requirement ID],0))),"",IF(INDEX(Backlog[HLE],MATCH($A111,Backlog[Requirement ID],0))&lt;=5,0.5,IF(INDEX(Backlog[HLE],MATCH($A111,Backlog[Requirement ID],0))&lt;=8,1,IF(INDEX(Backlog[HLE],MATCH($A111,Backlog[Requirement ID],0))&lt;=13,2,IF(INDEX(Backlog[HLE],MATCH($A111,Backlog[Requirement ID],0))&lt;=20,3,5))))),"")</f>
        <v>5</v>
      </c>
    </row>
    <row r="112" customFormat="false" ht="15" hidden="true" customHeight="true" outlineLevel="0" collapsed="false">
      <c r="A112" s="1" t="str">
        <f aca="false">Backlog!A112</f>
        <v>NEW-0492</v>
      </c>
      <c r="B112" s="49" t="str">
        <f aca="false">IFERROR(IF(ISBLANK(INDEX(Backlog[Requirement Name],MATCH($A112,Backlog[Requirement ID],0))),"",INDEX(Backlog[Requirement Name],MATCH($A112,Backlog[Requirement ID],0))),"")</f>
        <v>INT710 Add timezone field to Salesforce Case Object</v>
      </c>
      <c r="C112" s="1" t="str">
        <f aca="false">IFERROR(IF(ISBLANK(INDEX(Backlog[Stream],MATCH($A112,Backlog[Requirement ID],0))),"",INDEX(Backlog[Stream],MATCH($A112,Backlog[Requirement ID],0))),"")</f>
        <v>US</v>
      </c>
      <c r="D112" s="1" t="str">
        <f aca="false">IFERROR(IF(ISBLANK(INDEX(Backlog[Jira Link],MATCH($A112,Backlog[Requirement ID],0))),"",INDEX(Backlog[Jira Link],MATCH($A112,Backlog[Requirement ID],0))),"")</f>
        <v>https://smartship.atlassian.net/browse/MDTTPU-18150</v>
      </c>
      <c r="E112" s="1" t="str">
        <f aca="false">IFERROR(IF(ISBLANK(INDEX(Backlog[Status],MATCH($A112,Backlog[Requirement ID],0))),"",INDEX(Backlog[Status],MATCH($A112,Backlog[Requirement ID],0))),"")</f>
        <v>NEW</v>
      </c>
      <c r="F112" s="1" t="str">
        <f aca="false">IFERROR(IF(ISBLANK(INDEX(SprintPlanning[Sprint],MATCH($A112,SprintPlanning[Requirement ID],0))),"",INDEX(SprintPlanning[Sprint],MATCH($A112,SprintPlanning[Requirement ID],0))),"")</f>
        <v>Sprint 13</v>
      </c>
      <c r="H112" s="66"/>
      <c r="J112" s="1" t="str">
        <f aca="false">IFERROR(IF(ISBLANK(INDEX(Backlog[Priority],MATCH($A112,Backlog[Requirement ID],0))),"",INDEX(Backlog[Priority],MATCH($A112,Backlog[Requirement ID],0))),"")</f>
        <v>High</v>
      </c>
      <c r="L112" s="1" t="n">
        <f aca="false">IFERROR(IF(ISBLANK(INDEX(Backlog[HLE],MATCH($A112,Backlog[Requirement ID],0))),"",IF(INDEX(Backlog[HLE],MATCH($A112,Backlog[Requirement ID],0))&lt;=5,0.5,IF(INDEX(Backlog[HLE],MATCH($A112,Backlog[Requirement ID],0))&lt;=8,1,IF(INDEX(Backlog[HLE],MATCH($A112,Backlog[Requirement ID],0))&lt;=13,2,IF(INDEX(Backlog[HLE],MATCH($A112,Backlog[Requirement ID],0))&lt;=20,3,5))))),"")</f>
        <v>0.5</v>
      </c>
    </row>
    <row r="113" customFormat="false" ht="15" hidden="true" customHeight="true" outlineLevel="0" collapsed="false">
      <c r="A113" s="1" t="str">
        <f aca="false">Backlog!A113</f>
        <v/>
      </c>
      <c r="B113" s="49"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66"/>
      <c r="J113" s="1" t="str">
        <f aca="false">IFERROR(IF(ISBLANK(INDEX(Backlog[Priority],MATCH($A113,Backlog[Requirement ID],0))),"",INDEX(Backlog[Priority],MATCH($A113,Backlog[Requirement ID],0))),"")</f>
        <v/>
      </c>
      <c r="L113" s="1" t="str">
        <f aca="false">IFERROR(IF(ISBLANK(INDEX(Backlog[HLE],MATCH($A113,Backlog[Requirement ID],0))),"",IF(INDEX(Backlog[HLE],MATCH($A113,Backlog[Requirement ID],0))&lt;=5,0.5,IF(INDEX(Backlog[HLE],MATCH($A113,Backlog[Requirement ID],0))&lt;=8,1,IF(INDEX(Backlog[HLE],MATCH($A113,Backlog[Requirement ID],0))&lt;=13,2,IF(INDEX(Backlog[HLE],MATCH($A113,Backlog[Requirement ID],0))&lt;=20,3,5))))),"")</f>
        <v/>
      </c>
    </row>
    <row r="114" customFormat="false" ht="15" hidden="true" customHeight="true" outlineLevel="0" collapsed="false">
      <c r="A114" s="1" t="str">
        <f aca="false">Backlog!A114</f>
        <v/>
      </c>
      <c r="B114" s="49"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66"/>
      <c r="J114" s="1" t="str">
        <f aca="false">IFERROR(IF(ISBLANK(INDEX(Backlog[Priority],MATCH($A114,Backlog[Requirement ID],0))),"",INDEX(Backlog[Priority],MATCH($A114,Backlog[Requirement ID],0))),"")</f>
        <v/>
      </c>
      <c r="L114" s="1" t="str">
        <f aca="false">IFERROR(IF(ISBLANK(INDEX(Backlog[HLE],MATCH($A114,Backlog[Requirement ID],0))),"",IF(INDEX(Backlog[HLE],MATCH($A114,Backlog[Requirement ID],0))&lt;=5,0.5,IF(INDEX(Backlog[HLE],MATCH($A114,Backlog[Requirement ID],0))&lt;=8,1,IF(INDEX(Backlog[HLE],MATCH($A114,Backlog[Requirement ID],0))&lt;=13,2,IF(INDEX(Backlog[HLE],MATCH($A114,Backlog[Requirement ID],0))&lt;=20,3,5))))),"")</f>
        <v/>
      </c>
    </row>
    <row r="115" customFormat="false" ht="15" hidden="true" customHeight="true" outlineLevel="0" collapsed="false">
      <c r="A115" s="1" t="str">
        <f aca="false">Backlog!A115</f>
        <v/>
      </c>
      <c r="B115" s="49"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66"/>
      <c r="J115" s="1" t="str">
        <f aca="false">IFERROR(IF(ISBLANK(INDEX(Backlog[Priority],MATCH($A115,Backlog[Requirement ID],0))),"",INDEX(Backlog[Priority],MATCH($A115,Backlog[Requirement ID],0))),"")</f>
        <v/>
      </c>
      <c r="L115" s="1" t="str">
        <f aca="false">IFERROR(IF(ISBLANK(INDEX(Backlog[HLE],MATCH($A115,Backlog[Requirement ID],0))),"",IF(INDEX(Backlog[HLE],MATCH($A115,Backlog[Requirement ID],0))&lt;=5,0.5,IF(INDEX(Backlog[HLE],MATCH($A115,Backlog[Requirement ID],0))&lt;=8,1,IF(INDEX(Backlog[HLE],MATCH($A115,Backlog[Requirement ID],0))&lt;=13,2,IF(INDEX(Backlog[HLE],MATCH($A115,Backlog[Requirement ID],0))&lt;=20,3,5))))),"")</f>
        <v/>
      </c>
    </row>
    <row r="116" customFormat="false" ht="15" hidden="true" customHeight="true" outlineLevel="0" collapsed="false">
      <c r="A116" s="1" t="str">
        <f aca="false">Backlog!A116</f>
        <v/>
      </c>
      <c r="B116" s="49"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66"/>
      <c r="J116" s="1" t="str">
        <f aca="false">IFERROR(IF(ISBLANK(INDEX(Backlog[Priority],MATCH($A116,Backlog[Requirement ID],0))),"",INDEX(Backlog[Priority],MATCH($A116,Backlog[Requirement ID],0))),"")</f>
        <v/>
      </c>
      <c r="L116" s="1" t="str">
        <f aca="false">IFERROR(IF(ISBLANK(INDEX(Backlog[HLE],MATCH($A116,Backlog[Requirement ID],0))),"",IF(INDEX(Backlog[HLE],MATCH($A116,Backlog[Requirement ID],0))&lt;=5,0.5,IF(INDEX(Backlog[HLE],MATCH($A116,Backlog[Requirement ID],0))&lt;=8,1,IF(INDEX(Backlog[HLE],MATCH($A116,Backlog[Requirement ID],0))&lt;=13,2,IF(INDEX(Backlog[HLE],MATCH($A116,Backlog[Requirement ID],0))&lt;=20,3,5))))),"")</f>
        <v/>
      </c>
    </row>
    <row r="117" customFormat="false" ht="15" hidden="true" customHeight="true" outlineLevel="0" collapsed="false">
      <c r="A117" s="1" t="str">
        <f aca="false">Backlog!A117</f>
        <v/>
      </c>
      <c r="B117" s="49"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66"/>
      <c r="J117" s="1" t="str">
        <f aca="false">IFERROR(IF(ISBLANK(INDEX(Backlog[Priority],MATCH($A117,Backlog[Requirement ID],0))),"",INDEX(Backlog[Priority],MATCH($A117,Backlog[Requirement ID],0))),"")</f>
        <v/>
      </c>
      <c r="L117" s="1" t="str">
        <f aca="false">IFERROR(IF(ISBLANK(INDEX(Backlog[HLE],MATCH($A117,Backlog[Requirement ID],0))),"",IF(INDEX(Backlog[HLE],MATCH($A117,Backlog[Requirement ID],0))&lt;=5,0.5,IF(INDEX(Backlog[HLE],MATCH($A117,Backlog[Requirement ID],0))&lt;=8,1,IF(INDEX(Backlog[HLE],MATCH($A117,Backlog[Requirement ID],0))&lt;=13,2,IF(INDEX(Backlog[HLE],MATCH($A117,Backlog[Requirement ID],0))&lt;=20,3,5))))),"")</f>
        <v/>
      </c>
    </row>
    <row r="118" customFormat="false" ht="15" hidden="true" customHeight="true" outlineLevel="0" collapsed="false">
      <c r="A118" s="1" t="str">
        <f aca="false">Backlog!A118</f>
        <v/>
      </c>
      <c r="B118" s="49"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66"/>
      <c r="J118" s="1" t="str">
        <f aca="false">IFERROR(IF(ISBLANK(INDEX(Backlog[Priority],MATCH($A118,Backlog[Requirement ID],0))),"",INDEX(Backlog[Priority],MATCH($A118,Backlog[Requirement ID],0))),"")</f>
        <v/>
      </c>
      <c r="L118" s="1" t="str">
        <f aca="false">IFERROR(IF(ISBLANK(INDEX(Backlog[HLE],MATCH($A118,Backlog[Requirement ID],0))),"",IF(INDEX(Backlog[HLE],MATCH($A118,Backlog[Requirement ID],0))&lt;=5,0.5,IF(INDEX(Backlog[HLE],MATCH($A118,Backlog[Requirement ID],0))&lt;=8,1,IF(INDEX(Backlog[HLE],MATCH($A118,Backlog[Requirement ID],0))&lt;=13,2,IF(INDEX(Backlog[HLE],MATCH($A118,Backlog[Requirement ID],0))&lt;=20,3,5))))),"")</f>
        <v/>
      </c>
    </row>
    <row r="119" customFormat="false" ht="15" hidden="true" customHeight="true" outlineLevel="0" collapsed="false">
      <c r="A119" s="1" t="str">
        <f aca="false">Backlog!A119</f>
        <v/>
      </c>
      <c r="B119" s="49"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66"/>
      <c r="J119" s="1" t="str">
        <f aca="false">IFERROR(IF(ISBLANK(INDEX(Backlog[Priority],MATCH($A119,Backlog[Requirement ID],0))),"",INDEX(Backlog[Priority],MATCH($A119,Backlog[Requirement ID],0))),"")</f>
        <v/>
      </c>
      <c r="L119" s="1" t="str">
        <f aca="false">IFERROR(IF(ISBLANK(INDEX(Backlog[HLE],MATCH($A119,Backlog[Requirement ID],0))),"",IF(INDEX(Backlog[HLE],MATCH($A119,Backlog[Requirement ID],0))&lt;=5,0.5,IF(INDEX(Backlog[HLE],MATCH($A119,Backlog[Requirement ID],0))&lt;=8,1,IF(INDEX(Backlog[HLE],MATCH($A119,Backlog[Requirement ID],0))&lt;=13,2,IF(INDEX(Backlog[HLE],MATCH($A119,Backlog[Requirement ID],0))&lt;=20,3,5))))),"")</f>
        <v/>
      </c>
    </row>
    <row r="120" customFormat="false" ht="15" hidden="true" customHeight="true" outlineLevel="0" collapsed="false">
      <c r="A120" s="1" t="str">
        <f aca="false">Backlog!A120</f>
        <v/>
      </c>
      <c r="B120" s="49"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66"/>
      <c r="J120" s="1" t="str">
        <f aca="false">IFERROR(IF(ISBLANK(INDEX(Backlog[Priority],MATCH($A120,Backlog[Requirement ID],0))),"",INDEX(Backlog[Priority],MATCH($A120,Backlog[Requirement ID],0))),"")</f>
        <v/>
      </c>
      <c r="L120" s="1" t="str">
        <f aca="false">IFERROR(IF(ISBLANK(INDEX(Backlog[HLE],MATCH($A120,Backlog[Requirement ID],0))),"",IF(INDEX(Backlog[HLE],MATCH($A120,Backlog[Requirement ID],0))&lt;=5,0.5,IF(INDEX(Backlog[HLE],MATCH($A120,Backlog[Requirement ID],0))&lt;=8,1,IF(INDEX(Backlog[HLE],MATCH($A120,Backlog[Requirement ID],0))&lt;=13,2,IF(INDEX(Backlog[HLE],MATCH($A120,Backlog[Requirement ID],0))&lt;=20,3,5))))),"")</f>
        <v/>
      </c>
    </row>
    <row r="121" customFormat="false" ht="15" hidden="true" customHeight="true" outlineLevel="0" collapsed="false">
      <c r="A121" s="1" t="str">
        <f aca="false">Backlog!A121</f>
        <v/>
      </c>
      <c r="B121" s="49"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66"/>
      <c r="J121" s="1" t="str">
        <f aca="false">IFERROR(IF(ISBLANK(INDEX(Backlog[Priority],MATCH($A121,Backlog[Requirement ID],0))),"",INDEX(Backlog[Priority],MATCH($A121,Backlog[Requirement ID],0))),"")</f>
        <v/>
      </c>
      <c r="L121" s="1" t="str">
        <f aca="false">IFERROR(IF(ISBLANK(INDEX(Backlog[HLE],MATCH($A121,Backlog[Requirement ID],0))),"",IF(INDEX(Backlog[HLE],MATCH($A121,Backlog[Requirement ID],0))&lt;=5,0.5,IF(INDEX(Backlog[HLE],MATCH($A121,Backlog[Requirement ID],0))&lt;=8,1,IF(INDEX(Backlog[HLE],MATCH($A121,Backlog[Requirement ID],0))&lt;=13,2,IF(INDEX(Backlog[HLE],MATCH($A121,Backlog[Requirement ID],0))&lt;=20,3,5))))),"")</f>
        <v/>
      </c>
    </row>
    <row r="122" customFormat="false" ht="15" hidden="true" customHeight="true" outlineLevel="0" collapsed="false">
      <c r="A122" s="1" t="str">
        <f aca="false">Backlog!A122</f>
        <v/>
      </c>
      <c r="B122" s="49"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66"/>
      <c r="J122" s="1" t="str">
        <f aca="false">IFERROR(IF(ISBLANK(INDEX(Backlog[Priority],MATCH($A122,Backlog[Requirement ID],0))),"",INDEX(Backlog[Priority],MATCH($A122,Backlog[Requirement ID],0))),"")</f>
        <v/>
      </c>
      <c r="L122" s="1" t="str">
        <f aca="false">IFERROR(IF(ISBLANK(INDEX(Backlog[HLE],MATCH($A122,Backlog[Requirement ID],0))),"",IF(INDEX(Backlog[HLE],MATCH($A122,Backlog[Requirement ID],0))&lt;=5,0.5,IF(INDEX(Backlog[HLE],MATCH($A122,Backlog[Requirement ID],0))&lt;=8,1,IF(INDEX(Backlog[HLE],MATCH($A122,Backlog[Requirement ID],0))&lt;=13,2,IF(INDEX(Backlog[HLE],MATCH($A122,Backlog[Requirement ID],0))&lt;=20,3,5))))),"")</f>
        <v/>
      </c>
    </row>
    <row r="123" customFormat="false" ht="15" hidden="true" customHeight="true" outlineLevel="0" collapsed="false">
      <c r="A123" s="1" t="str">
        <f aca="false">Backlog!A123</f>
        <v/>
      </c>
      <c r="B123" s="49"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66"/>
      <c r="J123" s="1" t="str">
        <f aca="false">IFERROR(IF(ISBLANK(INDEX(Backlog[Priority],MATCH($A123,Backlog[Requirement ID],0))),"",INDEX(Backlog[Priority],MATCH($A123,Backlog[Requirement ID],0))),"")</f>
        <v/>
      </c>
      <c r="L123" s="1" t="str">
        <f aca="false">IFERROR(IF(ISBLANK(INDEX(Backlog[HLE],MATCH($A123,Backlog[Requirement ID],0))),"",IF(INDEX(Backlog[HLE],MATCH($A123,Backlog[Requirement ID],0))&lt;=5,0.5,IF(INDEX(Backlog[HLE],MATCH($A123,Backlog[Requirement ID],0))&lt;=8,1,IF(INDEX(Backlog[HLE],MATCH($A123,Backlog[Requirement ID],0))&lt;=13,2,IF(INDEX(Backlog[HLE],MATCH($A123,Backlog[Requirement ID],0))&lt;=20,3,5))))),"")</f>
        <v/>
      </c>
    </row>
    <row r="124" customFormat="false" ht="15" hidden="true" customHeight="true" outlineLevel="0" collapsed="false">
      <c r="A124" s="1" t="str">
        <f aca="false">Backlog!A124</f>
        <v/>
      </c>
      <c r="B124" s="49"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66"/>
      <c r="J124" s="1" t="str">
        <f aca="false">IFERROR(IF(ISBLANK(INDEX(Backlog[Priority],MATCH($A124,Backlog[Requirement ID],0))),"",INDEX(Backlog[Priority],MATCH($A124,Backlog[Requirement ID],0))),"")</f>
        <v/>
      </c>
      <c r="L124" s="1" t="str">
        <f aca="false">IFERROR(IF(ISBLANK(INDEX(Backlog[HLE],MATCH($A124,Backlog[Requirement ID],0))),"",IF(INDEX(Backlog[HLE],MATCH($A124,Backlog[Requirement ID],0))&lt;=5,0.5,IF(INDEX(Backlog[HLE],MATCH($A124,Backlog[Requirement ID],0))&lt;=8,1,IF(INDEX(Backlog[HLE],MATCH($A124,Backlog[Requirement ID],0))&lt;=13,2,IF(INDEX(Backlog[HLE],MATCH($A124,Backlog[Requirement ID],0))&lt;=20,3,5))))),"")</f>
        <v/>
      </c>
    </row>
    <row r="125" customFormat="false" ht="15" hidden="true" customHeight="true" outlineLevel="0" collapsed="false">
      <c r="A125" s="1" t="str">
        <f aca="false">Backlog!A125</f>
        <v/>
      </c>
      <c r="B125" s="49"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66"/>
      <c r="J125" s="1" t="str">
        <f aca="false">IFERROR(IF(ISBLANK(INDEX(Backlog[Priority],MATCH($A125,Backlog[Requirement ID],0))),"",INDEX(Backlog[Priority],MATCH($A125,Backlog[Requirement ID],0))),"")</f>
        <v/>
      </c>
      <c r="L125" s="1" t="str">
        <f aca="false">IFERROR(IF(ISBLANK(INDEX(Backlog[HLE],MATCH($A125,Backlog[Requirement ID],0))),"",IF(INDEX(Backlog[HLE],MATCH($A125,Backlog[Requirement ID],0))&lt;=5,0.5,IF(INDEX(Backlog[HLE],MATCH($A125,Backlog[Requirement ID],0))&lt;=8,1,IF(INDEX(Backlog[HLE],MATCH($A125,Backlog[Requirement ID],0))&lt;=13,2,IF(INDEX(Backlog[HLE],MATCH($A125,Backlog[Requirement ID],0))&lt;=20,3,5))))),"")</f>
        <v/>
      </c>
    </row>
    <row r="126" customFormat="false" ht="15" hidden="true" customHeight="true" outlineLevel="0" collapsed="false">
      <c r="A126" s="1" t="str">
        <f aca="false">Backlog!A126</f>
        <v/>
      </c>
      <c r="B126" s="49"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66"/>
      <c r="J126" s="1" t="str">
        <f aca="false">IFERROR(IF(ISBLANK(INDEX(Backlog[Priority],MATCH($A126,Backlog[Requirement ID],0))),"",INDEX(Backlog[Priority],MATCH($A126,Backlog[Requirement ID],0))),"")</f>
        <v/>
      </c>
      <c r="L126" s="1" t="str">
        <f aca="false">IFERROR(IF(ISBLANK(INDEX(Backlog[HLE],MATCH($A126,Backlog[Requirement ID],0))),"",IF(INDEX(Backlog[HLE],MATCH($A126,Backlog[Requirement ID],0))&lt;=5,0.5,IF(INDEX(Backlog[HLE],MATCH($A126,Backlog[Requirement ID],0))&lt;=8,1,IF(INDEX(Backlog[HLE],MATCH($A126,Backlog[Requirement ID],0))&lt;=13,2,IF(INDEX(Backlog[HLE],MATCH($A126,Backlog[Requirement ID],0))&lt;=20,3,5))))),"")</f>
        <v/>
      </c>
    </row>
    <row r="127" customFormat="false" ht="15" hidden="true" customHeight="true" outlineLevel="0" collapsed="false">
      <c r="A127" s="1" t="str">
        <f aca="false">Backlog!A127</f>
        <v/>
      </c>
      <c r="B127" s="49"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66"/>
      <c r="J127" s="1" t="str">
        <f aca="false">IFERROR(IF(ISBLANK(INDEX(Backlog[Priority],MATCH($A127,Backlog[Requirement ID],0))),"",INDEX(Backlog[Priority],MATCH($A127,Backlog[Requirement ID],0))),"")</f>
        <v/>
      </c>
      <c r="L127" s="1" t="str">
        <f aca="false">IFERROR(IF(ISBLANK(INDEX(Backlog[HLE],MATCH($A127,Backlog[Requirement ID],0))),"",IF(INDEX(Backlog[HLE],MATCH($A127,Backlog[Requirement ID],0))&lt;=5,0.5,IF(INDEX(Backlog[HLE],MATCH($A127,Backlog[Requirement ID],0))&lt;=8,1,IF(INDEX(Backlog[HLE],MATCH($A127,Backlog[Requirement ID],0))&lt;=13,2,IF(INDEX(Backlog[HLE],MATCH($A127,Backlog[Requirement ID],0))&lt;=20,3,5))))),"")</f>
        <v/>
      </c>
    </row>
    <row r="128" customFormat="false" ht="15" hidden="true" customHeight="true" outlineLevel="0" collapsed="false">
      <c r="A128" s="1" t="str">
        <f aca="false">Backlog!A128</f>
        <v/>
      </c>
      <c r="B128" s="49"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66"/>
      <c r="J128" s="1" t="str">
        <f aca="false">IFERROR(IF(ISBLANK(INDEX(Backlog[Priority],MATCH($A128,Backlog[Requirement ID],0))),"",INDEX(Backlog[Priority],MATCH($A128,Backlog[Requirement ID],0))),"")</f>
        <v/>
      </c>
      <c r="L128" s="1" t="str">
        <f aca="false">IFERROR(IF(ISBLANK(INDEX(Backlog[HLE],MATCH($A128,Backlog[Requirement ID],0))),"",IF(INDEX(Backlog[HLE],MATCH($A128,Backlog[Requirement ID],0))&lt;=5,0.5,IF(INDEX(Backlog[HLE],MATCH($A128,Backlog[Requirement ID],0))&lt;=8,1,IF(INDEX(Backlog[HLE],MATCH($A128,Backlog[Requirement ID],0))&lt;=13,2,IF(INDEX(Backlog[HLE],MATCH($A128,Backlog[Requirement ID],0))&lt;=20,3,5))))),"")</f>
        <v/>
      </c>
    </row>
    <row r="129" customFormat="false" ht="15" hidden="true" customHeight="true" outlineLevel="0" collapsed="false">
      <c r="A129" s="1" t="str">
        <f aca="false">Backlog!A129</f>
        <v/>
      </c>
      <c r="B129" s="49"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66"/>
      <c r="J129" s="1" t="str">
        <f aca="false">IFERROR(IF(ISBLANK(INDEX(Backlog[Priority],MATCH($A129,Backlog[Requirement ID],0))),"",INDEX(Backlog[Priority],MATCH($A129,Backlog[Requirement ID],0))),"")</f>
        <v/>
      </c>
      <c r="L129" s="1" t="str">
        <f aca="false">IFERROR(IF(ISBLANK(INDEX(Backlog[HLE],MATCH($A129,Backlog[Requirement ID],0))),"",IF(INDEX(Backlog[HLE],MATCH($A129,Backlog[Requirement ID],0))&lt;=5,0.5,IF(INDEX(Backlog[HLE],MATCH($A129,Backlog[Requirement ID],0))&lt;=8,1,IF(INDEX(Backlog[HLE],MATCH($A129,Backlog[Requirement ID],0))&lt;=13,2,IF(INDEX(Backlog[HLE],MATCH($A129,Backlog[Requirement ID],0))&lt;=20,3,5))))),"")</f>
        <v/>
      </c>
    </row>
    <row r="130" customFormat="false" ht="23.25" hidden="true" customHeight="true" outlineLevel="0" collapsed="false">
      <c r="A130" s="1" t="str">
        <f aca="false">Backlog!A130</f>
        <v/>
      </c>
      <c r="B130" s="49"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66"/>
      <c r="J130" s="1" t="str">
        <f aca="false">IFERROR(IF(ISBLANK(INDEX(Backlog[Priority],MATCH($A130,Backlog[Requirement ID],0))),"",INDEX(Backlog[Priority],MATCH($A130,Backlog[Requirement ID],0))),"")</f>
        <v/>
      </c>
      <c r="L130" s="1" t="str">
        <f aca="false">IFERROR(IF(ISBLANK(INDEX(Backlog[HLE],MATCH($A130,Backlog[Requirement ID],0))),"",IF(INDEX(Backlog[HLE],MATCH($A130,Backlog[Requirement ID],0))&lt;=5,0.5,IF(INDEX(Backlog[HLE],MATCH($A130,Backlog[Requirement ID],0))&lt;=8,1,IF(INDEX(Backlog[HLE],MATCH($A130,Backlog[Requirement ID],0))&lt;=13,2,IF(INDEX(Backlog[HLE],MATCH($A130,Backlog[Requirement ID],0))&lt;=20,3,5))))),"")</f>
        <v/>
      </c>
    </row>
    <row r="131" customFormat="false" ht="15" hidden="true" customHeight="true" outlineLevel="0" collapsed="false">
      <c r="A131" s="1" t="str">
        <f aca="false">Backlog!A131</f>
        <v/>
      </c>
      <c r="B131" s="49"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66"/>
      <c r="J131" s="1" t="str">
        <f aca="false">IFERROR(IF(ISBLANK(INDEX(Backlog[Priority],MATCH($A131,Backlog[Requirement ID],0))),"",INDEX(Backlog[Priority],MATCH($A131,Backlog[Requirement ID],0))),"")</f>
        <v/>
      </c>
      <c r="L131" s="1" t="str">
        <f aca="false">IFERROR(IF(ISBLANK(INDEX(Backlog[HLE],MATCH($A131,Backlog[Requirement ID],0))),"",IF(INDEX(Backlog[HLE],MATCH($A131,Backlog[Requirement ID],0))&lt;=5,0.5,IF(INDEX(Backlog[HLE],MATCH($A131,Backlog[Requirement ID],0))&lt;=8,1,IF(INDEX(Backlog[HLE],MATCH($A131,Backlog[Requirement ID],0))&lt;=13,2,IF(INDEX(Backlog[HLE],MATCH($A131,Backlog[Requirement ID],0))&lt;=20,3,5))))),"")</f>
        <v/>
      </c>
    </row>
    <row r="132" customFormat="false" ht="15" hidden="true" customHeight="true" outlineLevel="0" collapsed="false">
      <c r="A132" s="1" t="str">
        <f aca="false">Backlog!A132</f>
        <v/>
      </c>
      <c r="B132" s="49"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66"/>
      <c r="J132" s="1" t="str">
        <f aca="false">IFERROR(IF(ISBLANK(INDEX(Backlog[Priority],MATCH($A132,Backlog[Requirement ID],0))),"",INDEX(Backlog[Priority],MATCH($A132,Backlog[Requirement ID],0))),"")</f>
        <v/>
      </c>
      <c r="L132" s="1" t="str">
        <f aca="false">IFERROR(IF(ISBLANK(INDEX(Backlog[HLE],MATCH($A132,Backlog[Requirement ID],0))),"",IF(INDEX(Backlog[HLE],MATCH($A132,Backlog[Requirement ID],0))&lt;=5,0.5,IF(INDEX(Backlog[HLE],MATCH($A132,Backlog[Requirement ID],0))&lt;=8,1,IF(INDEX(Backlog[HLE],MATCH($A132,Backlog[Requirement ID],0))&lt;=13,2,IF(INDEX(Backlog[HLE],MATCH($A132,Backlog[Requirement ID],0))&lt;=20,3,5))))),"")</f>
        <v/>
      </c>
    </row>
    <row r="133" customFormat="false" ht="15" hidden="true" customHeight="true" outlineLevel="0" collapsed="false">
      <c r="A133" s="1" t="str">
        <f aca="false">Backlog!A133</f>
        <v/>
      </c>
      <c r="B133" s="49"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66"/>
      <c r="J133" s="1" t="str">
        <f aca="false">IFERROR(IF(ISBLANK(INDEX(Backlog[Priority],MATCH($A133,Backlog[Requirement ID],0))),"",INDEX(Backlog[Priority],MATCH($A133,Backlog[Requirement ID],0))),"")</f>
        <v/>
      </c>
      <c r="L133" s="1" t="str">
        <f aca="false">IFERROR(IF(ISBLANK(INDEX(Backlog[HLE],MATCH($A133,Backlog[Requirement ID],0))),"",IF(INDEX(Backlog[HLE],MATCH($A133,Backlog[Requirement ID],0))&lt;=5,0.5,IF(INDEX(Backlog[HLE],MATCH($A133,Backlog[Requirement ID],0))&lt;=8,1,IF(INDEX(Backlog[HLE],MATCH($A133,Backlog[Requirement ID],0))&lt;=13,2,IF(INDEX(Backlog[HLE],MATCH($A133,Backlog[Requirement ID],0))&lt;=20,3,5))))),"")</f>
        <v/>
      </c>
    </row>
    <row r="134" customFormat="false" ht="15" hidden="true" customHeight="true" outlineLevel="0" collapsed="false">
      <c r="A134" s="1" t="str">
        <f aca="false">Backlog!A134</f>
        <v/>
      </c>
      <c r="B134" s="49"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66"/>
      <c r="J134" s="1" t="str">
        <f aca="false">IFERROR(IF(ISBLANK(INDEX(Backlog[Priority],MATCH($A134,Backlog[Requirement ID],0))),"",INDEX(Backlog[Priority],MATCH($A134,Backlog[Requirement ID],0))),"")</f>
        <v/>
      </c>
      <c r="L134" s="1" t="str">
        <f aca="false">IFERROR(IF(ISBLANK(INDEX(Backlog[HLE],MATCH($A134,Backlog[Requirement ID],0))),"",IF(INDEX(Backlog[HLE],MATCH($A134,Backlog[Requirement ID],0))&lt;=5,0.5,IF(INDEX(Backlog[HLE],MATCH($A134,Backlog[Requirement ID],0))&lt;=8,1,IF(INDEX(Backlog[HLE],MATCH($A134,Backlog[Requirement ID],0))&lt;=13,2,IF(INDEX(Backlog[HLE],MATCH($A134,Backlog[Requirement ID],0))&lt;=20,3,5))))),"")</f>
        <v/>
      </c>
    </row>
    <row r="135" customFormat="false" ht="15" hidden="true" customHeight="true" outlineLevel="0" collapsed="false">
      <c r="A135" s="1" t="str">
        <f aca="false">Backlog!A135</f>
        <v/>
      </c>
      <c r="B135" s="49"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66"/>
      <c r="J135" s="1" t="str">
        <f aca="false">IFERROR(IF(ISBLANK(INDEX(Backlog[Priority],MATCH($A135,Backlog[Requirement ID],0))),"",INDEX(Backlog[Priority],MATCH($A135,Backlog[Requirement ID],0))),"")</f>
        <v/>
      </c>
      <c r="L135" s="1" t="str">
        <f aca="false">IFERROR(IF(ISBLANK(INDEX(Backlog[HLE],MATCH($A135,Backlog[Requirement ID],0))),"",IF(INDEX(Backlog[HLE],MATCH($A135,Backlog[Requirement ID],0))&lt;=5,0.5,IF(INDEX(Backlog[HLE],MATCH($A135,Backlog[Requirement ID],0))&lt;=8,1,IF(INDEX(Backlog[HLE],MATCH($A135,Backlog[Requirement ID],0))&lt;=13,2,IF(INDEX(Backlog[HLE],MATCH($A135,Backlog[Requirement ID],0))&lt;=20,3,5))))),"")</f>
        <v/>
      </c>
    </row>
    <row r="136" customFormat="false" ht="15" hidden="true" customHeight="true" outlineLevel="0" collapsed="false">
      <c r="A136" s="1" t="str">
        <f aca="false">Backlog!A136</f>
        <v/>
      </c>
      <c r="B136" s="49"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66"/>
      <c r="J136" s="1" t="str">
        <f aca="false">IFERROR(IF(ISBLANK(INDEX(Backlog[Priority],MATCH($A136,Backlog[Requirement ID],0))),"",INDEX(Backlog[Priority],MATCH($A136,Backlog[Requirement ID],0))),"")</f>
        <v/>
      </c>
      <c r="L136" s="1" t="str">
        <f aca="false">IFERROR(IF(ISBLANK(INDEX(Backlog[HLE],MATCH($A136,Backlog[Requirement ID],0))),"",IF(INDEX(Backlog[HLE],MATCH($A136,Backlog[Requirement ID],0))&lt;=5,0.5,IF(INDEX(Backlog[HLE],MATCH($A136,Backlog[Requirement ID],0))&lt;=8,1,IF(INDEX(Backlog[HLE],MATCH($A136,Backlog[Requirement ID],0))&lt;=13,2,IF(INDEX(Backlog[HLE],MATCH($A136,Backlog[Requirement ID],0))&lt;=20,3,5))))),"")</f>
        <v/>
      </c>
    </row>
    <row r="137" customFormat="false" ht="15" hidden="true" customHeight="true" outlineLevel="0" collapsed="false">
      <c r="A137" s="1" t="str">
        <f aca="false">Backlog!A137</f>
        <v/>
      </c>
      <c r="B137" s="49"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66"/>
      <c r="J137" s="1" t="str">
        <f aca="false">IFERROR(IF(ISBLANK(INDEX(Backlog[Priority],MATCH($A137,Backlog[Requirement ID],0))),"",INDEX(Backlog[Priority],MATCH($A137,Backlog[Requirement ID],0))),"")</f>
        <v/>
      </c>
      <c r="L137" s="1" t="str">
        <f aca="false">IFERROR(IF(ISBLANK(INDEX(Backlog[HLE],MATCH($A137,Backlog[Requirement ID],0))),"",IF(INDEX(Backlog[HLE],MATCH($A137,Backlog[Requirement ID],0))&lt;=5,0.5,IF(INDEX(Backlog[HLE],MATCH($A137,Backlog[Requirement ID],0))&lt;=8,1,IF(INDEX(Backlog[HLE],MATCH($A137,Backlog[Requirement ID],0))&lt;=13,2,IF(INDEX(Backlog[HLE],MATCH($A137,Backlog[Requirement ID],0))&lt;=20,3,5))))),"")</f>
        <v/>
      </c>
    </row>
    <row r="138" customFormat="false" ht="15" hidden="true" customHeight="true" outlineLevel="0" collapsed="false">
      <c r="A138" s="1" t="str">
        <f aca="false">Backlog!A138</f>
        <v/>
      </c>
      <c r="B138" s="49"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66"/>
      <c r="J138" s="1" t="str">
        <f aca="false">IFERROR(IF(ISBLANK(INDEX(Backlog[Priority],MATCH($A138,Backlog[Requirement ID],0))),"",INDEX(Backlog[Priority],MATCH($A138,Backlog[Requirement ID],0))),"")</f>
        <v/>
      </c>
      <c r="L138" s="1" t="str">
        <f aca="false">IFERROR(IF(ISBLANK(INDEX(Backlog[HLE],MATCH($A138,Backlog[Requirement ID],0))),"",IF(INDEX(Backlog[HLE],MATCH($A138,Backlog[Requirement ID],0))&lt;=5,0.5,IF(INDEX(Backlog[HLE],MATCH($A138,Backlog[Requirement ID],0))&lt;=8,1,IF(INDEX(Backlog[HLE],MATCH($A138,Backlog[Requirement ID],0))&lt;=13,2,IF(INDEX(Backlog[HLE],MATCH($A138,Backlog[Requirement ID],0))&lt;=20,3,5))))),"")</f>
        <v/>
      </c>
    </row>
    <row r="139" customFormat="false" ht="15" hidden="true" customHeight="true" outlineLevel="0" collapsed="false">
      <c r="A139" s="1" t="str">
        <f aca="false">Backlog!A139</f>
        <v/>
      </c>
      <c r="B139" s="49"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66"/>
      <c r="J139" s="1" t="str">
        <f aca="false">IFERROR(IF(ISBLANK(INDEX(Backlog[Priority],MATCH($A139,Backlog[Requirement ID],0))),"",INDEX(Backlog[Priority],MATCH($A139,Backlog[Requirement ID],0))),"")</f>
        <v/>
      </c>
      <c r="L139" s="1" t="str">
        <f aca="false">IFERROR(IF(ISBLANK(INDEX(Backlog[HLE],MATCH($A139,Backlog[Requirement ID],0))),"",IF(INDEX(Backlog[HLE],MATCH($A139,Backlog[Requirement ID],0))&lt;=5,0.5,IF(INDEX(Backlog[HLE],MATCH($A139,Backlog[Requirement ID],0))&lt;=8,1,IF(INDEX(Backlog[HLE],MATCH($A139,Backlog[Requirement ID],0))&lt;=13,2,IF(INDEX(Backlog[HLE],MATCH($A139,Backlog[Requirement ID],0))&lt;=20,3,5))))),"")</f>
        <v/>
      </c>
    </row>
    <row r="140" customFormat="false" ht="15" hidden="true" customHeight="true" outlineLevel="0" collapsed="false">
      <c r="A140" s="1" t="str">
        <f aca="false">Backlog!A140</f>
        <v/>
      </c>
      <c r="B140" s="49"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66"/>
      <c r="J140" s="1" t="str">
        <f aca="false">IFERROR(IF(ISBLANK(INDEX(Backlog[Priority],MATCH($A140,Backlog[Requirement ID],0))),"",INDEX(Backlog[Priority],MATCH($A140,Backlog[Requirement ID],0))),"")</f>
        <v/>
      </c>
      <c r="L140" s="1" t="str">
        <f aca="false">IFERROR(IF(ISBLANK(INDEX(Backlog[HLE],MATCH($A140,Backlog[Requirement ID],0))),"",IF(INDEX(Backlog[HLE],MATCH($A140,Backlog[Requirement ID],0))&lt;=5,0.5,IF(INDEX(Backlog[HLE],MATCH($A140,Backlog[Requirement ID],0))&lt;=8,1,IF(INDEX(Backlog[HLE],MATCH($A140,Backlog[Requirement ID],0))&lt;=13,2,IF(INDEX(Backlog[HLE],MATCH($A140,Backlog[Requirement ID],0))&lt;=20,3,5))))),"")</f>
        <v/>
      </c>
    </row>
    <row r="141" customFormat="false" ht="15" hidden="true" customHeight="true" outlineLevel="0" collapsed="false">
      <c r="A141" s="1" t="str">
        <f aca="false">Backlog!A141</f>
        <v/>
      </c>
      <c r="B141" s="49"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66"/>
      <c r="J141" s="1" t="str">
        <f aca="false">IFERROR(IF(ISBLANK(INDEX(Backlog[Priority],MATCH($A141,Backlog[Requirement ID],0))),"",INDEX(Backlog[Priority],MATCH($A141,Backlog[Requirement ID],0))),"")</f>
        <v/>
      </c>
      <c r="L141" s="1" t="str">
        <f aca="false">IFERROR(IF(ISBLANK(INDEX(Backlog[HLE],MATCH($A141,Backlog[Requirement ID],0))),"",IF(INDEX(Backlog[HLE],MATCH($A141,Backlog[Requirement ID],0))&lt;=5,0.5,IF(INDEX(Backlog[HLE],MATCH($A141,Backlog[Requirement ID],0))&lt;=8,1,IF(INDEX(Backlog[HLE],MATCH($A141,Backlog[Requirement ID],0))&lt;=13,2,IF(INDEX(Backlog[HLE],MATCH($A141,Backlog[Requirement ID],0))&lt;=20,3,5))))),"")</f>
        <v/>
      </c>
    </row>
    <row r="142" customFormat="false" ht="15" hidden="true" customHeight="true" outlineLevel="0" collapsed="false">
      <c r="A142" s="1" t="str">
        <f aca="false">Backlog!A142</f>
        <v/>
      </c>
      <c r="B142" s="49"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66"/>
      <c r="J142" s="1" t="str">
        <f aca="false">IFERROR(IF(ISBLANK(INDEX(Backlog[Priority],MATCH($A142,Backlog[Requirement ID],0))),"",INDEX(Backlog[Priority],MATCH($A142,Backlog[Requirement ID],0))),"")</f>
        <v/>
      </c>
      <c r="L142" s="1" t="str">
        <f aca="false">IFERROR(IF(ISBLANK(INDEX(Backlog[HLE],MATCH($A142,Backlog[Requirement ID],0))),"",IF(INDEX(Backlog[HLE],MATCH($A142,Backlog[Requirement ID],0))&lt;=5,0.5,IF(INDEX(Backlog[HLE],MATCH($A142,Backlog[Requirement ID],0))&lt;=8,1,IF(INDEX(Backlog[HLE],MATCH($A142,Backlog[Requirement ID],0))&lt;=13,2,IF(INDEX(Backlog[HLE],MATCH($A142,Backlog[Requirement ID],0))&lt;=20,3,5))))),"")</f>
        <v/>
      </c>
    </row>
    <row r="143" customFormat="false" ht="15" hidden="true" customHeight="true" outlineLevel="0" collapsed="false">
      <c r="A143" s="1" t="str">
        <f aca="false">Backlog!A143</f>
        <v/>
      </c>
      <c r="B143" s="49"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66"/>
      <c r="J143" s="1" t="str">
        <f aca="false">IFERROR(IF(ISBLANK(INDEX(Backlog[Priority],MATCH($A143,Backlog[Requirement ID],0))),"",INDEX(Backlog[Priority],MATCH($A143,Backlog[Requirement ID],0))),"")</f>
        <v/>
      </c>
      <c r="L143" s="1" t="str">
        <f aca="false">IFERROR(IF(ISBLANK(INDEX(Backlog[HLE],MATCH($A143,Backlog[Requirement ID],0))),"",IF(INDEX(Backlog[HLE],MATCH($A143,Backlog[Requirement ID],0))&lt;=5,0.5,IF(INDEX(Backlog[HLE],MATCH($A143,Backlog[Requirement ID],0))&lt;=8,1,IF(INDEX(Backlog[HLE],MATCH($A143,Backlog[Requirement ID],0))&lt;=13,2,IF(INDEX(Backlog[HLE],MATCH($A143,Backlog[Requirement ID],0))&lt;=20,3,5))))),"")</f>
        <v/>
      </c>
    </row>
    <row r="144" customFormat="false" ht="15" hidden="true" customHeight="true" outlineLevel="0" collapsed="false">
      <c r="A144" s="1" t="str">
        <f aca="false">Backlog!A144</f>
        <v/>
      </c>
      <c r="B144" s="49"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66"/>
      <c r="J144" s="1" t="str">
        <f aca="false">IFERROR(IF(ISBLANK(INDEX(Backlog[Priority],MATCH($A144,Backlog[Requirement ID],0))),"",INDEX(Backlog[Priority],MATCH($A144,Backlog[Requirement ID],0))),"")</f>
        <v/>
      </c>
      <c r="L144" s="1" t="str">
        <f aca="false">IFERROR(IF(ISBLANK(INDEX(Backlog[HLE],MATCH($A144,Backlog[Requirement ID],0))),"",IF(INDEX(Backlog[HLE],MATCH($A144,Backlog[Requirement ID],0))&lt;=5,0.5,IF(INDEX(Backlog[HLE],MATCH($A144,Backlog[Requirement ID],0))&lt;=8,1,IF(INDEX(Backlog[HLE],MATCH($A144,Backlog[Requirement ID],0))&lt;=13,2,IF(INDEX(Backlog[HLE],MATCH($A144,Backlog[Requirement ID],0))&lt;=20,3,5))))),"")</f>
        <v/>
      </c>
    </row>
    <row r="145" customFormat="false" ht="15" hidden="true" customHeight="true" outlineLevel="0" collapsed="false">
      <c r="A145" s="1" t="str">
        <f aca="false">Backlog!A145</f>
        <v/>
      </c>
      <c r="B145" s="49"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66"/>
      <c r="J145" s="1" t="str">
        <f aca="false">IFERROR(IF(ISBLANK(INDEX(Backlog[Priority],MATCH($A145,Backlog[Requirement ID],0))),"",INDEX(Backlog[Priority],MATCH($A145,Backlog[Requirement ID],0))),"")</f>
        <v/>
      </c>
      <c r="L145" s="1" t="str">
        <f aca="false">IFERROR(IF(ISBLANK(INDEX(Backlog[HLE],MATCH($A145,Backlog[Requirement ID],0))),"",IF(INDEX(Backlog[HLE],MATCH($A145,Backlog[Requirement ID],0))&lt;=5,0.5,IF(INDEX(Backlog[HLE],MATCH($A145,Backlog[Requirement ID],0))&lt;=8,1,IF(INDEX(Backlog[HLE],MATCH($A145,Backlog[Requirement ID],0))&lt;=13,2,IF(INDEX(Backlog[HLE],MATCH($A145,Backlog[Requirement ID],0))&lt;=20,3,5))))),"")</f>
        <v/>
      </c>
    </row>
    <row r="146" customFormat="false" ht="15" hidden="true" customHeight="true" outlineLevel="0" collapsed="false">
      <c r="A146" s="1" t="str">
        <f aca="false">Backlog!A146</f>
        <v/>
      </c>
      <c r="B146" s="49"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66"/>
      <c r="J146" s="1" t="str">
        <f aca="false">IFERROR(IF(ISBLANK(INDEX(Backlog[Priority],MATCH($A146,Backlog[Requirement ID],0))),"",INDEX(Backlog[Priority],MATCH($A146,Backlog[Requirement ID],0))),"")</f>
        <v/>
      </c>
      <c r="L146" s="1" t="str">
        <f aca="false">IFERROR(IF(ISBLANK(INDEX(Backlog[HLE],MATCH($A146,Backlog[Requirement ID],0))),"",IF(INDEX(Backlog[HLE],MATCH($A146,Backlog[Requirement ID],0))&lt;=5,0.5,IF(INDEX(Backlog[HLE],MATCH($A146,Backlog[Requirement ID],0))&lt;=8,1,IF(INDEX(Backlog[HLE],MATCH($A146,Backlog[Requirement ID],0))&lt;=13,2,IF(INDEX(Backlog[HLE],MATCH($A146,Backlog[Requirement ID],0))&lt;=20,3,5))))),"")</f>
        <v/>
      </c>
    </row>
    <row r="147" customFormat="false" ht="15" hidden="true" customHeight="true" outlineLevel="0" collapsed="false">
      <c r="A147" s="1" t="str">
        <f aca="false">Backlog!A147</f>
        <v/>
      </c>
      <c r="B147" s="49"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66"/>
      <c r="J147" s="1" t="str">
        <f aca="false">IFERROR(IF(ISBLANK(INDEX(Backlog[Priority],MATCH($A147,Backlog[Requirement ID],0))),"",INDEX(Backlog[Priority],MATCH($A147,Backlog[Requirement ID],0))),"")</f>
        <v/>
      </c>
      <c r="L147" s="1" t="str">
        <f aca="false">IFERROR(IF(ISBLANK(INDEX(Backlog[HLE],MATCH($A147,Backlog[Requirement ID],0))),"",IF(INDEX(Backlog[HLE],MATCH($A147,Backlog[Requirement ID],0))&lt;=5,0.5,IF(INDEX(Backlog[HLE],MATCH($A147,Backlog[Requirement ID],0))&lt;=8,1,IF(INDEX(Backlog[HLE],MATCH($A147,Backlog[Requirement ID],0))&lt;=13,2,IF(INDEX(Backlog[HLE],MATCH($A147,Backlog[Requirement ID],0))&lt;=20,3,5))))),"")</f>
        <v/>
      </c>
    </row>
    <row r="148" customFormat="false" ht="15" hidden="true" customHeight="true" outlineLevel="0" collapsed="false">
      <c r="A148" s="1" t="str">
        <f aca="false">Backlog!A148</f>
        <v/>
      </c>
      <c r="B148" s="49"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66"/>
      <c r="J148" s="1" t="str">
        <f aca="false">IFERROR(IF(ISBLANK(INDEX(Backlog[Priority],MATCH($A148,Backlog[Requirement ID],0))),"",INDEX(Backlog[Priority],MATCH($A148,Backlog[Requirement ID],0))),"")</f>
        <v/>
      </c>
      <c r="L148" s="1" t="str">
        <f aca="false">IFERROR(IF(ISBLANK(INDEX(Backlog[HLE],MATCH($A148,Backlog[Requirement ID],0))),"",IF(INDEX(Backlog[HLE],MATCH($A148,Backlog[Requirement ID],0))&lt;=5,0.5,IF(INDEX(Backlog[HLE],MATCH($A148,Backlog[Requirement ID],0))&lt;=8,1,IF(INDEX(Backlog[HLE],MATCH($A148,Backlog[Requirement ID],0))&lt;=13,2,IF(INDEX(Backlog[HLE],MATCH($A148,Backlog[Requirement ID],0))&lt;=20,3,5))))),"")</f>
        <v/>
      </c>
    </row>
    <row r="149" customFormat="false" ht="15" hidden="true" customHeight="true" outlineLevel="0" collapsed="false">
      <c r="A149" s="1" t="str">
        <f aca="false">Backlog!A149</f>
        <v/>
      </c>
      <c r="B149" s="49"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66"/>
      <c r="J149" s="1" t="str">
        <f aca="false">IFERROR(IF(ISBLANK(INDEX(Backlog[Priority],MATCH($A149,Backlog[Requirement ID],0))),"",INDEX(Backlog[Priority],MATCH($A149,Backlog[Requirement ID],0))),"")</f>
        <v/>
      </c>
      <c r="L149" s="1" t="str">
        <f aca="false">IFERROR(IF(ISBLANK(INDEX(Backlog[HLE],MATCH($A149,Backlog[Requirement ID],0))),"",IF(INDEX(Backlog[HLE],MATCH($A149,Backlog[Requirement ID],0))&lt;=5,0.5,IF(INDEX(Backlog[HLE],MATCH($A149,Backlog[Requirement ID],0))&lt;=8,1,IF(INDEX(Backlog[HLE],MATCH($A149,Backlog[Requirement ID],0))&lt;=13,2,IF(INDEX(Backlog[HLE],MATCH($A149,Backlog[Requirement ID],0))&lt;=20,3,5))))),"")</f>
        <v/>
      </c>
    </row>
    <row r="150" customFormat="false" ht="15" hidden="true" customHeight="true" outlineLevel="0" collapsed="false">
      <c r="A150" s="1" t="str">
        <f aca="false">Backlog!A150</f>
        <v/>
      </c>
      <c r="B150" s="49"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66"/>
      <c r="J150" s="1" t="str">
        <f aca="false">IFERROR(IF(ISBLANK(INDEX(Backlog[Priority],MATCH($A150,Backlog[Requirement ID],0))),"",INDEX(Backlog[Priority],MATCH($A150,Backlog[Requirement ID],0))),"")</f>
        <v/>
      </c>
      <c r="L150" s="1" t="str">
        <f aca="false">IFERROR(IF(ISBLANK(INDEX(Backlog[HLE],MATCH($A150,Backlog[Requirement ID],0))),"",IF(INDEX(Backlog[HLE],MATCH($A150,Backlog[Requirement ID],0))&lt;=5,0.5,IF(INDEX(Backlog[HLE],MATCH($A150,Backlog[Requirement ID],0))&lt;=8,1,IF(INDEX(Backlog[HLE],MATCH($A150,Backlog[Requirement ID],0))&lt;=13,2,IF(INDEX(Backlog[HLE],MATCH($A150,Backlog[Requirement ID],0))&lt;=20,3,5))))),"")</f>
        <v/>
      </c>
    </row>
    <row r="151" customFormat="false" ht="15" hidden="true" customHeight="true" outlineLevel="0" collapsed="false">
      <c r="A151" s="1" t="str">
        <f aca="false">Backlog!A151</f>
        <v/>
      </c>
      <c r="B151" s="49"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66"/>
      <c r="J151" s="1" t="str">
        <f aca="false">IFERROR(IF(ISBLANK(INDEX(Backlog[Priority],MATCH($A151,Backlog[Requirement ID],0))),"",INDEX(Backlog[Priority],MATCH($A151,Backlog[Requirement ID],0))),"")</f>
        <v/>
      </c>
      <c r="L151" s="1" t="str">
        <f aca="false">IFERROR(IF(ISBLANK(INDEX(Backlog[HLE],MATCH($A151,Backlog[Requirement ID],0))),"",IF(INDEX(Backlog[HLE],MATCH($A151,Backlog[Requirement ID],0))&lt;=5,0.5,IF(INDEX(Backlog[HLE],MATCH($A151,Backlog[Requirement ID],0))&lt;=8,1,IF(INDEX(Backlog[HLE],MATCH($A151,Backlog[Requirement ID],0))&lt;=13,2,IF(INDEX(Backlog[HLE],MATCH($A151,Backlog[Requirement ID],0))&lt;=20,3,5))))),"")</f>
        <v/>
      </c>
    </row>
    <row r="152" customFormat="false" ht="15" hidden="true" customHeight="true" outlineLevel="0" collapsed="false">
      <c r="A152" s="1" t="str">
        <f aca="false">Backlog!A152</f>
        <v/>
      </c>
      <c r="B152" s="49"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66"/>
      <c r="J152" s="1" t="str">
        <f aca="false">IFERROR(IF(ISBLANK(INDEX(Backlog[Priority],MATCH($A152,Backlog[Requirement ID],0))),"",INDEX(Backlog[Priority],MATCH($A152,Backlog[Requirement ID],0))),"")</f>
        <v/>
      </c>
      <c r="L152" s="1" t="str">
        <f aca="false">IFERROR(IF(ISBLANK(INDEX(Backlog[HLE],MATCH($A152,Backlog[Requirement ID],0))),"",IF(INDEX(Backlog[HLE],MATCH($A152,Backlog[Requirement ID],0))&lt;=5,0.5,IF(INDEX(Backlog[HLE],MATCH($A152,Backlog[Requirement ID],0))&lt;=8,1,IF(INDEX(Backlog[HLE],MATCH($A152,Backlog[Requirement ID],0))&lt;=13,2,IF(INDEX(Backlog[HLE],MATCH($A152,Backlog[Requirement ID],0))&lt;=20,3,5))))),"")</f>
        <v/>
      </c>
    </row>
    <row r="153" customFormat="false" ht="15" hidden="true" customHeight="true" outlineLevel="0" collapsed="false">
      <c r="A153" s="1" t="str">
        <f aca="false">Backlog!A153</f>
        <v/>
      </c>
      <c r="B153" s="49"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66"/>
      <c r="J153" s="1" t="str">
        <f aca="false">IFERROR(IF(ISBLANK(INDEX(Backlog[Priority],MATCH($A153,Backlog[Requirement ID],0))),"",INDEX(Backlog[Priority],MATCH($A153,Backlog[Requirement ID],0))),"")</f>
        <v/>
      </c>
      <c r="L153" s="1" t="str">
        <f aca="false">IFERROR(IF(ISBLANK(INDEX(Backlog[HLE],MATCH($A153,Backlog[Requirement ID],0))),"",IF(INDEX(Backlog[HLE],MATCH($A153,Backlog[Requirement ID],0))&lt;=5,0.5,IF(INDEX(Backlog[HLE],MATCH($A153,Backlog[Requirement ID],0))&lt;=8,1,IF(INDEX(Backlog[HLE],MATCH($A153,Backlog[Requirement ID],0))&lt;=13,2,IF(INDEX(Backlog[HLE],MATCH($A153,Backlog[Requirement ID],0))&lt;=20,3,5))))),"")</f>
        <v/>
      </c>
    </row>
    <row r="154" customFormat="false" ht="15" hidden="true" customHeight="true" outlineLevel="0" collapsed="false">
      <c r="A154" s="1" t="str">
        <f aca="false">Backlog!A154</f>
        <v/>
      </c>
      <c r="B154" s="49"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66"/>
      <c r="J154" s="1" t="str">
        <f aca="false">IFERROR(IF(ISBLANK(INDEX(Backlog[Priority],MATCH($A154,Backlog[Requirement ID],0))),"",INDEX(Backlog[Priority],MATCH($A154,Backlog[Requirement ID],0))),"")</f>
        <v/>
      </c>
      <c r="L154" s="1" t="str">
        <f aca="false">IFERROR(IF(ISBLANK(INDEX(Backlog[HLE],MATCH($A154,Backlog[Requirement ID],0))),"",IF(INDEX(Backlog[HLE],MATCH($A154,Backlog[Requirement ID],0))&lt;=5,0.5,IF(INDEX(Backlog[HLE],MATCH($A154,Backlog[Requirement ID],0))&lt;=8,1,IF(INDEX(Backlog[HLE],MATCH($A154,Backlog[Requirement ID],0))&lt;=13,2,IF(INDEX(Backlog[HLE],MATCH($A154,Backlog[Requirement ID],0))&lt;=20,3,5))))),"")</f>
        <v/>
      </c>
    </row>
    <row r="155" customFormat="false" ht="15" hidden="true" customHeight="true" outlineLevel="0" collapsed="false">
      <c r="A155" s="1" t="str">
        <f aca="false">Backlog!A155</f>
        <v/>
      </c>
      <c r="B155" s="49"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66"/>
      <c r="J155" s="1" t="str">
        <f aca="false">IFERROR(IF(ISBLANK(INDEX(Backlog[Priority],MATCH($A155,Backlog[Requirement ID],0))),"",INDEX(Backlog[Priority],MATCH($A155,Backlog[Requirement ID],0))),"")</f>
        <v/>
      </c>
      <c r="L155" s="1" t="str">
        <f aca="false">IFERROR(IF(ISBLANK(INDEX(Backlog[HLE],MATCH($A155,Backlog[Requirement ID],0))),"",IF(INDEX(Backlog[HLE],MATCH($A155,Backlog[Requirement ID],0))&lt;=5,0.5,IF(INDEX(Backlog[HLE],MATCH($A155,Backlog[Requirement ID],0))&lt;=8,1,IF(INDEX(Backlog[HLE],MATCH($A155,Backlog[Requirement ID],0))&lt;=13,2,IF(INDEX(Backlog[HLE],MATCH($A155,Backlog[Requirement ID],0))&lt;=20,3,5))))),"")</f>
        <v/>
      </c>
    </row>
    <row r="156" customFormat="false" ht="15" hidden="true" customHeight="true" outlineLevel="0" collapsed="false">
      <c r="A156" s="1" t="str">
        <f aca="false">Backlog!A156</f>
        <v/>
      </c>
      <c r="B156" s="49"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66"/>
      <c r="J156" s="1" t="str">
        <f aca="false">IFERROR(IF(ISBLANK(INDEX(Backlog[Priority],MATCH($A156,Backlog[Requirement ID],0))),"",INDEX(Backlog[Priority],MATCH($A156,Backlog[Requirement ID],0))),"")</f>
        <v/>
      </c>
      <c r="L156" s="1" t="str">
        <f aca="false">IFERROR(IF(ISBLANK(INDEX(Backlog[HLE],MATCH($A156,Backlog[Requirement ID],0))),"",IF(INDEX(Backlog[HLE],MATCH($A156,Backlog[Requirement ID],0))&lt;=5,0.5,IF(INDEX(Backlog[HLE],MATCH($A156,Backlog[Requirement ID],0))&lt;=8,1,IF(INDEX(Backlog[HLE],MATCH($A156,Backlog[Requirement ID],0))&lt;=13,2,IF(INDEX(Backlog[HLE],MATCH($A156,Backlog[Requirement ID],0))&lt;=20,3,5))))),"")</f>
        <v/>
      </c>
    </row>
    <row r="157" customFormat="false" ht="15" hidden="true" customHeight="true" outlineLevel="0" collapsed="false">
      <c r="A157" s="1" t="str">
        <f aca="false">Backlog!A157</f>
        <v/>
      </c>
      <c r="B157" s="49"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66"/>
      <c r="J157" s="1" t="str">
        <f aca="false">IFERROR(IF(ISBLANK(INDEX(Backlog[Priority],MATCH($A157,Backlog[Requirement ID],0))),"",INDEX(Backlog[Priority],MATCH($A157,Backlog[Requirement ID],0))),"")</f>
        <v/>
      </c>
      <c r="L157" s="1" t="str">
        <f aca="false">IFERROR(IF(ISBLANK(INDEX(Backlog[HLE],MATCH($A157,Backlog[Requirement ID],0))),"",IF(INDEX(Backlog[HLE],MATCH($A157,Backlog[Requirement ID],0))&lt;=5,0.5,IF(INDEX(Backlog[HLE],MATCH($A157,Backlog[Requirement ID],0))&lt;=8,1,IF(INDEX(Backlog[HLE],MATCH($A157,Backlog[Requirement ID],0))&lt;=13,2,IF(INDEX(Backlog[HLE],MATCH($A157,Backlog[Requirement ID],0))&lt;=20,3,5))))),"")</f>
        <v/>
      </c>
    </row>
    <row r="158" customFormat="false" ht="15" hidden="true" customHeight="true" outlineLevel="0" collapsed="false">
      <c r="A158" s="1" t="str">
        <f aca="false">Backlog!A158</f>
        <v/>
      </c>
      <c r="B158" s="49"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66"/>
      <c r="J158" s="1" t="str">
        <f aca="false">IFERROR(IF(ISBLANK(INDEX(Backlog[Priority],MATCH($A158,Backlog[Requirement ID],0))),"",INDEX(Backlog[Priority],MATCH($A158,Backlog[Requirement ID],0))),"")</f>
        <v/>
      </c>
      <c r="L158" s="1" t="str">
        <f aca="false">IFERROR(IF(ISBLANK(INDEX(Backlog[HLE],MATCH($A158,Backlog[Requirement ID],0))),"",IF(INDEX(Backlog[HLE],MATCH($A158,Backlog[Requirement ID],0))&lt;=5,0.5,IF(INDEX(Backlog[HLE],MATCH($A158,Backlog[Requirement ID],0))&lt;=8,1,IF(INDEX(Backlog[HLE],MATCH($A158,Backlog[Requirement ID],0))&lt;=13,2,IF(INDEX(Backlog[HLE],MATCH($A158,Backlog[Requirement ID],0))&lt;=20,3,5))))),"")</f>
        <v/>
      </c>
    </row>
    <row r="159" customFormat="false" ht="15" hidden="true" customHeight="true" outlineLevel="0" collapsed="false">
      <c r="A159" s="1" t="str">
        <f aca="false">Backlog!A159</f>
        <v/>
      </c>
      <c r="B159" s="49"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66"/>
      <c r="J159" s="1" t="str">
        <f aca="false">IFERROR(IF(ISBLANK(INDEX(Backlog[Priority],MATCH($A159,Backlog[Requirement ID],0))),"",INDEX(Backlog[Priority],MATCH($A159,Backlog[Requirement ID],0))),"")</f>
        <v/>
      </c>
      <c r="L159" s="1" t="str">
        <f aca="false">IFERROR(IF(ISBLANK(INDEX(Backlog[HLE],MATCH($A159,Backlog[Requirement ID],0))),"",IF(INDEX(Backlog[HLE],MATCH($A159,Backlog[Requirement ID],0))&lt;=5,0.5,IF(INDEX(Backlog[HLE],MATCH($A159,Backlog[Requirement ID],0))&lt;=8,1,IF(INDEX(Backlog[HLE],MATCH($A159,Backlog[Requirement ID],0))&lt;=13,2,IF(INDEX(Backlog[HLE],MATCH($A159,Backlog[Requirement ID],0))&lt;=20,3,5))))),"")</f>
        <v/>
      </c>
    </row>
    <row r="160" customFormat="false" ht="15" hidden="true" customHeight="true" outlineLevel="0" collapsed="false">
      <c r="A160" s="1" t="str">
        <f aca="false">Backlog!A160</f>
        <v/>
      </c>
      <c r="B160" s="49"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66"/>
      <c r="J160" s="1" t="str">
        <f aca="false">IFERROR(IF(ISBLANK(INDEX(Backlog[Priority],MATCH($A160,Backlog[Requirement ID],0))),"",INDEX(Backlog[Priority],MATCH($A160,Backlog[Requirement ID],0))),"")</f>
        <v/>
      </c>
      <c r="L160" s="1" t="str">
        <f aca="false">IFERROR(IF(ISBLANK(INDEX(Backlog[HLE],MATCH($A160,Backlog[Requirement ID],0))),"",IF(INDEX(Backlog[HLE],MATCH($A160,Backlog[Requirement ID],0))&lt;=5,0.5,IF(INDEX(Backlog[HLE],MATCH($A160,Backlog[Requirement ID],0))&lt;=8,1,IF(INDEX(Backlog[HLE],MATCH($A160,Backlog[Requirement ID],0))&lt;=13,2,IF(INDEX(Backlog[HLE],MATCH($A160,Backlog[Requirement ID],0))&lt;=20,3,5))))),"")</f>
        <v/>
      </c>
    </row>
    <row r="161" customFormat="false" ht="15" hidden="true" customHeight="true" outlineLevel="0" collapsed="false">
      <c r="A161" s="1" t="str">
        <f aca="false">Backlog!A161</f>
        <v/>
      </c>
      <c r="B161" s="49"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66"/>
      <c r="J161" s="1" t="str">
        <f aca="false">IFERROR(IF(ISBLANK(INDEX(Backlog[Priority],MATCH($A161,Backlog[Requirement ID],0))),"",INDEX(Backlog[Priority],MATCH($A161,Backlog[Requirement ID],0))),"")</f>
        <v/>
      </c>
      <c r="L161" s="1" t="str">
        <f aca="false">IFERROR(IF(ISBLANK(INDEX(Backlog[HLE],MATCH($A161,Backlog[Requirement ID],0))),"",IF(INDEX(Backlog[HLE],MATCH($A161,Backlog[Requirement ID],0))&lt;=5,0.5,IF(INDEX(Backlog[HLE],MATCH($A161,Backlog[Requirement ID],0))&lt;=8,1,IF(INDEX(Backlog[HLE],MATCH($A161,Backlog[Requirement ID],0))&lt;=13,2,IF(INDEX(Backlog[HLE],MATCH($A161,Backlog[Requirement ID],0))&lt;=20,3,5))))),"")</f>
        <v/>
      </c>
    </row>
    <row r="162" customFormat="false" ht="15" hidden="true" customHeight="true" outlineLevel="0" collapsed="false">
      <c r="A162" s="1" t="str">
        <f aca="false">Backlog!A162</f>
        <v/>
      </c>
      <c r="B162" s="49"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66"/>
      <c r="J162" s="1" t="str">
        <f aca="false">IFERROR(IF(ISBLANK(INDEX(Backlog[Priority],MATCH($A162,Backlog[Requirement ID],0))),"",INDEX(Backlog[Priority],MATCH($A162,Backlog[Requirement ID],0))),"")</f>
        <v/>
      </c>
      <c r="L162" s="1" t="str">
        <f aca="false">IFERROR(IF(ISBLANK(INDEX(Backlog[HLE],MATCH($A162,Backlog[Requirement ID],0))),"",IF(INDEX(Backlog[HLE],MATCH($A162,Backlog[Requirement ID],0))&lt;=5,0.5,IF(INDEX(Backlog[HLE],MATCH($A162,Backlog[Requirement ID],0))&lt;=8,1,IF(INDEX(Backlog[HLE],MATCH($A162,Backlog[Requirement ID],0))&lt;=13,2,IF(INDEX(Backlog[HLE],MATCH($A162,Backlog[Requirement ID],0))&lt;=20,3,5))))),"")</f>
        <v/>
      </c>
    </row>
    <row r="163" customFormat="false" ht="15" hidden="true" customHeight="true" outlineLevel="0" collapsed="false">
      <c r="A163" s="1" t="str">
        <f aca="false">Backlog!A163</f>
        <v/>
      </c>
      <c r="B163" s="49"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66"/>
      <c r="J163" s="1" t="str">
        <f aca="false">IFERROR(IF(ISBLANK(INDEX(Backlog[Priority],MATCH($A163,Backlog[Requirement ID],0))),"",INDEX(Backlog[Priority],MATCH($A163,Backlog[Requirement ID],0))),"")</f>
        <v/>
      </c>
      <c r="L163" s="1" t="str">
        <f aca="false">IFERROR(IF(ISBLANK(INDEX(Backlog[HLE],MATCH($A163,Backlog[Requirement ID],0))),"",IF(INDEX(Backlog[HLE],MATCH($A163,Backlog[Requirement ID],0))&lt;=5,0.5,IF(INDEX(Backlog[HLE],MATCH($A163,Backlog[Requirement ID],0))&lt;=8,1,IF(INDEX(Backlog[HLE],MATCH($A163,Backlog[Requirement ID],0))&lt;=13,2,IF(INDEX(Backlog[HLE],MATCH($A163,Backlog[Requirement ID],0))&lt;=20,3,5))))),"")</f>
        <v/>
      </c>
    </row>
    <row r="164" customFormat="false" ht="15" hidden="true" customHeight="true" outlineLevel="0" collapsed="false">
      <c r="A164" s="1" t="str">
        <f aca="false">Backlog!A164</f>
        <v/>
      </c>
      <c r="B164" s="49"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66"/>
      <c r="J164" s="1" t="str">
        <f aca="false">IFERROR(IF(ISBLANK(INDEX(Backlog[Priority],MATCH($A164,Backlog[Requirement ID],0))),"",INDEX(Backlog[Priority],MATCH($A164,Backlog[Requirement ID],0))),"")</f>
        <v/>
      </c>
      <c r="L164" s="1" t="str">
        <f aca="false">IFERROR(IF(ISBLANK(INDEX(Backlog[HLE],MATCH($A164,Backlog[Requirement ID],0))),"",IF(INDEX(Backlog[HLE],MATCH($A164,Backlog[Requirement ID],0))&lt;=5,0.5,IF(INDEX(Backlog[HLE],MATCH($A164,Backlog[Requirement ID],0))&lt;=8,1,IF(INDEX(Backlog[HLE],MATCH($A164,Backlog[Requirement ID],0))&lt;=13,2,IF(INDEX(Backlog[HLE],MATCH($A164,Backlog[Requirement ID],0))&lt;=20,3,5))))),"")</f>
        <v/>
      </c>
    </row>
    <row r="165" customFormat="false" ht="15" hidden="true" customHeight="true" outlineLevel="0" collapsed="false">
      <c r="A165" s="1" t="str">
        <f aca="false">Backlog!A165</f>
        <v/>
      </c>
      <c r="B165" s="49"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66"/>
      <c r="J165" s="1" t="str">
        <f aca="false">IFERROR(IF(ISBLANK(INDEX(Backlog[Priority],MATCH($A165,Backlog[Requirement ID],0))),"",INDEX(Backlog[Priority],MATCH($A165,Backlog[Requirement ID],0))),"")</f>
        <v/>
      </c>
      <c r="L165" s="1" t="str">
        <f aca="false">IFERROR(IF(ISBLANK(INDEX(Backlog[HLE],MATCH($A165,Backlog[Requirement ID],0))),"",IF(INDEX(Backlog[HLE],MATCH($A165,Backlog[Requirement ID],0))&lt;=5,0.5,IF(INDEX(Backlog[HLE],MATCH($A165,Backlog[Requirement ID],0))&lt;=8,1,IF(INDEX(Backlog[HLE],MATCH($A165,Backlog[Requirement ID],0))&lt;=13,2,IF(INDEX(Backlog[HLE],MATCH($A165,Backlog[Requirement ID],0))&lt;=20,3,5))))),"")</f>
        <v/>
      </c>
    </row>
    <row r="166" customFormat="false" ht="15" hidden="true" customHeight="true" outlineLevel="0" collapsed="false">
      <c r="A166" s="1" t="str">
        <f aca="false">Backlog!A166</f>
        <v/>
      </c>
      <c r="B166" s="49"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66"/>
      <c r="J166" s="1" t="str">
        <f aca="false">IFERROR(IF(ISBLANK(INDEX(Backlog[Priority],MATCH($A166,Backlog[Requirement ID],0))),"",INDEX(Backlog[Priority],MATCH($A166,Backlog[Requirement ID],0))),"")</f>
        <v/>
      </c>
      <c r="L166" s="1" t="str">
        <f aca="false">IFERROR(IF(ISBLANK(INDEX(Backlog[HLE],MATCH($A166,Backlog[Requirement ID],0))),"",IF(INDEX(Backlog[HLE],MATCH($A166,Backlog[Requirement ID],0))&lt;=5,0.5,IF(INDEX(Backlog[HLE],MATCH($A166,Backlog[Requirement ID],0))&lt;=8,1,IF(INDEX(Backlog[HLE],MATCH($A166,Backlog[Requirement ID],0))&lt;=13,2,IF(INDEX(Backlog[HLE],MATCH($A166,Backlog[Requirement ID],0))&lt;=20,3,5))))),"")</f>
        <v/>
      </c>
    </row>
    <row r="167" customFormat="false" ht="15" hidden="true" customHeight="true" outlineLevel="0" collapsed="false">
      <c r="A167" s="1" t="str">
        <f aca="false">Backlog!A167</f>
        <v/>
      </c>
      <c r="B167" s="49"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66"/>
      <c r="J167" s="1" t="str">
        <f aca="false">IFERROR(IF(ISBLANK(INDEX(Backlog[Priority],MATCH($A167,Backlog[Requirement ID],0))),"",INDEX(Backlog[Priority],MATCH($A167,Backlog[Requirement ID],0))),"")</f>
        <v/>
      </c>
      <c r="L167" s="1" t="str">
        <f aca="false">IFERROR(IF(ISBLANK(INDEX(Backlog[HLE],MATCH($A167,Backlog[Requirement ID],0))),"",IF(INDEX(Backlog[HLE],MATCH($A167,Backlog[Requirement ID],0))&lt;=5,0.5,IF(INDEX(Backlog[HLE],MATCH($A167,Backlog[Requirement ID],0))&lt;=8,1,IF(INDEX(Backlog[HLE],MATCH($A167,Backlog[Requirement ID],0))&lt;=13,2,IF(INDEX(Backlog[HLE],MATCH($A167,Backlog[Requirement ID],0))&lt;=20,3,5))))),"")</f>
        <v/>
      </c>
    </row>
    <row r="168" customFormat="false" ht="15" hidden="true" customHeight="true" outlineLevel="0" collapsed="false">
      <c r="A168" s="1" t="str">
        <f aca="false">Backlog!A168</f>
        <v/>
      </c>
      <c r="B168" s="49"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66"/>
      <c r="J168" s="1" t="str">
        <f aca="false">IFERROR(IF(ISBLANK(INDEX(Backlog[Priority],MATCH($A168,Backlog[Requirement ID],0))),"",INDEX(Backlog[Priority],MATCH($A168,Backlog[Requirement ID],0))),"")</f>
        <v/>
      </c>
      <c r="L168" s="1" t="str">
        <f aca="false">IFERROR(IF(ISBLANK(INDEX(Backlog[HLE],MATCH($A168,Backlog[Requirement ID],0))),"",IF(INDEX(Backlog[HLE],MATCH($A168,Backlog[Requirement ID],0))&lt;=5,0.5,IF(INDEX(Backlog[HLE],MATCH($A168,Backlog[Requirement ID],0))&lt;=8,1,IF(INDEX(Backlog[HLE],MATCH($A168,Backlog[Requirement ID],0))&lt;=13,2,IF(INDEX(Backlog[HLE],MATCH($A168,Backlog[Requirement ID],0))&lt;=20,3,5))))),"")</f>
        <v/>
      </c>
    </row>
    <row r="169" customFormat="false" ht="15" hidden="true" customHeight="true" outlineLevel="0" collapsed="false">
      <c r="A169" s="1" t="str">
        <f aca="false">Backlog!A169</f>
        <v/>
      </c>
      <c r="B169" s="49"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66"/>
      <c r="J169" s="1" t="str">
        <f aca="false">IFERROR(IF(ISBLANK(INDEX(Backlog[Priority],MATCH($A169,Backlog[Requirement ID],0))),"",INDEX(Backlog[Priority],MATCH($A169,Backlog[Requirement ID],0))),"")</f>
        <v/>
      </c>
      <c r="L169" s="1" t="str">
        <f aca="false">IFERROR(IF(ISBLANK(INDEX(Backlog[HLE],MATCH($A169,Backlog[Requirement ID],0))),"",IF(INDEX(Backlog[HLE],MATCH($A169,Backlog[Requirement ID],0))&lt;=5,0.5,IF(INDEX(Backlog[HLE],MATCH($A169,Backlog[Requirement ID],0))&lt;=8,1,IF(INDEX(Backlog[HLE],MATCH($A169,Backlog[Requirement ID],0))&lt;=13,2,IF(INDEX(Backlog[HLE],MATCH($A169,Backlog[Requirement ID],0))&lt;=20,3,5))))),"")</f>
        <v/>
      </c>
    </row>
    <row r="170" customFormat="false" ht="15" hidden="true" customHeight="true" outlineLevel="0" collapsed="false">
      <c r="A170" s="1" t="str">
        <f aca="false">Backlog!A170</f>
        <v/>
      </c>
      <c r="B170" s="49"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66"/>
      <c r="J170" s="1" t="str">
        <f aca="false">IFERROR(IF(ISBLANK(INDEX(Backlog[Priority],MATCH($A170,Backlog[Requirement ID],0))),"",INDEX(Backlog[Priority],MATCH($A170,Backlog[Requirement ID],0))),"")</f>
        <v/>
      </c>
      <c r="L170" s="1" t="str">
        <f aca="false">IFERROR(IF(ISBLANK(INDEX(Backlog[HLE],MATCH($A170,Backlog[Requirement ID],0))),"",IF(INDEX(Backlog[HLE],MATCH($A170,Backlog[Requirement ID],0))&lt;=5,0.5,IF(INDEX(Backlog[HLE],MATCH($A170,Backlog[Requirement ID],0))&lt;=8,1,IF(INDEX(Backlog[HLE],MATCH($A170,Backlog[Requirement ID],0))&lt;=13,2,IF(INDEX(Backlog[HLE],MATCH($A170,Backlog[Requirement ID],0))&lt;=20,3,5))))),"")</f>
        <v/>
      </c>
    </row>
    <row r="171" customFormat="false" ht="15" hidden="true" customHeight="true" outlineLevel="0" collapsed="false">
      <c r="A171" s="1" t="str">
        <f aca="false">Backlog!A171</f>
        <v/>
      </c>
      <c r="B171" s="49"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66"/>
      <c r="J171" s="1" t="str">
        <f aca="false">IFERROR(IF(ISBLANK(INDEX(Backlog[Priority],MATCH($A171,Backlog[Requirement ID],0))),"",INDEX(Backlog[Priority],MATCH($A171,Backlog[Requirement ID],0))),"")</f>
        <v/>
      </c>
      <c r="L171" s="1" t="str">
        <f aca="false">IFERROR(IF(ISBLANK(INDEX(Backlog[HLE],MATCH($A171,Backlog[Requirement ID],0))),"",IF(INDEX(Backlog[HLE],MATCH($A171,Backlog[Requirement ID],0))&lt;=5,0.5,IF(INDEX(Backlog[HLE],MATCH($A171,Backlog[Requirement ID],0))&lt;=8,1,IF(INDEX(Backlog[HLE],MATCH($A171,Backlog[Requirement ID],0))&lt;=13,2,IF(INDEX(Backlog[HLE],MATCH($A171,Backlog[Requirement ID],0))&lt;=20,3,5))))),"")</f>
        <v/>
      </c>
    </row>
    <row r="172" customFormat="false" ht="15" hidden="true" customHeight="true" outlineLevel="0" collapsed="false">
      <c r="A172" s="1" t="str">
        <f aca="false">Backlog!A172</f>
        <v/>
      </c>
      <c r="B172" s="49"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66"/>
      <c r="J172" s="1" t="str">
        <f aca="false">IFERROR(IF(ISBLANK(INDEX(Backlog[Priority],MATCH($A172,Backlog[Requirement ID],0))),"",INDEX(Backlog[Priority],MATCH($A172,Backlog[Requirement ID],0))),"")</f>
        <v/>
      </c>
      <c r="L172" s="1" t="str">
        <f aca="false">IFERROR(IF(ISBLANK(INDEX(Backlog[HLE],MATCH($A172,Backlog[Requirement ID],0))),"",IF(INDEX(Backlog[HLE],MATCH($A172,Backlog[Requirement ID],0))&lt;=5,0.5,IF(INDEX(Backlog[HLE],MATCH($A172,Backlog[Requirement ID],0))&lt;=8,1,IF(INDEX(Backlog[HLE],MATCH($A172,Backlog[Requirement ID],0))&lt;=13,2,IF(INDEX(Backlog[HLE],MATCH($A172,Backlog[Requirement ID],0))&lt;=20,3,5))))),"")</f>
        <v/>
      </c>
    </row>
    <row r="173" customFormat="false" ht="15" hidden="true" customHeight="true" outlineLevel="0" collapsed="false">
      <c r="A173" s="1" t="str">
        <f aca="false">Backlog!A173</f>
        <v/>
      </c>
      <c r="B173" s="49"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66"/>
      <c r="J173" s="1" t="str">
        <f aca="false">IFERROR(IF(ISBLANK(INDEX(Backlog[Priority],MATCH($A173,Backlog[Requirement ID],0))),"",INDEX(Backlog[Priority],MATCH($A173,Backlog[Requirement ID],0))),"")</f>
        <v/>
      </c>
      <c r="L173" s="1" t="str">
        <f aca="false">IFERROR(IF(ISBLANK(INDEX(Backlog[HLE],MATCH($A173,Backlog[Requirement ID],0))),"",IF(INDEX(Backlog[HLE],MATCH($A173,Backlog[Requirement ID],0))&lt;=5,0.5,IF(INDEX(Backlog[HLE],MATCH($A173,Backlog[Requirement ID],0))&lt;=8,1,IF(INDEX(Backlog[HLE],MATCH($A173,Backlog[Requirement ID],0))&lt;=13,2,IF(INDEX(Backlog[HLE],MATCH($A173,Backlog[Requirement ID],0))&lt;=20,3,5))))),"")</f>
        <v/>
      </c>
    </row>
    <row r="174" customFormat="false" ht="15" hidden="true" customHeight="true" outlineLevel="0" collapsed="false">
      <c r="A174" s="1" t="str">
        <f aca="false">Backlog!A174</f>
        <v/>
      </c>
      <c r="B174" s="49"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66"/>
      <c r="J174" s="1" t="str">
        <f aca="false">IFERROR(IF(ISBLANK(INDEX(Backlog[Priority],MATCH($A174,Backlog[Requirement ID],0))),"",INDEX(Backlog[Priority],MATCH($A174,Backlog[Requirement ID],0))),"")</f>
        <v/>
      </c>
      <c r="L174" s="1" t="str">
        <f aca="false">IFERROR(IF(ISBLANK(INDEX(Backlog[HLE],MATCH($A174,Backlog[Requirement ID],0))),"",IF(INDEX(Backlog[HLE],MATCH($A174,Backlog[Requirement ID],0))&lt;=5,0.5,IF(INDEX(Backlog[HLE],MATCH($A174,Backlog[Requirement ID],0))&lt;=8,1,IF(INDEX(Backlog[HLE],MATCH($A174,Backlog[Requirement ID],0))&lt;=13,2,IF(INDEX(Backlog[HLE],MATCH($A174,Backlog[Requirement ID],0))&lt;=20,3,5))))),"")</f>
        <v/>
      </c>
    </row>
    <row r="175" customFormat="false" ht="15" hidden="true" customHeight="true" outlineLevel="0" collapsed="false">
      <c r="A175" s="1" t="str">
        <f aca="false">Backlog!A175</f>
        <v/>
      </c>
      <c r="B175" s="49"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66"/>
      <c r="J175" s="1" t="str">
        <f aca="false">IFERROR(IF(ISBLANK(INDEX(Backlog[Priority],MATCH($A175,Backlog[Requirement ID],0))),"",INDEX(Backlog[Priority],MATCH($A175,Backlog[Requirement ID],0))),"")</f>
        <v/>
      </c>
      <c r="L175" s="1" t="str">
        <f aca="false">IFERROR(IF(ISBLANK(INDEX(Backlog[HLE],MATCH($A175,Backlog[Requirement ID],0))),"",IF(INDEX(Backlog[HLE],MATCH($A175,Backlog[Requirement ID],0))&lt;=5,0.5,IF(INDEX(Backlog[HLE],MATCH($A175,Backlog[Requirement ID],0))&lt;=8,1,IF(INDEX(Backlog[HLE],MATCH($A175,Backlog[Requirement ID],0))&lt;=13,2,IF(INDEX(Backlog[HLE],MATCH($A175,Backlog[Requirement ID],0))&lt;=20,3,5))))),"")</f>
        <v/>
      </c>
    </row>
    <row r="176" customFormat="false" ht="15" hidden="true" customHeight="true" outlineLevel="0" collapsed="false">
      <c r="A176" s="1" t="str">
        <f aca="false">Backlog!A176</f>
        <v/>
      </c>
      <c r="B176" s="49"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66"/>
      <c r="J176" s="1" t="str">
        <f aca="false">IFERROR(IF(ISBLANK(INDEX(Backlog[Priority],MATCH($A176,Backlog[Requirement ID],0))),"",INDEX(Backlog[Priority],MATCH($A176,Backlog[Requirement ID],0))),"")</f>
        <v/>
      </c>
      <c r="L176" s="1" t="str">
        <f aca="false">IFERROR(IF(ISBLANK(INDEX(Backlog[HLE],MATCH($A176,Backlog[Requirement ID],0))),"",IF(INDEX(Backlog[HLE],MATCH($A176,Backlog[Requirement ID],0))&lt;=5,0.5,IF(INDEX(Backlog[HLE],MATCH($A176,Backlog[Requirement ID],0))&lt;=8,1,IF(INDEX(Backlog[HLE],MATCH($A176,Backlog[Requirement ID],0))&lt;=13,2,IF(INDEX(Backlog[HLE],MATCH($A176,Backlog[Requirement ID],0))&lt;=20,3,5))))),"")</f>
        <v/>
      </c>
    </row>
    <row r="177" customFormat="false" ht="15" hidden="true" customHeight="true" outlineLevel="0" collapsed="false">
      <c r="A177" s="1" t="str">
        <f aca="false">Backlog!A177</f>
        <v/>
      </c>
      <c r="B177" s="49"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J177" s="1" t="str">
        <f aca="false">IFERROR(IF(ISBLANK(INDEX(Backlog[Priority],MATCH($A177,Backlog[Requirement ID],0))),"",INDEX(Backlog[Priority],MATCH($A177,Backlog[Requirement ID],0))),"")</f>
        <v/>
      </c>
      <c r="L177" s="1" t="str">
        <f aca="false">IFERROR(IF(ISBLANK(INDEX(Backlog[HLE],MATCH($A177,Backlog[Requirement ID],0))),"",IF(INDEX(Backlog[HLE],MATCH($A177,Backlog[Requirement ID],0))&lt;=5,0.5,IF(INDEX(Backlog[HLE],MATCH($A177,Backlog[Requirement ID],0))&lt;=8,1,IF(INDEX(Backlog[HLE],MATCH($A177,Backlog[Requirement ID],0))&lt;=13,2,IF(INDEX(Backlog[HLE],MATCH($A177,Backlog[Requirement ID],0))&lt;=20,3,5))))),"")</f>
        <v/>
      </c>
    </row>
    <row r="178" customFormat="false" ht="15" hidden="true" customHeight="true" outlineLevel="0" collapsed="false">
      <c r="A178" s="1" t="str">
        <f aca="false">Backlog!A178</f>
        <v/>
      </c>
      <c r="B178" s="49"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J178" s="1" t="str">
        <f aca="false">IFERROR(IF(ISBLANK(INDEX(Backlog[Priority],MATCH($A178,Backlog[Requirement ID],0))),"",INDEX(Backlog[Priority],MATCH($A178,Backlog[Requirement ID],0))),"")</f>
        <v/>
      </c>
      <c r="L178" s="1" t="str">
        <f aca="false">IFERROR(IF(ISBLANK(INDEX(Backlog[HLE],MATCH($A178,Backlog[Requirement ID],0))),"",IF(INDEX(Backlog[HLE],MATCH($A178,Backlog[Requirement ID],0))&lt;=5,0.5,IF(INDEX(Backlog[HLE],MATCH($A178,Backlog[Requirement ID],0))&lt;=8,1,IF(INDEX(Backlog[HLE],MATCH($A178,Backlog[Requirement ID],0))&lt;=13,2,IF(INDEX(Backlog[HLE],MATCH($A178,Backlog[Requirement ID],0))&lt;=20,3,5))))),"")</f>
        <v/>
      </c>
    </row>
    <row r="179" customFormat="false" ht="15" hidden="true" customHeight="true" outlineLevel="0" collapsed="false">
      <c r="A179" s="1" t="str">
        <f aca="false">Backlog!A179</f>
        <v/>
      </c>
      <c r="B179" s="49"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J179" s="1" t="str">
        <f aca="false">IFERROR(IF(ISBLANK(INDEX(Backlog[Priority],MATCH($A179,Backlog[Requirement ID],0))),"",INDEX(Backlog[Priority],MATCH($A179,Backlog[Requirement ID],0))),"")</f>
        <v/>
      </c>
      <c r="L179" s="1" t="str">
        <f aca="false">IFERROR(IF(ISBLANK(INDEX(Backlog[HLE],MATCH($A179,Backlog[Requirement ID],0))),"",IF(INDEX(Backlog[HLE],MATCH($A179,Backlog[Requirement ID],0))&lt;=5,0.5,IF(INDEX(Backlog[HLE],MATCH($A179,Backlog[Requirement ID],0))&lt;=8,1,IF(INDEX(Backlog[HLE],MATCH($A179,Backlog[Requirement ID],0))&lt;=13,2,IF(INDEX(Backlog[HLE],MATCH($A179,Backlog[Requirement ID],0))&lt;=20,3,5))))),"")</f>
        <v/>
      </c>
    </row>
    <row r="180" customFormat="false" ht="15" hidden="true" customHeight="true" outlineLevel="0" collapsed="false">
      <c r="A180" s="1" t="str">
        <f aca="false">Backlog!A180</f>
        <v/>
      </c>
      <c r="B180" s="49"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J180" s="1" t="str">
        <f aca="false">IFERROR(IF(ISBLANK(INDEX(Backlog[Priority],MATCH($A180,Backlog[Requirement ID],0))),"",INDEX(Backlog[Priority],MATCH($A180,Backlog[Requirement ID],0))),"")</f>
        <v/>
      </c>
      <c r="L180" s="1" t="str">
        <f aca="false">IFERROR(IF(ISBLANK(INDEX(Backlog[HLE],MATCH($A180,Backlog[Requirement ID],0))),"",IF(INDEX(Backlog[HLE],MATCH($A180,Backlog[Requirement ID],0))&lt;=5,0.5,IF(INDEX(Backlog[HLE],MATCH($A180,Backlog[Requirement ID],0))&lt;=8,1,IF(INDEX(Backlog[HLE],MATCH($A180,Backlog[Requirement ID],0))&lt;=13,2,IF(INDEX(Backlog[HLE],MATCH($A180,Backlog[Requirement ID],0))&lt;=20,3,5))))),"")</f>
        <v/>
      </c>
    </row>
    <row r="181" customFormat="false" ht="15" hidden="true" customHeight="true" outlineLevel="0" collapsed="false">
      <c r="A181" s="1" t="str">
        <f aca="false">Backlog!A181</f>
        <v/>
      </c>
      <c r="B181" s="49"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J181" s="1" t="str">
        <f aca="false">IFERROR(IF(ISBLANK(INDEX(Backlog[Priority],MATCH($A181,Backlog[Requirement ID],0))),"",INDEX(Backlog[Priority],MATCH($A181,Backlog[Requirement ID],0))),"")</f>
        <v/>
      </c>
      <c r="L181" s="1" t="str">
        <f aca="false">IFERROR(IF(ISBLANK(INDEX(Backlog[HLE],MATCH($A181,Backlog[Requirement ID],0))),"",IF(INDEX(Backlog[HLE],MATCH($A181,Backlog[Requirement ID],0))&lt;=5,0.5,IF(INDEX(Backlog[HLE],MATCH($A181,Backlog[Requirement ID],0))&lt;=8,1,IF(INDEX(Backlog[HLE],MATCH($A181,Backlog[Requirement ID],0))&lt;=13,2,IF(INDEX(Backlog[HLE],MATCH($A181,Backlog[Requirement ID],0))&lt;=20,3,5))))),"")</f>
        <v/>
      </c>
    </row>
    <row r="182" customFormat="false" ht="15" hidden="true" customHeight="true" outlineLevel="0" collapsed="false">
      <c r="A182" s="1" t="str">
        <f aca="false">Backlog!A182</f>
        <v/>
      </c>
      <c r="B182" s="49"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J182" s="1" t="str">
        <f aca="false">IFERROR(IF(ISBLANK(INDEX(Backlog[Priority],MATCH($A182,Backlog[Requirement ID],0))),"",INDEX(Backlog[Priority],MATCH($A182,Backlog[Requirement ID],0))),"")</f>
        <v/>
      </c>
      <c r="L182" s="1" t="str">
        <f aca="false">IFERROR(IF(ISBLANK(INDEX(Backlog[HLE],MATCH($A182,Backlog[Requirement ID],0))),"",IF(INDEX(Backlog[HLE],MATCH($A182,Backlog[Requirement ID],0))&lt;=5,0.5,IF(INDEX(Backlog[HLE],MATCH($A182,Backlog[Requirement ID],0))&lt;=8,1,IF(INDEX(Backlog[HLE],MATCH($A182,Backlog[Requirement ID],0))&lt;=13,2,IF(INDEX(Backlog[HLE],MATCH($A182,Backlog[Requirement ID],0))&lt;=20,3,5))))),"")</f>
        <v/>
      </c>
    </row>
    <row r="183" customFormat="false" ht="15" hidden="true" customHeight="true" outlineLevel="0" collapsed="false">
      <c r="A183" s="1" t="str">
        <f aca="false">Backlog!A183</f>
        <v/>
      </c>
      <c r="B183" s="49"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J183" s="1" t="str">
        <f aca="false">IFERROR(IF(ISBLANK(INDEX(Backlog[Priority],MATCH($A183,Backlog[Requirement ID],0))),"",INDEX(Backlog[Priority],MATCH($A183,Backlog[Requirement ID],0))),"")</f>
        <v/>
      </c>
      <c r="L183" s="1" t="str">
        <f aca="false">IFERROR(IF(ISBLANK(INDEX(Backlog[HLE],MATCH($A183,Backlog[Requirement ID],0))),"",IF(INDEX(Backlog[HLE],MATCH($A183,Backlog[Requirement ID],0))&lt;=5,0.5,IF(INDEX(Backlog[HLE],MATCH($A183,Backlog[Requirement ID],0))&lt;=8,1,IF(INDEX(Backlog[HLE],MATCH($A183,Backlog[Requirement ID],0))&lt;=13,2,IF(INDEX(Backlog[HLE],MATCH($A183,Backlog[Requirement ID],0))&lt;=20,3,5))))),"")</f>
        <v/>
      </c>
    </row>
    <row r="184" customFormat="false" ht="15" hidden="true" customHeight="true" outlineLevel="0" collapsed="false">
      <c r="A184" s="1" t="str">
        <f aca="false">Backlog!A184</f>
        <v/>
      </c>
      <c r="B184" s="49"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J184" s="1" t="str">
        <f aca="false">IFERROR(IF(ISBLANK(INDEX(Backlog[Priority],MATCH($A184,Backlog[Requirement ID],0))),"",INDEX(Backlog[Priority],MATCH($A184,Backlog[Requirement ID],0))),"")</f>
        <v/>
      </c>
      <c r="L184" s="1" t="str">
        <f aca="false">IFERROR(IF(ISBLANK(INDEX(Backlog[HLE],MATCH($A184,Backlog[Requirement ID],0))),"",IF(INDEX(Backlog[HLE],MATCH($A184,Backlog[Requirement ID],0))&lt;=5,0.5,IF(INDEX(Backlog[HLE],MATCH($A184,Backlog[Requirement ID],0))&lt;=8,1,IF(INDEX(Backlog[HLE],MATCH($A184,Backlog[Requirement ID],0))&lt;=13,2,IF(INDEX(Backlog[HLE],MATCH($A184,Backlog[Requirement ID],0))&lt;=20,3,5))))),"")</f>
        <v/>
      </c>
    </row>
    <row r="185" customFormat="false" ht="15" hidden="true" customHeight="true" outlineLevel="0" collapsed="false">
      <c r="A185" s="1" t="str">
        <f aca="false">Backlog!A185</f>
        <v/>
      </c>
      <c r="B185" s="49"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J185" s="1" t="str">
        <f aca="false">IFERROR(IF(ISBLANK(INDEX(Backlog[Priority],MATCH($A185,Backlog[Requirement ID],0))),"",INDEX(Backlog[Priority],MATCH($A185,Backlog[Requirement ID],0))),"")</f>
        <v/>
      </c>
      <c r="L185" s="1" t="str">
        <f aca="false">IFERROR(IF(ISBLANK(INDEX(Backlog[HLE],MATCH($A185,Backlog[Requirement ID],0))),"",IF(INDEX(Backlog[HLE],MATCH($A185,Backlog[Requirement ID],0))&lt;=5,0.5,IF(INDEX(Backlog[HLE],MATCH($A185,Backlog[Requirement ID],0))&lt;=8,1,IF(INDEX(Backlog[HLE],MATCH($A185,Backlog[Requirement ID],0))&lt;=13,2,IF(INDEX(Backlog[HLE],MATCH($A185,Backlog[Requirement ID],0))&lt;=20,3,5))))),"")</f>
        <v/>
      </c>
    </row>
    <row r="186" customFormat="false" ht="15" hidden="true" customHeight="true" outlineLevel="0" collapsed="false">
      <c r="A186" s="1" t="str">
        <f aca="false">Backlog!A186</f>
        <v/>
      </c>
      <c r="B186" s="49"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J186" s="1" t="str">
        <f aca="false">IFERROR(IF(ISBLANK(INDEX(Backlog[Priority],MATCH($A186,Backlog[Requirement ID],0))),"",INDEX(Backlog[Priority],MATCH($A186,Backlog[Requirement ID],0))),"")</f>
        <v/>
      </c>
      <c r="L186" s="1" t="str">
        <f aca="false">IFERROR(IF(ISBLANK(INDEX(Backlog[HLE],MATCH($A186,Backlog[Requirement ID],0))),"",IF(INDEX(Backlog[HLE],MATCH($A186,Backlog[Requirement ID],0))&lt;=5,0.5,IF(INDEX(Backlog[HLE],MATCH($A186,Backlog[Requirement ID],0))&lt;=8,1,IF(INDEX(Backlog[HLE],MATCH($A186,Backlog[Requirement ID],0))&lt;=13,2,IF(INDEX(Backlog[HLE],MATCH($A186,Backlog[Requirement ID],0))&lt;=20,3,5))))),"")</f>
        <v/>
      </c>
    </row>
    <row r="187" customFormat="false" ht="15" hidden="true" customHeight="true" outlineLevel="0" collapsed="false">
      <c r="A187" s="1" t="str">
        <f aca="false">Backlog!A187</f>
        <v/>
      </c>
      <c r="B187" s="49"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J187" s="1" t="str">
        <f aca="false">IFERROR(IF(ISBLANK(INDEX(Backlog[Priority],MATCH($A187,Backlog[Requirement ID],0))),"",INDEX(Backlog[Priority],MATCH($A187,Backlog[Requirement ID],0))),"")</f>
        <v/>
      </c>
      <c r="L187" s="1" t="str">
        <f aca="false">IFERROR(IF(ISBLANK(INDEX(Backlog[HLE],MATCH($A187,Backlog[Requirement ID],0))),"",IF(INDEX(Backlog[HLE],MATCH($A187,Backlog[Requirement ID],0))&lt;=5,0.5,IF(INDEX(Backlog[HLE],MATCH($A187,Backlog[Requirement ID],0))&lt;=8,1,IF(INDEX(Backlog[HLE],MATCH($A187,Backlog[Requirement ID],0))&lt;=13,2,IF(INDEX(Backlog[HLE],MATCH($A187,Backlog[Requirement ID],0))&lt;=20,3,5))))),"")</f>
        <v/>
      </c>
    </row>
    <row r="188" customFormat="false" ht="15" hidden="true" customHeight="true" outlineLevel="0" collapsed="false">
      <c r="A188" s="1" t="str">
        <f aca="false">Backlog!A188</f>
        <v/>
      </c>
      <c r="B188" s="49"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J188" s="1" t="str">
        <f aca="false">IFERROR(IF(ISBLANK(INDEX(Backlog[Priority],MATCH($A188,Backlog[Requirement ID],0))),"",INDEX(Backlog[Priority],MATCH($A188,Backlog[Requirement ID],0))),"")</f>
        <v/>
      </c>
      <c r="L188" s="1" t="str">
        <f aca="false">IFERROR(IF(ISBLANK(INDEX(Backlog[HLE],MATCH($A188,Backlog[Requirement ID],0))),"",IF(INDEX(Backlog[HLE],MATCH($A188,Backlog[Requirement ID],0))&lt;=5,0.5,IF(INDEX(Backlog[HLE],MATCH($A188,Backlog[Requirement ID],0))&lt;=8,1,IF(INDEX(Backlog[HLE],MATCH($A188,Backlog[Requirement ID],0))&lt;=13,2,IF(INDEX(Backlog[HLE],MATCH($A188,Backlog[Requirement ID],0))&lt;=20,3,5))))),"")</f>
        <v/>
      </c>
    </row>
    <row r="189" customFormat="false" ht="15" hidden="true" customHeight="true" outlineLevel="0" collapsed="false">
      <c r="A189" s="1" t="str">
        <f aca="false">Backlog!A189</f>
        <v/>
      </c>
      <c r="B189" s="49"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J189" s="1" t="str">
        <f aca="false">IFERROR(IF(ISBLANK(INDEX(Backlog[Priority],MATCH($A189,Backlog[Requirement ID],0))),"",INDEX(Backlog[Priority],MATCH($A189,Backlog[Requirement ID],0))),"")</f>
        <v/>
      </c>
      <c r="L189" s="1" t="str">
        <f aca="false">IFERROR(IF(ISBLANK(INDEX(Backlog[HLE],MATCH($A189,Backlog[Requirement ID],0))),"",IF(INDEX(Backlog[HLE],MATCH($A189,Backlog[Requirement ID],0))&lt;=5,0.5,IF(INDEX(Backlog[HLE],MATCH($A189,Backlog[Requirement ID],0))&lt;=8,1,IF(INDEX(Backlog[HLE],MATCH($A189,Backlog[Requirement ID],0))&lt;=13,2,IF(INDEX(Backlog[HLE],MATCH($A189,Backlog[Requirement ID],0))&lt;=20,3,5))))),"")</f>
        <v/>
      </c>
    </row>
    <row r="190" customFormat="false" ht="15" hidden="true" customHeight="true" outlineLevel="0" collapsed="false">
      <c r="A190" s="1" t="str">
        <f aca="false">Backlog!A190</f>
        <v/>
      </c>
      <c r="B190" s="49"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J190" s="1" t="str">
        <f aca="false">IFERROR(IF(ISBLANK(INDEX(Backlog[Priority],MATCH($A190,Backlog[Requirement ID],0))),"",INDEX(Backlog[Priority],MATCH($A190,Backlog[Requirement ID],0))),"")</f>
        <v/>
      </c>
      <c r="L190" s="1" t="str">
        <f aca="false">IFERROR(IF(ISBLANK(INDEX(Backlog[HLE],MATCH($A190,Backlog[Requirement ID],0))),"",IF(INDEX(Backlog[HLE],MATCH($A190,Backlog[Requirement ID],0))&lt;=5,0.5,IF(INDEX(Backlog[HLE],MATCH($A190,Backlog[Requirement ID],0))&lt;=8,1,IF(INDEX(Backlog[HLE],MATCH($A190,Backlog[Requirement ID],0))&lt;=13,2,IF(INDEX(Backlog[HLE],MATCH($A190,Backlog[Requirement ID],0))&lt;=20,3,5))))),"")</f>
        <v/>
      </c>
    </row>
    <row r="191" customFormat="false" ht="15" hidden="true" customHeight="true" outlineLevel="0" collapsed="false">
      <c r="A191" s="1" t="str">
        <f aca="false">Backlog!A191</f>
        <v/>
      </c>
      <c r="B191" s="49"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J191" s="1" t="str">
        <f aca="false">IFERROR(IF(ISBLANK(INDEX(Backlog[Priority],MATCH($A191,Backlog[Requirement ID],0))),"",INDEX(Backlog[Priority],MATCH($A191,Backlog[Requirement ID],0))),"")</f>
        <v/>
      </c>
      <c r="L191" s="1" t="str">
        <f aca="false">IFERROR(IF(ISBLANK(INDEX(Backlog[HLE],MATCH($A191,Backlog[Requirement ID],0))),"",IF(INDEX(Backlog[HLE],MATCH($A191,Backlog[Requirement ID],0))&lt;=5,0.5,IF(INDEX(Backlog[HLE],MATCH($A191,Backlog[Requirement ID],0))&lt;=8,1,IF(INDEX(Backlog[HLE],MATCH($A191,Backlog[Requirement ID],0))&lt;=13,2,IF(INDEX(Backlog[HLE],MATCH($A191,Backlog[Requirement ID],0))&lt;=20,3,5))))),"")</f>
        <v/>
      </c>
    </row>
    <row r="192" customFormat="false" ht="15" hidden="true" customHeight="true" outlineLevel="0" collapsed="false">
      <c r="A192" s="1" t="str">
        <f aca="false">Backlog!A192</f>
        <v/>
      </c>
      <c r="B192" s="49"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J192" s="1" t="str">
        <f aca="false">IFERROR(IF(ISBLANK(INDEX(Backlog[Priority],MATCH($A192,Backlog[Requirement ID],0))),"",INDEX(Backlog[Priority],MATCH($A192,Backlog[Requirement ID],0))),"")</f>
        <v/>
      </c>
      <c r="L192" s="1" t="str">
        <f aca="false">IFERROR(IF(ISBLANK(INDEX(Backlog[HLE],MATCH($A192,Backlog[Requirement ID],0))),"",IF(INDEX(Backlog[HLE],MATCH($A192,Backlog[Requirement ID],0))&lt;=5,0.5,IF(INDEX(Backlog[HLE],MATCH($A192,Backlog[Requirement ID],0))&lt;=8,1,IF(INDEX(Backlog[HLE],MATCH($A192,Backlog[Requirement ID],0))&lt;=13,2,IF(INDEX(Backlog[HLE],MATCH($A192,Backlog[Requirement ID],0))&lt;=20,3,5))))),"")</f>
        <v/>
      </c>
    </row>
    <row r="193" customFormat="false" ht="15" hidden="true" customHeight="true" outlineLevel="0" collapsed="false">
      <c r="A193" s="1" t="str">
        <f aca="false">Backlog!A193</f>
        <v/>
      </c>
      <c r="B193" s="49"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J193" s="1" t="str">
        <f aca="false">IFERROR(IF(ISBLANK(INDEX(Backlog[Priority],MATCH($A193,Backlog[Requirement ID],0))),"",INDEX(Backlog[Priority],MATCH($A193,Backlog[Requirement ID],0))),"")</f>
        <v/>
      </c>
      <c r="L193" s="1" t="str">
        <f aca="false">IFERROR(IF(ISBLANK(INDEX(Backlog[HLE],MATCH($A193,Backlog[Requirement ID],0))),"",IF(INDEX(Backlog[HLE],MATCH($A193,Backlog[Requirement ID],0))&lt;=5,0.5,IF(INDEX(Backlog[HLE],MATCH($A193,Backlog[Requirement ID],0))&lt;=8,1,IF(INDEX(Backlog[HLE],MATCH($A193,Backlog[Requirement ID],0))&lt;=13,2,IF(INDEX(Backlog[HLE],MATCH($A193,Backlog[Requirement ID],0))&lt;=20,3,5))))),"")</f>
        <v/>
      </c>
    </row>
    <row r="194" customFormat="false" ht="15" hidden="true" customHeight="true" outlineLevel="0" collapsed="false">
      <c r="A194" s="1" t="str">
        <f aca="false">Backlog!A194</f>
        <v/>
      </c>
      <c r="B194" s="49"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J194" s="1" t="str">
        <f aca="false">IFERROR(IF(ISBLANK(INDEX(Backlog[Priority],MATCH($A194,Backlog[Requirement ID],0))),"",INDEX(Backlog[Priority],MATCH($A194,Backlog[Requirement ID],0))),"")</f>
        <v/>
      </c>
      <c r="L194" s="1" t="str">
        <f aca="false">IFERROR(IF(ISBLANK(INDEX(Backlog[HLE],MATCH($A194,Backlog[Requirement ID],0))),"",IF(INDEX(Backlog[HLE],MATCH($A194,Backlog[Requirement ID],0))&lt;=5,0.5,IF(INDEX(Backlog[HLE],MATCH($A194,Backlog[Requirement ID],0))&lt;=8,1,IF(INDEX(Backlog[HLE],MATCH($A194,Backlog[Requirement ID],0))&lt;=13,2,IF(INDEX(Backlog[HLE],MATCH($A194,Backlog[Requirement ID],0))&lt;=20,3,5))))),"")</f>
        <v/>
      </c>
    </row>
    <row r="195" customFormat="false" ht="15" hidden="true" customHeight="true" outlineLevel="0" collapsed="false">
      <c r="A195" s="1" t="str">
        <f aca="false">Backlog!A195</f>
        <v/>
      </c>
      <c r="B195" s="49"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J195" s="1" t="str">
        <f aca="false">IFERROR(IF(ISBLANK(INDEX(Backlog[Priority],MATCH($A195,Backlog[Requirement ID],0))),"",INDEX(Backlog[Priority],MATCH($A195,Backlog[Requirement ID],0))),"")</f>
        <v/>
      </c>
      <c r="L195" s="1" t="str">
        <f aca="false">IFERROR(IF(ISBLANK(INDEX(Backlog[HLE],MATCH($A195,Backlog[Requirement ID],0))),"",IF(INDEX(Backlog[HLE],MATCH($A195,Backlog[Requirement ID],0))&lt;=5,0.5,IF(INDEX(Backlog[HLE],MATCH($A195,Backlog[Requirement ID],0))&lt;=8,1,IF(INDEX(Backlog[HLE],MATCH($A195,Backlog[Requirement ID],0))&lt;=13,2,IF(INDEX(Backlog[HLE],MATCH($A195,Backlog[Requirement ID],0))&lt;=20,3,5))))),"")</f>
        <v/>
      </c>
    </row>
    <row r="196" customFormat="false" ht="15" hidden="true" customHeight="true" outlineLevel="0" collapsed="false">
      <c r="A196" s="1" t="str">
        <f aca="false">Backlog!A196</f>
        <v/>
      </c>
      <c r="B196" s="49"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J196" s="1" t="str">
        <f aca="false">IFERROR(IF(ISBLANK(INDEX(Backlog[Priority],MATCH($A196,Backlog[Requirement ID],0))),"",INDEX(Backlog[Priority],MATCH($A196,Backlog[Requirement ID],0))),"")</f>
        <v/>
      </c>
      <c r="L196" s="1" t="str">
        <f aca="false">IFERROR(IF(ISBLANK(INDEX(Backlog[HLE],MATCH($A196,Backlog[Requirement ID],0))),"",IF(INDEX(Backlog[HLE],MATCH($A196,Backlog[Requirement ID],0))&lt;=5,0.5,IF(INDEX(Backlog[HLE],MATCH($A196,Backlog[Requirement ID],0))&lt;=8,1,IF(INDEX(Backlog[HLE],MATCH($A196,Backlog[Requirement ID],0))&lt;=13,2,IF(INDEX(Backlog[HLE],MATCH($A196,Backlog[Requirement ID],0))&lt;=20,3,5))))),"")</f>
        <v/>
      </c>
    </row>
    <row r="197" customFormat="false" ht="15" hidden="true" customHeight="true" outlineLevel="0" collapsed="false">
      <c r="A197" s="1" t="str">
        <f aca="false">Backlog!A197</f>
        <v/>
      </c>
      <c r="B197" s="49"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J197" s="1" t="str">
        <f aca="false">IFERROR(IF(ISBLANK(INDEX(Backlog[Priority],MATCH($A197,Backlog[Requirement ID],0))),"",INDEX(Backlog[Priority],MATCH($A197,Backlog[Requirement ID],0))),"")</f>
        <v/>
      </c>
      <c r="L197" s="1" t="str">
        <f aca="false">IFERROR(IF(ISBLANK(INDEX(Backlog[HLE],MATCH($A197,Backlog[Requirement ID],0))),"",IF(INDEX(Backlog[HLE],MATCH($A197,Backlog[Requirement ID],0))&lt;=5,0.5,IF(INDEX(Backlog[HLE],MATCH($A197,Backlog[Requirement ID],0))&lt;=8,1,IF(INDEX(Backlog[HLE],MATCH($A197,Backlog[Requirement ID],0))&lt;=13,2,IF(INDEX(Backlog[HLE],MATCH($A197,Backlog[Requirement ID],0))&lt;=20,3,5))))),"")</f>
        <v/>
      </c>
    </row>
    <row r="198" customFormat="false" ht="15" hidden="true" customHeight="true" outlineLevel="0" collapsed="false">
      <c r="A198" s="1" t="str">
        <f aca="false">Backlog!A198</f>
        <v/>
      </c>
      <c r="B198" s="49"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J198" s="1" t="str">
        <f aca="false">IFERROR(IF(ISBLANK(INDEX(Backlog[Priority],MATCH($A198,Backlog[Requirement ID],0))),"",INDEX(Backlog[Priority],MATCH($A198,Backlog[Requirement ID],0))),"")</f>
        <v/>
      </c>
      <c r="L198" s="1" t="str">
        <f aca="false">IFERROR(IF(ISBLANK(INDEX(Backlog[HLE],MATCH($A198,Backlog[Requirement ID],0))),"",IF(INDEX(Backlog[HLE],MATCH($A198,Backlog[Requirement ID],0))&lt;=5,0.5,IF(INDEX(Backlog[HLE],MATCH($A198,Backlog[Requirement ID],0))&lt;=8,1,IF(INDEX(Backlog[HLE],MATCH($A198,Backlog[Requirement ID],0))&lt;=13,2,IF(INDEX(Backlog[HLE],MATCH($A198,Backlog[Requirement ID],0))&lt;=20,3,5))))),"")</f>
        <v/>
      </c>
    </row>
    <row r="199" customFormat="false" ht="15" hidden="true" customHeight="true" outlineLevel="0" collapsed="false">
      <c r="A199" s="1" t="str">
        <f aca="false">Backlog!A199</f>
        <v/>
      </c>
      <c r="B199" s="49"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66"/>
      <c r="I199" s="56" t="s">
        <v>439</v>
      </c>
      <c r="J199" s="1" t="str">
        <f aca="false">IFERROR(IF(ISBLANK(INDEX(Backlog[Priority],MATCH($A199,Backlog[Requirement ID],0))),"",INDEX(Backlog[Priority],MATCH($A199,Backlog[Requirement ID],0))),"")</f>
        <v/>
      </c>
      <c r="K199" s="1" t="s">
        <v>437</v>
      </c>
      <c r="L199" s="1" t="str">
        <f aca="false">IFERROR(IF(ISBLANK(INDEX(Backlog[HLE],MATCH($A199,Backlog[Requirement ID],0))),"",IF(INDEX(Backlog[HLE],MATCH($A199,Backlog[Requirement ID],0))&lt;=5,0.5,IF(INDEX(Backlog[HLE],MATCH($A199,Backlog[Requirement ID],0))&lt;=8,1,IF(INDEX(Backlog[HLE],MATCH($A199,Backlog[Requirement ID],0))&lt;=13,2,IF(INDEX(Backlog[HLE],MATCH($A199,Backlog[Requirement ID],0))&lt;=20,3,5))))),"")</f>
        <v/>
      </c>
      <c r="N199" s="1" t="s">
        <v>440</v>
      </c>
    </row>
    <row r="200" customFormat="false" ht="23.25" hidden="true" customHeight="true" outlineLevel="0" collapsed="false">
      <c r="A200" s="1" t="str">
        <f aca="false">Backlog!A200</f>
        <v/>
      </c>
      <c r="B200" s="49"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66"/>
      <c r="J200" s="1" t="str">
        <f aca="false">IFERROR(IF(ISBLANK(INDEX(Backlog[Priority],MATCH($A200,Backlog[Requirement ID],0))),"",INDEX(Backlog[Priority],MATCH($A200,Backlog[Requirement ID],0))),"")</f>
        <v/>
      </c>
      <c r="L200" s="1" t="str">
        <f aca="false">IFERROR(IF(ISBLANK(INDEX(Backlog[HLE],MATCH($A200,Backlog[Requirement ID],0))),"",IF(INDEX(Backlog[HLE],MATCH($A200,Backlog[Requirement ID],0))&lt;=5,0.5,IF(INDEX(Backlog[HLE],MATCH($A200,Backlog[Requirement ID],0))&lt;=8,1,IF(INDEX(Backlog[HLE],MATCH($A200,Backlog[Requirement ID],0))&lt;=13,2,IF(INDEX(Backlog[HLE],MATCH($A200,Backlog[Requirement ID],0))&lt;=20,3,5))))),"")</f>
        <v/>
      </c>
    </row>
    <row r="201" customFormat="false" ht="15" hidden="true" customHeight="true" outlineLevel="0" collapsed="false">
      <c r="A201" s="1" t="str">
        <f aca="false">Backlog!A201</f>
        <v/>
      </c>
      <c r="B201" s="49"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66"/>
      <c r="J201" s="1" t="str">
        <f aca="false">IFERROR(IF(ISBLANK(INDEX(Backlog[Priority],MATCH($A201,Backlog[Requirement ID],0))),"",INDEX(Backlog[Priority],MATCH($A201,Backlog[Requirement ID],0))),"")</f>
        <v/>
      </c>
      <c r="L201" s="1" t="str">
        <f aca="false">IFERROR(IF(ISBLANK(INDEX(Backlog[HLE],MATCH($A201,Backlog[Requirement ID],0))),"",IF(INDEX(Backlog[HLE],MATCH($A201,Backlog[Requirement ID],0))&lt;=5,0.5,IF(INDEX(Backlog[HLE],MATCH($A201,Backlog[Requirement ID],0))&lt;=8,1,IF(INDEX(Backlog[HLE],MATCH($A201,Backlog[Requirement ID],0))&lt;=13,2,IF(INDEX(Backlog[HLE],MATCH($A201,Backlog[Requirement ID],0))&lt;=20,3,5))))),"")</f>
        <v/>
      </c>
    </row>
    <row r="202" customFormat="false" ht="15" hidden="true" customHeight="true" outlineLevel="0" collapsed="false">
      <c r="A202" s="1" t="str">
        <f aca="false">Backlog!A202</f>
        <v/>
      </c>
      <c r="B202" s="49"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66"/>
      <c r="J202" s="1" t="str">
        <f aca="false">IFERROR(IF(ISBLANK(INDEX(Backlog[Priority],MATCH($A202,Backlog[Requirement ID],0))),"",INDEX(Backlog[Priority],MATCH($A202,Backlog[Requirement ID],0))),"")</f>
        <v/>
      </c>
      <c r="L202" s="1" t="str">
        <f aca="false">IFERROR(IF(ISBLANK(INDEX(Backlog[HLE],MATCH($A202,Backlog[Requirement ID],0))),"",IF(INDEX(Backlog[HLE],MATCH($A202,Backlog[Requirement ID],0))&lt;=5,0.5,IF(INDEX(Backlog[HLE],MATCH($A202,Backlog[Requirement ID],0))&lt;=8,1,IF(INDEX(Backlog[HLE],MATCH($A202,Backlog[Requirement ID],0))&lt;=13,2,IF(INDEX(Backlog[HLE],MATCH($A202,Backlog[Requirement ID],0))&lt;=20,3,5))))),"")</f>
        <v/>
      </c>
    </row>
    <row r="203" customFormat="false" ht="15" hidden="true" customHeight="true" outlineLevel="0" collapsed="false">
      <c r="A203" s="1" t="str">
        <f aca="false">Backlog!A203</f>
        <v/>
      </c>
      <c r="B203" s="49"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66"/>
      <c r="I203" s="56" t="s">
        <v>439</v>
      </c>
      <c r="J203" s="1" t="str">
        <f aca="false">IFERROR(IF(ISBLANK(INDEX(Backlog[Priority],MATCH($A203,Backlog[Requirement ID],0))),"",INDEX(Backlog[Priority],MATCH($A203,Backlog[Requirement ID],0))),"")</f>
        <v/>
      </c>
      <c r="K203" s="1" t="s">
        <v>437</v>
      </c>
      <c r="L203" s="1" t="str">
        <f aca="false">IFERROR(IF(ISBLANK(INDEX(Backlog[HLE],MATCH($A203,Backlog[Requirement ID],0))),"",IF(INDEX(Backlog[HLE],MATCH($A203,Backlog[Requirement ID],0))&lt;=5,0.5,IF(INDEX(Backlog[HLE],MATCH($A203,Backlog[Requirement ID],0))&lt;=8,1,IF(INDEX(Backlog[HLE],MATCH($A203,Backlog[Requirement ID],0))&lt;=13,2,IF(INDEX(Backlog[HLE],MATCH($A203,Backlog[Requirement ID],0))&lt;=20,3,5))))),"")</f>
        <v/>
      </c>
      <c r="N203" s="67" t="s">
        <v>441</v>
      </c>
    </row>
    <row r="204" customFormat="false" ht="15" hidden="true" customHeight="true" outlineLevel="0" collapsed="false">
      <c r="A204" s="1" t="str">
        <f aca="false">Backlog!A204</f>
        <v/>
      </c>
      <c r="B204" s="49"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66"/>
      <c r="J204" s="1" t="str">
        <f aca="false">IFERROR(IF(ISBLANK(INDEX(Backlog[Priority],MATCH($A204,Backlog[Requirement ID],0))),"",INDEX(Backlog[Priority],MATCH($A204,Backlog[Requirement ID],0))),"")</f>
        <v/>
      </c>
      <c r="K204" s="1" t="s">
        <v>435</v>
      </c>
      <c r="L204" s="1" t="str">
        <f aca="false">IFERROR(IF(ISBLANK(INDEX(Backlog[HLE],MATCH($A204,Backlog[Requirement ID],0))),"",IF(INDEX(Backlog[HLE],MATCH($A204,Backlog[Requirement ID],0))&lt;=5,0.5,IF(INDEX(Backlog[HLE],MATCH($A204,Backlog[Requirement ID],0))&lt;=8,1,IF(INDEX(Backlog[HLE],MATCH($A204,Backlog[Requirement ID],0))&lt;=13,2,IF(INDEX(Backlog[HLE],MATCH($A204,Backlog[Requirement ID],0))&lt;=20,3,5))))),"")</f>
        <v/>
      </c>
    </row>
    <row r="205" customFormat="false" ht="15" hidden="true" customHeight="true" outlineLevel="0" collapsed="false">
      <c r="A205" s="1" t="str">
        <f aca="false">Backlog!A205</f>
        <v/>
      </c>
      <c r="B205" s="49"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G205" s="56" t="s">
        <v>395</v>
      </c>
      <c r="H205" s="66"/>
      <c r="I205" s="56" t="s">
        <v>442</v>
      </c>
      <c r="J205" s="1" t="str">
        <f aca="false">IFERROR(IF(ISBLANK(INDEX(Backlog[Priority],MATCH($A205,Backlog[Requirement ID],0))),"",INDEX(Backlog[Priority],MATCH($A205,Backlog[Requirement ID],0))),"")</f>
        <v/>
      </c>
      <c r="K205" s="1" t="s">
        <v>437</v>
      </c>
      <c r="L205" s="1" t="str">
        <f aca="false">IFERROR(IF(ISBLANK(INDEX(Backlog[HLE],MATCH($A205,Backlog[Requirement ID],0))),"",IF(INDEX(Backlog[HLE],MATCH($A205,Backlog[Requirement ID],0))&lt;=5,0.5,IF(INDEX(Backlog[HLE],MATCH($A205,Backlog[Requirement ID],0))&lt;=8,1,IF(INDEX(Backlog[HLE],MATCH($A205,Backlog[Requirement ID],0))&lt;=13,2,IF(INDEX(Backlog[HLE],MATCH($A205,Backlog[Requirement ID],0))&lt;=20,3,5))))),"")</f>
        <v/>
      </c>
      <c r="N205" s="1" t="s">
        <v>443</v>
      </c>
    </row>
    <row r="206" customFormat="false" ht="15" hidden="true" customHeight="true" outlineLevel="0" collapsed="false">
      <c r="A206" s="1" t="str">
        <f aca="false">Backlog!A206</f>
        <v/>
      </c>
      <c r="B206" s="49"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G206" s="56" t="s">
        <v>395</v>
      </c>
      <c r="H206" s="66"/>
      <c r="J206" s="1" t="str">
        <f aca="false">IFERROR(IF(ISBLANK(INDEX(Backlog[Priority],MATCH($A206,Backlog[Requirement ID],0))),"",INDEX(Backlog[Priority],MATCH($A206,Backlog[Requirement ID],0))),"")</f>
        <v/>
      </c>
      <c r="K206" s="1" t="s">
        <v>437</v>
      </c>
      <c r="L206" s="1" t="str">
        <f aca="false">IFERROR(IF(ISBLANK(INDEX(Backlog[HLE],MATCH($A206,Backlog[Requirement ID],0))),"",IF(INDEX(Backlog[HLE],MATCH($A206,Backlog[Requirement ID],0))&lt;=5,0.5,IF(INDEX(Backlog[HLE],MATCH($A206,Backlog[Requirement ID],0))&lt;=8,1,IF(INDEX(Backlog[HLE],MATCH($A206,Backlog[Requirement ID],0))&lt;=13,2,IF(INDEX(Backlog[HLE],MATCH($A206,Backlog[Requirement ID],0))&lt;=20,3,5))))),"")</f>
        <v/>
      </c>
    </row>
    <row r="207" customFormat="false" ht="15" hidden="true" customHeight="true" outlineLevel="0" collapsed="false">
      <c r="A207" s="46" t="str">
        <f aca="false">Backlog!A207</f>
        <v/>
      </c>
      <c r="B207" s="68" t="str">
        <f aca="false">IFERROR(IF(ISBLANK(INDEX(Backlog[Requirement Name],MATCH($A207,Backlog[Requirement ID],0))),"",INDEX(Backlog[Requirement Name],MATCH($A207,Backlog[Requirement ID],0))),"")</f>
        <v/>
      </c>
      <c r="C207" s="69" t="str">
        <f aca="false">IFERROR(IF(ISBLANK(INDEX(Backlog[Stream],MATCH($A207,Backlog[Requirement ID],0))),"",INDEX(Backlog[Stream],MATCH($A207,Backlog[Requirement ID],0))),"")</f>
        <v/>
      </c>
      <c r="D207" s="69" t="str">
        <f aca="false">IFERROR(IF(ISBLANK(INDEX(Backlog[Jira Link],MATCH($A207,Backlog[Requirement ID],0))),"",INDEX(Backlog[Jira Link],MATCH($A207,Backlog[Requirement ID],0))),"")</f>
        <v/>
      </c>
      <c r="E207" s="69" t="str">
        <f aca="false">IFERROR(IF(ISBLANK(INDEX(Backlog[Status],MATCH($A207,Backlog[Requirement ID],0))),"",INDEX(Backlog[Status],MATCH($A207,Backlog[Requirement ID],0))),"")</f>
        <v/>
      </c>
      <c r="F207" s="69" t="str">
        <f aca="false">IFERROR(IF(ISBLANK(INDEX(SprintPlanning[Sprint],MATCH($A207,SprintPlanning[Requirement ID],0))),"",INDEX(SprintPlanning[Sprint],MATCH($A207,SprintPlanning[Requirement ID],0))),"")</f>
        <v/>
      </c>
      <c r="G207" s="70" t="s">
        <v>83</v>
      </c>
      <c r="H207" s="71"/>
      <c r="I207" s="70" t="s">
        <v>442</v>
      </c>
      <c r="J207" s="69" t="str">
        <f aca="false">IFERROR(IF(ISBLANK(INDEX(Backlog[Priority],MATCH($A207,Backlog[Requirement ID],0))),"",INDEX(Backlog[Priority],MATCH($A207,Backlog[Requirement ID],0))),"")</f>
        <v/>
      </c>
      <c r="K207" s="46" t="s">
        <v>437</v>
      </c>
      <c r="L207" s="1" t="str">
        <f aca="false">IFERROR(IF(ISBLANK(INDEX(Backlog[HLE],MATCH($A207,Backlog[Requirement ID],0))),"",IF(INDEX(Backlog[HLE],MATCH($A207,Backlog[Requirement ID],0))&lt;=5,0.5,IF(INDEX(Backlog[HLE],MATCH($A207,Backlog[Requirement ID],0))&lt;=8,1,IF(INDEX(Backlog[HLE],MATCH($A207,Backlog[Requirement ID],0))&lt;=13,2,IF(INDEX(Backlog[HLE],MATCH($A207,Backlog[Requirement ID],0))&lt;=20,3,5))))),"")</f>
        <v/>
      </c>
      <c r="M207" s="46"/>
    </row>
    <row r="208" customFormat="false" ht="15" hidden="true" customHeight="true" outlineLevel="0" collapsed="false">
      <c r="A208" s="1" t="str">
        <f aca="false">Backlog!A208</f>
        <v/>
      </c>
      <c r="B208" s="49"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G208" s="56" t="s">
        <v>395</v>
      </c>
      <c r="H208" s="66"/>
      <c r="J208" s="1" t="str">
        <f aca="false">IFERROR(IF(ISBLANK(INDEX(Backlog[Priority],MATCH($A208,Backlog[Requirement ID],0))),"",INDEX(Backlog[Priority],MATCH($A208,Backlog[Requirement ID],0))),"")</f>
        <v/>
      </c>
      <c r="K208" s="1" t="s">
        <v>437</v>
      </c>
      <c r="L208" s="1" t="str">
        <f aca="false">IFERROR(IF(ISBLANK(INDEX(Backlog[HLE],MATCH($A208,Backlog[Requirement ID],0))),"",IF(INDEX(Backlog[HLE],MATCH($A208,Backlog[Requirement ID],0))&lt;=5,0.5,IF(INDEX(Backlog[HLE],MATCH($A208,Backlog[Requirement ID],0))&lt;=8,1,IF(INDEX(Backlog[HLE],MATCH($A208,Backlog[Requirement ID],0))&lt;=13,2,IF(INDEX(Backlog[HLE],MATCH($A208,Backlog[Requirement ID],0))&lt;=20,3,5))))),"")</f>
        <v/>
      </c>
    </row>
    <row r="209" customFormat="false" ht="15" hidden="false" customHeight="true" outlineLevel="0" collapsed="false">
      <c r="A209" s="1" t="str">
        <f aca="false">Backlog!A209</f>
        <v/>
      </c>
      <c r="B209" s="49"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G209" s="56" t="s">
        <v>396</v>
      </c>
      <c r="H209" s="66"/>
      <c r="J209" s="1" t="str">
        <f aca="false">IFERROR(IF(ISBLANK(INDEX(Backlog[Priority],MATCH($A209,Backlog[Requirement ID],0))),"",INDEX(Backlog[Priority],MATCH($A209,Backlog[Requirement ID],0))),"")</f>
        <v/>
      </c>
      <c r="K209" s="1" t="s">
        <v>437</v>
      </c>
      <c r="L209" s="1" t="str">
        <f aca="false">IFERROR(IF(ISBLANK(INDEX(Backlog[HLE],MATCH($A209,Backlog[Requirement ID],0))),"",IF(INDEX(Backlog[HLE],MATCH($A209,Backlog[Requirement ID],0))&lt;=5,0.5,IF(INDEX(Backlog[HLE],MATCH($A209,Backlog[Requirement ID],0))&lt;=8,1,IF(INDEX(Backlog[HLE],MATCH($A209,Backlog[Requirement ID],0))&lt;=13,2,IF(INDEX(Backlog[HLE],MATCH($A209,Backlog[Requirement ID],0))&lt;=20,3,5))))),"")</f>
        <v/>
      </c>
    </row>
    <row r="210" customFormat="false" ht="15" hidden="false" customHeight="true" outlineLevel="0" collapsed="false">
      <c r="A210" s="46" t="str">
        <f aca="false">Backlog!A210</f>
        <v/>
      </c>
      <c r="B210" s="68" t="str">
        <f aca="false">IFERROR(IF(ISBLANK(INDEX(Backlog[Requirement Name],MATCH($A210,Backlog[Requirement ID],0))),"",INDEX(Backlog[Requirement Name],MATCH($A210,Backlog[Requirement ID],0))),"")</f>
        <v/>
      </c>
      <c r="C210" s="69" t="str">
        <f aca="false">IFERROR(IF(ISBLANK(INDEX(Backlog[Stream],MATCH($A210,Backlog[Requirement ID],0))),"",INDEX(Backlog[Stream],MATCH($A210,Backlog[Requirement ID],0))),"")</f>
        <v/>
      </c>
      <c r="D210" s="69" t="str">
        <f aca="false">IFERROR(IF(ISBLANK(INDEX(Backlog[Jira Link],MATCH($A210,Backlog[Requirement ID],0))),"",INDEX(Backlog[Jira Link],MATCH($A210,Backlog[Requirement ID],0))),"")</f>
        <v/>
      </c>
      <c r="E210" s="69" t="str">
        <f aca="false">IFERROR(IF(ISBLANK(INDEX(Backlog[Status],MATCH($A210,Backlog[Requirement ID],0))),"",INDEX(Backlog[Status],MATCH($A210,Backlog[Requirement ID],0))),"")</f>
        <v/>
      </c>
      <c r="F210" s="69" t="str">
        <f aca="false">IFERROR(IF(ISBLANK(INDEX(SprintPlanning[Sprint],MATCH($A210,SprintPlanning[Requirement ID],0))),"",INDEX(SprintPlanning[Sprint],MATCH($A210,SprintPlanning[Requirement ID],0))),"")</f>
        <v/>
      </c>
      <c r="G210" s="70"/>
      <c r="H210" s="71"/>
      <c r="I210" s="70"/>
      <c r="J210" s="69" t="str">
        <f aca="false">IFERROR(IF(ISBLANK(INDEX(Backlog[Priority],MATCH($A210,Backlog[Requirement ID],0))),"",INDEX(Backlog[Priority],MATCH($A210,Backlog[Requirement ID],0))),"")</f>
        <v/>
      </c>
      <c r="K210" s="46" t="s">
        <v>437</v>
      </c>
      <c r="L210" s="1" t="str">
        <f aca="false">IFERROR(IF(ISBLANK(INDEX(Backlog[HLE],MATCH($A210,Backlog[Requirement ID],0))),"",IF(INDEX(Backlog[HLE],MATCH($A210,Backlog[Requirement ID],0))&lt;=5,0.5,IF(INDEX(Backlog[HLE],MATCH($A210,Backlog[Requirement ID],0))&lt;=8,1,IF(INDEX(Backlog[HLE],MATCH($A210,Backlog[Requirement ID],0))&lt;=13,2,IF(INDEX(Backlog[HLE],MATCH($A210,Backlog[Requirement ID],0))&lt;=20,3,5))))),"")</f>
        <v/>
      </c>
      <c r="M210" s="46" t="s">
        <v>395</v>
      </c>
    </row>
    <row r="211" customFormat="false" ht="15" hidden="false" customHeight="true" outlineLevel="0" collapsed="false">
      <c r="A211" s="46" t="str">
        <f aca="false">Backlog!A211</f>
        <v/>
      </c>
      <c r="B211" s="68" t="str">
        <f aca="false">IFERROR(IF(ISBLANK(INDEX(Backlog[Requirement Name],MATCH($A211,Backlog[Requirement ID],0))),"",INDEX(Backlog[Requirement Name],MATCH($A211,Backlog[Requirement ID],0))),"")</f>
        <v/>
      </c>
      <c r="C211" s="69" t="str">
        <f aca="false">IFERROR(IF(ISBLANK(INDEX(Backlog[Stream],MATCH($A211,Backlog[Requirement ID],0))),"",INDEX(Backlog[Stream],MATCH($A211,Backlog[Requirement ID],0))),"")</f>
        <v/>
      </c>
      <c r="D211" s="69" t="str">
        <f aca="false">IFERROR(IF(ISBLANK(INDEX(Backlog[Jira Link],MATCH($A211,Backlog[Requirement ID],0))),"",INDEX(Backlog[Jira Link],MATCH($A211,Backlog[Requirement ID],0))),"")</f>
        <v/>
      </c>
      <c r="E211" s="69" t="str">
        <f aca="false">IFERROR(IF(ISBLANK(INDEX(Backlog[Status],MATCH($A211,Backlog[Requirement ID],0))),"",INDEX(Backlog[Status],MATCH($A211,Backlog[Requirement ID],0))),"")</f>
        <v/>
      </c>
      <c r="F211" s="69" t="str">
        <f aca="false">IFERROR(IF(ISBLANK(INDEX(SprintPlanning[Sprint],MATCH($A211,SprintPlanning[Requirement ID],0))),"",INDEX(SprintPlanning[Sprint],MATCH($A211,SprintPlanning[Requirement ID],0))),"")</f>
        <v/>
      </c>
      <c r="G211" s="70"/>
      <c r="H211" s="71"/>
      <c r="I211" s="70"/>
      <c r="J211" s="69" t="str">
        <f aca="false">IFERROR(IF(ISBLANK(INDEX(Backlog[Priority],MATCH($A211,Backlog[Requirement ID],0))),"",INDEX(Backlog[Priority],MATCH($A211,Backlog[Requirement ID],0))),"")</f>
        <v/>
      </c>
      <c r="K211" s="46" t="s">
        <v>438</v>
      </c>
      <c r="L211" s="1" t="str">
        <f aca="false">IFERROR(IF(ISBLANK(INDEX(Backlog[HLE],MATCH($A211,Backlog[Requirement ID],0))),"",IF(INDEX(Backlog[HLE],MATCH($A211,Backlog[Requirement ID],0))&lt;=5,0.5,IF(INDEX(Backlog[HLE],MATCH($A211,Backlog[Requirement ID],0))&lt;=8,1,IF(INDEX(Backlog[HLE],MATCH($A211,Backlog[Requirement ID],0))&lt;=13,2,IF(INDEX(Backlog[HLE],MATCH($A211,Backlog[Requirement ID],0))&lt;=20,3,5))))),"")</f>
        <v/>
      </c>
      <c r="M211" s="46"/>
    </row>
    <row r="212" customFormat="false" ht="15" hidden="false" customHeight="true" outlineLevel="0" collapsed="false">
      <c r="A212" s="46" t="str">
        <f aca="false">Backlog!A212</f>
        <v/>
      </c>
      <c r="B212" s="68" t="str">
        <f aca="false">IFERROR(IF(ISBLANK(INDEX(Backlog[Requirement Name],MATCH($A212,Backlog[Requirement ID],0))),"",INDEX(Backlog[Requirement Name],MATCH($A212,Backlog[Requirement ID],0))),"")</f>
        <v/>
      </c>
      <c r="C212" s="69" t="str">
        <f aca="false">IFERROR(IF(ISBLANK(INDEX(Backlog[Stream],MATCH($A212,Backlog[Requirement ID],0))),"",INDEX(Backlog[Stream],MATCH($A212,Backlog[Requirement ID],0))),"")</f>
        <v/>
      </c>
      <c r="D212" s="69" t="str">
        <f aca="false">IFERROR(IF(ISBLANK(INDEX(Backlog[Jira Link],MATCH($A212,Backlog[Requirement ID],0))),"",INDEX(Backlog[Jira Link],MATCH($A212,Backlog[Requirement ID],0))),"")</f>
        <v/>
      </c>
      <c r="E212" s="69" t="str">
        <f aca="false">IFERROR(IF(ISBLANK(INDEX(Backlog[Status],MATCH($A212,Backlog[Requirement ID],0))),"",INDEX(Backlog[Status],MATCH($A212,Backlog[Requirement ID],0))),"")</f>
        <v/>
      </c>
      <c r="F212" s="69" t="str">
        <f aca="false">IFERROR(IF(ISBLANK(INDEX(SprintPlanning[Sprint],MATCH($A212,SprintPlanning[Requirement ID],0))),"",INDEX(SprintPlanning[Sprint],MATCH($A212,SprintPlanning[Requirement ID],0))),"")</f>
        <v/>
      </c>
      <c r="G212" s="70"/>
      <c r="H212" s="71"/>
      <c r="I212" s="70"/>
      <c r="J212" s="69" t="str">
        <f aca="false">IFERROR(IF(ISBLANK(INDEX(Backlog[Priority],MATCH($A212,Backlog[Requirement ID],0))),"",INDEX(Backlog[Priority],MATCH($A212,Backlog[Requirement ID],0))),"")</f>
        <v/>
      </c>
      <c r="K212" s="46" t="s">
        <v>435</v>
      </c>
      <c r="L212" s="1" t="str">
        <f aca="false">IFERROR(IF(ISBLANK(INDEX(Backlog[HLE],MATCH($A212,Backlog[Requirement ID],0))),"",IF(INDEX(Backlog[HLE],MATCH($A212,Backlog[Requirement ID],0))&lt;=5,0.5,IF(INDEX(Backlog[HLE],MATCH($A212,Backlog[Requirement ID],0))&lt;=8,1,IF(INDEX(Backlog[HLE],MATCH($A212,Backlog[Requirement ID],0))&lt;=13,2,IF(INDEX(Backlog[HLE],MATCH($A212,Backlog[Requirement ID],0))&lt;=20,3,5))))),"")</f>
        <v/>
      </c>
      <c r="M212" s="46"/>
    </row>
    <row r="213" customFormat="false" ht="15" hidden="false" customHeight="true" outlineLevel="0" collapsed="false">
      <c r="A213" s="46" t="str">
        <f aca="false">Backlog!A213</f>
        <v/>
      </c>
      <c r="B213" s="68" t="str">
        <f aca="false">IFERROR(IF(ISBLANK(INDEX(Backlog[Requirement Name],MATCH($A213,Backlog[Requirement ID],0))),"",INDEX(Backlog[Requirement Name],MATCH($A213,Backlog[Requirement ID],0))),"")</f>
        <v/>
      </c>
      <c r="C213" s="69" t="str">
        <f aca="false">IFERROR(IF(ISBLANK(INDEX(Backlog[Stream],MATCH($A213,Backlog[Requirement ID],0))),"",INDEX(Backlog[Stream],MATCH($A213,Backlog[Requirement ID],0))),"")</f>
        <v/>
      </c>
      <c r="D213" s="69" t="str">
        <f aca="false">IFERROR(IF(ISBLANK(INDEX(Backlog[Jira Link],MATCH($A213,Backlog[Requirement ID],0))),"",INDEX(Backlog[Jira Link],MATCH($A213,Backlog[Requirement ID],0))),"")</f>
        <v/>
      </c>
      <c r="E213" s="69" t="str">
        <f aca="false">IFERROR(IF(ISBLANK(INDEX(Backlog[Status],MATCH($A213,Backlog[Requirement ID],0))),"",INDEX(Backlog[Status],MATCH($A213,Backlog[Requirement ID],0))),"")</f>
        <v/>
      </c>
      <c r="F213" s="69" t="str">
        <f aca="false">IFERROR(IF(ISBLANK(INDEX(SprintPlanning[Sprint],MATCH($A213,SprintPlanning[Requirement ID],0))),"",INDEX(SprintPlanning[Sprint],MATCH($A213,SprintPlanning[Requirement ID],0))),"")</f>
        <v/>
      </c>
      <c r="G213" s="70"/>
      <c r="H213" s="71"/>
      <c r="I213" s="70"/>
      <c r="J213" s="69" t="str">
        <f aca="false">IFERROR(IF(ISBLANK(INDEX(Backlog[Priority],MATCH($A213,Backlog[Requirement ID],0))),"",INDEX(Backlog[Priority],MATCH($A213,Backlog[Requirement ID],0))),"")</f>
        <v/>
      </c>
      <c r="K213" s="46" t="s">
        <v>435</v>
      </c>
      <c r="L213" s="1" t="str">
        <f aca="false">IFERROR(IF(ISBLANK(INDEX(Backlog[HLE],MATCH($A213,Backlog[Requirement ID],0))),"",IF(INDEX(Backlog[HLE],MATCH($A213,Backlog[Requirement ID],0))&lt;=5,0.5,IF(INDEX(Backlog[HLE],MATCH($A213,Backlog[Requirement ID],0))&lt;=8,1,IF(INDEX(Backlog[HLE],MATCH($A213,Backlog[Requirement ID],0))&lt;=13,2,IF(INDEX(Backlog[HLE],MATCH($A213,Backlog[Requirement ID],0))&lt;=20,3,5))))),"")</f>
        <v/>
      </c>
      <c r="M213" s="46"/>
    </row>
    <row r="214" customFormat="false" ht="15" hidden="true" customHeight="true" outlineLevel="0" collapsed="false">
      <c r="A214" s="46" t="str">
        <f aca="false">Backlog!A214</f>
        <v/>
      </c>
      <c r="B214" s="69" t="str">
        <f aca="false">IFERROR(IF(ISBLANK(INDEX(Backlog[Requirement Name],MATCH($A214,Backlog[Requirement ID],0))),"",INDEX(Backlog[Requirement Name],MATCH($A214,Backlog[Requirement ID],0))),"")</f>
        <v/>
      </c>
      <c r="C214" s="69" t="str">
        <f aca="false">IFERROR(IF(ISBLANK(INDEX(Backlog[Stream],MATCH($A214,Backlog[Requirement ID],0))),"",INDEX(Backlog[Stream],MATCH($A214,Backlog[Requirement ID],0))),"")</f>
        <v/>
      </c>
      <c r="D214" s="69" t="str">
        <f aca="false">IFERROR(IF(ISBLANK(INDEX(Backlog[Jira Link],MATCH($A214,Backlog[Requirement ID],0))),"",INDEX(Backlog[Jira Link],MATCH($A214,Backlog[Requirement ID],0))),"")</f>
        <v/>
      </c>
      <c r="E214" s="69" t="str">
        <f aca="false">IFERROR(IF(ISBLANK(INDEX(Backlog[Status],MATCH($A214,Backlog[Requirement ID],0))),"",INDEX(Backlog[Status],MATCH($A214,Backlog[Requirement ID],0))),"")</f>
        <v/>
      </c>
      <c r="F214" s="69" t="str">
        <f aca="false">IFERROR(IF(ISBLANK(INDEX(SprintPlanning[Sprint],MATCH($A214,SprintPlanning[Requirement ID],0))),"",INDEX(SprintPlanning[Sprint],MATCH($A214,SprintPlanning[Requirement ID],0))),"")</f>
        <v/>
      </c>
      <c r="G214" s="70" t="s">
        <v>83</v>
      </c>
      <c r="H214" s="71"/>
      <c r="I214" s="70"/>
      <c r="J214" s="69" t="str">
        <f aca="false">IFERROR(IF(ISBLANK(INDEX(Backlog[Priority],MATCH($A214,Backlog[Requirement ID],0))),"",INDEX(Backlog[Priority],MATCH($A214,Backlog[Requirement ID],0))),"")</f>
        <v/>
      </c>
      <c r="K214" s="46" t="s">
        <v>435</v>
      </c>
      <c r="L214" s="1" t="str">
        <f aca="false">IFERROR(IF(ISBLANK(INDEX(Backlog[HLE],MATCH($A214,Backlog[Requirement ID],0))),"",IF(INDEX(Backlog[HLE],MATCH($A214,Backlog[Requirement ID],0))&lt;=5,0.5,IF(INDEX(Backlog[HLE],MATCH($A214,Backlog[Requirement ID],0))&lt;=8,1,IF(INDEX(Backlog[HLE],MATCH($A214,Backlog[Requirement ID],0))&lt;=13,2,IF(INDEX(Backlog[HLE],MATCH($A214,Backlog[Requirement ID],0))&lt;=20,3,5))))),"")</f>
        <v/>
      </c>
      <c r="M214" s="46"/>
      <c r="N214" s="1" t="s">
        <v>444</v>
      </c>
    </row>
    <row r="215" customFormat="false" ht="15" hidden="false" customHeight="true" outlineLevel="0" collapsed="false">
      <c r="A215" s="46" t="str">
        <f aca="false">Backlog!A215</f>
        <v/>
      </c>
      <c r="B215" s="68" t="str">
        <f aca="false">IFERROR(IF(ISBLANK(INDEX(Backlog[Requirement Name],MATCH($A215,Backlog[Requirement ID],0))),"",INDEX(Backlog[Requirement Name],MATCH($A215,Backlog[Requirement ID],0))),"")</f>
        <v/>
      </c>
      <c r="C215" s="69" t="str">
        <f aca="false">IFERROR(IF(ISBLANK(INDEX(Backlog[Stream],MATCH($A215,Backlog[Requirement ID],0))),"",INDEX(Backlog[Stream],MATCH($A215,Backlog[Requirement ID],0))),"")</f>
        <v/>
      </c>
      <c r="D215" s="69" t="str">
        <f aca="false">IFERROR(IF(ISBLANK(INDEX(Backlog[Jira Link],MATCH($A215,Backlog[Requirement ID],0))),"",INDEX(Backlog[Jira Link],MATCH($A215,Backlog[Requirement ID],0))),"")</f>
        <v/>
      </c>
      <c r="E215" s="69" t="str">
        <f aca="false">IFERROR(IF(ISBLANK(INDEX(Backlog[Status],MATCH($A215,Backlog[Requirement ID],0))),"",INDEX(Backlog[Status],MATCH($A215,Backlog[Requirement ID],0))),"")</f>
        <v/>
      </c>
      <c r="F215" s="69" t="str">
        <f aca="false">IFERROR(IF(ISBLANK(INDEX(SprintPlanning[Sprint],MATCH($A215,SprintPlanning[Requirement ID],0))),"",INDEX(SprintPlanning[Sprint],MATCH($A215,SprintPlanning[Requirement ID],0))),"")</f>
        <v/>
      </c>
      <c r="G215" s="70"/>
      <c r="H215" s="71"/>
      <c r="I215" s="70"/>
      <c r="J215" s="69" t="str">
        <f aca="false">IFERROR(IF(ISBLANK(INDEX(Backlog[Priority],MATCH($A215,Backlog[Requirement ID],0))),"",INDEX(Backlog[Priority],MATCH($A215,Backlog[Requirement ID],0))),"")</f>
        <v/>
      </c>
      <c r="K215" s="46"/>
      <c r="L215" s="1" t="str">
        <f aca="false">IFERROR(IF(ISBLANK(INDEX(Backlog[HLE],MATCH($A215,Backlog[Requirement ID],0))),"",IF(INDEX(Backlog[HLE],MATCH($A215,Backlog[Requirement ID],0))&lt;=5,0.5,IF(INDEX(Backlog[HLE],MATCH($A215,Backlog[Requirement ID],0))&lt;=8,1,IF(INDEX(Backlog[HLE],MATCH($A215,Backlog[Requirement ID],0))&lt;=13,2,IF(INDEX(Backlog[HLE],MATCH($A215,Backlog[Requirement ID],0))&lt;=20,3,5))))),"")</f>
        <v/>
      </c>
      <c r="M215" s="46"/>
    </row>
    <row r="216" customFormat="false" ht="15" hidden="true" customHeight="true" outlineLevel="0" collapsed="false">
      <c r="A216" s="1" t="str">
        <f aca="false">Backlog!A216</f>
        <v/>
      </c>
      <c r="B216" s="49"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66"/>
      <c r="J216" s="1" t="str">
        <f aca="false">IFERROR(IF(ISBLANK(INDEX(Backlog[Priority],MATCH($A216,Backlog[Requirement ID],0))),"",INDEX(Backlog[Priority],MATCH($A216,Backlog[Requirement ID],0))),"")</f>
        <v/>
      </c>
      <c r="K216" s="1" t="s">
        <v>435</v>
      </c>
      <c r="L216" s="1" t="str">
        <f aca="false">IFERROR(IF(ISBLANK(INDEX(Backlog[HLE],MATCH($A216,Backlog[Requirement ID],0))),"",IF(INDEX(Backlog[HLE],MATCH($A216,Backlog[Requirement ID],0))&lt;=5,0.5,IF(INDEX(Backlog[HLE],MATCH($A216,Backlog[Requirement ID],0))&lt;=8,1,IF(INDEX(Backlog[HLE],MATCH($A216,Backlog[Requirement ID],0))&lt;=13,2,IF(INDEX(Backlog[HLE],MATCH($A216,Backlog[Requirement ID],0))&lt;=20,3,5))))),"")</f>
        <v/>
      </c>
    </row>
    <row r="217" customFormat="false" ht="15" hidden="false" customHeight="true" outlineLevel="0" collapsed="false">
      <c r="A217" s="1" t="str">
        <f aca="false">Backlog!A217</f>
        <v/>
      </c>
      <c r="B217" s="49"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66"/>
      <c r="J217" s="1" t="str">
        <f aca="false">IFERROR(IF(ISBLANK(INDEX(Backlog[Priority],MATCH($A217,Backlog[Requirement ID],0))),"",INDEX(Backlog[Priority],MATCH($A217,Backlog[Requirement ID],0))),"")</f>
        <v/>
      </c>
      <c r="K217" s="1" t="s">
        <v>438</v>
      </c>
      <c r="L217" s="1" t="str">
        <f aca="false">IFERROR(IF(ISBLANK(INDEX(Backlog[HLE],MATCH($A217,Backlog[Requirement ID],0))),"",IF(INDEX(Backlog[HLE],MATCH($A217,Backlog[Requirement ID],0))&lt;=5,0.5,IF(INDEX(Backlog[HLE],MATCH($A217,Backlog[Requirement ID],0))&lt;=8,1,IF(INDEX(Backlog[HLE],MATCH($A217,Backlog[Requirement ID],0))&lt;=13,2,IF(INDEX(Backlog[HLE],MATCH($A217,Backlog[Requirement ID],0))&lt;=20,3,5))))),"")</f>
        <v/>
      </c>
    </row>
    <row r="218" customFormat="false" ht="15" hidden="false" customHeight="true" outlineLevel="0" collapsed="false">
      <c r="A218" s="1" t="str">
        <f aca="false">Backlog!A218</f>
        <v/>
      </c>
      <c r="B218" s="49"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66"/>
      <c r="J218" s="1" t="str">
        <f aca="false">IFERROR(IF(ISBLANK(INDEX(Backlog[Priority],MATCH($A218,Backlog[Requirement ID],0))),"",INDEX(Backlog[Priority],MATCH($A218,Backlog[Requirement ID],0))),"")</f>
        <v/>
      </c>
      <c r="L218" s="1" t="str">
        <f aca="false">IFERROR(IF(ISBLANK(INDEX(Backlog[HLE],MATCH($A218,Backlog[Requirement ID],0))),"",IF(INDEX(Backlog[HLE],MATCH($A218,Backlog[Requirement ID],0))&lt;=5,0.5,IF(INDEX(Backlog[HLE],MATCH($A218,Backlog[Requirement ID],0))&lt;=8,1,IF(INDEX(Backlog[HLE],MATCH($A218,Backlog[Requirement ID],0))&lt;=13,2,IF(INDEX(Backlog[HLE],MATCH($A218,Backlog[Requirement ID],0))&lt;=20,3,5))))),"")</f>
        <v/>
      </c>
    </row>
    <row r="219" customFormat="false" ht="15" hidden="false" customHeight="true" outlineLevel="0" collapsed="false">
      <c r="A219" s="1" t="str">
        <f aca="false">Backlog!A219</f>
        <v/>
      </c>
      <c r="B219" s="49"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66"/>
      <c r="J219" s="1" t="str">
        <f aca="false">IFERROR(IF(ISBLANK(INDEX(Backlog[Priority],MATCH($A219,Backlog[Requirement ID],0))),"",INDEX(Backlog[Priority],MATCH($A219,Backlog[Requirement ID],0))),"")</f>
        <v/>
      </c>
      <c r="L219" s="1" t="str">
        <f aca="false">IFERROR(IF(ISBLANK(INDEX(Backlog[HLE],MATCH($A219,Backlog[Requirement ID],0))),"",IF(INDEX(Backlog[HLE],MATCH($A219,Backlog[Requirement ID],0))&lt;=5,0.5,IF(INDEX(Backlog[HLE],MATCH($A219,Backlog[Requirement ID],0))&lt;=8,1,IF(INDEX(Backlog[HLE],MATCH($A219,Backlog[Requirement ID],0))&lt;=13,2,IF(INDEX(Backlog[HLE],MATCH($A219,Backlog[Requirement ID],0))&lt;=20,3,5))))),"")</f>
        <v/>
      </c>
    </row>
    <row r="220" customFormat="false" ht="15" hidden="false" customHeight="true" outlineLevel="0" collapsed="false">
      <c r="A220" s="1" t="str">
        <f aca="false">Backlog!A220</f>
        <v/>
      </c>
      <c r="B220" s="49"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66"/>
      <c r="J220" s="1" t="str">
        <f aca="false">IFERROR(IF(ISBLANK(INDEX(Backlog[Priority],MATCH($A220,Backlog[Requirement ID],0))),"",INDEX(Backlog[Priority],MATCH($A220,Backlog[Requirement ID],0))),"")</f>
        <v/>
      </c>
      <c r="L220" s="1" t="str">
        <f aca="false">IFERROR(IF(ISBLANK(INDEX(Backlog[HLE],MATCH($A220,Backlog[Requirement ID],0))),"",IF(INDEX(Backlog[HLE],MATCH($A220,Backlog[Requirement ID],0))&lt;=5,0.5,IF(INDEX(Backlog[HLE],MATCH($A220,Backlog[Requirement ID],0))&lt;=8,1,IF(INDEX(Backlog[HLE],MATCH($A220,Backlog[Requirement ID],0))&lt;=13,2,IF(INDEX(Backlog[HLE],MATCH($A220,Backlog[Requirement ID],0))&lt;=20,3,5))))),"")</f>
        <v/>
      </c>
    </row>
    <row r="221" customFormat="false" ht="15" hidden="false" customHeight="true" outlineLevel="0" collapsed="false">
      <c r="A221" s="46" t="str">
        <f aca="false">Backlog!A221</f>
        <v/>
      </c>
      <c r="B221" s="68" t="str">
        <f aca="false">IFERROR(IF(ISBLANK(INDEX(Backlog[Requirement Name],MATCH($A221,Backlog[Requirement ID],0))),"",INDEX(Backlog[Requirement Name],MATCH($A221,Backlog[Requirement ID],0))),"")</f>
        <v/>
      </c>
      <c r="C221" s="69" t="str">
        <f aca="false">IFERROR(IF(ISBLANK(INDEX(Backlog[Stream],MATCH($A221,Backlog[Requirement ID],0))),"",INDEX(Backlog[Stream],MATCH($A221,Backlog[Requirement ID],0))),"")</f>
        <v/>
      </c>
      <c r="D221" s="69" t="str">
        <f aca="false">IFERROR(IF(ISBLANK(INDEX(Backlog[Jira Link],MATCH($A221,Backlog[Requirement ID],0))),"",INDEX(Backlog[Jira Link],MATCH($A221,Backlog[Requirement ID],0))),"")</f>
        <v/>
      </c>
      <c r="E221" s="69" t="str">
        <f aca="false">IFERROR(IF(ISBLANK(INDEX(Backlog[Status],MATCH($A221,Backlog[Requirement ID],0))),"",INDEX(Backlog[Status],MATCH($A221,Backlog[Requirement ID],0))),"")</f>
        <v/>
      </c>
      <c r="F221" s="69" t="str">
        <f aca="false">IFERROR(IF(ISBLANK(INDEX(SprintPlanning[Sprint],MATCH($A221,SprintPlanning[Requirement ID],0))),"",INDEX(SprintPlanning[Sprint],MATCH($A221,SprintPlanning[Requirement ID],0))),"")</f>
        <v/>
      </c>
      <c r="G221" s="70"/>
      <c r="H221" s="71"/>
      <c r="I221" s="70"/>
      <c r="J221" s="69" t="str">
        <f aca="false">IFERROR(IF(ISBLANK(INDEX(Backlog[Priority],MATCH($A221,Backlog[Requirement ID],0))),"",INDEX(Backlog[Priority],MATCH($A221,Backlog[Requirement ID],0))),"")</f>
        <v/>
      </c>
      <c r="K221" s="46" t="s">
        <v>435</v>
      </c>
      <c r="L221" s="1" t="str">
        <f aca="false">IFERROR(IF(ISBLANK(INDEX(Backlog[HLE],MATCH($A221,Backlog[Requirement ID],0))),"",IF(INDEX(Backlog[HLE],MATCH($A221,Backlog[Requirement ID],0))&lt;=5,0.5,IF(INDEX(Backlog[HLE],MATCH($A221,Backlog[Requirement ID],0))&lt;=8,1,IF(INDEX(Backlog[HLE],MATCH($A221,Backlog[Requirement ID],0))&lt;=13,2,IF(INDEX(Backlog[HLE],MATCH($A221,Backlog[Requirement ID],0))&lt;=20,3,5))))),"")</f>
        <v/>
      </c>
      <c r="M221" s="46"/>
    </row>
    <row r="222" customFormat="false" ht="15" hidden="false" customHeight="true" outlineLevel="0" collapsed="false">
      <c r="A222" s="46" t="str">
        <f aca="false">Backlog!A222</f>
        <v/>
      </c>
      <c r="B222" s="68" t="str">
        <f aca="false">IFERROR(IF(ISBLANK(INDEX(Backlog[Requirement Name],MATCH($A222,Backlog[Requirement ID],0))),"",INDEX(Backlog[Requirement Name],MATCH($A222,Backlog[Requirement ID],0))),"")</f>
        <v/>
      </c>
      <c r="C222" s="69" t="str">
        <f aca="false">IFERROR(IF(ISBLANK(INDEX(Backlog[Stream],MATCH($A222,Backlog[Requirement ID],0))),"",INDEX(Backlog[Stream],MATCH($A222,Backlog[Requirement ID],0))),"")</f>
        <v/>
      </c>
      <c r="D222" s="69" t="str">
        <f aca="false">IFERROR(IF(ISBLANK(INDEX(Backlog[Jira Link],MATCH($A222,Backlog[Requirement ID],0))),"",INDEX(Backlog[Jira Link],MATCH($A222,Backlog[Requirement ID],0))),"")</f>
        <v/>
      </c>
      <c r="E222" s="69" t="str">
        <f aca="false">IFERROR(IF(ISBLANK(INDEX(Backlog[Status],MATCH($A222,Backlog[Requirement ID],0))),"",INDEX(Backlog[Status],MATCH($A222,Backlog[Requirement ID],0))),"")</f>
        <v/>
      </c>
      <c r="F222" s="69" t="str">
        <f aca="false">IFERROR(IF(ISBLANK(INDEX(SprintPlanning[Sprint],MATCH($A222,SprintPlanning[Requirement ID],0))),"",INDEX(SprintPlanning[Sprint],MATCH($A222,SprintPlanning[Requirement ID],0))),"")</f>
        <v/>
      </c>
      <c r="G222" s="70" t="s">
        <v>83</v>
      </c>
      <c r="H222" s="71"/>
      <c r="I222" s="70"/>
      <c r="J222" s="69" t="str">
        <f aca="false">IFERROR(IF(ISBLANK(INDEX(Backlog[Priority],MATCH($A222,Backlog[Requirement ID],0))),"",INDEX(Backlog[Priority],MATCH($A222,Backlog[Requirement ID],0))),"")</f>
        <v/>
      </c>
      <c r="K222" s="46"/>
      <c r="L222" s="1" t="str">
        <f aca="false">IFERROR(IF(ISBLANK(INDEX(Backlog[HLE],MATCH($A222,Backlog[Requirement ID],0))),"",IF(INDEX(Backlog[HLE],MATCH($A222,Backlog[Requirement ID],0))&lt;=5,0.5,IF(INDEX(Backlog[HLE],MATCH($A222,Backlog[Requirement ID],0))&lt;=8,1,IF(INDEX(Backlog[HLE],MATCH($A222,Backlog[Requirement ID],0))&lt;=13,2,IF(INDEX(Backlog[HLE],MATCH($A222,Backlog[Requirement ID],0))&lt;=20,3,5))))),"")</f>
        <v/>
      </c>
      <c r="M222" s="46"/>
    </row>
    <row r="223" customFormat="false" ht="15" hidden="false" customHeight="true" outlineLevel="0" collapsed="false">
      <c r="A223" s="46" t="str">
        <f aca="false">Backlog!A223</f>
        <v/>
      </c>
      <c r="B223" s="68" t="str">
        <f aca="false">IFERROR(IF(ISBLANK(INDEX(Backlog[Requirement Name],MATCH($A223,Backlog[Requirement ID],0))),"",INDEX(Backlog[Requirement Name],MATCH($A223,Backlog[Requirement ID],0))),"")</f>
        <v/>
      </c>
      <c r="C223" s="69" t="str">
        <f aca="false">IFERROR(IF(ISBLANK(INDEX(Backlog[Stream],MATCH($A223,Backlog[Requirement ID],0))),"",INDEX(Backlog[Stream],MATCH($A223,Backlog[Requirement ID],0))),"")</f>
        <v/>
      </c>
      <c r="D223" s="69" t="str">
        <f aca="false">IFERROR(IF(ISBLANK(INDEX(Backlog[Jira Link],MATCH($A223,Backlog[Requirement ID],0))),"",INDEX(Backlog[Jira Link],MATCH($A223,Backlog[Requirement ID],0))),"")</f>
        <v/>
      </c>
      <c r="E223" s="69" t="str">
        <f aca="false">IFERROR(IF(ISBLANK(INDEX(Backlog[Status],MATCH($A223,Backlog[Requirement ID],0))),"",INDEX(Backlog[Status],MATCH($A223,Backlog[Requirement ID],0))),"")</f>
        <v/>
      </c>
      <c r="F223" s="69" t="str">
        <f aca="false">IFERROR(IF(ISBLANK(INDEX(SprintPlanning[Sprint],MATCH($A223,SprintPlanning[Requirement ID],0))),"",INDEX(SprintPlanning[Sprint],MATCH($A223,SprintPlanning[Requirement ID],0))),"")</f>
        <v/>
      </c>
      <c r="G223" s="70" t="s">
        <v>83</v>
      </c>
      <c r="H223" s="71"/>
      <c r="I223" s="70"/>
      <c r="J223" s="69" t="str">
        <f aca="false">IFERROR(IF(ISBLANK(INDEX(Backlog[Priority],MATCH($A223,Backlog[Requirement ID],0))),"",INDEX(Backlog[Priority],MATCH($A223,Backlog[Requirement ID],0))),"")</f>
        <v/>
      </c>
      <c r="K223" s="46"/>
      <c r="L223" s="1" t="str">
        <f aca="false">IFERROR(IF(ISBLANK(INDEX(Backlog[HLE],MATCH($A223,Backlog[Requirement ID],0))),"",IF(INDEX(Backlog[HLE],MATCH($A223,Backlog[Requirement ID],0))&lt;=5,0.5,IF(INDEX(Backlog[HLE],MATCH($A223,Backlog[Requirement ID],0))&lt;=8,1,IF(INDEX(Backlog[HLE],MATCH($A223,Backlog[Requirement ID],0))&lt;=13,2,IF(INDEX(Backlog[HLE],MATCH($A223,Backlog[Requirement ID],0))&lt;=20,3,5))))),"")</f>
        <v/>
      </c>
      <c r="M223" s="46"/>
    </row>
    <row r="224" customFormat="false" ht="15" hidden="false" customHeight="true" outlineLevel="0" collapsed="false">
      <c r="A224" s="46" t="str">
        <f aca="false">Backlog!A224</f>
        <v/>
      </c>
      <c r="B224" s="68" t="str">
        <f aca="false">IFERROR(IF(ISBLANK(INDEX(Backlog[Requirement Name],MATCH($A224,Backlog[Requirement ID],0))),"",INDEX(Backlog[Requirement Name],MATCH($A224,Backlog[Requirement ID],0))),"")</f>
        <v/>
      </c>
      <c r="C224" s="69" t="str">
        <f aca="false">IFERROR(IF(ISBLANK(INDEX(Backlog[Stream],MATCH($A224,Backlog[Requirement ID],0))),"",INDEX(Backlog[Stream],MATCH($A224,Backlog[Requirement ID],0))),"")</f>
        <v/>
      </c>
      <c r="D224" s="69" t="str">
        <f aca="false">IFERROR(IF(ISBLANK(INDEX(Backlog[Jira Link],MATCH($A224,Backlog[Requirement ID],0))),"",INDEX(Backlog[Jira Link],MATCH($A224,Backlog[Requirement ID],0))),"")</f>
        <v/>
      </c>
      <c r="E224" s="69" t="str">
        <f aca="false">IFERROR(IF(ISBLANK(INDEX(Backlog[Status],MATCH($A224,Backlog[Requirement ID],0))),"",INDEX(Backlog[Status],MATCH($A224,Backlog[Requirement ID],0))),"")</f>
        <v/>
      </c>
      <c r="F224" s="69" t="str">
        <f aca="false">IFERROR(IF(ISBLANK(INDEX(SprintPlanning[Sprint],MATCH($A224,SprintPlanning[Requirement ID],0))),"",INDEX(SprintPlanning[Sprint],MATCH($A224,SprintPlanning[Requirement ID],0))),"")</f>
        <v/>
      </c>
      <c r="G224" s="70" t="s">
        <v>83</v>
      </c>
      <c r="H224" s="71"/>
      <c r="I224" s="70"/>
      <c r="J224" s="69" t="str">
        <f aca="false">IFERROR(IF(ISBLANK(INDEX(Backlog[Priority],MATCH($A224,Backlog[Requirement ID],0))),"",INDEX(Backlog[Priority],MATCH($A224,Backlog[Requirement ID],0))),"")</f>
        <v/>
      </c>
      <c r="K224" s="46"/>
      <c r="L224" s="1" t="str">
        <f aca="false">IFERROR(IF(ISBLANK(INDEX(Backlog[HLE],MATCH($A224,Backlog[Requirement ID],0))),"",IF(INDEX(Backlog[HLE],MATCH($A224,Backlog[Requirement ID],0))&lt;=5,0.5,IF(INDEX(Backlog[HLE],MATCH($A224,Backlog[Requirement ID],0))&lt;=8,1,IF(INDEX(Backlog[HLE],MATCH($A224,Backlog[Requirement ID],0))&lt;=13,2,IF(INDEX(Backlog[HLE],MATCH($A224,Backlog[Requirement ID],0))&lt;=20,3,5))))),"")</f>
        <v/>
      </c>
      <c r="M224" s="46"/>
    </row>
    <row r="225" customFormat="false" ht="15" hidden="false" customHeight="true" outlineLevel="0" collapsed="false">
      <c r="A225" s="46" t="str">
        <f aca="false">Backlog!A225</f>
        <v/>
      </c>
      <c r="B225" s="68" t="str">
        <f aca="false">IFERROR(IF(ISBLANK(INDEX(Backlog[Requirement Name],MATCH($A225,Backlog[Requirement ID],0))),"",INDEX(Backlog[Requirement Name],MATCH($A225,Backlog[Requirement ID],0))),"")</f>
        <v/>
      </c>
      <c r="C225" s="69" t="str">
        <f aca="false">IFERROR(IF(ISBLANK(INDEX(Backlog[Stream],MATCH($A225,Backlog[Requirement ID],0))),"",INDEX(Backlog[Stream],MATCH($A225,Backlog[Requirement ID],0))),"")</f>
        <v/>
      </c>
      <c r="D225" s="69" t="str">
        <f aca="false">IFERROR(IF(ISBLANK(INDEX(Backlog[Jira Link],MATCH($A225,Backlog[Requirement ID],0))),"",INDEX(Backlog[Jira Link],MATCH($A225,Backlog[Requirement ID],0))),"")</f>
        <v/>
      </c>
      <c r="E225" s="69" t="str">
        <f aca="false">IFERROR(IF(ISBLANK(INDEX(Backlog[Status],MATCH($A225,Backlog[Requirement ID],0))),"",INDEX(Backlog[Status],MATCH($A225,Backlog[Requirement ID],0))),"")</f>
        <v/>
      </c>
      <c r="F225" s="69" t="str">
        <f aca="false">IFERROR(IF(ISBLANK(INDEX(SprintPlanning[Sprint],MATCH($A225,SprintPlanning[Requirement ID],0))),"",INDEX(SprintPlanning[Sprint],MATCH($A225,SprintPlanning[Requirement ID],0))),"")</f>
        <v/>
      </c>
      <c r="G225" s="70"/>
      <c r="H225" s="71"/>
      <c r="I225" s="70"/>
      <c r="J225" s="69" t="str">
        <f aca="false">IFERROR(IF(ISBLANK(INDEX(Backlog[Priority],MATCH($A225,Backlog[Requirement ID],0))),"",INDEX(Backlog[Priority],MATCH($A225,Backlog[Requirement ID],0))),"")</f>
        <v/>
      </c>
      <c r="K225" s="46"/>
      <c r="L225" s="1" t="str">
        <f aca="false">IFERROR(IF(ISBLANK(INDEX(Backlog[HLE],MATCH($A225,Backlog[Requirement ID],0))),"",IF(INDEX(Backlog[HLE],MATCH($A225,Backlog[Requirement ID],0))&lt;=5,0.5,IF(INDEX(Backlog[HLE],MATCH($A225,Backlog[Requirement ID],0))&lt;=8,1,IF(INDEX(Backlog[HLE],MATCH($A225,Backlog[Requirement ID],0))&lt;=13,2,IF(INDEX(Backlog[HLE],MATCH($A225,Backlog[Requirement ID],0))&lt;=20,3,5))))),"")</f>
        <v/>
      </c>
      <c r="M225" s="46"/>
    </row>
    <row r="226" customFormat="false" ht="15" hidden="false" customHeight="true" outlineLevel="0" collapsed="false">
      <c r="A226" s="46" t="str">
        <f aca="false">Backlog!A226</f>
        <v/>
      </c>
      <c r="B226" s="68" t="str">
        <f aca="false">IFERROR(IF(ISBLANK(INDEX(Backlog[Requirement Name],MATCH($A226,Backlog[Requirement ID],0))),"",INDEX(Backlog[Requirement Name],MATCH($A226,Backlog[Requirement ID],0))),"")</f>
        <v/>
      </c>
      <c r="C226" s="69" t="str">
        <f aca="false">IFERROR(IF(ISBLANK(INDEX(Backlog[Stream],MATCH($A226,Backlog[Requirement ID],0))),"",INDEX(Backlog[Stream],MATCH($A226,Backlog[Requirement ID],0))),"")</f>
        <v/>
      </c>
      <c r="D226" s="69" t="str">
        <f aca="false">IFERROR(IF(ISBLANK(INDEX(Backlog[Jira Link],MATCH($A226,Backlog[Requirement ID],0))),"",INDEX(Backlog[Jira Link],MATCH($A226,Backlog[Requirement ID],0))),"")</f>
        <v/>
      </c>
      <c r="E226" s="69" t="str">
        <f aca="false">IFERROR(IF(ISBLANK(INDEX(Backlog[Status],MATCH($A226,Backlog[Requirement ID],0))),"",INDEX(Backlog[Status],MATCH($A226,Backlog[Requirement ID],0))),"")</f>
        <v/>
      </c>
      <c r="F226" s="69" t="str">
        <f aca="false">IFERROR(IF(ISBLANK(INDEX(SprintPlanning[Sprint],MATCH($A226,SprintPlanning[Requirement ID],0))),"",INDEX(SprintPlanning[Sprint],MATCH($A226,SprintPlanning[Requirement ID],0))),"")</f>
        <v/>
      </c>
      <c r="G226" s="70"/>
      <c r="H226" s="71"/>
      <c r="I226" s="70"/>
      <c r="J226" s="69" t="str">
        <f aca="false">IFERROR(IF(ISBLANK(INDEX(Backlog[Priority],MATCH($A226,Backlog[Requirement ID],0))),"",INDEX(Backlog[Priority],MATCH($A226,Backlog[Requirement ID],0))),"")</f>
        <v/>
      </c>
      <c r="K226" s="46"/>
      <c r="L226" s="1" t="str">
        <f aca="false">IFERROR(IF(ISBLANK(INDEX(Backlog[HLE],MATCH($A226,Backlog[Requirement ID],0))),"",IF(INDEX(Backlog[HLE],MATCH($A226,Backlog[Requirement ID],0))&lt;=5,0.5,IF(INDEX(Backlog[HLE],MATCH($A226,Backlog[Requirement ID],0))&lt;=8,1,IF(INDEX(Backlog[HLE],MATCH($A226,Backlog[Requirement ID],0))&lt;=13,2,IF(INDEX(Backlog[HLE],MATCH($A226,Backlog[Requirement ID],0))&lt;=20,3,5))))),"")</f>
        <v/>
      </c>
      <c r="M226" s="46"/>
    </row>
    <row r="227" customFormat="false" ht="15" hidden="false" customHeight="true" outlineLevel="0" collapsed="false">
      <c r="A227" s="46" t="str">
        <f aca="false">Backlog!A227</f>
        <v/>
      </c>
      <c r="B227" s="68" t="str">
        <f aca="false">IFERROR(IF(ISBLANK(INDEX(Backlog[Requirement Name],MATCH($A227,Backlog[Requirement ID],0))),"",INDEX(Backlog[Requirement Name],MATCH($A227,Backlog[Requirement ID],0))),"")</f>
        <v/>
      </c>
      <c r="C227" s="69" t="str">
        <f aca="false">IFERROR(IF(ISBLANK(INDEX(Backlog[Stream],MATCH($A227,Backlog[Requirement ID],0))),"",INDEX(Backlog[Stream],MATCH($A227,Backlog[Requirement ID],0))),"")</f>
        <v/>
      </c>
      <c r="D227" s="69" t="str">
        <f aca="false">IFERROR(IF(ISBLANK(INDEX(Backlog[Jira Link],MATCH($A227,Backlog[Requirement ID],0))),"",INDEX(Backlog[Jira Link],MATCH($A227,Backlog[Requirement ID],0))),"")</f>
        <v/>
      </c>
      <c r="E227" s="69" t="str">
        <f aca="false">IFERROR(IF(ISBLANK(INDEX(Backlog[Status],MATCH($A227,Backlog[Requirement ID],0))),"",INDEX(Backlog[Status],MATCH($A227,Backlog[Requirement ID],0))),"")</f>
        <v/>
      </c>
      <c r="F227" s="69" t="str">
        <f aca="false">IFERROR(IF(ISBLANK(INDEX(SprintPlanning[Sprint],MATCH($A227,SprintPlanning[Requirement ID],0))),"",INDEX(SprintPlanning[Sprint],MATCH($A227,SprintPlanning[Requirement ID],0))),"")</f>
        <v/>
      </c>
      <c r="G227" s="70"/>
      <c r="H227" s="71"/>
      <c r="I227" s="70"/>
      <c r="J227" s="69" t="str">
        <f aca="false">IFERROR(IF(ISBLANK(INDEX(Backlog[Priority],MATCH($A227,Backlog[Requirement ID],0))),"",INDEX(Backlog[Priority],MATCH($A227,Backlog[Requirement ID],0))),"")</f>
        <v/>
      </c>
      <c r="K227" s="46"/>
      <c r="L227" s="1" t="str">
        <f aca="false">IFERROR(IF(ISBLANK(INDEX(Backlog[HLE],MATCH($A227,Backlog[Requirement ID],0))),"",IF(INDEX(Backlog[HLE],MATCH($A227,Backlog[Requirement ID],0))&lt;=5,0.5,IF(INDEX(Backlog[HLE],MATCH($A227,Backlog[Requirement ID],0))&lt;=8,1,IF(INDEX(Backlog[HLE],MATCH($A227,Backlog[Requirement ID],0))&lt;=13,2,IF(INDEX(Backlog[HLE],MATCH($A227,Backlog[Requirement ID],0))&lt;=20,3,5))))),"")</f>
        <v/>
      </c>
      <c r="M227" s="46"/>
    </row>
    <row r="228" customFormat="false" ht="15" hidden="false" customHeight="true" outlineLevel="0" collapsed="false">
      <c r="A228" s="46" t="str">
        <f aca="false">Backlog!A228</f>
        <v/>
      </c>
      <c r="B228" s="68" t="str">
        <f aca="false">IFERROR(IF(ISBLANK(INDEX(Backlog[Requirement Name],MATCH($A228,Backlog[Requirement ID],0))),"",INDEX(Backlog[Requirement Name],MATCH($A228,Backlog[Requirement ID],0))),"")</f>
        <v/>
      </c>
      <c r="C228" s="69" t="str">
        <f aca="false">IFERROR(IF(ISBLANK(INDEX(Backlog[Stream],MATCH($A228,Backlog[Requirement ID],0))),"",INDEX(Backlog[Stream],MATCH($A228,Backlog[Requirement ID],0))),"")</f>
        <v/>
      </c>
      <c r="D228" s="69" t="str">
        <f aca="false">IFERROR(IF(ISBLANK(INDEX(Backlog[Jira Link],MATCH($A228,Backlog[Requirement ID],0))),"",INDEX(Backlog[Jira Link],MATCH($A228,Backlog[Requirement ID],0))),"")</f>
        <v/>
      </c>
      <c r="E228" s="69" t="str">
        <f aca="false">IFERROR(IF(ISBLANK(INDEX(Backlog[Status],MATCH($A228,Backlog[Requirement ID],0))),"",INDEX(Backlog[Status],MATCH($A228,Backlog[Requirement ID],0))),"")</f>
        <v/>
      </c>
      <c r="F228" s="69" t="str">
        <f aca="false">IFERROR(IF(ISBLANK(INDEX(SprintPlanning[Sprint],MATCH($A228,SprintPlanning[Requirement ID],0))),"",INDEX(SprintPlanning[Sprint],MATCH($A228,SprintPlanning[Requirement ID],0))),"")</f>
        <v/>
      </c>
      <c r="G228" s="70"/>
      <c r="H228" s="71"/>
      <c r="I228" s="70"/>
      <c r="J228" s="69" t="str">
        <f aca="false">IFERROR(IF(ISBLANK(INDEX(Backlog[Priority],MATCH($A228,Backlog[Requirement ID],0))),"",INDEX(Backlog[Priority],MATCH($A228,Backlog[Requirement ID],0))),"")</f>
        <v/>
      </c>
      <c r="K228" s="46"/>
      <c r="L228" s="1" t="str">
        <f aca="false">IFERROR(IF(ISBLANK(INDEX(Backlog[HLE],MATCH($A228,Backlog[Requirement ID],0))),"",IF(INDEX(Backlog[HLE],MATCH($A228,Backlog[Requirement ID],0))&lt;=5,0.5,IF(INDEX(Backlog[HLE],MATCH($A228,Backlog[Requirement ID],0))&lt;=8,1,IF(INDEX(Backlog[HLE],MATCH($A228,Backlog[Requirement ID],0))&lt;=13,2,IF(INDEX(Backlog[HLE],MATCH($A228,Backlog[Requirement ID],0))&lt;=20,3,5))))),"")</f>
        <v/>
      </c>
      <c r="M228" s="46"/>
    </row>
    <row r="229" customFormat="false" ht="15" hidden="false" customHeight="true" outlineLevel="0" collapsed="false">
      <c r="A229" s="46" t="str">
        <f aca="false">Backlog!A229</f>
        <v/>
      </c>
      <c r="B229" s="68" t="str">
        <f aca="false">IFERROR(IF(ISBLANK(INDEX(Backlog[Requirement Name],MATCH($A229,Backlog[Requirement ID],0))),"",INDEX(Backlog[Requirement Name],MATCH($A229,Backlog[Requirement ID],0))),"")</f>
        <v/>
      </c>
      <c r="C229" s="69" t="str">
        <f aca="false">IFERROR(IF(ISBLANK(INDEX(Backlog[Stream],MATCH($A229,Backlog[Requirement ID],0))),"",INDEX(Backlog[Stream],MATCH($A229,Backlog[Requirement ID],0))),"")</f>
        <v/>
      </c>
      <c r="D229" s="69" t="str">
        <f aca="false">IFERROR(IF(ISBLANK(INDEX(Backlog[Jira Link],MATCH($A229,Backlog[Requirement ID],0))),"",INDEX(Backlog[Jira Link],MATCH($A229,Backlog[Requirement ID],0))),"")</f>
        <v/>
      </c>
      <c r="E229" s="69" t="str">
        <f aca="false">IFERROR(IF(ISBLANK(INDEX(Backlog[Status],MATCH($A229,Backlog[Requirement ID],0))),"",INDEX(Backlog[Status],MATCH($A229,Backlog[Requirement ID],0))),"")</f>
        <v/>
      </c>
      <c r="F229" s="69" t="str">
        <f aca="false">IFERROR(IF(ISBLANK(INDEX(SprintPlanning[Sprint],MATCH($A229,SprintPlanning[Requirement ID],0))),"",INDEX(SprintPlanning[Sprint],MATCH($A229,SprintPlanning[Requirement ID],0))),"")</f>
        <v/>
      </c>
      <c r="G229" s="70"/>
      <c r="H229" s="71"/>
      <c r="I229" s="70"/>
      <c r="J229" s="69" t="str">
        <f aca="false">IFERROR(IF(ISBLANK(INDEX(Backlog[Priority],MATCH($A229,Backlog[Requirement ID],0))),"",INDEX(Backlog[Priority],MATCH($A229,Backlog[Requirement ID],0))),"")</f>
        <v/>
      </c>
      <c r="K229" s="46"/>
      <c r="L229" s="1" t="str">
        <f aca="false">IFERROR(IF(ISBLANK(INDEX(Backlog[HLE],MATCH($A229,Backlog[Requirement ID],0))),"",IF(INDEX(Backlog[HLE],MATCH($A229,Backlog[Requirement ID],0))&lt;=5,0.5,IF(INDEX(Backlog[HLE],MATCH($A229,Backlog[Requirement ID],0))&lt;=8,1,IF(INDEX(Backlog[HLE],MATCH($A229,Backlog[Requirement ID],0))&lt;=13,2,IF(INDEX(Backlog[HLE],MATCH($A229,Backlog[Requirement ID],0))&lt;=20,3,5))))),"")</f>
        <v/>
      </c>
      <c r="M229" s="46"/>
    </row>
    <row r="230" customFormat="false" ht="15" hidden="false" customHeight="true" outlineLevel="0" collapsed="false">
      <c r="A230" s="46" t="str">
        <f aca="false">Backlog!A230</f>
        <v/>
      </c>
      <c r="B230" s="68" t="str">
        <f aca="false">IFERROR(IF(ISBLANK(INDEX(Backlog[Requirement Name],MATCH($A230,Backlog[Requirement ID],0))),"",INDEX(Backlog[Requirement Name],MATCH($A230,Backlog[Requirement ID],0))),"")</f>
        <v/>
      </c>
      <c r="C230" s="69" t="str">
        <f aca="false">IFERROR(IF(ISBLANK(INDEX(Backlog[Stream],MATCH($A230,Backlog[Requirement ID],0))),"",INDEX(Backlog[Stream],MATCH($A230,Backlog[Requirement ID],0))),"")</f>
        <v/>
      </c>
      <c r="D230" s="69" t="str">
        <f aca="false">IFERROR(IF(ISBLANK(INDEX(Backlog[Jira Link],MATCH($A230,Backlog[Requirement ID],0))),"",INDEX(Backlog[Jira Link],MATCH($A230,Backlog[Requirement ID],0))),"")</f>
        <v/>
      </c>
      <c r="E230" s="69" t="str">
        <f aca="false">IFERROR(IF(ISBLANK(INDEX(Backlog[Status],MATCH($A230,Backlog[Requirement ID],0))),"",INDEX(Backlog[Status],MATCH($A230,Backlog[Requirement ID],0))),"")</f>
        <v/>
      </c>
      <c r="F230" s="69" t="str">
        <f aca="false">IFERROR(IF(ISBLANK(INDEX(SprintPlanning[Sprint],MATCH($A230,SprintPlanning[Requirement ID],0))),"",INDEX(SprintPlanning[Sprint],MATCH($A230,SprintPlanning[Requirement ID],0))),"")</f>
        <v/>
      </c>
      <c r="G230" s="70"/>
      <c r="H230" s="71"/>
      <c r="I230" s="70"/>
      <c r="J230" s="69" t="str">
        <f aca="false">IFERROR(IF(ISBLANK(INDEX(Backlog[Priority],MATCH($A230,Backlog[Requirement ID],0))),"",INDEX(Backlog[Priority],MATCH($A230,Backlog[Requirement ID],0))),"")</f>
        <v/>
      </c>
      <c r="K230" s="46"/>
      <c r="L230" s="1" t="str">
        <f aca="false">IFERROR(IF(ISBLANK(INDEX(Backlog[HLE],MATCH($A230,Backlog[Requirement ID],0))),"",IF(INDEX(Backlog[HLE],MATCH($A230,Backlog[Requirement ID],0))&lt;=5,0.5,IF(INDEX(Backlog[HLE],MATCH($A230,Backlog[Requirement ID],0))&lt;=8,1,IF(INDEX(Backlog[HLE],MATCH($A230,Backlog[Requirement ID],0))&lt;=13,2,IF(INDEX(Backlog[HLE],MATCH($A230,Backlog[Requirement ID],0))&lt;=20,3,5))))),"")</f>
        <v/>
      </c>
      <c r="M230" s="46"/>
    </row>
    <row r="231" customFormat="false" ht="15" hidden="false" customHeight="true" outlineLevel="0" collapsed="false">
      <c r="A231" s="46" t="str">
        <f aca="false">Backlog!A231</f>
        <v/>
      </c>
      <c r="B231" s="68" t="str">
        <f aca="false">IFERROR(IF(ISBLANK(INDEX(Backlog[Requirement Name],MATCH($A231,Backlog[Requirement ID],0))),"",INDEX(Backlog[Requirement Name],MATCH($A231,Backlog[Requirement ID],0))),"")</f>
        <v/>
      </c>
      <c r="C231" s="69" t="str">
        <f aca="false">IFERROR(IF(ISBLANK(INDEX(Backlog[Stream],MATCH($A231,Backlog[Requirement ID],0))),"",INDEX(Backlog[Stream],MATCH($A231,Backlog[Requirement ID],0))),"")</f>
        <v/>
      </c>
      <c r="D231" s="69" t="str">
        <f aca="false">IFERROR(IF(ISBLANK(INDEX(Backlog[Jira Link],MATCH($A231,Backlog[Requirement ID],0))),"",INDEX(Backlog[Jira Link],MATCH($A231,Backlog[Requirement ID],0))),"")</f>
        <v/>
      </c>
      <c r="E231" s="69" t="str">
        <f aca="false">IFERROR(IF(ISBLANK(INDEX(Backlog[Status],MATCH($A231,Backlog[Requirement ID],0))),"",INDEX(Backlog[Status],MATCH($A231,Backlog[Requirement ID],0))),"")</f>
        <v/>
      </c>
      <c r="F231" s="69" t="str">
        <f aca="false">IFERROR(IF(ISBLANK(INDEX(SprintPlanning[Sprint],MATCH($A231,SprintPlanning[Requirement ID],0))),"",INDEX(SprintPlanning[Sprint],MATCH($A231,SprintPlanning[Requirement ID],0))),"")</f>
        <v/>
      </c>
      <c r="G231" s="70"/>
      <c r="H231" s="71"/>
      <c r="I231" s="70"/>
      <c r="J231" s="69" t="str">
        <f aca="false">IFERROR(IF(ISBLANK(INDEX(Backlog[Priority],MATCH($A231,Backlog[Requirement ID],0))),"",INDEX(Backlog[Priority],MATCH($A231,Backlog[Requirement ID],0))),"")</f>
        <v/>
      </c>
      <c r="K231" s="46"/>
      <c r="L231" s="1" t="str">
        <f aca="false">IFERROR(IF(ISBLANK(INDEX(Backlog[HLE],MATCH($A231,Backlog[Requirement ID],0))),"",IF(INDEX(Backlog[HLE],MATCH($A231,Backlog[Requirement ID],0))&lt;=5,0.5,IF(INDEX(Backlog[HLE],MATCH($A231,Backlog[Requirement ID],0))&lt;=8,1,IF(INDEX(Backlog[HLE],MATCH($A231,Backlog[Requirement ID],0))&lt;=13,2,IF(INDEX(Backlog[HLE],MATCH($A231,Backlog[Requirement ID],0))&lt;=20,3,5))))),"")</f>
        <v/>
      </c>
      <c r="M231" s="46"/>
    </row>
    <row r="232" customFormat="false" ht="15" hidden="true" customHeight="true" outlineLevel="0" collapsed="false">
      <c r="A232" s="46" t="str">
        <f aca="false">Backlog!A232</f>
        <v/>
      </c>
      <c r="B232" s="68" t="str">
        <f aca="false">IFERROR(IF(ISBLANK(INDEX(Backlog[Requirement Name],MATCH($A232,Backlog[Requirement ID],0))),"",INDEX(Backlog[Requirement Name],MATCH($A232,Backlog[Requirement ID],0))),"")</f>
        <v/>
      </c>
      <c r="C232" s="69" t="str">
        <f aca="false">IFERROR(IF(ISBLANK(INDEX(Backlog[Stream],MATCH($A232,Backlog[Requirement ID],0))),"",INDEX(Backlog[Stream],MATCH($A232,Backlog[Requirement ID],0))),"")</f>
        <v/>
      </c>
      <c r="D232" s="69" t="str">
        <f aca="false">IFERROR(IF(ISBLANK(INDEX(Backlog[Jira Link],MATCH($A232,Backlog[Requirement ID],0))),"",INDEX(Backlog[Jira Link],MATCH($A232,Backlog[Requirement ID],0))),"")</f>
        <v/>
      </c>
      <c r="E232" s="69" t="str">
        <f aca="false">IFERROR(IF(ISBLANK(INDEX(Backlog[Status],MATCH($A232,Backlog[Requirement ID],0))),"",INDEX(Backlog[Status],MATCH($A232,Backlog[Requirement ID],0))),"")</f>
        <v/>
      </c>
      <c r="F232" s="69" t="str">
        <f aca="false">IFERROR(IF(ISBLANK(INDEX(SprintPlanning[Sprint],MATCH($A232,SprintPlanning[Requirement ID],0))),"",INDEX(SprintPlanning[Sprint],MATCH($A232,SprintPlanning[Requirement ID],0))),"")</f>
        <v/>
      </c>
      <c r="G232" s="70"/>
      <c r="H232" s="71"/>
      <c r="I232" s="70"/>
      <c r="J232" s="69" t="str">
        <f aca="false">IFERROR(IF(ISBLANK(INDEX(Backlog[Priority],MATCH($A232,Backlog[Requirement ID],0))),"",INDEX(Backlog[Priority],MATCH($A232,Backlog[Requirement ID],0))),"")</f>
        <v/>
      </c>
      <c r="K232" s="46" t="s">
        <v>435</v>
      </c>
      <c r="L232" s="1" t="str">
        <f aca="false">IFERROR(IF(ISBLANK(INDEX(Backlog[HLE],MATCH($A232,Backlog[Requirement ID],0))),"",IF(INDEX(Backlog[HLE],MATCH($A232,Backlog[Requirement ID],0))&lt;=5,0.5,IF(INDEX(Backlog[HLE],MATCH($A232,Backlog[Requirement ID],0))&lt;=8,1,IF(INDEX(Backlog[HLE],MATCH($A232,Backlog[Requirement ID],0))&lt;=13,2,IF(INDEX(Backlog[HLE],MATCH($A232,Backlog[Requirement ID],0))&lt;=20,3,5))))),"")</f>
        <v/>
      </c>
      <c r="M232" s="46"/>
    </row>
    <row r="233" customFormat="false" ht="15" hidden="false" customHeight="true" outlineLevel="0" collapsed="false">
      <c r="A233" s="46" t="str">
        <f aca="false">Backlog!A233</f>
        <v/>
      </c>
      <c r="B233" s="68" t="str">
        <f aca="false">IFERROR(IF(ISBLANK(INDEX(Backlog[Requirement Name],MATCH($A233,Backlog[Requirement ID],0))),"",INDEX(Backlog[Requirement Name],MATCH($A233,Backlog[Requirement ID],0))),"")</f>
        <v/>
      </c>
      <c r="C233" s="69" t="str">
        <f aca="false">IFERROR(IF(ISBLANK(INDEX(Backlog[Stream],MATCH($A233,Backlog[Requirement ID],0))),"",INDEX(Backlog[Stream],MATCH($A233,Backlog[Requirement ID],0))),"")</f>
        <v/>
      </c>
      <c r="D233" s="69" t="str">
        <f aca="false">IFERROR(IF(ISBLANK(INDEX(Backlog[Jira Link],MATCH($A233,Backlog[Requirement ID],0))),"",INDEX(Backlog[Jira Link],MATCH($A233,Backlog[Requirement ID],0))),"")</f>
        <v/>
      </c>
      <c r="E233" s="69" t="str">
        <f aca="false">IFERROR(IF(ISBLANK(INDEX(Backlog[Status],MATCH($A233,Backlog[Requirement ID],0))),"",INDEX(Backlog[Status],MATCH($A233,Backlog[Requirement ID],0))),"")</f>
        <v/>
      </c>
      <c r="F233" s="69" t="str">
        <f aca="false">IFERROR(IF(ISBLANK(INDEX(SprintPlanning[Sprint],MATCH($A233,SprintPlanning[Requirement ID],0))),"",INDEX(SprintPlanning[Sprint],MATCH($A233,SprintPlanning[Requirement ID],0))),"")</f>
        <v/>
      </c>
      <c r="G233" s="70"/>
      <c r="H233" s="71"/>
      <c r="I233" s="70"/>
      <c r="J233" s="69" t="str">
        <f aca="false">IFERROR(IF(ISBLANK(INDEX(Backlog[Priority],MATCH($A233,Backlog[Requirement ID],0))),"",INDEX(Backlog[Priority],MATCH($A233,Backlog[Requirement ID],0))),"")</f>
        <v/>
      </c>
      <c r="K233" s="46"/>
      <c r="L233" s="1" t="str">
        <f aca="false">IFERROR(IF(ISBLANK(INDEX(Backlog[HLE],MATCH($A233,Backlog[Requirement ID],0))),"",IF(INDEX(Backlog[HLE],MATCH($A233,Backlog[Requirement ID],0))&lt;=5,0.5,IF(INDEX(Backlog[HLE],MATCH($A233,Backlog[Requirement ID],0))&lt;=8,1,IF(INDEX(Backlog[HLE],MATCH($A233,Backlog[Requirement ID],0))&lt;=13,2,IF(INDEX(Backlog[HLE],MATCH($A233,Backlog[Requirement ID],0))&lt;=20,3,5))))),"")</f>
        <v/>
      </c>
      <c r="M233" s="46"/>
    </row>
    <row r="234" customFormat="false" ht="15" hidden="false" customHeight="true" outlineLevel="0" collapsed="false">
      <c r="A234" s="46" t="str">
        <f aca="false">Backlog!A234</f>
        <v/>
      </c>
      <c r="B234" s="68" t="str">
        <f aca="false">IFERROR(IF(ISBLANK(INDEX(Backlog[Requirement Name],MATCH($A234,Backlog[Requirement ID],0))),"",INDEX(Backlog[Requirement Name],MATCH($A234,Backlog[Requirement ID],0))),"")</f>
        <v/>
      </c>
      <c r="C234" s="69" t="str">
        <f aca="false">IFERROR(IF(ISBLANK(INDEX(Backlog[Stream],MATCH($A234,Backlog[Requirement ID],0))),"",INDEX(Backlog[Stream],MATCH($A234,Backlog[Requirement ID],0))),"")</f>
        <v/>
      </c>
      <c r="D234" s="69" t="str">
        <f aca="false">IFERROR(IF(ISBLANK(INDEX(Backlog[Jira Link],MATCH($A234,Backlog[Requirement ID],0))),"",INDEX(Backlog[Jira Link],MATCH($A234,Backlog[Requirement ID],0))),"")</f>
        <v/>
      </c>
      <c r="E234" s="69" t="str">
        <f aca="false">IFERROR(IF(ISBLANK(INDEX(Backlog[Status],MATCH($A234,Backlog[Requirement ID],0))),"",INDEX(Backlog[Status],MATCH($A234,Backlog[Requirement ID],0))),"")</f>
        <v/>
      </c>
      <c r="F234" s="69" t="str">
        <f aca="false">IFERROR(IF(ISBLANK(INDEX(SprintPlanning[Sprint],MATCH($A234,SprintPlanning[Requirement ID],0))),"",INDEX(SprintPlanning[Sprint],MATCH($A234,SprintPlanning[Requirement ID],0))),"")</f>
        <v/>
      </c>
      <c r="G234" s="70"/>
      <c r="H234" s="71"/>
      <c r="I234" s="70"/>
      <c r="J234" s="69" t="str">
        <f aca="false">IFERROR(IF(ISBLANK(INDEX(Backlog[Priority],MATCH($A234,Backlog[Requirement ID],0))),"",INDEX(Backlog[Priority],MATCH($A234,Backlog[Requirement ID],0))),"")</f>
        <v/>
      </c>
      <c r="K234" s="46"/>
      <c r="L234" s="1" t="str">
        <f aca="false">IFERROR(IF(ISBLANK(INDEX(Backlog[HLE],MATCH($A234,Backlog[Requirement ID],0))),"",IF(INDEX(Backlog[HLE],MATCH($A234,Backlog[Requirement ID],0))&lt;=5,0.5,IF(INDEX(Backlog[HLE],MATCH($A234,Backlog[Requirement ID],0))&lt;=8,1,IF(INDEX(Backlog[HLE],MATCH($A234,Backlog[Requirement ID],0))&lt;=13,2,IF(INDEX(Backlog[HLE],MATCH($A234,Backlog[Requirement ID],0))&lt;=20,3,5))))),"")</f>
        <v/>
      </c>
      <c r="M234" s="46"/>
    </row>
    <row r="235" customFormat="false" ht="15" hidden="false" customHeight="true" outlineLevel="0" collapsed="false">
      <c r="A235" s="46" t="str">
        <f aca="false">Backlog!A235</f>
        <v/>
      </c>
      <c r="B235" s="68" t="str">
        <f aca="false">IFERROR(IF(ISBLANK(INDEX(Backlog[Requirement Name],MATCH($A235,Backlog[Requirement ID],0))),"",INDEX(Backlog[Requirement Name],MATCH($A235,Backlog[Requirement ID],0))),"")</f>
        <v/>
      </c>
      <c r="C235" s="69" t="str">
        <f aca="false">IFERROR(IF(ISBLANK(INDEX(Backlog[Stream],MATCH($A235,Backlog[Requirement ID],0))),"",INDEX(Backlog[Stream],MATCH($A235,Backlog[Requirement ID],0))),"")</f>
        <v/>
      </c>
      <c r="D235" s="69" t="str">
        <f aca="false">IFERROR(IF(ISBLANK(INDEX(Backlog[Jira Link],MATCH($A235,Backlog[Requirement ID],0))),"",INDEX(Backlog[Jira Link],MATCH($A235,Backlog[Requirement ID],0))),"")</f>
        <v/>
      </c>
      <c r="E235" s="69" t="str">
        <f aca="false">IFERROR(IF(ISBLANK(INDEX(Backlog[Status],MATCH($A235,Backlog[Requirement ID],0))),"",INDEX(Backlog[Status],MATCH($A235,Backlog[Requirement ID],0))),"")</f>
        <v/>
      </c>
      <c r="F235" s="69" t="str">
        <f aca="false">IFERROR(IF(ISBLANK(INDEX(SprintPlanning[Sprint],MATCH($A235,SprintPlanning[Requirement ID],0))),"",INDEX(SprintPlanning[Sprint],MATCH($A235,SprintPlanning[Requirement ID],0))),"")</f>
        <v/>
      </c>
      <c r="G235" s="70"/>
      <c r="H235" s="71"/>
      <c r="I235" s="70"/>
      <c r="J235" s="69" t="str">
        <f aca="false">IFERROR(IF(ISBLANK(INDEX(Backlog[Priority],MATCH($A235,Backlog[Requirement ID],0))),"",INDEX(Backlog[Priority],MATCH($A235,Backlog[Requirement ID],0))),"")</f>
        <v/>
      </c>
      <c r="K235" s="46"/>
      <c r="L235" s="1" t="str">
        <f aca="false">IFERROR(IF(ISBLANK(INDEX(Backlog[HLE],MATCH($A235,Backlog[Requirement ID],0))),"",IF(INDEX(Backlog[HLE],MATCH($A235,Backlog[Requirement ID],0))&lt;=5,0.5,IF(INDEX(Backlog[HLE],MATCH($A235,Backlog[Requirement ID],0))&lt;=8,1,IF(INDEX(Backlog[HLE],MATCH($A235,Backlog[Requirement ID],0))&lt;=13,2,IF(INDEX(Backlog[HLE],MATCH($A235,Backlog[Requirement ID],0))&lt;=20,3,5))))),"")</f>
        <v/>
      </c>
      <c r="M235" s="46"/>
    </row>
    <row r="236" customFormat="false" ht="15" hidden="false" customHeight="true" outlineLevel="0" collapsed="false">
      <c r="A236" s="46" t="str">
        <f aca="false">Backlog!A236</f>
        <v/>
      </c>
      <c r="B236" s="68" t="str">
        <f aca="false">IFERROR(IF(ISBLANK(INDEX(Backlog[Requirement Name],MATCH($A236,Backlog[Requirement ID],0))),"",INDEX(Backlog[Requirement Name],MATCH($A236,Backlog[Requirement ID],0))),"")</f>
        <v/>
      </c>
      <c r="C236" s="69" t="str">
        <f aca="false">IFERROR(IF(ISBLANK(INDEX(Backlog[Stream],MATCH($A236,Backlog[Requirement ID],0))),"",INDEX(Backlog[Stream],MATCH($A236,Backlog[Requirement ID],0))),"")</f>
        <v/>
      </c>
      <c r="D236" s="69" t="str">
        <f aca="false">IFERROR(IF(ISBLANK(INDEX(Backlog[Jira Link],MATCH($A236,Backlog[Requirement ID],0))),"",INDEX(Backlog[Jira Link],MATCH($A236,Backlog[Requirement ID],0))),"")</f>
        <v/>
      </c>
      <c r="E236" s="69" t="str">
        <f aca="false">IFERROR(IF(ISBLANK(INDEX(Backlog[Status],MATCH($A236,Backlog[Requirement ID],0))),"",INDEX(Backlog[Status],MATCH($A236,Backlog[Requirement ID],0))),"")</f>
        <v/>
      </c>
      <c r="F236" s="69" t="str">
        <f aca="false">IFERROR(IF(ISBLANK(INDEX(SprintPlanning[Sprint],MATCH($A236,SprintPlanning[Requirement ID],0))),"",INDEX(SprintPlanning[Sprint],MATCH($A236,SprintPlanning[Requirement ID],0))),"")</f>
        <v/>
      </c>
      <c r="G236" s="70"/>
      <c r="H236" s="71"/>
      <c r="I236" s="70"/>
      <c r="J236" s="69" t="str">
        <f aca="false">IFERROR(IF(ISBLANK(INDEX(Backlog[Priority],MATCH($A236,Backlog[Requirement ID],0))),"",INDEX(Backlog[Priority],MATCH($A236,Backlog[Requirement ID],0))),"")</f>
        <v/>
      </c>
      <c r="K236" s="46" t="s">
        <v>435</v>
      </c>
      <c r="L236" s="1" t="str">
        <f aca="false">IFERROR(IF(ISBLANK(INDEX(Backlog[HLE],MATCH($A236,Backlog[Requirement ID],0))),"",IF(INDEX(Backlog[HLE],MATCH($A236,Backlog[Requirement ID],0))&lt;=5,0.5,IF(INDEX(Backlog[HLE],MATCH($A236,Backlog[Requirement ID],0))&lt;=8,1,IF(INDEX(Backlog[HLE],MATCH($A236,Backlog[Requirement ID],0))&lt;=13,2,IF(INDEX(Backlog[HLE],MATCH($A236,Backlog[Requirement ID],0))&lt;=20,3,5))))),"")</f>
        <v/>
      </c>
      <c r="M236" s="46"/>
    </row>
    <row r="237" customFormat="false" ht="15" hidden="false" customHeight="true" outlineLevel="0" collapsed="false">
      <c r="A237" s="46" t="str">
        <f aca="false">Backlog!A237</f>
        <v/>
      </c>
      <c r="B237" s="68" t="str">
        <f aca="false">IFERROR(IF(ISBLANK(INDEX(Backlog[Requirement Name],MATCH($A237,Backlog[Requirement ID],0))),"",INDEX(Backlog[Requirement Name],MATCH($A237,Backlog[Requirement ID],0))),"")</f>
        <v/>
      </c>
      <c r="C237" s="69" t="str">
        <f aca="false">IFERROR(IF(ISBLANK(INDEX(Backlog[Stream],MATCH($A237,Backlog[Requirement ID],0))),"",INDEX(Backlog[Stream],MATCH($A237,Backlog[Requirement ID],0))),"")</f>
        <v/>
      </c>
      <c r="D237" s="69" t="str">
        <f aca="false">IFERROR(IF(ISBLANK(INDEX(Backlog[Jira Link],MATCH($A237,Backlog[Requirement ID],0))),"",INDEX(Backlog[Jira Link],MATCH($A237,Backlog[Requirement ID],0))),"")</f>
        <v/>
      </c>
      <c r="E237" s="69" t="str">
        <f aca="false">IFERROR(IF(ISBLANK(INDEX(Backlog[Status],MATCH($A237,Backlog[Requirement ID],0))),"",INDEX(Backlog[Status],MATCH($A237,Backlog[Requirement ID],0))),"")</f>
        <v/>
      </c>
      <c r="F237" s="69" t="str">
        <f aca="false">IFERROR(IF(ISBLANK(INDEX(SprintPlanning[Sprint],MATCH($A237,SprintPlanning[Requirement ID],0))),"",INDEX(SprintPlanning[Sprint],MATCH($A237,SprintPlanning[Requirement ID],0))),"")</f>
        <v/>
      </c>
      <c r="G237" s="70"/>
      <c r="H237" s="71"/>
      <c r="I237" s="70"/>
      <c r="J237" s="69" t="str">
        <f aca="false">IFERROR(IF(ISBLANK(INDEX(Backlog[Priority],MATCH($A237,Backlog[Requirement ID],0))),"",INDEX(Backlog[Priority],MATCH($A237,Backlog[Requirement ID],0))),"")</f>
        <v/>
      </c>
      <c r="K237" s="46" t="s">
        <v>438</v>
      </c>
      <c r="L237" s="1" t="str">
        <f aca="false">IFERROR(IF(ISBLANK(INDEX(Backlog[HLE],MATCH($A237,Backlog[Requirement ID],0))),"",IF(INDEX(Backlog[HLE],MATCH($A237,Backlog[Requirement ID],0))&lt;=5,0.5,IF(INDEX(Backlog[HLE],MATCH($A237,Backlog[Requirement ID],0))&lt;=8,1,IF(INDEX(Backlog[HLE],MATCH($A237,Backlog[Requirement ID],0))&lt;=13,2,IF(INDEX(Backlog[HLE],MATCH($A237,Backlog[Requirement ID],0))&lt;=20,3,5))))),"")</f>
        <v/>
      </c>
      <c r="M237" s="46" t="s">
        <v>395</v>
      </c>
    </row>
    <row r="238" customFormat="false" ht="15" hidden="false" customHeight="true" outlineLevel="0" collapsed="false">
      <c r="A238" s="46" t="str">
        <f aca="false">Backlog!A238</f>
        <v/>
      </c>
      <c r="B238" s="68" t="str">
        <f aca="false">IFERROR(IF(ISBLANK(INDEX(Backlog[Requirement Name],MATCH($A238,Backlog[Requirement ID],0))),"",INDEX(Backlog[Requirement Name],MATCH($A238,Backlog[Requirement ID],0))),"")</f>
        <v/>
      </c>
      <c r="C238" s="69" t="str">
        <f aca="false">IFERROR(IF(ISBLANK(INDEX(Backlog[Stream],MATCH($A238,Backlog[Requirement ID],0))),"",INDEX(Backlog[Stream],MATCH($A238,Backlog[Requirement ID],0))),"")</f>
        <v/>
      </c>
      <c r="D238" s="69" t="str">
        <f aca="false">IFERROR(IF(ISBLANK(INDEX(Backlog[Jira Link],MATCH($A238,Backlog[Requirement ID],0))),"",INDEX(Backlog[Jira Link],MATCH($A238,Backlog[Requirement ID],0))),"")</f>
        <v/>
      </c>
      <c r="E238" s="69" t="str">
        <f aca="false">IFERROR(IF(ISBLANK(INDEX(Backlog[Status],MATCH($A238,Backlog[Requirement ID],0))),"",INDEX(Backlog[Status],MATCH($A238,Backlog[Requirement ID],0))),"")</f>
        <v/>
      </c>
      <c r="F238" s="69" t="str">
        <f aca="false">IFERROR(IF(ISBLANK(INDEX(SprintPlanning[Sprint],MATCH($A238,SprintPlanning[Requirement ID],0))),"",INDEX(SprintPlanning[Sprint],MATCH($A238,SprintPlanning[Requirement ID],0))),"")</f>
        <v/>
      </c>
      <c r="G238" s="70"/>
      <c r="H238" s="71"/>
      <c r="I238" s="70"/>
      <c r="J238" s="69" t="str">
        <f aca="false">IFERROR(IF(ISBLANK(INDEX(Backlog[Priority],MATCH($A238,Backlog[Requirement ID],0))),"",INDEX(Backlog[Priority],MATCH($A238,Backlog[Requirement ID],0))),"")</f>
        <v/>
      </c>
      <c r="K238" s="46" t="s">
        <v>437</v>
      </c>
      <c r="L238" s="1" t="str">
        <f aca="false">IFERROR(IF(ISBLANK(INDEX(Backlog[HLE],MATCH($A238,Backlog[Requirement ID],0))),"",IF(INDEX(Backlog[HLE],MATCH($A238,Backlog[Requirement ID],0))&lt;=5,0.5,IF(INDEX(Backlog[HLE],MATCH($A238,Backlog[Requirement ID],0))&lt;=8,1,IF(INDEX(Backlog[HLE],MATCH($A238,Backlog[Requirement ID],0))&lt;=13,2,IF(INDEX(Backlog[HLE],MATCH($A238,Backlog[Requirement ID],0))&lt;=20,3,5))))),"")</f>
        <v/>
      </c>
      <c r="M238" s="46"/>
    </row>
    <row r="239" customFormat="false" ht="15" hidden="false" customHeight="true" outlineLevel="0" collapsed="false">
      <c r="A239" s="46" t="str">
        <f aca="false">Backlog!A239</f>
        <v/>
      </c>
      <c r="B239" s="68" t="str">
        <f aca="false">IFERROR(IF(ISBLANK(INDEX(Backlog[Requirement Name],MATCH($A239,Backlog[Requirement ID],0))),"",INDEX(Backlog[Requirement Name],MATCH($A239,Backlog[Requirement ID],0))),"")</f>
        <v/>
      </c>
      <c r="C239" s="69" t="str">
        <f aca="false">IFERROR(IF(ISBLANK(INDEX(Backlog[Stream],MATCH($A239,Backlog[Requirement ID],0))),"",INDEX(Backlog[Stream],MATCH($A239,Backlog[Requirement ID],0))),"")</f>
        <v/>
      </c>
      <c r="D239" s="69" t="str">
        <f aca="false">IFERROR(IF(ISBLANK(INDEX(Backlog[Jira Link],MATCH($A239,Backlog[Requirement ID],0))),"",INDEX(Backlog[Jira Link],MATCH($A239,Backlog[Requirement ID],0))),"")</f>
        <v/>
      </c>
      <c r="E239" s="69" t="str">
        <f aca="false">IFERROR(IF(ISBLANK(INDEX(Backlog[Status],MATCH($A239,Backlog[Requirement ID],0))),"",INDEX(Backlog[Status],MATCH($A239,Backlog[Requirement ID],0))),"")</f>
        <v/>
      </c>
      <c r="F239" s="69" t="str">
        <f aca="false">IFERROR(IF(ISBLANK(INDEX(SprintPlanning[Sprint],MATCH($A239,SprintPlanning[Requirement ID],0))),"",INDEX(SprintPlanning[Sprint],MATCH($A239,SprintPlanning[Requirement ID],0))),"")</f>
        <v/>
      </c>
      <c r="G239" s="70"/>
      <c r="H239" s="71"/>
      <c r="I239" s="70"/>
      <c r="J239" s="69" t="str">
        <f aca="false">IFERROR(IF(ISBLANK(INDEX(Backlog[Priority],MATCH($A239,Backlog[Requirement ID],0))),"",INDEX(Backlog[Priority],MATCH($A239,Backlog[Requirement ID],0))),"")</f>
        <v/>
      </c>
      <c r="K239" s="46" t="s">
        <v>435</v>
      </c>
      <c r="L239" s="1" t="str">
        <f aca="false">IFERROR(IF(ISBLANK(INDEX(Backlog[HLE],MATCH($A239,Backlog[Requirement ID],0))),"",IF(INDEX(Backlog[HLE],MATCH($A239,Backlog[Requirement ID],0))&lt;=5,0.5,IF(INDEX(Backlog[HLE],MATCH($A239,Backlog[Requirement ID],0))&lt;=8,1,IF(INDEX(Backlog[HLE],MATCH($A239,Backlog[Requirement ID],0))&lt;=13,2,IF(INDEX(Backlog[HLE],MATCH($A239,Backlog[Requirement ID],0))&lt;=20,3,5))))),"")</f>
        <v/>
      </c>
      <c r="M239" s="46"/>
    </row>
    <row r="240" customFormat="false" ht="15" hidden="false" customHeight="true" outlineLevel="0" collapsed="false">
      <c r="A240" s="46" t="str">
        <f aca="false">Backlog!A240</f>
        <v/>
      </c>
      <c r="B240" s="68" t="str">
        <f aca="false">IFERROR(IF(ISBLANK(INDEX(Backlog[Requirement Name],MATCH($A240,Backlog[Requirement ID],0))),"",INDEX(Backlog[Requirement Name],MATCH($A240,Backlog[Requirement ID],0))),"")</f>
        <v/>
      </c>
      <c r="C240" s="69" t="str">
        <f aca="false">IFERROR(IF(ISBLANK(INDEX(Backlog[Stream],MATCH($A240,Backlog[Requirement ID],0))),"",INDEX(Backlog[Stream],MATCH($A240,Backlog[Requirement ID],0))),"")</f>
        <v/>
      </c>
      <c r="D240" s="69" t="str">
        <f aca="false">IFERROR(IF(ISBLANK(INDEX(Backlog[Jira Link],MATCH($A240,Backlog[Requirement ID],0))),"",INDEX(Backlog[Jira Link],MATCH($A240,Backlog[Requirement ID],0))),"")</f>
        <v/>
      </c>
      <c r="E240" s="69" t="str">
        <f aca="false">IFERROR(IF(ISBLANK(INDEX(Backlog[Status],MATCH($A240,Backlog[Requirement ID],0))),"",INDEX(Backlog[Status],MATCH($A240,Backlog[Requirement ID],0))),"")</f>
        <v/>
      </c>
      <c r="F240" s="69" t="str">
        <f aca="false">IFERROR(IF(ISBLANK(INDEX(SprintPlanning[Sprint],MATCH($A240,SprintPlanning[Requirement ID],0))),"",INDEX(SprintPlanning[Sprint],MATCH($A240,SprintPlanning[Requirement ID],0))),"")</f>
        <v/>
      </c>
      <c r="G240" s="70"/>
      <c r="H240" s="71"/>
      <c r="I240" s="70"/>
      <c r="J240" s="69" t="str">
        <f aca="false">IFERROR(IF(ISBLANK(INDEX(Backlog[Priority],MATCH($A240,Backlog[Requirement ID],0))),"",INDEX(Backlog[Priority],MATCH($A240,Backlog[Requirement ID],0))),"")</f>
        <v/>
      </c>
      <c r="K240" s="46" t="s">
        <v>435</v>
      </c>
      <c r="L240" s="1" t="str">
        <f aca="false">IFERROR(IF(ISBLANK(INDEX(Backlog[HLE],MATCH($A240,Backlog[Requirement ID],0))),"",IF(INDEX(Backlog[HLE],MATCH($A240,Backlog[Requirement ID],0))&lt;=5,0.5,IF(INDEX(Backlog[HLE],MATCH($A240,Backlog[Requirement ID],0))&lt;=8,1,IF(INDEX(Backlog[HLE],MATCH($A240,Backlog[Requirement ID],0))&lt;=13,2,IF(INDEX(Backlog[HLE],MATCH($A240,Backlog[Requirement ID],0))&lt;=20,3,5))))),"")</f>
        <v/>
      </c>
      <c r="M240" s="46"/>
    </row>
    <row r="241" customFormat="false" ht="15" hidden="false" customHeight="true" outlineLevel="0" collapsed="false">
      <c r="A241" s="46" t="str">
        <f aca="false">Backlog!A241</f>
        <v/>
      </c>
      <c r="B241" s="68" t="str">
        <f aca="false">IFERROR(IF(ISBLANK(INDEX(Backlog[Requirement Name],MATCH($A241,Backlog[Requirement ID],0))),"",INDEX(Backlog[Requirement Name],MATCH($A241,Backlog[Requirement ID],0))),"")</f>
        <v/>
      </c>
      <c r="C241" s="69" t="str">
        <f aca="false">IFERROR(IF(ISBLANK(INDEX(Backlog[Stream],MATCH($A241,Backlog[Requirement ID],0))),"",INDEX(Backlog[Stream],MATCH($A241,Backlog[Requirement ID],0))),"")</f>
        <v/>
      </c>
      <c r="D241" s="69" t="str">
        <f aca="false">IFERROR(IF(ISBLANK(INDEX(Backlog[Jira Link],MATCH($A241,Backlog[Requirement ID],0))),"",INDEX(Backlog[Jira Link],MATCH($A241,Backlog[Requirement ID],0))),"")</f>
        <v/>
      </c>
      <c r="E241" s="69" t="str">
        <f aca="false">IFERROR(IF(ISBLANK(INDEX(Backlog[Status],MATCH($A241,Backlog[Requirement ID],0))),"",INDEX(Backlog[Status],MATCH($A241,Backlog[Requirement ID],0))),"")</f>
        <v/>
      </c>
      <c r="F241" s="69" t="str">
        <f aca="false">IFERROR(IF(ISBLANK(INDEX(SprintPlanning[Sprint],MATCH($A241,SprintPlanning[Requirement ID],0))),"",INDEX(SprintPlanning[Sprint],MATCH($A241,SprintPlanning[Requirement ID],0))),"")</f>
        <v/>
      </c>
      <c r="G241" s="70"/>
      <c r="H241" s="71"/>
      <c r="I241" s="70"/>
      <c r="J241" s="69" t="str">
        <f aca="false">IFERROR(IF(ISBLANK(INDEX(Backlog[Priority],MATCH($A241,Backlog[Requirement ID],0))),"",INDEX(Backlog[Priority],MATCH($A241,Backlog[Requirement ID],0))),"")</f>
        <v/>
      </c>
      <c r="K241" s="46" t="s">
        <v>435</v>
      </c>
      <c r="L241" s="1" t="str">
        <f aca="false">IFERROR(IF(ISBLANK(INDEX(Backlog[HLE],MATCH($A241,Backlog[Requirement ID],0))),"",IF(INDEX(Backlog[HLE],MATCH($A241,Backlog[Requirement ID],0))&lt;=5,0.5,IF(INDEX(Backlog[HLE],MATCH($A241,Backlog[Requirement ID],0))&lt;=8,1,IF(INDEX(Backlog[HLE],MATCH($A241,Backlog[Requirement ID],0))&lt;=13,2,IF(INDEX(Backlog[HLE],MATCH($A241,Backlog[Requirement ID],0))&lt;=20,3,5))))),"")</f>
        <v/>
      </c>
      <c r="M241" s="46"/>
    </row>
    <row r="242" customFormat="false" ht="15" hidden="false" customHeight="true" outlineLevel="0" collapsed="false">
      <c r="A242" s="46" t="str">
        <f aca="false">Backlog!A242</f>
        <v/>
      </c>
      <c r="B242" s="68" t="str">
        <f aca="false">IFERROR(IF(ISBLANK(INDEX(Backlog[Requirement Name],MATCH($A242,Backlog[Requirement ID],0))),"",INDEX(Backlog[Requirement Name],MATCH($A242,Backlog[Requirement ID],0))),"")</f>
        <v/>
      </c>
      <c r="C242" s="69" t="str">
        <f aca="false">IFERROR(IF(ISBLANK(INDEX(Backlog[Stream],MATCH($A242,Backlog[Requirement ID],0))),"",INDEX(Backlog[Stream],MATCH($A242,Backlog[Requirement ID],0))),"")</f>
        <v/>
      </c>
      <c r="D242" s="69" t="str">
        <f aca="false">IFERROR(IF(ISBLANK(INDEX(Backlog[Jira Link],MATCH($A242,Backlog[Requirement ID],0))),"",INDEX(Backlog[Jira Link],MATCH($A242,Backlog[Requirement ID],0))),"")</f>
        <v/>
      </c>
      <c r="E242" s="69" t="str">
        <f aca="false">IFERROR(IF(ISBLANK(INDEX(Backlog[Status],MATCH($A242,Backlog[Requirement ID],0))),"",INDEX(Backlog[Status],MATCH($A242,Backlog[Requirement ID],0))),"")</f>
        <v/>
      </c>
      <c r="F242" s="69" t="str">
        <f aca="false">IFERROR(IF(ISBLANK(INDEX(SprintPlanning[Sprint],MATCH($A242,SprintPlanning[Requirement ID],0))),"",INDEX(SprintPlanning[Sprint],MATCH($A242,SprintPlanning[Requirement ID],0))),"")</f>
        <v/>
      </c>
      <c r="G242" s="70"/>
      <c r="H242" s="71"/>
      <c r="I242" s="70"/>
      <c r="J242" s="69" t="str">
        <f aca="false">IFERROR(IF(ISBLANK(INDEX(Backlog[Priority],MATCH($A242,Backlog[Requirement ID],0))),"",INDEX(Backlog[Priority],MATCH($A242,Backlog[Requirement ID],0))),"")</f>
        <v/>
      </c>
      <c r="K242" s="46"/>
      <c r="L242" s="1" t="str">
        <f aca="false">IFERROR(IF(ISBLANK(INDEX(Backlog[HLE],MATCH($A242,Backlog[Requirement ID],0))),"",IF(INDEX(Backlog[HLE],MATCH($A242,Backlog[Requirement ID],0))&lt;=5,0.5,IF(INDEX(Backlog[HLE],MATCH($A242,Backlog[Requirement ID],0))&lt;=8,1,IF(INDEX(Backlog[HLE],MATCH($A242,Backlog[Requirement ID],0))&lt;=13,2,IF(INDEX(Backlog[HLE],MATCH($A242,Backlog[Requirement ID],0))&lt;=20,3,5))))),"")</f>
        <v/>
      </c>
      <c r="M242" s="46"/>
    </row>
    <row r="243" customFormat="false" ht="15" hidden="false" customHeight="true" outlineLevel="0" collapsed="false">
      <c r="A243" s="46" t="str">
        <f aca="false">Backlog!A243</f>
        <v/>
      </c>
      <c r="B243" s="68" t="str">
        <f aca="false">IFERROR(IF(ISBLANK(INDEX(Backlog[Requirement Name],MATCH($A243,Backlog[Requirement ID],0))),"",INDEX(Backlog[Requirement Name],MATCH($A243,Backlog[Requirement ID],0))),"")</f>
        <v/>
      </c>
      <c r="C243" s="69" t="str">
        <f aca="false">IFERROR(IF(ISBLANK(INDEX(Backlog[Stream],MATCH($A243,Backlog[Requirement ID],0))),"",INDEX(Backlog[Stream],MATCH($A243,Backlog[Requirement ID],0))),"")</f>
        <v/>
      </c>
      <c r="D243" s="69" t="str">
        <f aca="false">IFERROR(IF(ISBLANK(INDEX(Backlog[Jira Link],MATCH($A243,Backlog[Requirement ID],0))),"",INDEX(Backlog[Jira Link],MATCH($A243,Backlog[Requirement ID],0))),"")</f>
        <v/>
      </c>
      <c r="E243" s="69" t="str">
        <f aca="false">IFERROR(IF(ISBLANK(INDEX(Backlog[Status],MATCH($A243,Backlog[Requirement ID],0))),"",INDEX(Backlog[Status],MATCH($A243,Backlog[Requirement ID],0))),"")</f>
        <v/>
      </c>
      <c r="F243" s="69" t="str">
        <f aca="false">IFERROR(IF(ISBLANK(INDEX(SprintPlanning[Sprint],MATCH($A243,SprintPlanning[Requirement ID],0))),"",INDEX(SprintPlanning[Sprint],MATCH($A243,SprintPlanning[Requirement ID],0))),"")</f>
        <v/>
      </c>
      <c r="G243" s="70"/>
      <c r="H243" s="71"/>
      <c r="I243" s="70"/>
      <c r="J243" s="69" t="str">
        <f aca="false">IFERROR(IF(ISBLANK(INDEX(Backlog[Priority],MATCH($A243,Backlog[Requirement ID],0))),"",INDEX(Backlog[Priority],MATCH($A243,Backlog[Requirement ID],0))),"")</f>
        <v/>
      </c>
      <c r="K243" s="46" t="s">
        <v>435</v>
      </c>
      <c r="L243" s="1" t="str">
        <f aca="false">IFERROR(IF(ISBLANK(INDEX(Backlog[HLE],MATCH($A243,Backlog[Requirement ID],0))),"",IF(INDEX(Backlog[HLE],MATCH($A243,Backlog[Requirement ID],0))&lt;=5,0.5,IF(INDEX(Backlog[HLE],MATCH($A243,Backlog[Requirement ID],0))&lt;=8,1,IF(INDEX(Backlog[HLE],MATCH($A243,Backlog[Requirement ID],0))&lt;=13,2,IF(INDEX(Backlog[HLE],MATCH($A243,Backlog[Requirement ID],0))&lt;=20,3,5))))),"")</f>
        <v/>
      </c>
      <c r="M243" s="46"/>
    </row>
    <row r="244" customFormat="false" ht="15" hidden="false" customHeight="true" outlineLevel="0" collapsed="false">
      <c r="A244" s="46" t="str">
        <f aca="false">Backlog!A244</f>
        <v/>
      </c>
      <c r="B244" s="68" t="str">
        <f aca="false">IFERROR(IF(ISBLANK(INDEX(Backlog[Requirement Name],MATCH($A244,Backlog[Requirement ID],0))),"",INDEX(Backlog[Requirement Name],MATCH($A244,Backlog[Requirement ID],0))),"")</f>
        <v/>
      </c>
      <c r="C244" s="69" t="str">
        <f aca="false">IFERROR(IF(ISBLANK(INDEX(Backlog[Stream],MATCH($A244,Backlog[Requirement ID],0))),"",INDEX(Backlog[Stream],MATCH($A244,Backlog[Requirement ID],0))),"")</f>
        <v/>
      </c>
      <c r="D244" s="69" t="str">
        <f aca="false">IFERROR(IF(ISBLANK(INDEX(Backlog[Jira Link],MATCH($A244,Backlog[Requirement ID],0))),"",INDEX(Backlog[Jira Link],MATCH($A244,Backlog[Requirement ID],0))),"")</f>
        <v/>
      </c>
      <c r="E244" s="69" t="str">
        <f aca="false">IFERROR(IF(ISBLANK(INDEX(Backlog[Status],MATCH($A244,Backlog[Requirement ID],0))),"",INDEX(Backlog[Status],MATCH($A244,Backlog[Requirement ID],0))),"")</f>
        <v/>
      </c>
      <c r="F244" s="69" t="str">
        <f aca="false">IFERROR(IF(ISBLANK(INDEX(SprintPlanning[Sprint],MATCH($A244,SprintPlanning[Requirement ID],0))),"",INDEX(SprintPlanning[Sprint],MATCH($A244,SprintPlanning[Requirement ID],0))),"")</f>
        <v/>
      </c>
      <c r="G244" s="70"/>
      <c r="H244" s="71"/>
      <c r="I244" s="70"/>
      <c r="J244" s="69" t="str">
        <f aca="false">IFERROR(IF(ISBLANK(INDEX(Backlog[Priority],MATCH($A244,Backlog[Requirement ID],0))),"",INDEX(Backlog[Priority],MATCH($A244,Backlog[Requirement ID],0))),"")</f>
        <v/>
      </c>
      <c r="K244" s="46" t="s">
        <v>435</v>
      </c>
      <c r="L244" s="1" t="str">
        <f aca="false">IFERROR(IF(ISBLANK(INDEX(Backlog[HLE],MATCH($A244,Backlog[Requirement ID],0))),"",IF(INDEX(Backlog[HLE],MATCH($A244,Backlog[Requirement ID],0))&lt;=5,0.5,IF(INDEX(Backlog[HLE],MATCH($A244,Backlog[Requirement ID],0))&lt;=8,1,IF(INDEX(Backlog[HLE],MATCH($A244,Backlog[Requirement ID],0))&lt;=13,2,IF(INDEX(Backlog[HLE],MATCH($A244,Backlog[Requirement ID],0))&lt;=20,3,5))))),"")</f>
        <v/>
      </c>
      <c r="M244" s="46"/>
    </row>
    <row r="245" customFormat="false" ht="15" hidden="false" customHeight="true" outlineLevel="0" collapsed="false">
      <c r="A245" s="46" t="str">
        <f aca="false">Backlog!A245</f>
        <v/>
      </c>
      <c r="B245" s="68" t="str">
        <f aca="false">IFERROR(IF(ISBLANK(INDEX(Backlog[Requirement Name],MATCH($A245,Backlog[Requirement ID],0))),"",INDEX(Backlog[Requirement Name],MATCH($A245,Backlog[Requirement ID],0))),"")</f>
        <v/>
      </c>
      <c r="C245" s="69" t="str">
        <f aca="false">IFERROR(IF(ISBLANK(INDEX(Backlog[Stream],MATCH($A245,Backlog[Requirement ID],0))),"",INDEX(Backlog[Stream],MATCH($A245,Backlog[Requirement ID],0))),"")</f>
        <v/>
      </c>
      <c r="D245" s="69" t="str">
        <f aca="false">IFERROR(IF(ISBLANK(INDEX(Backlog[Jira Link],MATCH($A245,Backlog[Requirement ID],0))),"",INDEX(Backlog[Jira Link],MATCH($A245,Backlog[Requirement ID],0))),"")</f>
        <v/>
      </c>
      <c r="E245" s="69" t="str">
        <f aca="false">IFERROR(IF(ISBLANK(INDEX(Backlog[Status],MATCH($A245,Backlog[Requirement ID],0))),"",INDEX(Backlog[Status],MATCH($A245,Backlog[Requirement ID],0))),"")</f>
        <v/>
      </c>
      <c r="F245" s="69" t="str">
        <f aca="false">IFERROR(IF(ISBLANK(INDEX(SprintPlanning[Sprint],MATCH($A245,SprintPlanning[Requirement ID],0))),"",INDEX(SprintPlanning[Sprint],MATCH($A245,SprintPlanning[Requirement ID],0))),"")</f>
        <v/>
      </c>
      <c r="G245" s="70"/>
      <c r="H245" s="71"/>
      <c r="I245" s="70"/>
      <c r="J245" s="69" t="str">
        <f aca="false">IFERROR(IF(ISBLANK(INDEX(Backlog[Priority],MATCH($A245,Backlog[Requirement ID],0))),"",INDEX(Backlog[Priority],MATCH($A245,Backlog[Requirement ID],0))),"")</f>
        <v/>
      </c>
      <c r="K245" s="46" t="s">
        <v>435</v>
      </c>
      <c r="L245" s="1" t="str">
        <f aca="false">IFERROR(IF(ISBLANK(INDEX(Backlog[HLE],MATCH($A245,Backlog[Requirement ID],0))),"",IF(INDEX(Backlog[HLE],MATCH($A245,Backlog[Requirement ID],0))&lt;=5,0.5,IF(INDEX(Backlog[HLE],MATCH($A245,Backlog[Requirement ID],0))&lt;=8,1,IF(INDEX(Backlog[HLE],MATCH($A245,Backlog[Requirement ID],0))&lt;=13,2,IF(INDEX(Backlog[HLE],MATCH($A245,Backlog[Requirement ID],0))&lt;=20,3,5))))),"")</f>
        <v/>
      </c>
      <c r="M245" s="46"/>
    </row>
    <row r="246" customFormat="false" ht="15" hidden="false" customHeight="true" outlineLevel="0" collapsed="false">
      <c r="A246" s="46" t="str">
        <f aca="false">Backlog!A246</f>
        <v/>
      </c>
      <c r="B246" s="68" t="str">
        <f aca="false">IFERROR(IF(ISBLANK(INDEX(Backlog[Requirement Name],MATCH($A246,Backlog[Requirement ID],0))),"",INDEX(Backlog[Requirement Name],MATCH($A246,Backlog[Requirement ID],0))),"")</f>
        <v/>
      </c>
      <c r="C246" s="69" t="str">
        <f aca="false">IFERROR(IF(ISBLANK(INDEX(Backlog[Stream],MATCH($A246,Backlog[Requirement ID],0))),"",INDEX(Backlog[Stream],MATCH($A246,Backlog[Requirement ID],0))),"")</f>
        <v/>
      </c>
      <c r="D246" s="69" t="str">
        <f aca="false">IFERROR(IF(ISBLANK(INDEX(Backlog[Jira Link],MATCH($A246,Backlog[Requirement ID],0))),"",INDEX(Backlog[Jira Link],MATCH($A246,Backlog[Requirement ID],0))),"")</f>
        <v/>
      </c>
      <c r="E246" s="69" t="str">
        <f aca="false">IFERROR(IF(ISBLANK(INDEX(Backlog[Status],MATCH($A246,Backlog[Requirement ID],0))),"",INDEX(Backlog[Status],MATCH($A246,Backlog[Requirement ID],0))),"")</f>
        <v/>
      </c>
      <c r="F246" s="69" t="str">
        <f aca="false">IFERROR(IF(ISBLANK(INDEX(SprintPlanning[Sprint],MATCH($A246,SprintPlanning[Requirement ID],0))),"",INDEX(SprintPlanning[Sprint],MATCH($A246,SprintPlanning[Requirement ID],0))),"")</f>
        <v/>
      </c>
      <c r="G246" s="70"/>
      <c r="H246" s="71"/>
      <c r="I246" s="70"/>
      <c r="J246" s="69" t="str">
        <f aca="false">IFERROR(IF(ISBLANK(INDEX(Backlog[Priority],MATCH($A246,Backlog[Requirement ID],0))),"",INDEX(Backlog[Priority],MATCH($A246,Backlog[Requirement ID],0))),"")</f>
        <v/>
      </c>
      <c r="K246" s="46"/>
      <c r="L246" s="1" t="str">
        <f aca="false">IFERROR(IF(ISBLANK(INDEX(Backlog[HLE],MATCH($A246,Backlog[Requirement ID],0))),"",IF(INDEX(Backlog[HLE],MATCH($A246,Backlog[Requirement ID],0))&lt;=5,0.5,IF(INDEX(Backlog[HLE],MATCH($A246,Backlog[Requirement ID],0))&lt;=8,1,IF(INDEX(Backlog[HLE],MATCH($A246,Backlog[Requirement ID],0))&lt;=13,2,IF(INDEX(Backlog[HLE],MATCH($A246,Backlog[Requirement ID],0))&lt;=20,3,5))))),"")</f>
        <v/>
      </c>
      <c r="M246" s="46"/>
    </row>
    <row r="247" customFormat="false" ht="15" hidden="false" customHeight="true" outlineLevel="0" collapsed="false">
      <c r="A247" s="46" t="str">
        <f aca="false">Backlog!A247</f>
        <v/>
      </c>
      <c r="B247" s="68" t="str">
        <f aca="false">IFERROR(IF(ISBLANK(INDEX(Backlog[Requirement Name],MATCH($A247,Backlog[Requirement ID],0))),"",INDEX(Backlog[Requirement Name],MATCH($A247,Backlog[Requirement ID],0))),"")</f>
        <v/>
      </c>
      <c r="C247" s="69" t="str">
        <f aca="false">IFERROR(IF(ISBLANK(INDEX(Backlog[Stream],MATCH($A247,Backlog[Requirement ID],0))),"",INDEX(Backlog[Stream],MATCH($A247,Backlog[Requirement ID],0))),"")</f>
        <v/>
      </c>
      <c r="D247" s="69" t="str">
        <f aca="false">IFERROR(IF(ISBLANK(INDEX(Backlog[Jira Link],MATCH($A247,Backlog[Requirement ID],0))),"",INDEX(Backlog[Jira Link],MATCH($A247,Backlog[Requirement ID],0))),"")</f>
        <v/>
      </c>
      <c r="E247" s="69" t="str">
        <f aca="false">IFERROR(IF(ISBLANK(INDEX(Backlog[Status],MATCH($A247,Backlog[Requirement ID],0))),"",INDEX(Backlog[Status],MATCH($A247,Backlog[Requirement ID],0))),"")</f>
        <v/>
      </c>
      <c r="F247" s="69" t="str">
        <f aca="false">IFERROR(IF(ISBLANK(INDEX(SprintPlanning[Sprint],MATCH($A247,SprintPlanning[Requirement ID],0))),"",INDEX(SprintPlanning[Sprint],MATCH($A247,SprintPlanning[Requirement ID],0))),"")</f>
        <v/>
      </c>
      <c r="G247" s="70"/>
      <c r="H247" s="71"/>
      <c r="I247" s="70"/>
      <c r="J247" s="69" t="str">
        <f aca="false">IFERROR(IF(ISBLANK(INDEX(Backlog[Priority],MATCH($A247,Backlog[Requirement ID],0))),"",INDEX(Backlog[Priority],MATCH($A247,Backlog[Requirement ID],0))),"")</f>
        <v/>
      </c>
      <c r="K247" s="46"/>
      <c r="L247" s="1" t="str">
        <f aca="false">IFERROR(IF(ISBLANK(INDEX(Backlog[HLE],MATCH($A247,Backlog[Requirement ID],0))),"",IF(INDEX(Backlog[HLE],MATCH($A247,Backlog[Requirement ID],0))&lt;=5,0.5,IF(INDEX(Backlog[HLE],MATCH($A247,Backlog[Requirement ID],0))&lt;=8,1,IF(INDEX(Backlog[HLE],MATCH($A247,Backlog[Requirement ID],0))&lt;=13,2,IF(INDEX(Backlog[HLE],MATCH($A247,Backlog[Requirement ID],0))&lt;=20,3,5))))),"")</f>
        <v/>
      </c>
      <c r="M247" s="46"/>
    </row>
    <row r="248" customFormat="false" ht="15" hidden="false" customHeight="true" outlineLevel="0" collapsed="false">
      <c r="A248" s="46" t="str">
        <f aca="false">Backlog!A248</f>
        <v/>
      </c>
      <c r="B248" s="68" t="str">
        <f aca="false">IFERROR(IF(ISBLANK(INDEX(Backlog[Requirement Name],MATCH($A248,Backlog[Requirement ID],0))),"",INDEX(Backlog[Requirement Name],MATCH($A248,Backlog[Requirement ID],0))),"")</f>
        <v/>
      </c>
      <c r="C248" s="69" t="str">
        <f aca="false">IFERROR(IF(ISBLANK(INDEX(Backlog[Stream],MATCH($A248,Backlog[Requirement ID],0))),"",INDEX(Backlog[Stream],MATCH($A248,Backlog[Requirement ID],0))),"")</f>
        <v/>
      </c>
      <c r="D248" s="69" t="str">
        <f aca="false">IFERROR(IF(ISBLANK(INDEX(Backlog[Jira Link],MATCH($A248,Backlog[Requirement ID],0))),"",INDEX(Backlog[Jira Link],MATCH($A248,Backlog[Requirement ID],0))),"")</f>
        <v/>
      </c>
      <c r="E248" s="69" t="str">
        <f aca="false">IFERROR(IF(ISBLANK(INDEX(Backlog[Status],MATCH($A248,Backlog[Requirement ID],0))),"",INDEX(Backlog[Status],MATCH($A248,Backlog[Requirement ID],0))),"")</f>
        <v/>
      </c>
      <c r="F248" s="69" t="str">
        <f aca="false">IFERROR(IF(ISBLANK(INDEX(SprintPlanning[Sprint],MATCH($A248,SprintPlanning[Requirement ID],0))),"",INDEX(SprintPlanning[Sprint],MATCH($A248,SprintPlanning[Requirement ID],0))),"")</f>
        <v/>
      </c>
      <c r="G248" s="70"/>
      <c r="H248" s="71"/>
      <c r="I248" s="70"/>
      <c r="J248" s="69" t="str">
        <f aca="false">IFERROR(IF(ISBLANK(INDEX(Backlog[Priority],MATCH($A248,Backlog[Requirement ID],0))),"",INDEX(Backlog[Priority],MATCH($A248,Backlog[Requirement ID],0))),"")</f>
        <v/>
      </c>
      <c r="K248" s="46" t="s">
        <v>435</v>
      </c>
      <c r="L248" s="1" t="str">
        <f aca="false">IFERROR(IF(ISBLANK(INDEX(Backlog[HLE],MATCH($A248,Backlog[Requirement ID],0))),"",IF(INDEX(Backlog[HLE],MATCH($A248,Backlog[Requirement ID],0))&lt;=5,0.5,IF(INDEX(Backlog[HLE],MATCH($A248,Backlog[Requirement ID],0))&lt;=8,1,IF(INDEX(Backlog[HLE],MATCH($A248,Backlog[Requirement ID],0))&lt;=13,2,IF(INDEX(Backlog[HLE],MATCH($A248,Backlog[Requirement ID],0))&lt;=20,3,5))))),"")</f>
        <v/>
      </c>
      <c r="M248" s="46"/>
    </row>
    <row r="249" customFormat="false" ht="15" hidden="false" customHeight="true" outlineLevel="0" collapsed="false">
      <c r="A249" s="46" t="str">
        <f aca="false">Backlog!A249</f>
        <v/>
      </c>
      <c r="B249" s="68" t="str">
        <f aca="false">IFERROR(IF(ISBLANK(INDEX(Backlog[Requirement Name],MATCH($A249,Backlog[Requirement ID],0))),"",INDEX(Backlog[Requirement Name],MATCH($A249,Backlog[Requirement ID],0))),"")</f>
        <v/>
      </c>
      <c r="C249" s="69" t="str">
        <f aca="false">IFERROR(IF(ISBLANK(INDEX(Backlog[Stream],MATCH($A249,Backlog[Requirement ID],0))),"",INDEX(Backlog[Stream],MATCH($A249,Backlog[Requirement ID],0))),"")</f>
        <v/>
      </c>
      <c r="D249" s="69" t="str">
        <f aca="false">IFERROR(IF(ISBLANK(INDEX(Backlog[Jira Link],MATCH($A249,Backlog[Requirement ID],0))),"",INDEX(Backlog[Jira Link],MATCH($A249,Backlog[Requirement ID],0))),"")</f>
        <v/>
      </c>
      <c r="E249" s="69" t="str">
        <f aca="false">IFERROR(IF(ISBLANK(INDEX(Backlog[Status],MATCH($A249,Backlog[Requirement ID],0))),"",INDEX(Backlog[Status],MATCH($A249,Backlog[Requirement ID],0))),"")</f>
        <v/>
      </c>
      <c r="F249" s="69" t="str">
        <f aca="false">IFERROR(IF(ISBLANK(INDEX(SprintPlanning[Sprint],MATCH($A249,SprintPlanning[Requirement ID],0))),"",INDEX(SprintPlanning[Sprint],MATCH($A249,SprintPlanning[Requirement ID],0))),"")</f>
        <v/>
      </c>
      <c r="G249" s="70"/>
      <c r="H249" s="71"/>
      <c r="I249" s="70"/>
      <c r="J249" s="69" t="str">
        <f aca="false">IFERROR(IF(ISBLANK(INDEX(Backlog[Priority],MATCH($A249,Backlog[Requirement ID],0))),"",INDEX(Backlog[Priority],MATCH($A249,Backlog[Requirement ID],0))),"")</f>
        <v/>
      </c>
      <c r="K249" s="46" t="s">
        <v>435</v>
      </c>
      <c r="L249" s="1" t="str">
        <f aca="false">IFERROR(IF(ISBLANK(INDEX(Backlog[HLE],MATCH($A249,Backlog[Requirement ID],0))),"",IF(INDEX(Backlog[HLE],MATCH($A249,Backlog[Requirement ID],0))&lt;=5,0.5,IF(INDEX(Backlog[HLE],MATCH($A249,Backlog[Requirement ID],0))&lt;=8,1,IF(INDEX(Backlog[HLE],MATCH($A249,Backlog[Requirement ID],0))&lt;=13,2,IF(INDEX(Backlog[HLE],MATCH($A249,Backlog[Requirement ID],0))&lt;=20,3,5))))),"")</f>
        <v/>
      </c>
      <c r="M249" s="46"/>
    </row>
    <row r="250" customFormat="false" ht="15" hidden="false" customHeight="true" outlineLevel="0" collapsed="false">
      <c r="A250" s="46" t="str">
        <f aca="false">Backlog!A250</f>
        <v/>
      </c>
      <c r="B250" s="68" t="str">
        <f aca="false">IFERROR(IF(ISBLANK(INDEX(Backlog[Requirement Name],MATCH($A250,Backlog[Requirement ID],0))),"",INDEX(Backlog[Requirement Name],MATCH($A250,Backlog[Requirement ID],0))),"")</f>
        <v/>
      </c>
      <c r="C250" s="69" t="str">
        <f aca="false">IFERROR(IF(ISBLANK(INDEX(Backlog[Stream],MATCH($A250,Backlog[Requirement ID],0))),"",INDEX(Backlog[Stream],MATCH($A250,Backlog[Requirement ID],0))),"")</f>
        <v/>
      </c>
      <c r="D250" s="69" t="str">
        <f aca="false">IFERROR(IF(ISBLANK(INDEX(Backlog[Jira Link],MATCH($A250,Backlog[Requirement ID],0))),"",INDEX(Backlog[Jira Link],MATCH($A250,Backlog[Requirement ID],0))),"")</f>
        <v/>
      </c>
      <c r="E250" s="69" t="str">
        <f aca="false">IFERROR(IF(ISBLANK(INDEX(Backlog[Status],MATCH($A250,Backlog[Requirement ID],0))),"",INDEX(Backlog[Status],MATCH($A250,Backlog[Requirement ID],0))),"")</f>
        <v/>
      </c>
      <c r="F250" s="69" t="str">
        <f aca="false">IFERROR(IF(ISBLANK(INDEX(SprintPlanning[Sprint],MATCH($A250,SprintPlanning[Requirement ID],0))),"",INDEX(SprintPlanning[Sprint],MATCH($A250,SprintPlanning[Requirement ID],0))),"")</f>
        <v/>
      </c>
      <c r="G250" s="70"/>
      <c r="H250" s="71"/>
      <c r="I250" s="70"/>
      <c r="J250" s="69" t="str">
        <f aca="false">IFERROR(IF(ISBLANK(INDEX(Backlog[Priority],MATCH($A250,Backlog[Requirement ID],0))),"",INDEX(Backlog[Priority],MATCH($A250,Backlog[Requirement ID],0))),"")</f>
        <v/>
      </c>
      <c r="K250" s="46" t="s">
        <v>435</v>
      </c>
      <c r="L250" s="1" t="str">
        <f aca="false">IFERROR(IF(ISBLANK(INDEX(Backlog[HLE],MATCH($A250,Backlog[Requirement ID],0))),"",IF(INDEX(Backlog[HLE],MATCH($A250,Backlog[Requirement ID],0))&lt;=5,0.5,IF(INDEX(Backlog[HLE],MATCH($A250,Backlog[Requirement ID],0))&lt;=8,1,IF(INDEX(Backlog[HLE],MATCH($A250,Backlog[Requirement ID],0))&lt;=13,2,IF(INDEX(Backlog[HLE],MATCH($A250,Backlog[Requirement ID],0))&lt;=20,3,5))))),"")</f>
        <v/>
      </c>
      <c r="M250" s="46"/>
    </row>
    <row r="251" customFormat="false" ht="15" hidden="false" customHeight="true" outlineLevel="0" collapsed="false">
      <c r="A251" s="46" t="str">
        <f aca="false">Backlog!A251</f>
        <v/>
      </c>
      <c r="B251" s="68" t="str">
        <f aca="false">IFERROR(IF(ISBLANK(INDEX(Backlog[Requirement Name],MATCH($A251,Backlog[Requirement ID],0))),"",INDEX(Backlog[Requirement Name],MATCH($A251,Backlog[Requirement ID],0))),"")</f>
        <v/>
      </c>
      <c r="C251" s="69" t="str">
        <f aca="false">IFERROR(IF(ISBLANK(INDEX(Backlog[Stream],MATCH($A251,Backlog[Requirement ID],0))),"",INDEX(Backlog[Stream],MATCH($A251,Backlog[Requirement ID],0))),"")</f>
        <v/>
      </c>
      <c r="D251" s="69" t="str">
        <f aca="false">IFERROR(IF(ISBLANK(INDEX(Backlog[Jira Link],MATCH($A251,Backlog[Requirement ID],0))),"",INDEX(Backlog[Jira Link],MATCH($A251,Backlog[Requirement ID],0))),"")</f>
        <v/>
      </c>
      <c r="E251" s="69" t="str">
        <f aca="false">IFERROR(IF(ISBLANK(INDEX(Backlog[Status],MATCH($A251,Backlog[Requirement ID],0))),"",INDEX(Backlog[Status],MATCH($A251,Backlog[Requirement ID],0))),"")</f>
        <v/>
      </c>
      <c r="F251" s="69" t="str">
        <f aca="false">IFERROR(IF(ISBLANK(INDEX(SprintPlanning[Sprint],MATCH($A251,SprintPlanning[Requirement ID],0))),"",INDEX(SprintPlanning[Sprint],MATCH($A251,SprintPlanning[Requirement ID],0))),"")</f>
        <v/>
      </c>
      <c r="G251" s="70"/>
      <c r="H251" s="71"/>
      <c r="I251" s="70"/>
      <c r="J251" s="69" t="str">
        <f aca="false">IFERROR(IF(ISBLANK(INDEX(Backlog[Priority],MATCH($A251,Backlog[Requirement ID],0))),"",INDEX(Backlog[Priority],MATCH($A251,Backlog[Requirement ID],0))),"")</f>
        <v/>
      </c>
      <c r="K251" s="46"/>
      <c r="L251" s="1" t="str">
        <f aca="false">IFERROR(IF(ISBLANK(INDEX(Backlog[HLE],MATCH($A251,Backlog[Requirement ID],0))),"",IF(INDEX(Backlog[HLE],MATCH($A251,Backlog[Requirement ID],0))&lt;=5,0.5,IF(INDEX(Backlog[HLE],MATCH($A251,Backlog[Requirement ID],0))&lt;=8,1,IF(INDEX(Backlog[HLE],MATCH($A251,Backlog[Requirement ID],0))&lt;=13,2,IF(INDEX(Backlog[HLE],MATCH($A251,Backlog[Requirement ID],0))&lt;=20,3,5))))),"")</f>
        <v/>
      </c>
      <c r="M251" s="46"/>
    </row>
    <row r="252" customFormat="false" ht="15" hidden="false" customHeight="true" outlineLevel="0" collapsed="false">
      <c r="A252" s="46" t="str">
        <f aca="false">Backlog!A252</f>
        <v/>
      </c>
      <c r="B252" s="68" t="str">
        <f aca="false">IFERROR(IF(ISBLANK(INDEX(Backlog[Requirement Name],MATCH($A252,Backlog[Requirement ID],0))),"",INDEX(Backlog[Requirement Name],MATCH($A252,Backlog[Requirement ID],0))),"")</f>
        <v/>
      </c>
      <c r="C252" s="69" t="str">
        <f aca="false">IFERROR(IF(ISBLANK(INDEX(Backlog[Stream],MATCH($A252,Backlog[Requirement ID],0))),"",INDEX(Backlog[Stream],MATCH($A252,Backlog[Requirement ID],0))),"")</f>
        <v/>
      </c>
      <c r="D252" s="69" t="str">
        <f aca="false">IFERROR(IF(ISBLANK(INDEX(Backlog[Jira Link],MATCH($A252,Backlog[Requirement ID],0))),"",INDEX(Backlog[Jira Link],MATCH($A252,Backlog[Requirement ID],0))),"")</f>
        <v/>
      </c>
      <c r="E252" s="69" t="str">
        <f aca="false">IFERROR(IF(ISBLANK(INDEX(Backlog[Status],MATCH($A252,Backlog[Requirement ID],0))),"",INDEX(Backlog[Status],MATCH($A252,Backlog[Requirement ID],0))),"")</f>
        <v/>
      </c>
      <c r="F252" s="69" t="str">
        <f aca="false">IFERROR(IF(ISBLANK(INDEX(SprintPlanning[Sprint],MATCH($A252,SprintPlanning[Requirement ID],0))),"",INDEX(SprintPlanning[Sprint],MATCH($A252,SprintPlanning[Requirement ID],0))),"")</f>
        <v/>
      </c>
      <c r="G252" s="70"/>
      <c r="H252" s="71"/>
      <c r="I252" s="70"/>
      <c r="J252" s="69" t="str">
        <f aca="false">IFERROR(IF(ISBLANK(INDEX(Backlog[Priority],MATCH($A252,Backlog[Requirement ID],0))),"",INDEX(Backlog[Priority],MATCH($A252,Backlog[Requirement ID],0))),"")</f>
        <v/>
      </c>
      <c r="K252" s="46"/>
      <c r="L252" s="1" t="str">
        <f aca="false">IFERROR(IF(ISBLANK(INDEX(Backlog[HLE],MATCH($A252,Backlog[Requirement ID],0))),"",IF(INDEX(Backlog[HLE],MATCH($A252,Backlog[Requirement ID],0))&lt;=5,0.5,IF(INDEX(Backlog[HLE],MATCH($A252,Backlog[Requirement ID],0))&lt;=8,1,IF(INDEX(Backlog[HLE],MATCH($A252,Backlog[Requirement ID],0))&lt;=13,2,IF(INDEX(Backlog[HLE],MATCH($A252,Backlog[Requirement ID],0))&lt;=20,3,5))))),"")</f>
        <v/>
      </c>
      <c r="M252" s="46"/>
    </row>
    <row r="253" customFormat="false" ht="15" hidden="false" customHeight="true" outlineLevel="0" collapsed="false">
      <c r="A253" s="46" t="str">
        <f aca="false">Backlog!A253</f>
        <v/>
      </c>
      <c r="B253" s="68" t="str">
        <f aca="false">IFERROR(IF(ISBLANK(INDEX(Backlog[Requirement Name],MATCH($A253,Backlog[Requirement ID],0))),"",INDEX(Backlog[Requirement Name],MATCH($A253,Backlog[Requirement ID],0))),"")</f>
        <v/>
      </c>
      <c r="C253" s="69" t="str">
        <f aca="false">IFERROR(IF(ISBLANK(INDEX(Backlog[Stream],MATCH($A253,Backlog[Requirement ID],0))),"",INDEX(Backlog[Stream],MATCH($A253,Backlog[Requirement ID],0))),"")</f>
        <v/>
      </c>
      <c r="D253" s="69" t="str">
        <f aca="false">IFERROR(IF(ISBLANK(INDEX(Backlog[Jira Link],MATCH($A253,Backlog[Requirement ID],0))),"",INDEX(Backlog[Jira Link],MATCH($A253,Backlog[Requirement ID],0))),"")</f>
        <v/>
      </c>
      <c r="E253" s="69" t="str">
        <f aca="false">IFERROR(IF(ISBLANK(INDEX(Backlog[Status],MATCH($A253,Backlog[Requirement ID],0))),"",INDEX(Backlog[Status],MATCH($A253,Backlog[Requirement ID],0))),"")</f>
        <v/>
      </c>
      <c r="F253" s="69" t="str">
        <f aca="false">IFERROR(IF(ISBLANK(INDEX(SprintPlanning[Sprint],MATCH($A253,SprintPlanning[Requirement ID],0))),"",INDEX(SprintPlanning[Sprint],MATCH($A253,SprintPlanning[Requirement ID],0))),"")</f>
        <v/>
      </c>
      <c r="G253" s="70"/>
      <c r="H253" s="71"/>
      <c r="I253" s="70"/>
      <c r="J253" s="69" t="str">
        <f aca="false">IFERROR(IF(ISBLANK(INDEX(Backlog[Priority],MATCH($A253,Backlog[Requirement ID],0))),"",INDEX(Backlog[Priority],MATCH($A253,Backlog[Requirement ID],0))),"")</f>
        <v/>
      </c>
      <c r="K253" s="46"/>
      <c r="L253" s="1" t="str">
        <f aca="false">IFERROR(IF(ISBLANK(INDEX(Backlog[HLE],MATCH($A253,Backlog[Requirement ID],0))),"",IF(INDEX(Backlog[HLE],MATCH($A253,Backlog[Requirement ID],0))&lt;=5,0.5,IF(INDEX(Backlog[HLE],MATCH($A253,Backlog[Requirement ID],0))&lt;=8,1,IF(INDEX(Backlog[HLE],MATCH($A253,Backlog[Requirement ID],0))&lt;=13,2,IF(INDEX(Backlog[HLE],MATCH($A253,Backlog[Requirement ID],0))&lt;=20,3,5))))),"")</f>
        <v/>
      </c>
      <c r="M253" s="46"/>
    </row>
    <row r="254" customFormat="false" ht="15" hidden="false" customHeight="true" outlineLevel="0" collapsed="false">
      <c r="A254" s="46" t="str">
        <f aca="false">Backlog!A254</f>
        <v/>
      </c>
      <c r="B254" s="68" t="str">
        <f aca="false">IFERROR(IF(ISBLANK(INDEX(Backlog[Requirement Name],MATCH($A254,Backlog[Requirement ID],0))),"",INDEX(Backlog[Requirement Name],MATCH($A254,Backlog[Requirement ID],0))),"")</f>
        <v/>
      </c>
      <c r="C254" s="69" t="str">
        <f aca="false">IFERROR(IF(ISBLANK(INDEX(Backlog[Stream],MATCH($A254,Backlog[Requirement ID],0))),"",INDEX(Backlog[Stream],MATCH($A254,Backlog[Requirement ID],0))),"")</f>
        <v/>
      </c>
      <c r="D254" s="69" t="str">
        <f aca="false">IFERROR(IF(ISBLANK(INDEX(Backlog[Jira Link],MATCH($A254,Backlog[Requirement ID],0))),"",INDEX(Backlog[Jira Link],MATCH($A254,Backlog[Requirement ID],0))),"")</f>
        <v/>
      </c>
      <c r="E254" s="69" t="str">
        <f aca="false">IFERROR(IF(ISBLANK(INDEX(Backlog[Status],MATCH($A254,Backlog[Requirement ID],0))),"",INDEX(Backlog[Status],MATCH($A254,Backlog[Requirement ID],0))),"")</f>
        <v/>
      </c>
      <c r="F254" s="69" t="str">
        <f aca="false">IFERROR(IF(ISBLANK(INDEX(SprintPlanning[Sprint],MATCH($A254,SprintPlanning[Requirement ID],0))),"",INDEX(SprintPlanning[Sprint],MATCH($A254,SprintPlanning[Requirement ID],0))),"")</f>
        <v/>
      </c>
      <c r="G254" s="70"/>
      <c r="H254" s="71"/>
      <c r="I254" s="70"/>
      <c r="J254" s="69" t="str">
        <f aca="false">IFERROR(IF(ISBLANK(INDEX(Backlog[Priority],MATCH($A254,Backlog[Requirement ID],0))),"",INDEX(Backlog[Priority],MATCH($A254,Backlog[Requirement ID],0))),"")</f>
        <v/>
      </c>
      <c r="K254" s="46" t="s">
        <v>435</v>
      </c>
      <c r="L254" s="1" t="str">
        <f aca="false">IFERROR(IF(ISBLANK(INDEX(Backlog[HLE],MATCH($A254,Backlog[Requirement ID],0))),"",IF(INDEX(Backlog[HLE],MATCH($A254,Backlog[Requirement ID],0))&lt;=5,0.5,IF(INDEX(Backlog[HLE],MATCH($A254,Backlog[Requirement ID],0))&lt;=8,1,IF(INDEX(Backlog[HLE],MATCH($A254,Backlog[Requirement ID],0))&lt;=13,2,IF(INDEX(Backlog[HLE],MATCH($A254,Backlog[Requirement ID],0))&lt;=20,3,5))))),"")</f>
        <v/>
      </c>
      <c r="M254" s="46"/>
    </row>
    <row r="255" customFormat="false" ht="15" hidden="false" customHeight="true" outlineLevel="0" collapsed="false">
      <c r="A255" s="46" t="str">
        <f aca="false">Backlog!A255</f>
        <v/>
      </c>
      <c r="B255" s="68" t="str">
        <f aca="false">IFERROR(IF(ISBLANK(INDEX(Backlog[Requirement Name],MATCH($A255,Backlog[Requirement ID],0))),"",INDEX(Backlog[Requirement Name],MATCH($A255,Backlog[Requirement ID],0))),"")</f>
        <v/>
      </c>
      <c r="C255" s="69" t="str">
        <f aca="false">IFERROR(IF(ISBLANK(INDEX(Backlog[Stream],MATCH($A255,Backlog[Requirement ID],0))),"",INDEX(Backlog[Stream],MATCH($A255,Backlog[Requirement ID],0))),"")</f>
        <v/>
      </c>
      <c r="D255" s="69" t="str">
        <f aca="false">IFERROR(IF(ISBLANK(INDEX(Backlog[Jira Link],MATCH($A255,Backlog[Requirement ID],0))),"",INDEX(Backlog[Jira Link],MATCH($A255,Backlog[Requirement ID],0))),"")</f>
        <v/>
      </c>
      <c r="E255" s="69" t="str">
        <f aca="false">IFERROR(IF(ISBLANK(INDEX(Backlog[Status],MATCH($A255,Backlog[Requirement ID],0))),"",INDEX(Backlog[Status],MATCH($A255,Backlog[Requirement ID],0))),"")</f>
        <v/>
      </c>
      <c r="F255" s="69" t="str">
        <f aca="false">IFERROR(IF(ISBLANK(INDEX(SprintPlanning[Sprint],MATCH($A255,SprintPlanning[Requirement ID],0))),"",INDEX(SprintPlanning[Sprint],MATCH($A255,SprintPlanning[Requirement ID],0))),"")</f>
        <v/>
      </c>
      <c r="G255" s="70"/>
      <c r="H255" s="71"/>
      <c r="I255" s="70"/>
      <c r="J255" s="69" t="str">
        <f aca="false">IFERROR(IF(ISBLANK(INDEX(Backlog[Priority],MATCH($A255,Backlog[Requirement ID],0))),"",INDEX(Backlog[Priority],MATCH($A255,Backlog[Requirement ID],0))),"")</f>
        <v/>
      </c>
      <c r="K255" s="46" t="s">
        <v>437</v>
      </c>
      <c r="L255" s="1" t="str">
        <f aca="false">IFERROR(IF(ISBLANK(INDEX(Backlog[HLE],MATCH($A255,Backlog[Requirement ID],0))),"",IF(INDEX(Backlog[HLE],MATCH($A255,Backlog[Requirement ID],0))&lt;=5,0.5,IF(INDEX(Backlog[HLE],MATCH($A255,Backlog[Requirement ID],0))&lt;=8,1,IF(INDEX(Backlog[HLE],MATCH($A255,Backlog[Requirement ID],0))&lt;=13,2,IF(INDEX(Backlog[HLE],MATCH($A255,Backlog[Requirement ID],0))&lt;=20,3,5))))),"")</f>
        <v/>
      </c>
      <c r="M255" s="46"/>
    </row>
    <row r="256" customFormat="false" ht="15" hidden="false" customHeight="true" outlineLevel="0" collapsed="false">
      <c r="A256" s="46" t="str">
        <f aca="false">Backlog!A256</f>
        <v/>
      </c>
      <c r="B256" s="68" t="str">
        <f aca="false">IFERROR(IF(ISBLANK(INDEX(Backlog[Requirement Name],MATCH($A256,Backlog[Requirement ID],0))),"",INDEX(Backlog[Requirement Name],MATCH($A256,Backlog[Requirement ID],0))),"")</f>
        <v/>
      </c>
      <c r="C256" s="69" t="str">
        <f aca="false">IFERROR(IF(ISBLANK(INDEX(Backlog[Stream],MATCH($A256,Backlog[Requirement ID],0))),"",INDEX(Backlog[Stream],MATCH($A256,Backlog[Requirement ID],0))),"")</f>
        <v/>
      </c>
      <c r="D256" s="69" t="str">
        <f aca="false">IFERROR(IF(ISBLANK(INDEX(Backlog[Jira Link],MATCH($A256,Backlog[Requirement ID],0))),"",INDEX(Backlog[Jira Link],MATCH($A256,Backlog[Requirement ID],0))),"")</f>
        <v/>
      </c>
      <c r="E256" s="69" t="str">
        <f aca="false">IFERROR(IF(ISBLANK(INDEX(Backlog[Status],MATCH($A256,Backlog[Requirement ID],0))),"",INDEX(Backlog[Status],MATCH($A256,Backlog[Requirement ID],0))),"")</f>
        <v/>
      </c>
      <c r="F256" s="69" t="str">
        <f aca="false">IFERROR(IF(ISBLANK(INDEX(SprintPlanning[Sprint],MATCH($A256,SprintPlanning[Requirement ID],0))),"",INDEX(SprintPlanning[Sprint],MATCH($A256,SprintPlanning[Requirement ID],0))),"")</f>
        <v/>
      </c>
      <c r="G256" s="70"/>
      <c r="H256" s="71"/>
      <c r="I256" s="70"/>
      <c r="J256" s="69" t="str">
        <f aca="false">IFERROR(IF(ISBLANK(INDEX(Backlog[Priority],MATCH($A256,Backlog[Requirement ID],0))),"",INDEX(Backlog[Priority],MATCH($A256,Backlog[Requirement ID],0))),"")</f>
        <v/>
      </c>
      <c r="K256" s="46"/>
      <c r="L256" s="1" t="str">
        <f aca="false">IFERROR(IF(ISBLANK(INDEX(Backlog[HLE],MATCH($A256,Backlog[Requirement ID],0))),"",IF(INDEX(Backlog[HLE],MATCH($A256,Backlog[Requirement ID],0))&lt;=5,0.5,IF(INDEX(Backlog[HLE],MATCH($A256,Backlog[Requirement ID],0))&lt;=8,1,IF(INDEX(Backlog[HLE],MATCH($A256,Backlog[Requirement ID],0))&lt;=13,2,IF(INDEX(Backlog[HLE],MATCH($A256,Backlog[Requirement ID],0))&lt;=20,3,5))))),"")</f>
        <v/>
      </c>
      <c r="M256" s="46"/>
    </row>
    <row r="257" customFormat="false" ht="15" hidden="false" customHeight="true" outlineLevel="0" collapsed="false">
      <c r="A257" s="46" t="str">
        <f aca="false">Backlog!A257</f>
        <v/>
      </c>
      <c r="B257" s="68" t="str">
        <f aca="false">IFERROR(IF(ISBLANK(INDEX(Backlog[Requirement Name],MATCH($A257,Backlog[Requirement ID],0))),"",INDEX(Backlog[Requirement Name],MATCH($A257,Backlog[Requirement ID],0))),"")</f>
        <v/>
      </c>
      <c r="C257" s="69" t="str">
        <f aca="false">IFERROR(IF(ISBLANK(INDEX(Backlog[Stream],MATCH($A257,Backlog[Requirement ID],0))),"",INDEX(Backlog[Stream],MATCH($A257,Backlog[Requirement ID],0))),"")</f>
        <v/>
      </c>
      <c r="D257" s="69" t="str">
        <f aca="false">IFERROR(IF(ISBLANK(INDEX(Backlog[Jira Link],MATCH($A257,Backlog[Requirement ID],0))),"",INDEX(Backlog[Jira Link],MATCH($A257,Backlog[Requirement ID],0))),"")</f>
        <v/>
      </c>
      <c r="E257" s="69" t="str">
        <f aca="false">IFERROR(IF(ISBLANK(INDEX(Backlog[Status],MATCH($A257,Backlog[Requirement ID],0))),"",INDEX(Backlog[Status],MATCH($A257,Backlog[Requirement ID],0))),"")</f>
        <v/>
      </c>
      <c r="F257" s="69" t="str">
        <f aca="false">IFERROR(IF(ISBLANK(INDEX(SprintPlanning[Sprint],MATCH($A257,SprintPlanning[Requirement ID],0))),"",INDEX(SprintPlanning[Sprint],MATCH($A257,SprintPlanning[Requirement ID],0))),"")</f>
        <v/>
      </c>
      <c r="G257" s="70"/>
      <c r="H257" s="71"/>
      <c r="I257" s="70"/>
      <c r="J257" s="69" t="str">
        <f aca="false">IFERROR(IF(ISBLANK(INDEX(Backlog[Priority],MATCH($A257,Backlog[Requirement ID],0))),"",INDEX(Backlog[Priority],MATCH($A257,Backlog[Requirement ID],0))),"")</f>
        <v/>
      </c>
      <c r="K257" s="46" t="s">
        <v>435</v>
      </c>
      <c r="L257" s="1" t="str">
        <f aca="false">IFERROR(IF(ISBLANK(INDEX(Backlog[HLE],MATCH($A257,Backlog[Requirement ID],0))),"",IF(INDEX(Backlog[HLE],MATCH($A257,Backlog[Requirement ID],0))&lt;=5,0.5,IF(INDEX(Backlog[HLE],MATCH($A257,Backlog[Requirement ID],0))&lt;=8,1,IF(INDEX(Backlog[HLE],MATCH($A257,Backlog[Requirement ID],0))&lt;=13,2,IF(INDEX(Backlog[HLE],MATCH($A257,Backlog[Requirement ID],0))&lt;=20,3,5))))),"")</f>
        <v/>
      </c>
      <c r="M257" s="46"/>
    </row>
    <row r="258" customFormat="false" ht="15" hidden="false" customHeight="true" outlineLevel="0" collapsed="false">
      <c r="A258" s="46" t="str">
        <f aca="false">Backlog!A258</f>
        <v/>
      </c>
      <c r="B258" s="68" t="str">
        <f aca="false">IFERROR(IF(ISBLANK(INDEX(Backlog[Requirement Name],MATCH($A258,Backlog[Requirement ID],0))),"",INDEX(Backlog[Requirement Name],MATCH($A258,Backlog[Requirement ID],0))),"")</f>
        <v/>
      </c>
      <c r="C258" s="69" t="str">
        <f aca="false">IFERROR(IF(ISBLANK(INDEX(Backlog[Stream],MATCH($A258,Backlog[Requirement ID],0))),"",INDEX(Backlog[Stream],MATCH($A258,Backlog[Requirement ID],0))),"")</f>
        <v/>
      </c>
      <c r="D258" s="69" t="str">
        <f aca="false">IFERROR(IF(ISBLANK(INDEX(Backlog[Jira Link],MATCH($A258,Backlog[Requirement ID],0))),"",INDEX(Backlog[Jira Link],MATCH($A258,Backlog[Requirement ID],0))),"")</f>
        <v/>
      </c>
      <c r="E258" s="69" t="str">
        <f aca="false">IFERROR(IF(ISBLANK(INDEX(Backlog[Status],MATCH($A258,Backlog[Requirement ID],0))),"",INDEX(Backlog[Status],MATCH($A258,Backlog[Requirement ID],0))),"")</f>
        <v/>
      </c>
      <c r="F258" s="69" t="str">
        <f aca="false">IFERROR(IF(ISBLANK(INDEX(SprintPlanning[Sprint],MATCH($A258,SprintPlanning[Requirement ID],0))),"",INDEX(SprintPlanning[Sprint],MATCH($A258,SprintPlanning[Requirement ID],0))),"")</f>
        <v/>
      </c>
      <c r="G258" s="70"/>
      <c r="H258" s="71"/>
      <c r="I258" s="70"/>
      <c r="J258" s="69" t="str">
        <f aca="false">IFERROR(IF(ISBLANK(INDEX(Backlog[Priority],MATCH($A258,Backlog[Requirement ID],0))),"",INDEX(Backlog[Priority],MATCH($A258,Backlog[Requirement ID],0))),"")</f>
        <v/>
      </c>
      <c r="K258" s="46"/>
      <c r="L258" s="1" t="str">
        <f aca="false">IFERROR(IF(ISBLANK(INDEX(Backlog[HLE],MATCH($A258,Backlog[Requirement ID],0))),"",IF(INDEX(Backlog[HLE],MATCH($A258,Backlog[Requirement ID],0))&lt;=5,0.5,IF(INDEX(Backlog[HLE],MATCH($A258,Backlog[Requirement ID],0))&lt;=8,1,IF(INDEX(Backlog[HLE],MATCH($A258,Backlog[Requirement ID],0))&lt;=13,2,IF(INDEX(Backlog[HLE],MATCH($A258,Backlog[Requirement ID],0))&lt;=20,3,5))))),"")</f>
        <v/>
      </c>
      <c r="M258" s="46"/>
    </row>
    <row r="259" customFormat="false" ht="15" hidden="false" customHeight="true" outlineLevel="0" collapsed="false">
      <c r="A259" s="46" t="str">
        <f aca="false">Backlog!A259</f>
        <v/>
      </c>
      <c r="B259" s="68" t="str">
        <f aca="false">IFERROR(IF(ISBLANK(INDEX(Backlog[Requirement Name],MATCH($A259,Backlog[Requirement ID],0))),"",INDEX(Backlog[Requirement Name],MATCH($A259,Backlog[Requirement ID],0))),"")</f>
        <v/>
      </c>
      <c r="C259" s="69" t="str">
        <f aca="false">IFERROR(IF(ISBLANK(INDEX(Backlog[Stream],MATCH($A259,Backlog[Requirement ID],0))),"",INDEX(Backlog[Stream],MATCH($A259,Backlog[Requirement ID],0))),"")</f>
        <v/>
      </c>
      <c r="D259" s="69" t="str">
        <f aca="false">IFERROR(IF(ISBLANK(INDEX(Backlog[Jira Link],MATCH($A259,Backlog[Requirement ID],0))),"",INDEX(Backlog[Jira Link],MATCH($A259,Backlog[Requirement ID],0))),"")</f>
        <v/>
      </c>
      <c r="E259" s="69" t="str">
        <f aca="false">IFERROR(IF(ISBLANK(INDEX(Backlog[Status],MATCH($A259,Backlog[Requirement ID],0))),"",INDEX(Backlog[Status],MATCH($A259,Backlog[Requirement ID],0))),"")</f>
        <v/>
      </c>
      <c r="F259" s="69" t="str">
        <f aca="false">IFERROR(IF(ISBLANK(INDEX(SprintPlanning[Sprint],MATCH($A259,SprintPlanning[Requirement ID],0))),"",INDEX(SprintPlanning[Sprint],MATCH($A259,SprintPlanning[Requirement ID],0))),"")</f>
        <v/>
      </c>
      <c r="G259" s="70"/>
      <c r="H259" s="71"/>
      <c r="I259" s="70"/>
      <c r="J259" s="69" t="str">
        <f aca="false">IFERROR(IF(ISBLANK(INDEX(Backlog[Priority],MATCH($A259,Backlog[Requirement ID],0))),"",INDEX(Backlog[Priority],MATCH($A259,Backlog[Requirement ID],0))),"")</f>
        <v/>
      </c>
      <c r="K259" s="46"/>
      <c r="L259" s="1" t="str">
        <f aca="false">IFERROR(IF(ISBLANK(INDEX(Backlog[HLE],MATCH($A259,Backlog[Requirement ID],0))),"",IF(INDEX(Backlog[HLE],MATCH($A259,Backlog[Requirement ID],0))&lt;=5,0.5,IF(INDEX(Backlog[HLE],MATCH($A259,Backlog[Requirement ID],0))&lt;=8,1,IF(INDEX(Backlog[HLE],MATCH($A259,Backlog[Requirement ID],0))&lt;=13,2,IF(INDEX(Backlog[HLE],MATCH($A259,Backlog[Requirement ID],0))&lt;=20,3,5))))),"")</f>
        <v/>
      </c>
      <c r="M259" s="46"/>
    </row>
    <row r="260" customFormat="false" ht="15" hidden="false" customHeight="true" outlineLevel="0" collapsed="false">
      <c r="A260" s="46" t="str">
        <f aca="false">Backlog!A260</f>
        <v/>
      </c>
      <c r="B260" s="68" t="str">
        <f aca="false">IFERROR(IF(ISBLANK(INDEX(Backlog[Requirement Name],MATCH($A260,Backlog[Requirement ID],0))),"",INDEX(Backlog[Requirement Name],MATCH($A260,Backlog[Requirement ID],0))),"")</f>
        <v/>
      </c>
      <c r="C260" s="69" t="str">
        <f aca="false">IFERROR(IF(ISBLANK(INDEX(Backlog[Stream],MATCH($A260,Backlog[Requirement ID],0))),"",INDEX(Backlog[Stream],MATCH($A260,Backlog[Requirement ID],0))),"")</f>
        <v/>
      </c>
      <c r="D260" s="69" t="str">
        <f aca="false">IFERROR(IF(ISBLANK(INDEX(Backlog[Jira Link],MATCH($A260,Backlog[Requirement ID],0))),"",INDEX(Backlog[Jira Link],MATCH($A260,Backlog[Requirement ID],0))),"")</f>
        <v/>
      </c>
      <c r="E260" s="69" t="str">
        <f aca="false">IFERROR(IF(ISBLANK(INDEX(Backlog[Status],MATCH($A260,Backlog[Requirement ID],0))),"",INDEX(Backlog[Status],MATCH($A260,Backlog[Requirement ID],0))),"")</f>
        <v/>
      </c>
      <c r="F260" s="69" t="str">
        <f aca="false">IFERROR(IF(ISBLANK(INDEX(SprintPlanning[Sprint],MATCH($A260,SprintPlanning[Requirement ID],0))),"",INDEX(SprintPlanning[Sprint],MATCH($A260,SprintPlanning[Requirement ID],0))),"")</f>
        <v/>
      </c>
      <c r="G260" s="70"/>
      <c r="H260" s="71"/>
      <c r="I260" s="70"/>
      <c r="J260" s="69" t="str">
        <f aca="false">IFERROR(IF(ISBLANK(INDEX(Backlog[Priority],MATCH($A260,Backlog[Requirement ID],0))),"",INDEX(Backlog[Priority],MATCH($A260,Backlog[Requirement ID],0))),"")</f>
        <v/>
      </c>
      <c r="K260" s="46"/>
      <c r="L260" s="1" t="str">
        <f aca="false">IFERROR(IF(ISBLANK(INDEX(Backlog[HLE],MATCH($A260,Backlog[Requirement ID],0))),"",IF(INDEX(Backlog[HLE],MATCH($A260,Backlog[Requirement ID],0))&lt;=5,0.5,IF(INDEX(Backlog[HLE],MATCH($A260,Backlog[Requirement ID],0))&lt;=8,1,IF(INDEX(Backlog[HLE],MATCH($A260,Backlog[Requirement ID],0))&lt;=13,2,IF(INDEX(Backlog[HLE],MATCH($A260,Backlog[Requirement ID],0))&lt;=20,3,5))))),"")</f>
        <v/>
      </c>
      <c r="M260" s="46"/>
    </row>
    <row r="261" customFormat="false" ht="15" hidden="false" customHeight="true" outlineLevel="0" collapsed="false">
      <c r="A261" s="46" t="str">
        <f aca="false">Backlog!A261</f>
        <v/>
      </c>
      <c r="B261" s="68" t="str">
        <f aca="false">IFERROR(IF(ISBLANK(INDEX(Backlog[Requirement Name],MATCH($A261,Backlog[Requirement ID],0))),"",INDEX(Backlog[Requirement Name],MATCH($A261,Backlog[Requirement ID],0))),"")</f>
        <v/>
      </c>
      <c r="C261" s="69" t="str">
        <f aca="false">IFERROR(IF(ISBLANK(INDEX(Backlog[Stream],MATCH($A261,Backlog[Requirement ID],0))),"",INDEX(Backlog[Stream],MATCH($A261,Backlog[Requirement ID],0))),"")</f>
        <v/>
      </c>
      <c r="D261" s="69" t="str">
        <f aca="false">IFERROR(IF(ISBLANK(INDEX(Backlog[Jira Link],MATCH($A261,Backlog[Requirement ID],0))),"",INDEX(Backlog[Jira Link],MATCH($A261,Backlog[Requirement ID],0))),"")</f>
        <v/>
      </c>
      <c r="E261" s="69" t="str">
        <f aca="false">IFERROR(IF(ISBLANK(INDEX(Backlog[Status],MATCH($A261,Backlog[Requirement ID],0))),"",INDEX(Backlog[Status],MATCH($A261,Backlog[Requirement ID],0))),"")</f>
        <v/>
      </c>
      <c r="F261" s="69" t="str">
        <f aca="false">IFERROR(IF(ISBLANK(INDEX(SprintPlanning[Sprint],MATCH($A261,SprintPlanning[Requirement ID],0))),"",INDEX(SprintPlanning[Sprint],MATCH($A261,SprintPlanning[Requirement ID],0))),"")</f>
        <v/>
      </c>
      <c r="G261" s="70"/>
      <c r="H261" s="71"/>
      <c r="I261" s="70"/>
      <c r="J261" s="69" t="str">
        <f aca="false">IFERROR(IF(ISBLANK(INDEX(Backlog[Priority],MATCH($A261,Backlog[Requirement ID],0))),"",INDEX(Backlog[Priority],MATCH($A261,Backlog[Requirement ID],0))),"")</f>
        <v/>
      </c>
      <c r="K261" s="46"/>
      <c r="L261" s="1" t="str">
        <f aca="false">IFERROR(IF(ISBLANK(INDEX(Backlog[HLE],MATCH($A261,Backlog[Requirement ID],0))),"",IF(INDEX(Backlog[HLE],MATCH($A261,Backlog[Requirement ID],0))&lt;=5,0.5,IF(INDEX(Backlog[HLE],MATCH($A261,Backlog[Requirement ID],0))&lt;=8,1,IF(INDEX(Backlog[HLE],MATCH($A261,Backlog[Requirement ID],0))&lt;=13,2,IF(INDEX(Backlog[HLE],MATCH($A261,Backlog[Requirement ID],0))&lt;=20,3,5))))),"")</f>
        <v/>
      </c>
      <c r="M261" s="46"/>
    </row>
    <row r="262" customFormat="false" ht="15" hidden="false" customHeight="true" outlineLevel="0" collapsed="false">
      <c r="A262" s="46" t="str">
        <f aca="false">Backlog!A262</f>
        <v/>
      </c>
      <c r="B262" s="68" t="str">
        <f aca="false">IFERROR(IF(ISBLANK(INDEX(Backlog[Requirement Name],MATCH($A262,Backlog[Requirement ID],0))),"",INDEX(Backlog[Requirement Name],MATCH($A262,Backlog[Requirement ID],0))),"")</f>
        <v/>
      </c>
      <c r="C262" s="69" t="str">
        <f aca="false">IFERROR(IF(ISBLANK(INDEX(Backlog[Stream],MATCH($A262,Backlog[Requirement ID],0))),"",INDEX(Backlog[Stream],MATCH($A262,Backlog[Requirement ID],0))),"")</f>
        <v/>
      </c>
      <c r="D262" s="69" t="str">
        <f aca="false">IFERROR(IF(ISBLANK(INDEX(Backlog[Jira Link],MATCH($A262,Backlog[Requirement ID],0))),"",INDEX(Backlog[Jira Link],MATCH($A262,Backlog[Requirement ID],0))),"")</f>
        <v/>
      </c>
      <c r="E262" s="69" t="str">
        <f aca="false">IFERROR(IF(ISBLANK(INDEX(Backlog[Status],MATCH($A262,Backlog[Requirement ID],0))),"",INDEX(Backlog[Status],MATCH($A262,Backlog[Requirement ID],0))),"")</f>
        <v/>
      </c>
      <c r="F262" s="69" t="str">
        <f aca="false">IFERROR(IF(ISBLANK(INDEX(SprintPlanning[Sprint],MATCH($A262,SprintPlanning[Requirement ID],0))),"",INDEX(SprintPlanning[Sprint],MATCH($A262,SprintPlanning[Requirement ID],0))),"")</f>
        <v/>
      </c>
      <c r="G262" s="70"/>
      <c r="H262" s="71"/>
      <c r="I262" s="70"/>
      <c r="J262" s="69" t="str">
        <f aca="false">IFERROR(IF(ISBLANK(INDEX(Backlog[Priority],MATCH($A262,Backlog[Requirement ID],0))),"",INDEX(Backlog[Priority],MATCH($A262,Backlog[Requirement ID],0))),"")</f>
        <v/>
      </c>
      <c r="K262" s="46"/>
      <c r="L262" s="1" t="str">
        <f aca="false">IFERROR(IF(ISBLANK(INDEX(Backlog[HLE],MATCH($A262,Backlog[Requirement ID],0))),"",IF(INDEX(Backlog[HLE],MATCH($A262,Backlog[Requirement ID],0))&lt;=5,0.5,IF(INDEX(Backlog[HLE],MATCH($A262,Backlog[Requirement ID],0))&lt;=8,1,IF(INDEX(Backlog[HLE],MATCH($A262,Backlog[Requirement ID],0))&lt;=13,2,IF(INDEX(Backlog[HLE],MATCH($A262,Backlog[Requirement ID],0))&lt;=20,3,5))))),"")</f>
        <v/>
      </c>
      <c r="M262" s="46"/>
    </row>
    <row r="263" customFormat="false" ht="15" hidden="false" customHeight="true" outlineLevel="0" collapsed="false">
      <c r="A263" s="46" t="str">
        <f aca="false">Backlog!A263</f>
        <v/>
      </c>
      <c r="B263" s="68" t="str">
        <f aca="false">IFERROR(IF(ISBLANK(INDEX(Backlog[Requirement Name],MATCH($A263,Backlog[Requirement ID],0))),"",INDEX(Backlog[Requirement Name],MATCH($A263,Backlog[Requirement ID],0))),"")</f>
        <v/>
      </c>
      <c r="C263" s="69" t="str">
        <f aca="false">IFERROR(IF(ISBLANK(INDEX(Backlog[Stream],MATCH($A263,Backlog[Requirement ID],0))),"",INDEX(Backlog[Stream],MATCH($A263,Backlog[Requirement ID],0))),"")</f>
        <v/>
      </c>
      <c r="D263" s="69" t="str">
        <f aca="false">IFERROR(IF(ISBLANK(INDEX(Backlog[Jira Link],MATCH($A263,Backlog[Requirement ID],0))),"",INDEX(Backlog[Jira Link],MATCH($A263,Backlog[Requirement ID],0))),"")</f>
        <v/>
      </c>
      <c r="E263" s="69" t="str">
        <f aca="false">IFERROR(IF(ISBLANK(INDEX(Backlog[Status],MATCH($A263,Backlog[Requirement ID],0))),"",INDEX(Backlog[Status],MATCH($A263,Backlog[Requirement ID],0))),"")</f>
        <v/>
      </c>
      <c r="F263" s="69" t="str">
        <f aca="false">IFERROR(IF(ISBLANK(INDEX(SprintPlanning[Sprint],MATCH($A263,SprintPlanning[Requirement ID],0))),"",INDEX(SprintPlanning[Sprint],MATCH($A263,SprintPlanning[Requirement ID],0))),"")</f>
        <v/>
      </c>
      <c r="G263" s="70"/>
      <c r="H263" s="71"/>
      <c r="I263" s="70"/>
      <c r="J263" s="69" t="str">
        <f aca="false">IFERROR(IF(ISBLANK(INDEX(Backlog[Priority],MATCH($A263,Backlog[Requirement ID],0))),"",INDEX(Backlog[Priority],MATCH($A263,Backlog[Requirement ID],0))),"")</f>
        <v/>
      </c>
      <c r="K263" s="46"/>
      <c r="L263" s="1" t="str">
        <f aca="false">IFERROR(IF(ISBLANK(INDEX(Backlog[HLE],MATCH($A263,Backlog[Requirement ID],0))),"",IF(INDEX(Backlog[HLE],MATCH($A263,Backlog[Requirement ID],0))&lt;=5,0.5,IF(INDEX(Backlog[HLE],MATCH($A263,Backlog[Requirement ID],0))&lt;=8,1,IF(INDEX(Backlog[HLE],MATCH($A263,Backlog[Requirement ID],0))&lt;=13,2,IF(INDEX(Backlog[HLE],MATCH($A263,Backlog[Requirement ID],0))&lt;=20,3,5))))),"")</f>
        <v/>
      </c>
      <c r="M263" s="46"/>
    </row>
    <row r="264" customFormat="false" ht="15" hidden="false" customHeight="true" outlineLevel="0" collapsed="false">
      <c r="A264" s="46" t="str">
        <f aca="false">Backlog!A264</f>
        <v/>
      </c>
      <c r="B264" s="68" t="str">
        <f aca="false">IFERROR(IF(ISBLANK(INDEX(Backlog[Requirement Name],MATCH($A264,Backlog[Requirement ID],0))),"",INDEX(Backlog[Requirement Name],MATCH($A264,Backlog[Requirement ID],0))),"")</f>
        <v/>
      </c>
      <c r="C264" s="69" t="str">
        <f aca="false">IFERROR(IF(ISBLANK(INDEX(Backlog[Stream],MATCH($A264,Backlog[Requirement ID],0))),"",INDEX(Backlog[Stream],MATCH($A264,Backlog[Requirement ID],0))),"")</f>
        <v/>
      </c>
      <c r="D264" s="69" t="str">
        <f aca="false">IFERROR(IF(ISBLANK(INDEX(Backlog[Jira Link],MATCH($A264,Backlog[Requirement ID],0))),"",INDEX(Backlog[Jira Link],MATCH($A264,Backlog[Requirement ID],0))),"")</f>
        <v/>
      </c>
      <c r="E264" s="69" t="str">
        <f aca="false">IFERROR(IF(ISBLANK(INDEX(Backlog[Status],MATCH($A264,Backlog[Requirement ID],0))),"",INDEX(Backlog[Status],MATCH($A264,Backlog[Requirement ID],0))),"")</f>
        <v/>
      </c>
      <c r="F264" s="69" t="str">
        <f aca="false">IFERROR(IF(ISBLANK(INDEX(SprintPlanning[Sprint],MATCH($A264,SprintPlanning[Requirement ID],0))),"",INDEX(SprintPlanning[Sprint],MATCH($A264,SprintPlanning[Requirement ID],0))),"")</f>
        <v/>
      </c>
      <c r="G264" s="70"/>
      <c r="H264" s="71"/>
      <c r="I264" s="70"/>
      <c r="J264" s="69" t="str">
        <f aca="false">IFERROR(IF(ISBLANK(INDEX(Backlog[Priority],MATCH($A264,Backlog[Requirement ID],0))),"",INDEX(Backlog[Priority],MATCH($A264,Backlog[Requirement ID],0))),"")</f>
        <v/>
      </c>
      <c r="K264" s="46"/>
      <c r="L264" s="1" t="str">
        <f aca="false">IFERROR(IF(ISBLANK(INDEX(Backlog[HLE],MATCH($A264,Backlog[Requirement ID],0))),"",IF(INDEX(Backlog[HLE],MATCH($A264,Backlog[Requirement ID],0))&lt;=5,0.5,IF(INDEX(Backlog[HLE],MATCH($A264,Backlog[Requirement ID],0))&lt;=8,1,IF(INDEX(Backlog[HLE],MATCH($A264,Backlog[Requirement ID],0))&lt;=13,2,IF(INDEX(Backlog[HLE],MATCH($A264,Backlog[Requirement ID],0))&lt;=20,3,5))))),"")</f>
        <v/>
      </c>
      <c r="M264" s="46"/>
    </row>
    <row r="265" customFormat="false" ht="15" hidden="false" customHeight="true" outlineLevel="0" collapsed="false">
      <c r="A265" s="46" t="str">
        <f aca="false">Backlog!A265</f>
        <v/>
      </c>
      <c r="B265" s="68" t="str">
        <f aca="false">IFERROR(IF(ISBLANK(INDEX(Backlog[Requirement Name],MATCH($A265,Backlog[Requirement ID],0))),"",INDEX(Backlog[Requirement Name],MATCH($A265,Backlog[Requirement ID],0))),"")</f>
        <v/>
      </c>
      <c r="C265" s="69" t="str">
        <f aca="false">IFERROR(IF(ISBLANK(INDEX(Backlog[Stream],MATCH($A265,Backlog[Requirement ID],0))),"",INDEX(Backlog[Stream],MATCH($A265,Backlog[Requirement ID],0))),"")</f>
        <v/>
      </c>
      <c r="D265" s="69" t="str">
        <f aca="false">IFERROR(IF(ISBLANK(INDEX(Backlog[Jira Link],MATCH($A265,Backlog[Requirement ID],0))),"",INDEX(Backlog[Jira Link],MATCH($A265,Backlog[Requirement ID],0))),"")</f>
        <v/>
      </c>
      <c r="E265" s="69" t="str">
        <f aca="false">IFERROR(IF(ISBLANK(INDEX(Backlog[Status],MATCH($A265,Backlog[Requirement ID],0))),"",INDEX(Backlog[Status],MATCH($A265,Backlog[Requirement ID],0))),"")</f>
        <v/>
      </c>
      <c r="F265" s="69" t="str">
        <f aca="false">IFERROR(IF(ISBLANK(INDEX(SprintPlanning[Sprint],MATCH($A265,SprintPlanning[Requirement ID],0))),"",INDEX(SprintPlanning[Sprint],MATCH($A265,SprintPlanning[Requirement ID],0))),"")</f>
        <v/>
      </c>
      <c r="G265" s="70"/>
      <c r="H265" s="71"/>
      <c r="I265" s="70"/>
      <c r="J265" s="69" t="str">
        <f aca="false">IFERROR(IF(ISBLANK(INDEX(Backlog[Priority],MATCH($A265,Backlog[Requirement ID],0))),"",INDEX(Backlog[Priority],MATCH($A265,Backlog[Requirement ID],0))),"")</f>
        <v/>
      </c>
      <c r="K265" s="46"/>
      <c r="L265" s="1" t="str">
        <f aca="false">IFERROR(IF(ISBLANK(INDEX(Backlog[HLE],MATCH($A265,Backlog[Requirement ID],0))),"",IF(INDEX(Backlog[HLE],MATCH($A265,Backlog[Requirement ID],0))&lt;=5,0.5,IF(INDEX(Backlog[HLE],MATCH($A265,Backlog[Requirement ID],0))&lt;=8,1,IF(INDEX(Backlog[HLE],MATCH($A265,Backlog[Requirement ID],0))&lt;=13,2,IF(INDEX(Backlog[HLE],MATCH($A265,Backlog[Requirement ID],0))&lt;=20,3,5))))),"")</f>
        <v/>
      </c>
      <c r="M265" s="46"/>
    </row>
    <row r="266" customFormat="false" ht="15" hidden="false" customHeight="true" outlineLevel="0" collapsed="false">
      <c r="A266" s="46" t="str">
        <f aca="false">Backlog!A266</f>
        <v/>
      </c>
      <c r="B266" s="68" t="str">
        <f aca="false">IFERROR(IF(ISBLANK(INDEX(Backlog[Requirement Name],MATCH($A266,Backlog[Requirement ID],0))),"",INDEX(Backlog[Requirement Name],MATCH($A266,Backlog[Requirement ID],0))),"")</f>
        <v/>
      </c>
      <c r="C266" s="69" t="str">
        <f aca="false">IFERROR(IF(ISBLANK(INDEX(Backlog[Stream],MATCH($A266,Backlog[Requirement ID],0))),"",INDEX(Backlog[Stream],MATCH($A266,Backlog[Requirement ID],0))),"")</f>
        <v/>
      </c>
      <c r="D266" s="69" t="str">
        <f aca="false">IFERROR(IF(ISBLANK(INDEX(Backlog[Jira Link],MATCH($A266,Backlog[Requirement ID],0))),"",INDEX(Backlog[Jira Link],MATCH($A266,Backlog[Requirement ID],0))),"")</f>
        <v/>
      </c>
      <c r="E266" s="69" t="str">
        <f aca="false">IFERROR(IF(ISBLANK(INDEX(Backlog[Status],MATCH($A266,Backlog[Requirement ID],0))),"",INDEX(Backlog[Status],MATCH($A266,Backlog[Requirement ID],0))),"")</f>
        <v/>
      </c>
      <c r="F266" s="69" t="str">
        <f aca="false">IFERROR(IF(ISBLANK(INDEX(SprintPlanning[Sprint],MATCH($A266,SprintPlanning[Requirement ID],0))),"",INDEX(SprintPlanning[Sprint],MATCH($A266,SprintPlanning[Requirement ID],0))),"")</f>
        <v/>
      </c>
      <c r="G266" s="70"/>
      <c r="H266" s="71"/>
      <c r="I266" s="70"/>
      <c r="J266" s="69" t="str">
        <f aca="false">IFERROR(IF(ISBLANK(INDEX(Backlog[Priority],MATCH($A266,Backlog[Requirement ID],0))),"",INDEX(Backlog[Priority],MATCH($A266,Backlog[Requirement ID],0))),"")</f>
        <v/>
      </c>
      <c r="K266" s="46"/>
      <c r="L266" s="1" t="str">
        <f aca="false">IFERROR(IF(ISBLANK(INDEX(Backlog[HLE],MATCH($A266,Backlog[Requirement ID],0))),"",IF(INDEX(Backlog[HLE],MATCH($A266,Backlog[Requirement ID],0))&lt;=5,0.5,IF(INDEX(Backlog[HLE],MATCH($A266,Backlog[Requirement ID],0))&lt;=8,1,IF(INDEX(Backlog[HLE],MATCH($A266,Backlog[Requirement ID],0))&lt;=13,2,IF(INDEX(Backlog[HLE],MATCH($A266,Backlog[Requirement ID],0))&lt;=20,3,5))))),"")</f>
        <v/>
      </c>
      <c r="M266" s="46"/>
    </row>
    <row r="267" customFormat="false" ht="15" hidden="false" customHeight="true" outlineLevel="0" collapsed="false">
      <c r="A267" s="46" t="str">
        <f aca="false">Backlog!A267</f>
        <v/>
      </c>
      <c r="B267" s="68" t="str">
        <f aca="false">IFERROR(IF(ISBLANK(INDEX(Backlog[Requirement Name],MATCH($A267,Backlog[Requirement ID],0))),"",INDEX(Backlog[Requirement Name],MATCH($A267,Backlog[Requirement ID],0))),"")</f>
        <v/>
      </c>
      <c r="C267" s="69" t="str">
        <f aca="false">IFERROR(IF(ISBLANK(INDEX(Backlog[Stream],MATCH($A267,Backlog[Requirement ID],0))),"",INDEX(Backlog[Stream],MATCH($A267,Backlog[Requirement ID],0))),"")</f>
        <v/>
      </c>
      <c r="D267" s="69" t="str">
        <f aca="false">IFERROR(IF(ISBLANK(INDEX(Backlog[Jira Link],MATCH($A267,Backlog[Requirement ID],0))),"",INDEX(Backlog[Jira Link],MATCH($A267,Backlog[Requirement ID],0))),"")</f>
        <v/>
      </c>
      <c r="E267" s="69" t="str">
        <f aca="false">IFERROR(IF(ISBLANK(INDEX(Backlog[Status],MATCH($A267,Backlog[Requirement ID],0))),"",INDEX(Backlog[Status],MATCH($A267,Backlog[Requirement ID],0))),"")</f>
        <v/>
      </c>
      <c r="F267" s="69" t="str">
        <f aca="false">IFERROR(IF(ISBLANK(INDEX(SprintPlanning[Sprint],MATCH($A267,SprintPlanning[Requirement ID],0))),"",INDEX(SprintPlanning[Sprint],MATCH($A267,SprintPlanning[Requirement ID],0))),"")</f>
        <v/>
      </c>
      <c r="G267" s="70"/>
      <c r="H267" s="71"/>
      <c r="I267" s="70"/>
      <c r="J267" s="69" t="str">
        <f aca="false">IFERROR(IF(ISBLANK(INDEX(Backlog[Priority],MATCH($A267,Backlog[Requirement ID],0))),"",INDEX(Backlog[Priority],MATCH($A267,Backlog[Requirement ID],0))),"")</f>
        <v/>
      </c>
      <c r="K267" s="46"/>
      <c r="L267" s="1" t="str">
        <f aca="false">IFERROR(IF(ISBLANK(INDEX(Backlog[HLE],MATCH($A267,Backlog[Requirement ID],0))),"",IF(INDEX(Backlog[HLE],MATCH($A267,Backlog[Requirement ID],0))&lt;=5,0.5,IF(INDEX(Backlog[HLE],MATCH($A267,Backlog[Requirement ID],0))&lt;=8,1,IF(INDEX(Backlog[HLE],MATCH($A267,Backlog[Requirement ID],0))&lt;=13,2,IF(INDEX(Backlog[HLE],MATCH($A267,Backlog[Requirement ID],0))&lt;=20,3,5))))),"")</f>
        <v/>
      </c>
      <c r="M267" s="46"/>
    </row>
    <row r="268" customFormat="false" ht="15" hidden="false" customHeight="true" outlineLevel="0" collapsed="false">
      <c r="A268" s="46" t="str">
        <f aca="false">Backlog!A268</f>
        <v/>
      </c>
      <c r="B268" s="68" t="str">
        <f aca="false">IFERROR(IF(ISBLANK(INDEX(Backlog[Requirement Name],MATCH($A268,Backlog[Requirement ID],0))),"",INDEX(Backlog[Requirement Name],MATCH($A268,Backlog[Requirement ID],0))),"")</f>
        <v/>
      </c>
      <c r="C268" s="69" t="str">
        <f aca="false">IFERROR(IF(ISBLANK(INDEX(Backlog[Stream],MATCH($A268,Backlog[Requirement ID],0))),"",INDEX(Backlog[Stream],MATCH($A268,Backlog[Requirement ID],0))),"")</f>
        <v/>
      </c>
      <c r="D268" s="69" t="str">
        <f aca="false">IFERROR(IF(ISBLANK(INDEX(Backlog[Jira Link],MATCH($A268,Backlog[Requirement ID],0))),"",INDEX(Backlog[Jira Link],MATCH($A268,Backlog[Requirement ID],0))),"")</f>
        <v/>
      </c>
      <c r="E268" s="69" t="str">
        <f aca="false">IFERROR(IF(ISBLANK(INDEX(Backlog[Status],MATCH($A268,Backlog[Requirement ID],0))),"",INDEX(Backlog[Status],MATCH($A268,Backlog[Requirement ID],0))),"")</f>
        <v/>
      </c>
      <c r="F268" s="69" t="str">
        <f aca="false">IFERROR(IF(ISBLANK(INDEX(SprintPlanning[Sprint],MATCH($A268,SprintPlanning[Requirement ID],0))),"",INDEX(SprintPlanning[Sprint],MATCH($A268,SprintPlanning[Requirement ID],0))),"")</f>
        <v/>
      </c>
      <c r="G268" s="70"/>
      <c r="H268" s="71"/>
      <c r="I268" s="70"/>
      <c r="J268" s="69" t="str">
        <f aca="false">IFERROR(IF(ISBLANK(INDEX(Backlog[Priority],MATCH($A268,Backlog[Requirement ID],0))),"",INDEX(Backlog[Priority],MATCH($A268,Backlog[Requirement ID],0))),"")</f>
        <v/>
      </c>
      <c r="K268" s="46"/>
      <c r="L268" s="1" t="str">
        <f aca="false">IFERROR(IF(ISBLANK(INDEX(Backlog[HLE],MATCH($A268,Backlog[Requirement ID],0))),"",IF(INDEX(Backlog[HLE],MATCH($A268,Backlog[Requirement ID],0))&lt;=5,0.5,IF(INDEX(Backlog[HLE],MATCH($A268,Backlog[Requirement ID],0))&lt;=8,1,IF(INDEX(Backlog[HLE],MATCH($A268,Backlog[Requirement ID],0))&lt;=13,2,IF(INDEX(Backlog[HLE],MATCH($A268,Backlog[Requirement ID],0))&lt;=20,3,5))))),"")</f>
        <v/>
      </c>
      <c r="M268" s="46"/>
    </row>
    <row r="269" customFormat="false" ht="15" hidden="false" customHeight="true" outlineLevel="0" collapsed="false">
      <c r="A269" s="46" t="str">
        <f aca="false">Backlog!A269</f>
        <v/>
      </c>
      <c r="B269" s="68" t="str">
        <f aca="false">IFERROR(IF(ISBLANK(INDEX(Backlog[Requirement Name],MATCH($A269,Backlog[Requirement ID],0))),"",INDEX(Backlog[Requirement Name],MATCH($A269,Backlog[Requirement ID],0))),"")</f>
        <v/>
      </c>
      <c r="C269" s="69" t="str">
        <f aca="false">IFERROR(IF(ISBLANK(INDEX(Backlog[Stream],MATCH($A269,Backlog[Requirement ID],0))),"",INDEX(Backlog[Stream],MATCH($A269,Backlog[Requirement ID],0))),"")</f>
        <v/>
      </c>
      <c r="D269" s="69" t="str">
        <f aca="false">IFERROR(IF(ISBLANK(INDEX(Backlog[Jira Link],MATCH($A269,Backlog[Requirement ID],0))),"",INDEX(Backlog[Jira Link],MATCH($A269,Backlog[Requirement ID],0))),"")</f>
        <v/>
      </c>
      <c r="E269" s="69" t="str">
        <f aca="false">IFERROR(IF(ISBLANK(INDEX(Backlog[Status],MATCH($A269,Backlog[Requirement ID],0))),"",INDEX(Backlog[Status],MATCH($A269,Backlog[Requirement ID],0))),"")</f>
        <v/>
      </c>
      <c r="F269" s="69" t="str">
        <f aca="false">IFERROR(IF(ISBLANK(INDEX(SprintPlanning[Sprint],MATCH($A269,SprintPlanning[Requirement ID],0))),"",INDEX(SprintPlanning[Sprint],MATCH($A269,SprintPlanning[Requirement ID],0))),"")</f>
        <v/>
      </c>
      <c r="G269" s="70"/>
      <c r="H269" s="71"/>
      <c r="I269" s="70" t="s">
        <v>445</v>
      </c>
      <c r="J269" s="69" t="str">
        <f aca="false">IFERROR(IF(ISBLANK(INDEX(Backlog[Priority],MATCH($A269,Backlog[Requirement ID],0))),"",INDEX(Backlog[Priority],MATCH($A269,Backlog[Requirement ID],0))),"")</f>
        <v/>
      </c>
      <c r="K269" s="46" t="s">
        <v>437</v>
      </c>
      <c r="L269" s="1" t="str">
        <f aca="false">IFERROR(IF(ISBLANK(INDEX(Backlog[HLE],MATCH($A269,Backlog[Requirement ID],0))),"",IF(INDEX(Backlog[HLE],MATCH($A269,Backlog[Requirement ID],0))&lt;=5,0.5,IF(INDEX(Backlog[HLE],MATCH($A269,Backlog[Requirement ID],0))&lt;=8,1,IF(INDEX(Backlog[HLE],MATCH($A269,Backlog[Requirement ID],0))&lt;=13,2,IF(INDEX(Backlog[HLE],MATCH($A269,Backlog[Requirement ID],0))&lt;=20,3,5))))),"")</f>
        <v/>
      </c>
      <c r="M269" s="46" t="s">
        <v>132</v>
      </c>
    </row>
    <row r="270" customFormat="false" ht="15" hidden="false" customHeight="true" outlineLevel="0" collapsed="false">
      <c r="A270" s="46" t="str">
        <f aca="false">Backlog!A270</f>
        <v/>
      </c>
      <c r="B270" s="68" t="str">
        <f aca="false">IFERROR(IF(ISBLANK(INDEX(Backlog[Requirement Name],MATCH($A270,Backlog[Requirement ID],0))),"",INDEX(Backlog[Requirement Name],MATCH($A270,Backlog[Requirement ID],0))),"")</f>
        <v/>
      </c>
      <c r="C270" s="69" t="str">
        <f aca="false">IFERROR(IF(ISBLANK(INDEX(Backlog[Stream],MATCH($A270,Backlog[Requirement ID],0))),"",INDEX(Backlog[Stream],MATCH($A270,Backlog[Requirement ID],0))),"")</f>
        <v/>
      </c>
      <c r="D270" s="69" t="str">
        <f aca="false">IFERROR(IF(ISBLANK(INDEX(Backlog[Jira Link],MATCH($A270,Backlog[Requirement ID],0))),"",INDEX(Backlog[Jira Link],MATCH($A270,Backlog[Requirement ID],0))),"")</f>
        <v/>
      </c>
      <c r="E270" s="69" t="str">
        <f aca="false">IFERROR(IF(ISBLANK(INDEX(Backlog[Status],MATCH($A270,Backlog[Requirement ID],0))),"",INDEX(Backlog[Status],MATCH($A270,Backlog[Requirement ID],0))),"")</f>
        <v/>
      </c>
      <c r="F270" s="69" t="str">
        <f aca="false">IFERROR(IF(ISBLANK(INDEX(SprintPlanning[Sprint],MATCH($A270,SprintPlanning[Requirement ID],0))),"",INDEX(SprintPlanning[Sprint],MATCH($A270,SprintPlanning[Requirement ID],0))),"")</f>
        <v/>
      </c>
      <c r="G270" s="70"/>
      <c r="H270" s="71"/>
      <c r="I270" s="70" t="s">
        <v>445</v>
      </c>
      <c r="J270" s="69" t="str">
        <f aca="false">IFERROR(IF(ISBLANK(INDEX(Backlog[Priority],MATCH($A270,Backlog[Requirement ID],0))),"",INDEX(Backlog[Priority],MATCH($A270,Backlog[Requirement ID],0))),"")</f>
        <v/>
      </c>
      <c r="K270" s="46" t="s">
        <v>437</v>
      </c>
      <c r="L270" s="1" t="str">
        <f aca="false">IFERROR(IF(ISBLANK(INDEX(Backlog[HLE],MATCH($A270,Backlog[Requirement ID],0))),"",IF(INDEX(Backlog[HLE],MATCH($A270,Backlog[Requirement ID],0))&lt;=5,0.5,IF(INDEX(Backlog[HLE],MATCH($A270,Backlog[Requirement ID],0))&lt;=8,1,IF(INDEX(Backlog[HLE],MATCH($A270,Backlog[Requirement ID],0))&lt;=13,2,IF(INDEX(Backlog[HLE],MATCH($A270,Backlog[Requirement ID],0))&lt;=20,3,5))))),"")</f>
        <v/>
      </c>
      <c r="M270" s="46" t="s">
        <v>132</v>
      </c>
    </row>
    <row r="271" customFormat="false" ht="15" hidden="false" customHeight="true" outlineLevel="0" collapsed="false">
      <c r="A271" s="46" t="str">
        <f aca="false">Backlog!A271</f>
        <v/>
      </c>
      <c r="B271" s="68" t="str">
        <f aca="false">IFERROR(IF(ISBLANK(INDEX(Backlog[Requirement Name],MATCH($A271,Backlog[Requirement ID],0))),"",INDEX(Backlog[Requirement Name],MATCH($A271,Backlog[Requirement ID],0))),"")</f>
        <v/>
      </c>
      <c r="C271" s="69" t="str">
        <f aca="false">IFERROR(IF(ISBLANK(INDEX(Backlog[Stream],MATCH($A271,Backlog[Requirement ID],0))),"",INDEX(Backlog[Stream],MATCH($A271,Backlog[Requirement ID],0))),"")</f>
        <v/>
      </c>
      <c r="D271" s="69" t="str">
        <f aca="false">IFERROR(IF(ISBLANK(INDEX(Backlog[Jira Link],MATCH($A271,Backlog[Requirement ID],0))),"",INDEX(Backlog[Jira Link],MATCH($A271,Backlog[Requirement ID],0))),"")</f>
        <v/>
      </c>
      <c r="E271" s="69" t="str">
        <f aca="false">IFERROR(IF(ISBLANK(INDEX(Backlog[Status],MATCH($A271,Backlog[Requirement ID],0))),"",INDEX(Backlog[Status],MATCH($A271,Backlog[Requirement ID],0))),"")</f>
        <v/>
      </c>
      <c r="F271" s="69" t="str">
        <f aca="false">IFERROR(IF(ISBLANK(INDEX(SprintPlanning[Sprint],MATCH($A271,SprintPlanning[Requirement ID],0))),"",INDEX(SprintPlanning[Sprint],MATCH($A271,SprintPlanning[Requirement ID],0))),"")</f>
        <v/>
      </c>
      <c r="G271" s="70"/>
      <c r="H271" s="71"/>
      <c r="I271" s="70" t="s">
        <v>445</v>
      </c>
      <c r="J271" s="69" t="str">
        <f aca="false">IFERROR(IF(ISBLANK(INDEX(Backlog[Priority],MATCH($A271,Backlog[Requirement ID],0))),"",INDEX(Backlog[Priority],MATCH($A271,Backlog[Requirement ID],0))),"")</f>
        <v/>
      </c>
      <c r="K271" s="46" t="s">
        <v>437</v>
      </c>
      <c r="L271" s="1" t="str">
        <f aca="false">IFERROR(IF(ISBLANK(INDEX(Backlog[HLE],MATCH($A271,Backlog[Requirement ID],0))),"",IF(INDEX(Backlog[HLE],MATCH($A271,Backlog[Requirement ID],0))&lt;=5,0.5,IF(INDEX(Backlog[HLE],MATCH($A271,Backlog[Requirement ID],0))&lt;=8,1,IF(INDEX(Backlog[HLE],MATCH($A271,Backlog[Requirement ID],0))&lt;=13,2,IF(INDEX(Backlog[HLE],MATCH($A271,Backlog[Requirement ID],0))&lt;=20,3,5))))),"")</f>
        <v/>
      </c>
      <c r="M271" s="46" t="s">
        <v>132</v>
      </c>
    </row>
    <row r="272" customFormat="false" ht="15" hidden="false" customHeight="true" outlineLevel="0" collapsed="false">
      <c r="A272" s="1" t="str">
        <f aca="false">Backlog!A272</f>
        <v/>
      </c>
      <c r="B272" s="49"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66"/>
      <c r="J272" s="1" t="str">
        <f aca="false">IFERROR(IF(ISBLANK(INDEX(Backlog[Priority],MATCH($A272,Backlog[Requirement ID],0))),"",INDEX(Backlog[Priority],MATCH($A272,Backlog[Requirement ID],0))),"")</f>
        <v/>
      </c>
      <c r="L272" s="1" t="str">
        <f aca="false">IFERROR(IF(ISBLANK(INDEX(Backlog[HLE],MATCH($A272,Backlog[Requirement ID],0))),"",IF(INDEX(Backlog[HLE],MATCH($A272,Backlog[Requirement ID],0))&lt;=5,0.5,IF(INDEX(Backlog[HLE],MATCH($A272,Backlog[Requirement ID],0))&lt;=8,1,IF(INDEX(Backlog[HLE],MATCH($A272,Backlog[Requirement ID],0))&lt;=13,2,IF(INDEX(Backlog[HLE],MATCH($A272,Backlog[Requirement ID],0))&lt;=20,3,5))))),"")</f>
        <v/>
      </c>
    </row>
    <row r="273" customFormat="false" ht="15" hidden="false" customHeight="true" outlineLevel="0" collapsed="false">
      <c r="A273" s="1" t="str">
        <f aca="false">Backlog!A273</f>
        <v/>
      </c>
      <c r="B273" s="49"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66"/>
      <c r="J273" s="1" t="str">
        <f aca="false">IFERROR(IF(ISBLANK(INDEX(Backlog[Priority],MATCH($A273,Backlog[Requirement ID],0))),"",INDEX(Backlog[Priority],MATCH($A273,Backlog[Requirement ID],0))),"")</f>
        <v/>
      </c>
      <c r="L273" s="1" t="str">
        <f aca="false">IFERROR(IF(ISBLANK(INDEX(Backlog[HLE],MATCH($A273,Backlog[Requirement ID],0))),"",IF(INDEX(Backlog[HLE],MATCH($A273,Backlog[Requirement ID],0))&lt;=5,0.5,IF(INDEX(Backlog[HLE],MATCH($A273,Backlog[Requirement ID],0))&lt;=8,1,IF(INDEX(Backlog[HLE],MATCH($A273,Backlog[Requirement ID],0))&lt;=13,2,IF(INDEX(Backlog[HLE],MATCH($A273,Backlog[Requirement ID],0))&lt;=20,3,5))))),"")</f>
        <v/>
      </c>
    </row>
    <row r="274" customFormat="false" ht="15" hidden="false" customHeight="true" outlineLevel="0" collapsed="false">
      <c r="A274" s="1" t="str">
        <f aca="false">Backlog!A274</f>
        <v/>
      </c>
      <c r="B274" s="49"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66"/>
      <c r="J274" s="1" t="str">
        <f aca="false">IFERROR(IF(ISBLANK(INDEX(Backlog[Priority],MATCH($A274,Backlog[Requirement ID],0))),"",INDEX(Backlog[Priority],MATCH($A274,Backlog[Requirement ID],0))),"")</f>
        <v/>
      </c>
      <c r="L274" s="1" t="str">
        <f aca="false">IFERROR(IF(ISBLANK(INDEX(Backlog[HLE],MATCH($A274,Backlog[Requirement ID],0))),"",IF(INDEX(Backlog[HLE],MATCH($A274,Backlog[Requirement ID],0))&lt;=5,0.5,IF(INDEX(Backlog[HLE],MATCH($A274,Backlog[Requirement ID],0))&lt;=8,1,IF(INDEX(Backlog[HLE],MATCH($A274,Backlog[Requirement ID],0))&lt;=13,2,IF(INDEX(Backlog[HLE],MATCH($A274,Backlog[Requirement ID],0))&lt;=20,3,5))))),"")</f>
        <v/>
      </c>
    </row>
    <row r="275" customFormat="false" ht="15" hidden="false" customHeight="true" outlineLevel="0" collapsed="false">
      <c r="A275" s="1" t="str">
        <f aca="false">Backlog!A275</f>
        <v/>
      </c>
      <c r="B275" s="49"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66"/>
      <c r="J275" s="1" t="str">
        <f aca="false">IFERROR(IF(ISBLANK(INDEX(Backlog[Priority],MATCH($A275,Backlog[Requirement ID],0))),"",INDEX(Backlog[Priority],MATCH($A275,Backlog[Requirement ID],0))),"")</f>
        <v/>
      </c>
      <c r="L275" s="1" t="str">
        <f aca="false">IFERROR(IF(ISBLANK(INDEX(Backlog[HLE],MATCH($A275,Backlog[Requirement ID],0))),"",IF(INDEX(Backlog[HLE],MATCH($A275,Backlog[Requirement ID],0))&lt;=5,0.5,IF(INDEX(Backlog[HLE],MATCH($A275,Backlog[Requirement ID],0))&lt;=8,1,IF(INDEX(Backlog[HLE],MATCH($A275,Backlog[Requirement ID],0))&lt;=13,2,IF(INDEX(Backlog[HLE],MATCH($A275,Backlog[Requirement ID],0))&lt;=20,3,5))))),"")</f>
        <v/>
      </c>
    </row>
    <row r="276" customFormat="false" ht="15" hidden="false" customHeight="true" outlineLevel="0" collapsed="false">
      <c r="A276" s="46" t="str">
        <f aca="false">Backlog!A276</f>
        <v/>
      </c>
      <c r="B276" s="68" t="str">
        <f aca="false">IFERROR(IF(ISBLANK(INDEX(Backlog[Requirement Name],MATCH($A276,Backlog[Requirement ID],0))),"",INDEX(Backlog[Requirement Name],MATCH($A276,Backlog[Requirement ID],0))),"")</f>
        <v/>
      </c>
      <c r="C276" s="69" t="str">
        <f aca="false">IFERROR(IF(ISBLANK(INDEX(Backlog[Stream],MATCH($A276,Backlog[Requirement ID],0))),"",INDEX(Backlog[Stream],MATCH($A276,Backlog[Requirement ID],0))),"")</f>
        <v/>
      </c>
      <c r="D276" s="69" t="str">
        <f aca="false">IFERROR(IF(ISBLANK(INDEX(Backlog[Jira Link],MATCH($A276,Backlog[Requirement ID],0))),"",INDEX(Backlog[Jira Link],MATCH($A276,Backlog[Requirement ID],0))),"")</f>
        <v/>
      </c>
      <c r="E276" s="69" t="str">
        <f aca="false">IFERROR(IF(ISBLANK(INDEX(Backlog[Status],MATCH($A276,Backlog[Requirement ID],0))),"",INDEX(Backlog[Status],MATCH($A276,Backlog[Requirement ID],0))),"")</f>
        <v/>
      </c>
      <c r="F276" s="69" t="str">
        <f aca="false">IFERROR(IF(ISBLANK(INDEX(SprintPlanning[Sprint],MATCH($A276,SprintPlanning[Requirement ID],0))),"",INDEX(SprintPlanning[Sprint],MATCH($A276,SprintPlanning[Requirement ID],0))),"")</f>
        <v/>
      </c>
      <c r="G276" s="70" t="s">
        <v>395</v>
      </c>
      <c r="H276" s="71"/>
      <c r="I276" s="70"/>
      <c r="J276" s="69" t="str">
        <f aca="false">IFERROR(IF(ISBLANK(INDEX(Backlog[Priority],MATCH($A276,Backlog[Requirement ID],0))),"",INDEX(Backlog[Priority],MATCH($A276,Backlog[Requirement ID],0))),"")</f>
        <v/>
      </c>
      <c r="K276" s="46" t="s">
        <v>435</v>
      </c>
      <c r="L276" s="1" t="str">
        <f aca="false">IFERROR(IF(ISBLANK(INDEX(Backlog[HLE],MATCH($A276,Backlog[Requirement ID],0))),"",IF(INDEX(Backlog[HLE],MATCH($A276,Backlog[Requirement ID],0))&lt;=5,0.5,IF(INDEX(Backlog[HLE],MATCH($A276,Backlog[Requirement ID],0))&lt;=8,1,IF(INDEX(Backlog[HLE],MATCH($A276,Backlog[Requirement ID],0))&lt;=13,2,IF(INDEX(Backlog[HLE],MATCH($A276,Backlog[Requirement ID],0))&lt;=20,3,5))))),"")</f>
        <v/>
      </c>
      <c r="M276" s="46"/>
    </row>
    <row r="277" customFormat="false" ht="15" hidden="true" customHeight="true" outlineLevel="0" collapsed="false">
      <c r="A277" s="1" t="str">
        <f aca="false">Backlog!A277</f>
        <v/>
      </c>
      <c r="B277" s="49"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G277" s="56" t="s">
        <v>395</v>
      </c>
      <c r="H277" s="66"/>
      <c r="J277" s="1" t="str">
        <f aca="false">IFERROR(IF(ISBLANK(INDEX(Backlog[Priority],MATCH($A277,Backlog[Requirement ID],0))),"",INDEX(Backlog[Priority],MATCH($A277,Backlog[Requirement ID],0))),"")</f>
        <v/>
      </c>
      <c r="K277" s="1" t="s">
        <v>435</v>
      </c>
      <c r="L277" s="1" t="str">
        <f aca="false">IFERROR(IF(ISBLANK(INDEX(Backlog[HLE],MATCH($A277,Backlog[Requirement ID],0))),"",IF(INDEX(Backlog[HLE],MATCH($A277,Backlog[Requirement ID],0))&lt;=5,0.5,IF(INDEX(Backlog[HLE],MATCH($A277,Backlog[Requirement ID],0))&lt;=8,1,IF(INDEX(Backlog[HLE],MATCH($A277,Backlog[Requirement ID],0))&lt;=13,2,IF(INDEX(Backlog[HLE],MATCH($A277,Backlog[Requirement ID],0))&lt;=20,3,5))))),"")</f>
        <v/>
      </c>
      <c r="M277" s="1" t="s">
        <v>396</v>
      </c>
    </row>
    <row r="278" customFormat="false" ht="15" hidden="false" customHeight="true" outlineLevel="0" collapsed="false">
      <c r="A278" s="1" t="str">
        <f aca="false">Backlog!A278</f>
        <v/>
      </c>
      <c r="B278" s="49"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66"/>
      <c r="J278" s="1" t="str">
        <f aca="false">IFERROR(IF(ISBLANK(INDEX(Backlog[Priority],MATCH($A278,Backlog[Requirement ID],0))),"",INDEX(Backlog[Priority],MATCH($A278,Backlog[Requirement ID],0))),"")</f>
        <v/>
      </c>
      <c r="L278" s="1" t="str">
        <f aca="false">IFERROR(IF(ISBLANK(INDEX(Backlog[HLE],MATCH($A278,Backlog[Requirement ID],0))),"",IF(INDEX(Backlog[HLE],MATCH($A278,Backlog[Requirement ID],0))&lt;=5,0.5,IF(INDEX(Backlog[HLE],MATCH($A278,Backlog[Requirement ID],0))&lt;=8,1,IF(INDEX(Backlog[HLE],MATCH($A278,Backlog[Requirement ID],0))&lt;=13,2,IF(INDEX(Backlog[HLE],MATCH($A278,Backlog[Requirement ID],0))&lt;=20,3,5))))),"")</f>
        <v/>
      </c>
    </row>
    <row r="279" customFormat="false" ht="15" hidden="true" customHeight="true" outlineLevel="0" collapsed="false">
      <c r="A279" s="1" t="str">
        <f aca="false">Backlog!A279</f>
        <v/>
      </c>
      <c r="B279" s="49"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G279" s="56" t="s">
        <v>83</v>
      </c>
      <c r="H279" s="66"/>
      <c r="J279" s="1" t="str">
        <f aca="false">IFERROR(IF(ISBLANK(INDEX(Backlog[Priority],MATCH($A279,Backlog[Requirement ID],0))),"",INDEX(Backlog[Priority],MATCH($A279,Backlog[Requirement ID],0))),"")</f>
        <v/>
      </c>
      <c r="K279" s="1" t="s">
        <v>435</v>
      </c>
      <c r="L279" s="1" t="str">
        <f aca="false">IFERROR(IF(ISBLANK(INDEX(Backlog[HLE],MATCH($A279,Backlog[Requirement ID],0))),"",IF(INDEX(Backlog[HLE],MATCH($A279,Backlog[Requirement ID],0))&lt;=5,0.5,IF(INDEX(Backlog[HLE],MATCH($A279,Backlog[Requirement ID],0))&lt;=8,1,IF(INDEX(Backlog[HLE],MATCH($A279,Backlog[Requirement ID],0))&lt;=13,2,IF(INDEX(Backlog[HLE],MATCH($A279,Backlog[Requirement ID],0))&lt;=20,3,5))))),"")</f>
        <v/>
      </c>
      <c r="M279" s="1" t="s">
        <v>396</v>
      </c>
    </row>
    <row r="280" customFormat="false" ht="15" hidden="false" customHeight="true" outlineLevel="0" collapsed="false">
      <c r="A280" s="46" t="str">
        <f aca="false">Backlog!A280</f>
        <v/>
      </c>
      <c r="B280" s="68" t="str">
        <f aca="false">IFERROR(IF(ISBLANK(INDEX(Backlog[Requirement Name],MATCH($A280,Backlog[Requirement ID],0))),"",INDEX(Backlog[Requirement Name],MATCH($A280,Backlog[Requirement ID],0))),"")</f>
        <v/>
      </c>
      <c r="C280" s="69" t="str">
        <f aca="false">IFERROR(IF(ISBLANK(INDEX(Backlog[Stream],MATCH($A280,Backlog[Requirement ID],0))),"",INDEX(Backlog[Stream],MATCH($A280,Backlog[Requirement ID],0))),"")</f>
        <v/>
      </c>
      <c r="D280" s="69" t="str">
        <f aca="false">IFERROR(IF(ISBLANK(INDEX(Backlog[Jira Link],MATCH($A280,Backlog[Requirement ID],0))),"",INDEX(Backlog[Jira Link],MATCH($A280,Backlog[Requirement ID],0))),"")</f>
        <v/>
      </c>
      <c r="E280" s="69" t="str">
        <f aca="false">IFERROR(IF(ISBLANK(INDEX(Backlog[Status],MATCH($A280,Backlog[Requirement ID],0))),"",INDEX(Backlog[Status],MATCH($A280,Backlog[Requirement ID],0))),"")</f>
        <v/>
      </c>
      <c r="F280" s="69" t="str">
        <f aca="false">IFERROR(IF(ISBLANK(INDEX(SprintPlanning[Sprint],MATCH($A280,SprintPlanning[Requirement ID],0))),"",INDEX(SprintPlanning[Sprint],MATCH($A280,SprintPlanning[Requirement ID],0))),"")</f>
        <v/>
      </c>
      <c r="G280" s="70" t="s">
        <v>396</v>
      </c>
      <c r="H280" s="71"/>
      <c r="I280" s="70"/>
      <c r="J280" s="69" t="str">
        <f aca="false">IFERROR(IF(ISBLANK(INDEX(Backlog[Priority],MATCH($A280,Backlog[Requirement ID],0))),"",INDEX(Backlog[Priority],MATCH($A280,Backlog[Requirement ID],0))),"")</f>
        <v/>
      </c>
      <c r="K280" s="46" t="s">
        <v>435</v>
      </c>
      <c r="L280" s="1" t="str">
        <f aca="false">IFERROR(IF(ISBLANK(INDEX(Backlog[HLE],MATCH($A280,Backlog[Requirement ID],0))),"",IF(INDEX(Backlog[HLE],MATCH($A280,Backlog[Requirement ID],0))&lt;=5,0.5,IF(INDEX(Backlog[HLE],MATCH($A280,Backlog[Requirement ID],0))&lt;=8,1,IF(INDEX(Backlog[HLE],MATCH($A280,Backlog[Requirement ID],0))&lt;=13,2,IF(INDEX(Backlog[HLE],MATCH($A280,Backlog[Requirement ID],0))&lt;=20,3,5))))),"")</f>
        <v/>
      </c>
      <c r="M280" s="46"/>
      <c r="N280" s="1" t="s">
        <v>444</v>
      </c>
    </row>
    <row r="281" customFormat="false" ht="15" hidden="false" customHeight="true" outlineLevel="0" collapsed="false">
      <c r="A281" s="1" t="str">
        <f aca="false">Backlog!A281</f>
        <v/>
      </c>
      <c r="B281" s="49"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66"/>
      <c r="J281" s="1" t="str">
        <f aca="false">IFERROR(IF(ISBLANK(INDEX(Backlog[Priority],MATCH($A281,Backlog[Requirement ID],0))),"",INDEX(Backlog[Priority],MATCH($A281,Backlog[Requirement ID],0))),"")</f>
        <v/>
      </c>
      <c r="L281" s="1" t="str">
        <f aca="false">IFERROR(IF(ISBLANK(INDEX(Backlog[HLE],MATCH($A281,Backlog[Requirement ID],0))),"",IF(INDEX(Backlog[HLE],MATCH($A281,Backlog[Requirement ID],0))&lt;=5,0.5,IF(INDEX(Backlog[HLE],MATCH($A281,Backlog[Requirement ID],0))&lt;=8,1,IF(INDEX(Backlog[HLE],MATCH($A281,Backlog[Requirement ID],0))&lt;=13,2,IF(INDEX(Backlog[HLE],MATCH($A281,Backlog[Requirement ID],0))&lt;=20,3,5))))),"")</f>
        <v/>
      </c>
    </row>
    <row r="282" customFormat="false" ht="15" hidden="false" customHeight="true" outlineLevel="0" collapsed="false">
      <c r="A282" s="1" t="str">
        <f aca="false">Backlog!A282</f>
        <v/>
      </c>
      <c r="B282" s="49"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66"/>
      <c r="J282" s="1" t="str">
        <f aca="false">IFERROR(IF(ISBLANK(INDEX(Backlog[Priority],MATCH($A282,Backlog[Requirement ID],0))),"",INDEX(Backlog[Priority],MATCH($A282,Backlog[Requirement ID],0))),"")</f>
        <v/>
      </c>
      <c r="L282" s="1" t="str">
        <f aca="false">IFERROR(IF(ISBLANK(INDEX(Backlog[HLE],MATCH($A282,Backlog[Requirement ID],0))),"",IF(INDEX(Backlog[HLE],MATCH($A282,Backlog[Requirement ID],0))&lt;=5,0.5,IF(INDEX(Backlog[HLE],MATCH($A282,Backlog[Requirement ID],0))&lt;=8,1,IF(INDEX(Backlog[HLE],MATCH($A282,Backlog[Requirement ID],0))&lt;=13,2,IF(INDEX(Backlog[HLE],MATCH($A282,Backlog[Requirement ID],0))&lt;=20,3,5))))),"")</f>
        <v/>
      </c>
    </row>
    <row r="283" customFormat="false" ht="15" hidden="false" customHeight="true" outlineLevel="0" collapsed="false">
      <c r="A283" s="1" t="str">
        <f aca="false">Backlog!A283</f>
        <v/>
      </c>
      <c r="B283" s="49"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66"/>
      <c r="J283" s="1" t="str">
        <f aca="false">IFERROR(IF(ISBLANK(INDEX(Backlog[Priority],MATCH($A283,Backlog[Requirement ID],0))),"",INDEX(Backlog[Priority],MATCH($A283,Backlog[Requirement ID],0))),"")</f>
        <v/>
      </c>
      <c r="K283" s="1" t="s">
        <v>438</v>
      </c>
      <c r="L283" s="1" t="str">
        <f aca="false">IFERROR(IF(ISBLANK(INDEX(Backlog[HLE],MATCH($A283,Backlog[Requirement ID],0))),"",IF(INDEX(Backlog[HLE],MATCH($A283,Backlog[Requirement ID],0))&lt;=5,0.5,IF(INDEX(Backlog[HLE],MATCH($A283,Backlog[Requirement ID],0))&lt;=8,1,IF(INDEX(Backlog[HLE],MATCH($A283,Backlog[Requirement ID],0))&lt;=13,2,IF(INDEX(Backlog[HLE],MATCH($A283,Backlog[Requirement ID],0))&lt;=20,3,5))))),"")</f>
        <v/>
      </c>
    </row>
    <row r="284" customFormat="false" ht="15" hidden="false" customHeight="true" outlineLevel="0" collapsed="false">
      <c r="A284" s="1" t="str">
        <f aca="false">Backlog!A284</f>
        <v/>
      </c>
      <c r="B284" s="49"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66"/>
      <c r="J284" s="1" t="str">
        <f aca="false">IFERROR(IF(ISBLANK(INDEX(Backlog[Priority],MATCH($A284,Backlog[Requirement ID],0))),"",INDEX(Backlog[Priority],MATCH($A284,Backlog[Requirement ID],0))),"")</f>
        <v/>
      </c>
      <c r="L284" s="1" t="str">
        <f aca="false">IFERROR(IF(ISBLANK(INDEX(Backlog[HLE],MATCH($A284,Backlog[Requirement ID],0))),"",IF(INDEX(Backlog[HLE],MATCH($A284,Backlog[Requirement ID],0))&lt;=5,0.5,IF(INDEX(Backlog[HLE],MATCH($A284,Backlog[Requirement ID],0))&lt;=8,1,IF(INDEX(Backlog[HLE],MATCH($A284,Backlog[Requirement ID],0))&lt;=13,2,IF(INDEX(Backlog[HLE],MATCH($A284,Backlog[Requirement ID],0))&lt;=20,3,5))))),"")</f>
        <v/>
      </c>
    </row>
    <row r="285" customFormat="false" ht="15" hidden="false" customHeight="true" outlineLevel="0" collapsed="false">
      <c r="A285" s="1" t="str">
        <f aca="false">Backlog!A285</f>
        <v/>
      </c>
      <c r="B285" s="49"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66"/>
      <c r="J285" s="1" t="str">
        <f aca="false">IFERROR(IF(ISBLANK(INDEX(Backlog[Priority],MATCH($A285,Backlog[Requirement ID],0))),"",INDEX(Backlog[Priority],MATCH($A285,Backlog[Requirement ID],0))),"")</f>
        <v/>
      </c>
      <c r="L285" s="1" t="str">
        <f aca="false">IFERROR(IF(ISBLANK(INDEX(Backlog[HLE],MATCH($A285,Backlog[Requirement ID],0))),"",IF(INDEX(Backlog[HLE],MATCH($A285,Backlog[Requirement ID],0))&lt;=5,0.5,IF(INDEX(Backlog[HLE],MATCH($A285,Backlog[Requirement ID],0))&lt;=8,1,IF(INDEX(Backlog[HLE],MATCH($A285,Backlog[Requirement ID],0))&lt;=13,2,IF(INDEX(Backlog[HLE],MATCH($A285,Backlog[Requirement ID],0))&lt;=20,3,5))))),"")</f>
        <v/>
      </c>
    </row>
    <row r="286" customFormat="false" ht="15" hidden="false" customHeight="true" outlineLevel="0" collapsed="false">
      <c r="A286" s="1" t="str">
        <f aca="false">Backlog!A286</f>
        <v/>
      </c>
      <c r="B286" s="49"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66"/>
      <c r="J286" s="1" t="str">
        <f aca="false">IFERROR(IF(ISBLANK(INDEX(Backlog[Priority],MATCH($A286,Backlog[Requirement ID],0))),"",INDEX(Backlog[Priority],MATCH($A286,Backlog[Requirement ID],0))),"")</f>
        <v/>
      </c>
      <c r="L286" s="1" t="str">
        <f aca="false">IFERROR(IF(ISBLANK(INDEX(Backlog[HLE],MATCH($A286,Backlog[Requirement ID],0))),"",IF(INDEX(Backlog[HLE],MATCH($A286,Backlog[Requirement ID],0))&lt;=5,0.5,IF(INDEX(Backlog[HLE],MATCH($A286,Backlog[Requirement ID],0))&lt;=8,1,IF(INDEX(Backlog[HLE],MATCH($A286,Backlog[Requirement ID],0))&lt;=13,2,IF(INDEX(Backlog[HLE],MATCH($A286,Backlog[Requirement ID],0))&lt;=20,3,5))))),"")</f>
        <v/>
      </c>
    </row>
    <row r="287" customFormat="false" ht="15" hidden="true" customHeight="true" outlineLevel="0" collapsed="false">
      <c r="B287" s="49"/>
    </row>
    <row r="288" customFormat="false" ht="15" hidden="true" customHeight="true" outlineLevel="0" collapsed="false">
      <c r="B288" s="49"/>
    </row>
    <row r="289" customFormat="false" ht="15" hidden="true" customHeight="true" outlineLevel="0" collapsed="false">
      <c r="B289" s="49"/>
    </row>
    <row r="290" customFormat="false" ht="15" hidden="true" customHeight="true" outlineLevel="0" collapsed="false">
      <c r="B290" s="49"/>
    </row>
    <row r="291" customFormat="false" ht="15" hidden="true" customHeight="true" outlineLevel="0" collapsed="false">
      <c r="B291" s="49"/>
    </row>
    <row r="292" customFormat="false" ht="15" hidden="true" customHeight="true" outlineLevel="0" collapsed="false">
      <c r="B292" s="49"/>
    </row>
    <row r="293" customFormat="false" ht="15" hidden="true" customHeight="true" outlineLevel="0" collapsed="false">
      <c r="B293" s="49"/>
    </row>
    <row r="294" customFormat="false" ht="15" hidden="true" customHeight="true" outlineLevel="0" collapsed="false">
      <c r="B294" s="49"/>
    </row>
    <row r="295" customFormat="false" ht="15" hidden="true" customHeight="true" outlineLevel="0" collapsed="false">
      <c r="B295" s="49"/>
    </row>
    <row r="296" customFormat="false" ht="15" hidden="true" customHeight="true" outlineLevel="0" collapsed="false">
      <c r="B296" s="49"/>
    </row>
    <row r="297" customFormat="false" ht="15" hidden="true" customHeight="true" outlineLevel="0" collapsed="false">
      <c r="B297" s="49"/>
    </row>
    <row r="298" customFormat="false" ht="15" hidden="true" customHeight="true" outlineLevel="0" collapsed="false">
      <c r="B298" s="49"/>
    </row>
    <row r="299" customFormat="false" ht="15" hidden="false" customHeight="true" outlineLevel="0" collapsed="false">
      <c r="B299" s="49"/>
    </row>
    <row r="300" customFormat="false" ht="15" hidden="false" customHeight="true" outlineLevel="0" collapsed="false">
      <c r="B300" s="49"/>
    </row>
    <row r="301" customFormat="false" ht="15" hidden="false" customHeight="true" outlineLevel="0" collapsed="false">
      <c r="B301" s="49"/>
    </row>
    <row r="302" customFormat="false" ht="15" hidden="false" customHeight="true" outlineLevel="0" collapsed="false">
      <c r="B302" s="49"/>
    </row>
    <row r="303" customFormat="false" ht="15" hidden="false" customHeight="true" outlineLevel="0" collapsed="false">
      <c r="B303" s="49"/>
    </row>
    <row r="304" customFormat="false" ht="15" hidden="true" customHeight="true" outlineLevel="0" collapsed="false">
      <c r="B304" s="49"/>
    </row>
    <row r="305" customFormat="false" ht="15" hidden="false" customHeight="true" outlineLevel="0" collapsed="false">
      <c r="B305" s="49"/>
    </row>
    <row r="306" customFormat="false" ht="15" hidden="false" customHeight="true" outlineLevel="0" collapsed="false">
      <c r="B306" s="49"/>
    </row>
    <row r="307" customFormat="false" ht="15" hidden="false" customHeight="true" outlineLevel="0" collapsed="false">
      <c r="B307" s="49"/>
    </row>
    <row r="308" customFormat="false" ht="15" hidden="false" customHeight="true" outlineLevel="0" collapsed="false">
      <c r="B308" s="49"/>
    </row>
    <row r="309" customFormat="false" ht="15" hidden="false" customHeight="true" outlineLevel="0" collapsed="false">
      <c r="B309" s="49"/>
    </row>
    <row r="310" customFormat="false" ht="15" hidden="false" customHeight="true" outlineLevel="0" collapsed="false">
      <c r="B310" s="49"/>
    </row>
    <row r="311" customFormat="false" ht="15" hidden="false" customHeight="true" outlineLevel="0" collapsed="false">
      <c r="B311" s="49"/>
    </row>
    <row r="312" customFormat="false" ht="15" hidden="false" customHeight="true" outlineLevel="0" collapsed="false">
      <c r="B312" s="49"/>
    </row>
    <row r="313" customFormat="false" ht="15" hidden="false" customHeight="true" outlineLevel="0" collapsed="false">
      <c r="B313" s="49"/>
    </row>
    <row r="314" customFormat="false" ht="15" hidden="false" customHeight="true" outlineLevel="0" collapsed="false">
      <c r="B314" s="49"/>
    </row>
    <row r="315" customFormat="false" ht="15" hidden="false" customHeight="true" outlineLevel="0" collapsed="false">
      <c r="B315" s="49"/>
    </row>
    <row r="316" customFormat="false" ht="15" hidden="false" customHeight="true" outlineLevel="0" collapsed="false">
      <c r="B316" s="49"/>
    </row>
    <row r="317" customFormat="false" ht="15" hidden="false" customHeight="true" outlineLevel="0" collapsed="false">
      <c r="B317" s="49"/>
    </row>
    <row r="318" customFormat="false" ht="15" hidden="false" customHeight="true" outlineLevel="0" collapsed="false">
      <c r="B318" s="49"/>
    </row>
    <row r="319" customFormat="false" ht="15" hidden="false" customHeight="true" outlineLevel="0" collapsed="false">
      <c r="B319" s="49"/>
    </row>
    <row r="320" customFormat="false" ht="15" hidden="false" customHeight="true" outlineLevel="0" collapsed="false">
      <c r="B320" s="49"/>
    </row>
    <row r="321" customFormat="false" ht="15" hidden="false" customHeight="true" outlineLevel="0" collapsed="false">
      <c r="B321" s="49"/>
    </row>
    <row r="322" customFormat="false" ht="15" hidden="false" customHeight="true" outlineLevel="0" collapsed="false">
      <c r="B322" s="49"/>
    </row>
    <row r="323" customFormat="false" ht="15" hidden="false" customHeight="true" outlineLevel="0" collapsed="false">
      <c r="B323" s="49"/>
    </row>
    <row r="324" customFormat="false" ht="15" hidden="false" customHeight="true" outlineLevel="0" collapsed="false">
      <c r="B324" s="49"/>
    </row>
    <row r="325" customFormat="false" ht="15" hidden="false" customHeight="true" outlineLevel="0" collapsed="false">
      <c r="B325" s="49"/>
    </row>
    <row r="326" customFormat="false" ht="15" hidden="false" customHeight="true" outlineLevel="0" collapsed="false">
      <c r="B326" s="49"/>
    </row>
    <row r="327" customFormat="false" ht="15" hidden="false" customHeight="true" outlineLevel="0" collapsed="false">
      <c r="B327" s="49"/>
    </row>
    <row r="328" customFormat="false" ht="15" hidden="false" customHeight="true" outlineLevel="0" collapsed="false">
      <c r="B328" s="49"/>
    </row>
    <row r="329" customFormat="false" ht="15" hidden="false" customHeight="true" outlineLevel="0" collapsed="false">
      <c r="B329" s="49"/>
    </row>
    <row r="330" customFormat="false" ht="15" hidden="false" customHeight="true" outlineLevel="0" collapsed="false">
      <c r="B330" s="49"/>
    </row>
    <row r="331" customFormat="false" ht="15" hidden="false" customHeight="true" outlineLevel="0" collapsed="false">
      <c r="B331" s="49"/>
    </row>
    <row r="332" customFormat="false" ht="15" hidden="false" customHeight="true" outlineLevel="0" collapsed="false">
      <c r="B332" s="49"/>
    </row>
    <row r="333" customFormat="false" ht="15" hidden="false" customHeight="true" outlineLevel="0" collapsed="false">
      <c r="B333" s="49"/>
    </row>
    <row r="334" customFormat="false" ht="15" hidden="false" customHeight="true" outlineLevel="0" collapsed="false">
      <c r="B334" s="49"/>
    </row>
    <row r="335" customFormat="false" ht="15" hidden="false" customHeight="true" outlineLevel="0" collapsed="false">
      <c r="B335" s="49"/>
    </row>
    <row r="336" customFormat="false" ht="15" hidden="false" customHeight="true" outlineLevel="0" collapsed="false">
      <c r="B336" s="49"/>
    </row>
    <row r="337" customFormat="false" ht="15" hidden="false" customHeight="true" outlineLevel="0" collapsed="false">
      <c r="B337" s="49"/>
    </row>
    <row r="338" customFormat="false" ht="15" hidden="false" customHeight="true" outlineLevel="0" collapsed="false">
      <c r="B338" s="49"/>
    </row>
    <row r="339" customFormat="false" ht="15" hidden="false" customHeight="true" outlineLevel="0" collapsed="false">
      <c r="B339" s="49"/>
    </row>
    <row r="340" customFormat="false" ht="15" hidden="false" customHeight="true" outlineLevel="0" collapsed="false">
      <c r="B340" s="49"/>
    </row>
    <row r="341" customFormat="false" ht="15" hidden="false" customHeight="true" outlineLevel="0" collapsed="false">
      <c r="B341" s="49"/>
    </row>
    <row r="342" customFormat="false" ht="15" hidden="false" customHeight="true" outlineLevel="0" collapsed="false">
      <c r="B342" s="49"/>
    </row>
    <row r="343" customFormat="false" ht="15" hidden="false" customHeight="true" outlineLevel="0" collapsed="false">
      <c r="B343" s="49"/>
    </row>
    <row r="344" customFormat="false" ht="15" hidden="false" customHeight="true" outlineLevel="0" collapsed="false">
      <c r="B344" s="49"/>
    </row>
    <row r="345" customFormat="false" ht="15" hidden="false" customHeight="true" outlineLevel="0" collapsed="false">
      <c r="B345" s="49"/>
    </row>
    <row r="346" customFormat="false" ht="15" hidden="false" customHeight="true" outlineLevel="0" collapsed="false">
      <c r="B346" s="49"/>
    </row>
    <row r="347" customFormat="false" ht="15" hidden="false" customHeight="true" outlineLevel="0" collapsed="false">
      <c r="B347" s="49"/>
    </row>
    <row r="348" customFormat="false" ht="15" hidden="false" customHeight="true" outlineLevel="0" collapsed="false">
      <c r="B348" s="49"/>
    </row>
    <row r="349" customFormat="false" ht="15" hidden="false" customHeight="true" outlineLevel="0" collapsed="false">
      <c r="B349" s="49"/>
    </row>
    <row r="350" customFormat="false" ht="15" hidden="false" customHeight="true" outlineLevel="0" collapsed="false">
      <c r="B350" s="49"/>
    </row>
    <row r="351" customFormat="false" ht="15" hidden="false" customHeight="true" outlineLevel="0" collapsed="false">
      <c r="B351" s="49"/>
    </row>
    <row r="352" customFormat="false" ht="15" hidden="false" customHeight="true" outlineLevel="0" collapsed="false">
      <c r="B352" s="49"/>
    </row>
    <row r="353" customFormat="false" ht="15" hidden="false" customHeight="true" outlineLevel="0" collapsed="false">
      <c r="B353" s="49"/>
    </row>
    <row r="354" customFormat="false" ht="15" hidden="false" customHeight="true" outlineLevel="0" collapsed="false">
      <c r="B354" s="49"/>
    </row>
    <row r="355" customFormat="false" ht="15" hidden="false" customHeight="true" outlineLevel="0" collapsed="false">
      <c r="B355" s="49"/>
    </row>
    <row r="356" customFormat="false" ht="15" hidden="false" customHeight="true" outlineLevel="0" collapsed="false">
      <c r="B356" s="49"/>
    </row>
    <row r="357" customFormat="false" ht="15" hidden="false" customHeight="true" outlineLevel="0" collapsed="false">
      <c r="B357" s="49"/>
    </row>
    <row r="358" customFormat="false" ht="15" hidden="false" customHeight="true" outlineLevel="0" collapsed="false">
      <c r="B358" s="49"/>
    </row>
    <row r="359" customFormat="false" ht="15" hidden="false" customHeight="true" outlineLevel="0" collapsed="false">
      <c r="B359" s="49"/>
    </row>
    <row r="360" customFormat="false" ht="15" hidden="false" customHeight="true" outlineLevel="0" collapsed="false">
      <c r="B360" s="49"/>
    </row>
    <row r="361" customFormat="false" ht="15" hidden="false" customHeight="true" outlineLevel="0" collapsed="false">
      <c r="B361" s="49"/>
    </row>
    <row r="362" customFormat="false" ht="15" hidden="false" customHeight="true" outlineLevel="0" collapsed="false">
      <c r="B362" s="49"/>
    </row>
    <row r="363" customFormat="false" ht="15" hidden="false" customHeight="true" outlineLevel="0" collapsed="false">
      <c r="B363" s="49"/>
    </row>
    <row r="364" customFormat="false" ht="15" hidden="false" customHeight="true" outlineLevel="0" collapsed="false">
      <c r="B364" s="49"/>
    </row>
    <row r="365" customFormat="false" ht="15" hidden="false" customHeight="true" outlineLevel="0" collapsed="false">
      <c r="B365" s="49"/>
    </row>
    <row r="366" customFormat="false" ht="15" hidden="false" customHeight="true" outlineLevel="0" collapsed="false">
      <c r="B366" s="49"/>
    </row>
    <row r="367" customFormat="false" ht="15" hidden="false" customHeight="true" outlineLevel="0" collapsed="false">
      <c r="B367" s="49"/>
    </row>
    <row r="368" customFormat="false" ht="15" hidden="false" customHeight="true" outlineLevel="0" collapsed="false">
      <c r="B368" s="49"/>
    </row>
    <row r="369" customFormat="false" ht="15" hidden="false" customHeight="true" outlineLevel="0" collapsed="false">
      <c r="B369" s="49"/>
    </row>
    <row r="370" customFormat="false" ht="15" hidden="false" customHeight="true" outlineLevel="0" collapsed="false">
      <c r="B370" s="49"/>
    </row>
    <row r="371" customFormat="false" ht="15" hidden="false" customHeight="true" outlineLevel="0" collapsed="false">
      <c r="B371" s="49"/>
    </row>
    <row r="372" customFormat="false" ht="15" hidden="false" customHeight="true" outlineLevel="0" collapsed="false">
      <c r="B372" s="49"/>
    </row>
    <row r="373" customFormat="false" ht="15" hidden="false" customHeight="true" outlineLevel="0" collapsed="false">
      <c r="B373" s="49"/>
    </row>
    <row r="374" customFormat="false" ht="15" hidden="false" customHeight="true" outlineLevel="0" collapsed="false">
      <c r="B374" s="49"/>
    </row>
    <row r="375" customFormat="false" ht="15" hidden="false" customHeight="true" outlineLevel="0" collapsed="false">
      <c r="B375" s="49"/>
    </row>
    <row r="376" customFormat="false" ht="15" hidden="false" customHeight="true" outlineLevel="0" collapsed="false">
      <c r="B376" s="49"/>
    </row>
    <row r="377" customFormat="false" ht="15" hidden="false" customHeight="true" outlineLevel="0" collapsed="false">
      <c r="B377" s="49"/>
    </row>
    <row r="378" customFormat="false" ht="15" hidden="false" customHeight="true" outlineLevel="0" collapsed="false">
      <c r="B378" s="49"/>
    </row>
    <row r="379" customFormat="false" ht="15" hidden="false" customHeight="true" outlineLevel="0" collapsed="false">
      <c r="B379" s="49"/>
    </row>
    <row r="380" customFormat="false" ht="15" hidden="false" customHeight="true" outlineLevel="0" collapsed="false">
      <c r="B380" s="49"/>
    </row>
    <row r="381" customFormat="false" ht="15" hidden="false" customHeight="true" outlineLevel="0" collapsed="false">
      <c r="B381" s="49"/>
    </row>
    <row r="382" customFormat="false" ht="15" hidden="false" customHeight="true" outlineLevel="0" collapsed="false">
      <c r="B382" s="49"/>
    </row>
    <row r="383" customFormat="false" ht="15" hidden="false" customHeight="true" outlineLevel="0" collapsed="false">
      <c r="B383" s="49"/>
    </row>
    <row r="384" customFormat="false" ht="15" hidden="false" customHeight="true" outlineLevel="0" collapsed="false">
      <c r="B384" s="49"/>
    </row>
    <row r="385" customFormat="false" ht="15" hidden="false" customHeight="true" outlineLevel="0" collapsed="false">
      <c r="B385" s="49"/>
    </row>
    <row r="386" customFormat="false" ht="15" hidden="false" customHeight="true" outlineLevel="0" collapsed="false">
      <c r="B386" s="49"/>
    </row>
    <row r="387" customFormat="false" ht="15" hidden="false" customHeight="true" outlineLevel="0" collapsed="false">
      <c r="B387" s="49"/>
    </row>
    <row r="388" customFormat="false" ht="15" hidden="false" customHeight="true" outlineLevel="0" collapsed="false">
      <c r="B388" s="49"/>
    </row>
    <row r="389" customFormat="false" ht="15" hidden="false" customHeight="true" outlineLevel="0" collapsed="false">
      <c r="B389" s="49"/>
    </row>
    <row r="390" customFormat="false" ht="15" hidden="false" customHeight="true" outlineLevel="0" collapsed="false">
      <c r="B390" s="49"/>
    </row>
    <row r="391" customFormat="false" ht="15" hidden="false" customHeight="true" outlineLevel="0" collapsed="false">
      <c r="B391" s="49"/>
    </row>
    <row r="392" customFormat="false" ht="15" hidden="false" customHeight="true" outlineLevel="0" collapsed="false">
      <c r="B392" s="49"/>
    </row>
    <row r="393" customFormat="false" ht="15" hidden="false" customHeight="true" outlineLevel="0" collapsed="false">
      <c r="B393" s="49"/>
    </row>
    <row r="394" customFormat="false" ht="15" hidden="false" customHeight="true" outlineLevel="0" collapsed="false">
      <c r="B394" s="49"/>
    </row>
    <row r="395" customFormat="false" ht="15" hidden="false" customHeight="true" outlineLevel="0" collapsed="false">
      <c r="B395" s="49"/>
    </row>
    <row r="396" customFormat="false" ht="15" hidden="false" customHeight="true" outlineLevel="0" collapsed="false">
      <c r="B396" s="49"/>
    </row>
    <row r="397" customFormat="false" ht="15" hidden="false" customHeight="true" outlineLevel="0" collapsed="false">
      <c r="B397" s="49"/>
    </row>
    <row r="398" customFormat="false" ht="15" hidden="false" customHeight="true" outlineLevel="0" collapsed="false">
      <c r="B398" s="49"/>
    </row>
    <row r="399" customFormat="false" ht="15" hidden="false" customHeight="true" outlineLevel="0" collapsed="false">
      <c r="B399" s="49"/>
    </row>
    <row r="400" customFormat="false" ht="15" hidden="false" customHeight="true" outlineLevel="0" collapsed="false">
      <c r="B400" s="49"/>
    </row>
    <row r="401" customFormat="false" ht="15" hidden="false" customHeight="true" outlineLevel="0" collapsed="false">
      <c r="B401" s="49"/>
    </row>
    <row r="402" customFormat="false" ht="15" hidden="false" customHeight="true" outlineLevel="0" collapsed="false">
      <c r="B402" s="49"/>
    </row>
    <row r="403" customFormat="false" ht="15" hidden="false" customHeight="true" outlineLevel="0" collapsed="false">
      <c r="B403" s="49"/>
    </row>
    <row r="404" customFormat="false" ht="15" hidden="false" customHeight="true" outlineLevel="0" collapsed="false">
      <c r="B404" s="49"/>
    </row>
    <row r="405" customFormat="false" ht="15" hidden="false" customHeight="true" outlineLevel="0" collapsed="false">
      <c r="B405" s="49"/>
    </row>
    <row r="406" customFormat="false" ht="15" hidden="false" customHeight="true" outlineLevel="0" collapsed="false">
      <c r="B406" s="49"/>
    </row>
    <row r="407" customFormat="false" ht="15" hidden="false" customHeight="true" outlineLevel="0" collapsed="false">
      <c r="B407" s="49"/>
    </row>
    <row r="408" customFormat="false" ht="15" hidden="false" customHeight="true" outlineLevel="0" collapsed="false">
      <c r="B408" s="49"/>
    </row>
    <row r="409" customFormat="false" ht="15" hidden="false" customHeight="true" outlineLevel="0" collapsed="false">
      <c r="B409" s="49"/>
    </row>
    <row r="410" customFormat="false" ht="15" hidden="false" customHeight="true" outlineLevel="0" collapsed="false">
      <c r="B410" s="49"/>
    </row>
    <row r="411" customFormat="false" ht="15" hidden="false" customHeight="true" outlineLevel="0" collapsed="false">
      <c r="B411" s="49"/>
    </row>
    <row r="412" customFormat="false" ht="15" hidden="false" customHeight="true" outlineLevel="0" collapsed="false">
      <c r="B412" s="49"/>
    </row>
    <row r="413" customFormat="false" ht="15" hidden="false" customHeight="true" outlineLevel="0" collapsed="false">
      <c r="B413" s="49"/>
    </row>
    <row r="414" customFormat="false" ht="15" hidden="false" customHeight="true" outlineLevel="0" collapsed="false">
      <c r="B414" s="49"/>
    </row>
    <row r="415" customFormat="false" ht="15" hidden="false" customHeight="true" outlineLevel="0" collapsed="false">
      <c r="B415" s="49"/>
    </row>
    <row r="416" customFormat="false" ht="15" hidden="false" customHeight="true" outlineLevel="0" collapsed="false">
      <c r="B416" s="49"/>
    </row>
    <row r="417" customFormat="false" ht="15" hidden="false" customHeight="true" outlineLevel="0" collapsed="false">
      <c r="B417" s="49"/>
    </row>
    <row r="418" customFormat="false" ht="15" hidden="false" customHeight="true" outlineLevel="0" collapsed="false">
      <c r="B418" s="49"/>
    </row>
    <row r="419" customFormat="false" ht="15" hidden="false" customHeight="true" outlineLevel="0" collapsed="false">
      <c r="B419" s="49"/>
    </row>
    <row r="420" customFormat="false" ht="15" hidden="false" customHeight="true" outlineLevel="0" collapsed="false">
      <c r="B420" s="49"/>
    </row>
    <row r="421" customFormat="false" ht="15" hidden="false" customHeight="true" outlineLevel="0" collapsed="false">
      <c r="B421" s="49"/>
    </row>
    <row r="422" customFormat="false" ht="15" hidden="false" customHeight="true" outlineLevel="0" collapsed="false">
      <c r="B422" s="49"/>
    </row>
    <row r="423" customFormat="false" ht="15" hidden="false" customHeight="true" outlineLevel="0" collapsed="false">
      <c r="B423" s="49"/>
    </row>
    <row r="424" customFormat="false" ht="15" hidden="false" customHeight="true" outlineLevel="0" collapsed="false">
      <c r="B424" s="49"/>
    </row>
    <row r="425" customFormat="false" ht="15" hidden="false" customHeight="true" outlineLevel="0" collapsed="false">
      <c r="B425" s="49"/>
    </row>
    <row r="426" customFormat="false" ht="15" hidden="false" customHeight="true" outlineLevel="0" collapsed="false">
      <c r="B426" s="49"/>
    </row>
    <row r="427" customFormat="false" ht="15" hidden="false" customHeight="true" outlineLevel="0" collapsed="false">
      <c r="B427" s="49"/>
    </row>
    <row r="428" customFormat="false" ht="15" hidden="false" customHeight="true" outlineLevel="0" collapsed="false">
      <c r="B428" s="49"/>
    </row>
    <row r="429" customFormat="false" ht="15" hidden="false" customHeight="true" outlineLevel="0" collapsed="false">
      <c r="B429" s="49"/>
    </row>
    <row r="430" customFormat="false" ht="15" hidden="false" customHeight="true" outlineLevel="0" collapsed="false">
      <c r="B430" s="49"/>
    </row>
    <row r="431" customFormat="false" ht="15" hidden="false" customHeight="true" outlineLevel="0" collapsed="false">
      <c r="B431" s="49"/>
    </row>
    <row r="432" customFormat="false" ht="15" hidden="false" customHeight="true" outlineLevel="0" collapsed="false">
      <c r="B432" s="49"/>
    </row>
    <row r="433" customFormat="false" ht="15" hidden="false" customHeight="true" outlineLevel="0" collapsed="false">
      <c r="B433" s="49"/>
    </row>
    <row r="434" customFormat="false" ht="15" hidden="false" customHeight="true" outlineLevel="0" collapsed="false">
      <c r="B434" s="49"/>
    </row>
    <row r="435" customFormat="false" ht="15" hidden="false" customHeight="true" outlineLevel="0" collapsed="false">
      <c r="B435" s="49"/>
    </row>
    <row r="436" customFormat="false" ht="15" hidden="false" customHeight="true" outlineLevel="0" collapsed="false">
      <c r="B436" s="49"/>
    </row>
    <row r="437" customFormat="false" ht="15" hidden="false" customHeight="true" outlineLevel="0" collapsed="false">
      <c r="B437" s="49"/>
    </row>
    <row r="438" customFormat="false" ht="15" hidden="false" customHeight="true" outlineLevel="0" collapsed="false">
      <c r="B438" s="49"/>
    </row>
    <row r="439" customFormat="false" ht="15" hidden="false" customHeight="true" outlineLevel="0" collapsed="false">
      <c r="B439" s="49"/>
    </row>
    <row r="440" customFormat="false" ht="15" hidden="false" customHeight="true" outlineLevel="0" collapsed="false">
      <c r="B440" s="49"/>
    </row>
    <row r="441" customFormat="false" ht="15" hidden="false" customHeight="true" outlineLevel="0" collapsed="false">
      <c r="B441" s="49"/>
    </row>
    <row r="442" customFormat="false" ht="15" hidden="false" customHeight="true" outlineLevel="0" collapsed="false">
      <c r="B442" s="49"/>
    </row>
    <row r="443" customFormat="false" ht="15" hidden="false" customHeight="true" outlineLevel="0" collapsed="false">
      <c r="B443" s="49"/>
    </row>
    <row r="444" customFormat="false" ht="15" hidden="false" customHeight="true" outlineLevel="0" collapsed="false">
      <c r="B444" s="49"/>
    </row>
    <row r="445" customFormat="false" ht="15" hidden="false" customHeight="true" outlineLevel="0" collapsed="false">
      <c r="B445" s="49"/>
    </row>
    <row r="446" customFormat="false" ht="15" hidden="false" customHeight="true" outlineLevel="0" collapsed="false">
      <c r="B446" s="49"/>
    </row>
    <row r="447" customFormat="false" ht="15" hidden="false" customHeight="true" outlineLevel="0" collapsed="false">
      <c r="B447" s="49"/>
    </row>
    <row r="448" customFormat="false" ht="15" hidden="false" customHeight="true" outlineLevel="0" collapsed="false">
      <c r="B448" s="49"/>
    </row>
    <row r="449" customFormat="false" ht="15" hidden="false" customHeight="true" outlineLevel="0" collapsed="false">
      <c r="B449" s="49"/>
    </row>
    <row r="450" customFormat="false" ht="15" hidden="false" customHeight="true" outlineLevel="0" collapsed="false">
      <c r="B450" s="49"/>
    </row>
    <row r="451" customFormat="false" ht="15" hidden="false" customHeight="true" outlineLevel="0" collapsed="false">
      <c r="B451" s="49"/>
    </row>
    <row r="452" customFormat="false" ht="15" hidden="false" customHeight="true" outlineLevel="0" collapsed="false">
      <c r="B452" s="49"/>
    </row>
    <row r="453" customFormat="false" ht="15" hidden="false" customHeight="true" outlineLevel="0" collapsed="false">
      <c r="B453" s="49"/>
    </row>
    <row r="454" customFormat="false" ht="15" hidden="false" customHeight="true" outlineLevel="0" collapsed="false">
      <c r="B454" s="49"/>
    </row>
    <row r="455" customFormat="false" ht="15" hidden="false" customHeight="true" outlineLevel="0" collapsed="false">
      <c r="B455" s="49"/>
    </row>
    <row r="456" customFormat="false" ht="15" hidden="false" customHeight="true" outlineLevel="0" collapsed="false">
      <c r="B456" s="49"/>
    </row>
    <row r="457" customFormat="false" ht="15" hidden="false" customHeight="true" outlineLevel="0" collapsed="false">
      <c r="B457" s="49"/>
    </row>
    <row r="458" customFormat="false" ht="15" hidden="false" customHeight="true" outlineLevel="0" collapsed="false">
      <c r="B458" s="49"/>
    </row>
    <row r="459" customFormat="false" ht="15" hidden="false" customHeight="true" outlineLevel="0" collapsed="false">
      <c r="B459" s="49"/>
    </row>
    <row r="460" customFormat="false" ht="15" hidden="false" customHeight="true" outlineLevel="0" collapsed="false">
      <c r="B460" s="49"/>
    </row>
    <row r="461" customFormat="false" ht="15" hidden="false" customHeight="true" outlineLevel="0" collapsed="false">
      <c r="B461" s="49"/>
    </row>
    <row r="462" customFormat="false" ht="15" hidden="false" customHeight="true" outlineLevel="0" collapsed="false">
      <c r="B462" s="49"/>
    </row>
    <row r="463" customFormat="false" ht="15" hidden="false" customHeight="true" outlineLevel="0" collapsed="false">
      <c r="B463" s="49"/>
    </row>
    <row r="464" customFormat="false" ht="15" hidden="false" customHeight="true" outlineLevel="0" collapsed="false">
      <c r="B464" s="49"/>
    </row>
    <row r="465" customFormat="false" ht="15" hidden="false" customHeight="true" outlineLevel="0" collapsed="false">
      <c r="B465" s="49"/>
    </row>
    <row r="466" customFormat="false" ht="15" hidden="false" customHeight="true" outlineLevel="0" collapsed="false">
      <c r="B466" s="49"/>
    </row>
    <row r="467" customFormat="false" ht="15" hidden="false" customHeight="true" outlineLevel="0" collapsed="false">
      <c r="B467" s="49"/>
    </row>
    <row r="468" customFormat="false" ht="15" hidden="false" customHeight="true" outlineLevel="0" collapsed="false">
      <c r="B468" s="49"/>
    </row>
    <row r="469" customFormat="false" ht="15" hidden="false" customHeight="true" outlineLevel="0" collapsed="false">
      <c r="B469" s="49"/>
    </row>
    <row r="470" customFormat="false" ht="15" hidden="false" customHeight="true" outlineLevel="0" collapsed="false">
      <c r="B470" s="49"/>
    </row>
    <row r="471" customFormat="false" ht="15" hidden="false" customHeight="true" outlineLevel="0" collapsed="false">
      <c r="B471" s="49"/>
    </row>
    <row r="472" customFormat="false" ht="15" hidden="false" customHeight="true" outlineLevel="0" collapsed="false">
      <c r="B472" s="49"/>
    </row>
    <row r="473" customFormat="false" ht="15" hidden="false" customHeight="true" outlineLevel="0" collapsed="false">
      <c r="B473" s="49"/>
    </row>
    <row r="474" customFormat="false" ht="15" hidden="false" customHeight="true" outlineLevel="0" collapsed="false">
      <c r="B474" s="49"/>
    </row>
    <row r="475" customFormat="false" ht="15" hidden="false" customHeight="true" outlineLevel="0" collapsed="false">
      <c r="B475" s="49"/>
    </row>
    <row r="476" customFormat="false" ht="15" hidden="false" customHeight="true" outlineLevel="0" collapsed="false">
      <c r="B476" s="49"/>
    </row>
    <row r="477" customFormat="false" ht="15" hidden="false" customHeight="true" outlineLevel="0" collapsed="false">
      <c r="B477" s="49"/>
    </row>
    <row r="478" customFormat="false" ht="15" hidden="false" customHeight="true" outlineLevel="0" collapsed="false">
      <c r="B478" s="49"/>
    </row>
    <row r="479" customFormat="false" ht="15" hidden="false" customHeight="true" outlineLevel="0" collapsed="false">
      <c r="B479" s="49"/>
    </row>
    <row r="480" customFormat="false" ht="15" hidden="false" customHeight="true" outlineLevel="0" collapsed="false">
      <c r="B480" s="49"/>
    </row>
    <row r="481" customFormat="false" ht="15" hidden="false" customHeight="true" outlineLevel="0" collapsed="false">
      <c r="B481" s="49"/>
    </row>
    <row r="482" customFormat="false" ht="15" hidden="false" customHeight="true" outlineLevel="0" collapsed="false">
      <c r="B482" s="49"/>
    </row>
    <row r="483" customFormat="false" ht="15" hidden="false" customHeight="true" outlineLevel="0" collapsed="false">
      <c r="B483" s="49"/>
    </row>
    <row r="484" customFormat="false" ht="15" hidden="false" customHeight="true" outlineLevel="0" collapsed="false">
      <c r="B484" s="49"/>
    </row>
    <row r="485" customFormat="false" ht="15" hidden="false" customHeight="true" outlineLevel="0" collapsed="false">
      <c r="B485" s="49"/>
    </row>
    <row r="486" customFormat="false" ht="15" hidden="false" customHeight="true" outlineLevel="0" collapsed="false">
      <c r="B486" s="49"/>
    </row>
    <row r="487" customFormat="false" ht="15" hidden="false" customHeight="true" outlineLevel="0" collapsed="false">
      <c r="B487" s="49"/>
    </row>
    <row r="488" customFormat="false" ht="15" hidden="false" customHeight="true" outlineLevel="0" collapsed="false">
      <c r="B488" s="49"/>
    </row>
    <row r="489" customFormat="false" ht="15" hidden="false" customHeight="true" outlineLevel="0" collapsed="false">
      <c r="B489" s="49"/>
    </row>
    <row r="490" customFormat="false" ht="15" hidden="false" customHeight="true" outlineLevel="0" collapsed="false">
      <c r="B490" s="49"/>
    </row>
    <row r="491" customFormat="false" ht="15" hidden="false" customHeight="true" outlineLevel="0" collapsed="false">
      <c r="B491" s="49"/>
    </row>
    <row r="492" customFormat="false" ht="15" hidden="false" customHeight="true" outlineLevel="0" collapsed="false">
      <c r="B492" s="49"/>
    </row>
    <row r="493" customFormat="false" ht="15" hidden="false" customHeight="true" outlineLevel="0" collapsed="false">
      <c r="B493" s="49"/>
    </row>
    <row r="494" customFormat="false" ht="15" hidden="false" customHeight="true" outlineLevel="0" collapsed="false">
      <c r="B494" s="49"/>
    </row>
    <row r="495" customFormat="false" ht="15" hidden="false" customHeight="true" outlineLevel="0" collapsed="false">
      <c r="B495" s="49"/>
    </row>
    <row r="496" customFormat="false" ht="15" hidden="false" customHeight="true" outlineLevel="0" collapsed="false">
      <c r="B496" s="49"/>
    </row>
    <row r="497" customFormat="false" ht="15" hidden="false" customHeight="true" outlineLevel="0" collapsed="false">
      <c r="B497" s="49"/>
    </row>
    <row r="498" customFormat="false" ht="15" hidden="false" customHeight="true" outlineLevel="0" collapsed="false">
      <c r="B498" s="49"/>
    </row>
    <row r="499" customFormat="false" ht="15" hidden="false" customHeight="true" outlineLevel="0" collapsed="false">
      <c r="B499" s="49"/>
    </row>
    <row r="500" customFormat="false" ht="15" hidden="false" customHeight="true" outlineLevel="0" collapsed="false">
      <c r="B500" s="49"/>
    </row>
    <row r="501" customFormat="false" ht="15" hidden="false" customHeight="true" outlineLevel="0" collapsed="false">
      <c r="B501" s="49"/>
    </row>
    <row r="502" customFormat="false" ht="15" hidden="false" customHeight="true" outlineLevel="0" collapsed="false">
      <c r="B502" s="49"/>
    </row>
    <row r="503" customFormat="false" ht="15" hidden="false" customHeight="true" outlineLevel="0" collapsed="false">
      <c r="B503" s="49"/>
    </row>
    <row r="504" customFormat="false" ht="15" hidden="false" customHeight="true" outlineLevel="0" collapsed="false">
      <c r="B504" s="49"/>
    </row>
    <row r="505" customFormat="false" ht="15" hidden="false" customHeight="true" outlineLevel="0" collapsed="false">
      <c r="B505" s="49"/>
    </row>
    <row r="506" customFormat="false" ht="15" hidden="false" customHeight="true" outlineLevel="0" collapsed="false">
      <c r="B506" s="49"/>
    </row>
    <row r="507" customFormat="false" ht="15" hidden="false" customHeight="true" outlineLevel="0" collapsed="false">
      <c r="B507" s="49"/>
    </row>
    <row r="508" customFormat="false" ht="15" hidden="false" customHeight="true" outlineLevel="0" collapsed="false">
      <c r="B508" s="49"/>
    </row>
    <row r="509" customFormat="false" ht="15" hidden="false" customHeight="true" outlineLevel="0" collapsed="false">
      <c r="B509" s="49"/>
    </row>
    <row r="510" customFormat="false" ht="15" hidden="false" customHeight="true" outlineLevel="0" collapsed="false">
      <c r="B510" s="49"/>
    </row>
    <row r="511" customFormat="false" ht="15" hidden="false" customHeight="true" outlineLevel="0" collapsed="false">
      <c r="B511" s="49"/>
    </row>
    <row r="512" customFormat="false" ht="15" hidden="false" customHeight="true" outlineLevel="0" collapsed="false">
      <c r="B512" s="49"/>
    </row>
    <row r="513" customFormat="false" ht="15" hidden="false" customHeight="true" outlineLevel="0" collapsed="false">
      <c r="B513" s="49"/>
    </row>
    <row r="514" customFormat="false" ht="15" hidden="false" customHeight="true" outlineLevel="0" collapsed="false">
      <c r="B514" s="49"/>
    </row>
    <row r="515" customFormat="false" ht="15" hidden="false" customHeight="true" outlineLevel="0" collapsed="false">
      <c r="B515" s="49"/>
    </row>
    <row r="516" customFormat="false" ht="15" hidden="false" customHeight="true" outlineLevel="0" collapsed="false">
      <c r="B516" s="49"/>
    </row>
    <row r="517" customFormat="false" ht="15" hidden="false" customHeight="true" outlineLevel="0" collapsed="false">
      <c r="B517" s="49"/>
    </row>
    <row r="518" customFormat="false" ht="15" hidden="false" customHeight="true" outlineLevel="0" collapsed="false">
      <c r="B518" s="49"/>
    </row>
    <row r="519" customFormat="false" ht="15" hidden="false" customHeight="true" outlineLevel="0" collapsed="false">
      <c r="B519" s="49"/>
    </row>
    <row r="520" customFormat="false" ht="15" hidden="false" customHeight="true" outlineLevel="0" collapsed="false">
      <c r="B520" s="49"/>
    </row>
    <row r="521" customFormat="false" ht="15" hidden="false" customHeight="true" outlineLevel="0" collapsed="false">
      <c r="B521" s="49"/>
    </row>
    <row r="522" customFormat="false" ht="15" hidden="false" customHeight="true" outlineLevel="0" collapsed="false">
      <c r="B522" s="49"/>
    </row>
    <row r="523" customFormat="false" ht="15" hidden="false" customHeight="true" outlineLevel="0" collapsed="false">
      <c r="B523" s="49"/>
    </row>
    <row r="524" customFormat="false" ht="15" hidden="false" customHeight="true" outlineLevel="0" collapsed="false">
      <c r="B524" s="49"/>
    </row>
    <row r="525" customFormat="false" ht="15" hidden="false" customHeight="true" outlineLevel="0" collapsed="false">
      <c r="B525" s="49"/>
    </row>
    <row r="526" customFormat="false" ht="15" hidden="false" customHeight="true" outlineLevel="0" collapsed="false">
      <c r="B526" s="49"/>
    </row>
    <row r="527" customFormat="false" ht="15" hidden="false" customHeight="true" outlineLevel="0" collapsed="false">
      <c r="B527" s="49"/>
    </row>
    <row r="528" customFormat="false" ht="15" hidden="false" customHeight="true" outlineLevel="0" collapsed="false">
      <c r="B528" s="49"/>
    </row>
    <row r="529" customFormat="false" ht="15" hidden="false" customHeight="true" outlineLevel="0" collapsed="false">
      <c r="B529" s="49"/>
    </row>
    <row r="530" customFormat="false" ht="15" hidden="false" customHeight="true" outlineLevel="0" collapsed="false">
      <c r="B530" s="49"/>
    </row>
    <row r="531" customFormat="false" ht="15" hidden="false" customHeight="true" outlineLevel="0" collapsed="false">
      <c r="B531" s="49"/>
    </row>
    <row r="532" customFormat="false" ht="15" hidden="false" customHeight="true" outlineLevel="0" collapsed="false">
      <c r="B532" s="49"/>
    </row>
    <row r="533" customFormat="false" ht="15" hidden="false" customHeight="true" outlineLevel="0" collapsed="false">
      <c r="B533" s="49"/>
    </row>
    <row r="534" customFormat="false" ht="15" hidden="false" customHeight="true" outlineLevel="0" collapsed="false">
      <c r="B534" s="49"/>
    </row>
    <row r="535" customFormat="false" ht="15" hidden="false" customHeight="true" outlineLevel="0" collapsed="false">
      <c r="B535" s="49"/>
    </row>
    <row r="536" customFormat="false" ht="15" hidden="false" customHeight="true" outlineLevel="0" collapsed="false">
      <c r="B536" s="49"/>
    </row>
    <row r="537" customFormat="false" ht="15" hidden="false" customHeight="true" outlineLevel="0" collapsed="false">
      <c r="B537" s="49"/>
    </row>
    <row r="538" customFormat="false" ht="15" hidden="false" customHeight="true" outlineLevel="0" collapsed="false">
      <c r="B538" s="49"/>
    </row>
    <row r="539" customFormat="false" ht="15" hidden="false" customHeight="true" outlineLevel="0" collapsed="false">
      <c r="B539" s="49"/>
    </row>
    <row r="540" customFormat="false" ht="15" hidden="false" customHeight="true" outlineLevel="0" collapsed="false">
      <c r="B540" s="49"/>
    </row>
    <row r="541" customFormat="false" ht="15" hidden="false" customHeight="true" outlineLevel="0" collapsed="false">
      <c r="B541" s="49"/>
    </row>
    <row r="542" customFormat="false" ht="15" hidden="false" customHeight="true" outlineLevel="0" collapsed="false">
      <c r="B542" s="49"/>
    </row>
    <row r="543" customFormat="false" ht="15" hidden="false" customHeight="true" outlineLevel="0" collapsed="false">
      <c r="B543" s="49"/>
    </row>
    <row r="544" customFormat="false" ht="15" hidden="false" customHeight="true" outlineLevel="0" collapsed="false">
      <c r="B544" s="49"/>
    </row>
    <row r="545" customFormat="false" ht="15" hidden="false" customHeight="true" outlineLevel="0" collapsed="false">
      <c r="B545" s="49"/>
    </row>
    <row r="546" customFormat="false" ht="15" hidden="false" customHeight="true" outlineLevel="0" collapsed="false">
      <c r="B546" s="49"/>
    </row>
    <row r="547" customFormat="false" ht="15" hidden="false" customHeight="true" outlineLevel="0" collapsed="false">
      <c r="B547" s="49"/>
    </row>
    <row r="548" customFormat="false" ht="15" hidden="false" customHeight="true" outlineLevel="0" collapsed="false">
      <c r="B548" s="49"/>
    </row>
    <row r="549" customFormat="false" ht="15" hidden="false" customHeight="true" outlineLevel="0" collapsed="false">
      <c r="B549" s="49"/>
    </row>
    <row r="550" customFormat="false" ht="15" hidden="false" customHeight="true" outlineLevel="0" collapsed="false">
      <c r="B550" s="49"/>
    </row>
    <row r="551" customFormat="false" ht="15" hidden="false" customHeight="true" outlineLevel="0" collapsed="false">
      <c r="B551" s="49"/>
    </row>
    <row r="552" customFormat="false" ht="15" hidden="false" customHeight="true" outlineLevel="0" collapsed="false">
      <c r="B552" s="49"/>
    </row>
    <row r="553" customFormat="false" ht="15" hidden="false" customHeight="true" outlineLevel="0" collapsed="false">
      <c r="B553" s="49"/>
    </row>
    <row r="554" customFormat="false" ht="15" hidden="false" customHeight="true" outlineLevel="0" collapsed="false">
      <c r="B554" s="49"/>
    </row>
    <row r="555" customFormat="false" ht="15" hidden="false" customHeight="true" outlineLevel="0" collapsed="false">
      <c r="B555" s="49"/>
    </row>
    <row r="556" customFormat="false" ht="15" hidden="false" customHeight="true" outlineLevel="0" collapsed="false">
      <c r="B556" s="49"/>
    </row>
    <row r="557" customFormat="false" ht="15" hidden="false" customHeight="true" outlineLevel="0" collapsed="false">
      <c r="B557" s="49"/>
    </row>
    <row r="558" customFormat="false" ht="15" hidden="false" customHeight="true" outlineLevel="0" collapsed="false">
      <c r="B558" s="49"/>
    </row>
    <row r="559" customFormat="false" ht="15" hidden="false" customHeight="true" outlineLevel="0" collapsed="false">
      <c r="B559" s="49"/>
    </row>
    <row r="560" customFormat="false" ht="15" hidden="false" customHeight="true" outlineLevel="0" collapsed="false">
      <c r="B560" s="49"/>
    </row>
    <row r="561" customFormat="false" ht="15" hidden="false" customHeight="true" outlineLevel="0" collapsed="false">
      <c r="B561" s="49"/>
    </row>
    <row r="562" customFormat="false" ht="15" hidden="false" customHeight="true" outlineLevel="0" collapsed="false">
      <c r="B562" s="49"/>
    </row>
    <row r="563" customFormat="false" ht="15" hidden="false" customHeight="true" outlineLevel="0" collapsed="false">
      <c r="B563" s="49"/>
    </row>
    <row r="564" customFormat="false" ht="15" hidden="false" customHeight="true" outlineLevel="0" collapsed="false">
      <c r="B564" s="49"/>
    </row>
    <row r="565" customFormat="false" ht="15" hidden="false" customHeight="true" outlineLevel="0" collapsed="false">
      <c r="B565" s="49"/>
    </row>
    <row r="566" customFormat="false" ht="15" hidden="false" customHeight="true" outlineLevel="0" collapsed="false">
      <c r="B566" s="49"/>
    </row>
    <row r="567" customFormat="false" ht="15" hidden="false" customHeight="true" outlineLevel="0" collapsed="false">
      <c r="B567" s="49"/>
    </row>
    <row r="568" customFormat="false" ht="15" hidden="false" customHeight="true" outlineLevel="0" collapsed="false">
      <c r="B568" s="49"/>
    </row>
    <row r="569" customFormat="false" ht="15" hidden="false" customHeight="true" outlineLevel="0" collapsed="false">
      <c r="B569" s="49"/>
    </row>
    <row r="570" customFormat="false" ht="15" hidden="false" customHeight="true" outlineLevel="0" collapsed="false">
      <c r="B570" s="49"/>
    </row>
    <row r="571" customFormat="false" ht="15" hidden="false" customHeight="true" outlineLevel="0" collapsed="false">
      <c r="B571" s="49"/>
    </row>
    <row r="572" customFormat="false" ht="15" hidden="false" customHeight="true" outlineLevel="0" collapsed="false">
      <c r="B572" s="49"/>
    </row>
    <row r="573" customFormat="false" ht="15" hidden="false" customHeight="true" outlineLevel="0" collapsed="false">
      <c r="B573" s="49"/>
    </row>
    <row r="574" customFormat="false" ht="15" hidden="false" customHeight="true" outlineLevel="0" collapsed="false">
      <c r="B574" s="49"/>
    </row>
    <row r="575" customFormat="false" ht="15" hidden="false" customHeight="true" outlineLevel="0" collapsed="false">
      <c r="B575" s="49"/>
    </row>
    <row r="576" customFormat="false" ht="15" hidden="false" customHeight="true" outlineLevel="0" collapsed="false">
      <c r="B576" s="49"/>
    </row>
    <row r="577" customFormat="false" ht="15" hidden="false" customHeight="true" outlineLevel="0" collapsed="false">
      <c r="B577" s="49"/>
    </row>
    <row r="578" customFormat="false" ht="15" hidden="false" customHeight="true" outlineLevel="0" collapsed="false">
      <c r="B578" s="49"/>
    </row>
    <row r="579" customFormat="false" ht="15" hidden="false" customHeight="true" outlineLevel="0" collapsed="false">
      <c r="B579" s="49"/>
    </row>
    <row r="580" customFormat="false" ht="15" hidden="false" customHeight="true" outlineLevel="0" collapsed="false">
      <c r="B580" s="49"/>
    </row>
    <row r="581" customFormat="false" ht="15" hidden="false" customHeight="true" outlineLevel="0" collapsed="false">
      <c r="B581" s="49"/>
    </row>
    <row r="582" customFormat="false" ht="15" hidden="false" customHeight="true" outlineLevel="0" collapsed="false">
      <c r="B582" s="49"/>
    </row>
    <row r="583" customFormat="false" ht="15" hidden="false" customHeight="true" outlineLevel="0" collapsed="false">
      <c r="B583" s="49"/>
    </row>
    <row r="584" customFormat="false" ht="15" hidden="false" customHeight="true" outlineLevel="0" collapsed="false">
      <c r="B584" s="49"/>
    </row>
    <row r="585" customFormat="false" ht="15" hidden="false" customHeight="true" outlineLevel="0" collapsed="false">
      <c r="B585" s="49"/>
    </row>
    <row r="586" customFormat="false" ht="15" hidden="false" customHeight="true" outlineLevel="0" collapsed="false">
      <c r="B586" s="49"/>
    </row>
    <row r="587" customFormat="false" ht="15" hidden="false" customHeight="true" outlineLevel="0" collapsed="false">
      <c r="B587" s="49"/>
    </row>
    <row r="588" customFormat="false" ht="15" hidden="false" customHeight="true" outlineLevel="0" collapsed="false">
      <c r="B588" s="49"/>
    </row>
    <row r="589" customFormat="false" ht="15" hidden="false" customHeight="true" outlineLevel="0" collapsed="false">
      <c r="B589" s="49"/>
    </row>
    <row r="590" customFormat="false" ht="15" hidden="false" customHeight="true" outlineLevel="0" collapsed="false">
      <c r="B590" s="49"/>
    </row>
    <row r="591" customFormat="false" ht="15" hidden="false" customHeight="true" outlineLevel="0" collapsed="false">
      <c r="B591" s="49"/>
    </row>
    <row r="592" customFormat="false" ht="15" hidden="false" customHeight="true" outlineLevel="0" collapsed="false">
      <c r="B592" s="49"/>
    </row>
    <row r="593" customFormat="false" ht="15" hidden="false" customHeight="true" outlineLevel="0" collapsed="false">
      <c r="B593" s="49"/>
    </row>
    <row r="594" customFormat="false" ht="15" hidden="false" customHeight="true" outlineLevel="0" collapsed="false">
      <c r="B594" s="49"/>
    </row>
    <row r="595" customFormat="false" ht="15" hidden="false" customHeight="true" outlineLevel="0" collapsed="false">
      <c r="B595" s="49"/>
    </row>
    <row r="596" customFormat="false" ht="15" hidden="false" customHeight="true" outlineLevel="0" collapsed="false">
      <c r="B596" s="49"/>
    </row>
    <row r="597" customFormat="false" ht="15" hidden="false" customHeight="true" outlineLevel="0" collapsed="false">
      <c r="B597" s="49"/>
    </row>
    <row r="598" customFormat="false" ht="15" hidden="false" customHeight="true" outlineLevel="0" collapsed="false">
      <c r="B598" s="49"/>
    </row>
    <row r="599" customFormat="false" ht="15" hidden="false" customHeight="true" outlineLevel="0" collapsed="false">
      <c r="B599" s="49"/>
    </row>
    <row r="600" customFormat="false" ht="15" hidden="false" customHeight="true" outlineLevel="0" collapsed="false">
      <c r="B600" s="49"/>
    </row>
    <row r="601" customFormat="false" ht="15" hidden="false" customHeight="true" outlineLevel="0" collapsed="false">
      <c r="B601" s="49"/>
    </row>
    <row r="602" customFormat="false" ht="15" hidden="false" customHeight="true" outlineLevel="0" collapsed="false">
      <c r="B602" s="49"/>
    </row>
    <row r="603" customFormat="false" ht="15" hidden="false" customHeight="true" outlineLevel="0" collapsed="false">
      <c r="B603" s="49"/>
    </row>
    <row r="604" customFormat="false" ht="15" hidden="false" customHeight="true" outlineLevel="0" collapsed="false">
      <c r="B604" s="49"/>
    </row>
    <row r="605" customFormat="false" ht="15" hidden="false" customHeight="true" outlineLevel="0" collapsed="false">
      <c r="B605" s="49"/>
    </row>
    <row r="606" customFormat="false" ht="15" hidden="false" customHeight="true" outlineLevel="0" collapsed="false">
      <c r="B606" s="49"/>
    </row>
    <row r="607" customFormat="false" ht="15" hidden="false" customHeight="true" outlineLevel="0" collapsed="false">
      <c r="B607" s="49"/>
    </row>
    <row r="608" customFormat="false" ht="15" hidden="false" customHeight="true" outlineLevel="0" collapsed="false">
      <c r="B608" s="49"/>
    </row>
    <row r="609" customFormat="false" ht="15" hidden="false" customHeight="true" outlineLevel="0" collapsed="false">
      <c r="B609" s="49"/>
    </row>
    <row r="610" customFormat="false" ht="15" hidden="false" customHeight="true" outlineLevel="0" collapsed="false">
      <c r="B610" s="49"/>
    </row>
    <row r="611" customFormat="false" ht="15" hidden="false" customHeight="true" outlineLevel="0" collapsed="false">
      <c r="B611" s="49"/>
    </row>
    <row r="612" customFormat="false" ht="15" hidden="false" customHeight="true" outlineLevel="0" collapsed="false">
      <c r="B612" s="49"/>
    </row>
    <row r="613" customFormat="false" ht="15" hidden="false" customHeight="true" outlineLevel="0" collapsed="false">
      <c r="B613" s="49"/>
    </row>
    <row r="614" customFormat="false" ht="15" hidden="false" customHeight="true" outlineLevel="0" collapsed="false">
      <c r="B614" s="49"/>
    </row>
    <row r="615" customFormat="false" ht="15" hidden="false" customHeight="true" outlineLevel="0" collapsed="false">
      <c r="B615" s="49"/>
    </row>
    <row r="616" customFormat="false" ht="15" hidden="false" customHeight="true" outlineLevel="0" collapsed="false">
      <c r="B616" s="49"/>
    </row>
    <row r="617" customFormat="false" ht="15" hidden="false" customHeight="true" outlineLevel="0" collapsed="false">
      <c r="B617" s="49"/>
    </row>
    <row r="618" customFormat="false" ht="15" hidden="false" customHeight="true" outlineLevel="0" collapsed="false">
      <c r="B618" s="49"/>
    </row>
    <row r="619" customFormat="false" ht="15" hidden="false" customHeight="true" outlineLevel="0" collapsed="false">
      <c r="B619" s="49"/>
    </row>
    <row r="620" customFormat="false" ht="15" hidden="false" customHeight="true" outlineLevel="0" collapsed="false">
      <c r="B620" s="49"/>
    </row>
    <row r="621" customFormat="false" ht="15" hidden="false" customHeight="true" outlineLevel="0" collapsed="false">
      <c r="B621" s="49"/>
    </row>
    <row r="622" customFormat="false" ht="15" hidden="false" customHeight="true" outlineLevel="0" collapsed="false">
      <c r="B622" s="49"/>
    </row>
    <row r="623" customFormat="false" ht="15" hidden="false" customHeight="true" outlineLevel="0" collapsed="false">
      <c r="B623" s="49"/>
    </row>
    <row r="624" customFormat="false" ht="15" hidden="false" customHeight="true" outlineLevel="0" collapsed="false">
      <c r="B624" s="49"/>
    </row>
    <row r="625" customFormat="false" ht="15" hidden="false" customHeight="true" outlineLevel="0" collapsed="false">
      <c r="B625" s="49"/>
    </row>
    <row r="626" customFormat="false" ht="15" hidden="false" customHeight="true" outlineLevel="0" collapsed="false">
      <c r="B626" s="49"/>
    </row>
    <row r="627" customFormat="false" ht="15" hidden="false" customHeight="true" outlineLevel="0" collapsed="false">
      <c r="B627" s="49"/>
    </row>
    <row r="628" customFormat="false" ht="15" hidden="false" customHeight="true" outlineLevel="0" collapsed="false">
      <c r="B628" s="49"/>
    </row>
    <row r="629" customFormat="false" ht="15" hidden="false" customHeight="true" outlineLevel="0" collapsed="false">
      <c r="B629" s="49"/>
    </row>
    <row r="630" customFormat="false" ht="15" hidden="false" customHeight="true" outlineLevel="0" collapsed="false">
      <c r="B630" s="49"/>
    </row>
    <row r="631" customFormat="false" ht="15" hidden="false" customHeight="true" outlineLevel="0" collapsed="false">
      <c r="B631" s="49"/>
    </row>
    <row r="632" customFormat="false" ht="15" hidden="false" customHeight="true" outlineLevel="0" collapsed="false">
      <c r="B632" s="49"/>
    </row>
    <row r="633" customFormat="false" ht="15" hidden="false" customHeight="true" outlineLevel="0" collapsed="false">
      <c r="B633" s="49"/>
    </row>
    <row r="634" customFormat="false" ht="15" hidden="false" customHeight="true" outlineLevel="0" collapsed="false">
      <c r="B634" s="49"/>
    </row>
    <row r="635" customFormat="false" ht="15" hidden="false" customHeight="true" outlineLevel="0" collapsed="false">
      <c r="B635" s="49"/>
    </row>
    <row r="636" customFormat="false" ht="15" hidden="false" customHeight="true" outlineLevel="0" collapsed="false">
      <c r="B636" s="49"/>
    </row>
    <row r="637" customFormat="false" ht="15" hidden="false" customHeight="true" outlineLevel="0" collapsed="false">
      <c r="B637" s="49"/>
    </row>
    <row r="638" customFormat="false" ht="15" hidden="false" customHeight="true" outlineLevel="0" collapsed="false">
      <c r="B638" s="49"/>
    </row>
    <row r="639" customFormat="false" ht="15" hidden="false" customHeight="true" outlineLevel="0" collapsed="false">
      <c r="B639" s="49"/>
    </row>
    <row r="640" customFormat="false" ht="15" hidden="false" customHeight="true" outlineLevel="0" collapsed="false">
      <c r="B640" s="49"/>
    </row>
    <row r="641" customFormat="false" ht="15" hidden="false" customHeight="true" outlineLevel="0" collapsed="false">
      <c r="B641" s="49"/>
    </row>
    <row r="642" customFormat="false" ht="15" hidden="false" customHeight="true" outlineLevel="0" collapsed="false">
      <c r="B642" s="49"/>
    </row>
    <row r="643" customFormat="false" ht="15" hidden="false" customHeight="true" outlineLevel="0" collapsed="false">
      <c r="B643" s="49"/>
    </row>
    <row r="644" customFormat="false" ht="15" hidden="false" customHeight="true" outlineLevel="0" collapsed="false">
      <c r="B644" s="49"/>
    </row>
    <row r="645" customFormat="false" ht="15" hidden="false" customHeight="true" outlineLevel="0" collapsed="false">
      <c r="B645" s="49"/>
    </row>
    <row r="646" customFormat="false" ht="15" hidden="false" customHeight="true" outlineLevel="0" collapsed="false">
      <c r="B646" s="49"/>
    </row>
    <row r="647" customFormat="false" ht="15" hidden="false" customHeight="true" outlineLevel="0" collapsed="false">
      <c r="B647" s="49"/>
    </row>
    <row r="648" customFormat="false" ht="15" hidden="false" customHeight="true" outlineLevel="0" collapsed="false">
      <c r="B648" s="49"/>
    </row>
    <row r="649" customFormat="false" ht="15" hidden="false" customHeight="true" outlineLevel="0" collapsed="false">
      <c r="B649" s="49"/>
    </row>
    <row r="650" customFormat="false" ht="15" hidden="false" customHeight="true" outlineLevel="0" collapsed="false">
      <c r="B650" s="49"/>
    </row>
    <row r="651" customFormat="false" ht="15" hidden="false" customHeight="true" outlineLevel="0" collapsed="false">
      <c r="B651" s="49"/>
    </row>
    <row r="652" customFormat="false" ht="15" hidden="false" customHeight="true" outlineLevel="0" collapsed="false">
      <c r="B652" s="49"/>
    </row>
    <row r="653" customFormat="false" ht="15" hidden="false" customHeight="true" outlineLevel="0" collapsed="false">
      <c r="B653" s="49"/>
    </row>
    <row r="654" customFormat="false" ht="15" hidden="false" customHeight="true" outlineLevel="0" collapsed="false">
      <c r="B654" s="49"/>
    </row>
    <row r="655" customFormat="false" ht="15" hidden="false" customHeight="true" outlineLevel="0" collapsed="false">
      <c r="B655" s="49"/>
    </row>
    <row r="656" customFormat="false" ht="15" hidden="false" customHeight="true" outlineLevel="0" collapsed="false">
      <c r="B656" s="49"/>
    </row>
    <row r="657" customFormat="false" ht="15" hidden="false" customHeight="true" outlineLevel="0" collapsed="false">
      <c r="B657" s="49"/>
    </row>
    <row r="658" customFormat="false" ht="15" hidden="false" customHeight="true" outlineLevel="0" collapsed="false">
      <c r="B658" s="49"/>
    </row>
    <row r="659" customFormat="false" ht="15" hidden="false" customHeight="true" outlineLevel="0" collapsed="false">
      <c r="B659" s="49"/>
    </row>
    <row r="660" customFormat="false" ht="15" hidden="false" customHeight="true" outlineLevel="0" collapsed="false">
      <c r="B660" s="49"/>
    </row>
    <row r="661" customFormat="false" ht="15" hidden="false" customHeight="true" outlineLevel="0" collapsed="false">
      <c r="B661" s="49"/>
    </row>
    <row r="662" customFormat="false" ht="15" hidden="false" customHeight="true" outlineLevel="0" collapsed="false">
      <c r="B662" s="49"/>
    </row>
    <row r="663" customFormat="false" ht="15" hidden="false" customHeight="true" outlineLevel="0" collapsed="false">
      <c r="B663" s="49"/>
    </row>
    <row r="664" customFormat="false" ht="15" hidden="false" customHeight="true" outlineLevel="0" collapsed="false">
      <c r="B664" s="49"/>
    </row>
    <row r="665" customFormat="false" ht="15" hidden="false" customHeight="true" outlineLevel="0" collapsed="false">
      <c r="B665" s="49"/>
    </row>
    <row r="666" customFormat="false" ht="15" hidden="false" customHeight="true" outlineLevel="0" collapsed="false">
      <c r="B666" s="49"/>
    </row>
    <row r="667" customFormat="false" ht="15" hidden="false" customHeight="true" outlineLevel="0" collapsed="false">
      <c r="B667" s="49"/>
    </row>
    <row r="668" customFormat="false" ht="15" hidden="false" customHeight="true" outlineLevel="0" collapsed="false">
      <c r="B668" s="49"/>
    </row>
    <row r="669" customFormat="false" ht="15" hidden="false" customHeight="true" outlineLevel="0" collapsed="false">
      <c r="B669" s="49"/>
    </row>
    <row r="670" customFormat="false" ht="15" hidden="false" customHeight="true" outlineLevel="0" collapsed="false">
      <c r="B670" s="49"/>
    </row>
    <row r="671" customFormat="false" ht="15" hidden="false" customHeight="true" outlineLevel="0" collapsed="false">
      <c r="B671" s="49"/>
    </row>
    <row r="672" customFormat="false" ht="15" hidden="false" customHeight="true" outlineLevel="0" collapsed="false">
      <c r="B672" s="49"/>
    </row>
    <row r="673" customFormat="false" ht="15" hidden="false" customHeight="true" outlineLevel="0" collapsed="false">
      <c r="B673" s="49"/>
    </row>
    <row r="674" customFormat="false" ht="15" hidden="false" customHeight="true" outlineLevel="0" collapsed="false">
      <c r="B674" s="49"/>
    </row>
    <row r="675" customFormat="false" ht="15" hidden="false" customHeight="true" outlineLevel="0" collapsed="false">
      <c r="B675" s="49"/>
    </row>
    <row r="676" customFormat="false" ht="15" hidden="false" customHeight="true" outlineLevel="0" collapsed="false">
      <c r="B676" s="49"/>
    </row>
    <row r="677" customFormat="false" ht="15" hidden="false" customHeight="true" outlineLevel="0" collapsed="false">
      <c r="B677" s="49"/>
    </row>
    <row r="678" customFormat="false" ht="15" hidden="false" customHeight="true" outlineLevel="0" collapsed="false">
      <c r="B678" s="49"/>
    </row>
    <row r="679" customFormat="false" ht="15" hidden="false" customHeight="true" outlineLevel="0" collapsed="false">
      <c r="B679" s="49"/>
    </row>
    <row r="680" customFormat="false" ht="15" hidden="false" customHeight="true" outlineLevel="0" collapsed="false">
      <c r="B680" s="49"/>
    </row>
    <row r="681" customFormat="false" ht="15" hidden="false" customHeight="true" outlineLevel="0" collapsed="false">
      <c r="B681" s="49"/>
    </row>
    <row r="682" customFormat="false" ht="15" hidden="false" customHeight="true" outlineLevel="0" collapsed="false">
      <c r="B682" s="49"/>
    </row>
    <row r="683" customFormat="false" ht="15" hidden="false" customHeight="true" outlineLevel="0" collapsed="false">
      <c r="B683" s="49"/>
    </row>
    <row r="684" customFormat="false" ht="15" hidden="false" customHeight="true" outlineLevel="0" collapsed="false">
      <c r="B684" s="49"/>
    </row>
    <row r="685" customFormat="false" ht="15" hidden="false" customHeight="true" outlineLevel="0" collapsed="false">
      <c r="B685" s="49"/>
    </row>
    <row r="686" customFormat="false" ht="15" hidden="false" customHeight="true" outlineLevel="0" collapsed="false">
      <c r="B686" s="49"/>
    </row>
    <row r="687" customFormat="false" ht="15" hidden="false" customHeight="true" outlineLevel="0" collapsed="false">
      <c r="B687" s="49"/>
    </row>
    <row r="688" customFormat="false" ht="15" hidden="false" customHeight="true" outlineLevel="0" collapsed="false">
      <c r="B688" s="49"/>
    </row>
    <row r="689" customFormat="false" ht="15" hidden="false" customHeight="true" outlineLevel="0" collapsed="false">
      <c r="B689" s="49"/>
    </row>
    <row r="690" customFormat="false" ht="15" hidden="false" customHeight="true" outlineLevel="0" collapsed="false">
      <c r="B690" s="49"/>
    </row>
    <row r="691" customFormat="false" ht="15" hidden="false" customHeight="true" outlineLevel="0" collapsed="false">
      <c r="B691" s="49"/>
    </row>
    <row r="692" customFormat="false" ht="15" hidden="false" customHeight="true" outlineLevel="0" collapsed="false">
      <c r="B692" s="49"/>
    </row>
    <row r="693" customFormat="false" ht="15" hidden="false" customHeight="true" outlineLevel="0" collapsed="false">
      <c r="B693" s="49"/>
    </row>
    <row r="694" customFormat="false" ht="15" hidden="false" customHeight="true" outlineLevel="0" collapsed="false">
      <c r="B694" s="49"/>
    </row>
    <row r="695" customFormat="false" ht="15" hidden="false" customHeight="true" outlineLevel="0" collapsed="false">
      <c r="B695" s="49"/>
    </row>
    <row r="696" customFormat="false" ht="15" hidden="false" customHeight="true" outlineLevel="0" collapsed="false">
      <c r="B696" s="49"/>
    </row>
    <row r="697" customFormat="false" ht="15" hidden="false" customHeight="true" outlineLevel="0" collapsed="false">
      <c r="B697" s="49"/>
    </row>
    <row r="698" customFormat="false" ht="15" hidden="false" customHeight="true" outlineLevel="0" collapsed="false">
      <c r="B698" s="49"/>
    </row>
    <row r="699" customFormat="false" ht="15" hidden="false" customHeight="true" outlineLevel="0" collapsed="false">
      <c r="B699" s="49"/>
    </row>
    <row r="700" customFormat="false" ht="15" hidden="false" customHeight="true" outlineLevel="0" collapsed="false">
      <c r="B700" s="49"/>
    </row>
    <row r="701" customFormat="false" ht="15" hidden="false" customHeight="true" outlineLevel="0" collapsed="false">
      <c r="B701" s="49"/>
    </row>
    <row r="702" customFormat="false" ht="15" hidden="false" customHeight="true" outlineLevel="0" collapsed="false">
      <c r="B702" s="49"/>
    </row>
    <row r="703" customFormat="false" ht="15" hidden="false" customHeight="true" outlineLevel="0" collapsed="false">
      <c r="B703" s="49"/>
    </row>
    <row r="704" customFormat="false" ht="15" hidden="false" customHeight="true" outlineLevel="0" collapsed="false">
      <c r="B704" s="49"/>
    </row>
    <row r="705" customFormat="false" ht="15" hidden="false" customHeight="true" outlineLevel="0" collapsed="false">
      <c r="B705" s="49"/>
    </row>
    <row r="706" customFormat="false" ht="15" hidden="false" customHeight="true" outlineLevel="0" collapsed="false">
      <c r="B706" s="49"/>
    </row>
    <row r="707" customFormat="false" ht="15" hidden="false" customHeight="true" outlineLevel="0" collapsed="false">
      <c r="B707" s="49"/>
    </row>
    <row r="708" customFormat="false" ht="15" hidden="false" customHeight="true" outlineLevel="0" collapsed="false">
      <c r="B708" s="49"/>
    </row>
    <row r="709" customFormat="false" ht="15" hidden="false" customHeight="true" outlineLevel="0" collapsed="false">
      <c r="B709" s="49"/>
    </row>
    <row r="710" customFormat="false" ht="15" hidden="false" customHeight="true" outlineLevel="0" collapsed="false">
      <c r="B710" s="49"/>
    </row>
    <row r="711" customFormat="false" ht="15" hidden="false" customHeight="true" outlineLevel="0" collapsed="false">
      <c r="B711" s="49"/>
    </row>
    <row r="712" customFormat="false" ht="15" hidden="false" customHeight="true" outlineLevel="0" collapsed="false">
      <c r="B712" s="49"/>
    </row>
    <row r="713" customFormat="false" ht="15" hidden="false" customHeight="true" outlineLevel="0" collapsed="false">
      <c r="B713" s="49"/>
    </row>
    <row r="714" customFormat="false" ht="15" hidden="false" customHeight="true" outlineLevel="0" collapsed="false">
      <c r="B714" s="49"/>
    </row>
    <row r="715" customFormat="false" ht="15" hidden="false" customHeight="true" outlineLevel="0" collapsed="false">
      <c r="B715" s="49"/>
    </row>
    <row r="716" customFormat="false" ht="15" hidden="false" customHeight="true" outlineLevel="0" collapsed="false">
      <c r="B716" s="49"/>
    </row>
    <row r="717" customFormat="false" ht="15" hidden="false" customHeight="true" outlineLevel="0" collapsed="false">
      <c r="B717" s="49"/>
    </row>
    <row r="718" customFormat="false" ht="15" hidden="false" customHeight="true" outlineLevel="0" collapsed="false">
      <c r="B718" s="49"/>
    </row>
    <row r="719" customFormat="false" ht="15" hidden="false" customHeight="true" outlineLevel="0" collapsed="false">
      <c r="B719" s="49"/>
    </row>
    <row r="720" customFormat="false" ht="15" hidden="false" customHeight="true" outlineLevel="0" collapsed="false">
      <c r="B720" s="49"/>
    </row>
    <row r="721" customFormat="false" ht="15" hidden="false" customHeight="true" outlineLevel="0" collapsed="false">
      <c r="B721" s="49"/>
    </row>
    <row r="722" customFormat="false" ht="15" hidden="false" customHeight="true" outlineLevel="0" collapsed="false">
      <c r="B722" s="49"/>
    </row>
    <row r="723" customFormat="false" ht="15" hidden="false" customHeight="true" outlineLevel="0" collapsed="false">
      <c r="B723" s="49"/>
    </row>
    <row r="724" customFormat="false" ht="15" hidden="false" customHeight="true" outlineLevel="0" collapsed="false">
      <c r="B724" s="49"/>
    </row>
    <row r="725" customFormat="false" ht="15" hidden="false" customHeight="true" outlineLevel="0" collapsed="false">
      <c r="B725" s="49"/>
    </row>
    <row r="726" customFormat="false" ht="15" hidden="false" customHeight="true" outlineLevel="0" collapsed="false">
      <c r="B726" s="49"/>
    </row>
    <row r="727" customFormat="false" ht="15" hidden="false" customHeight="true" outlineLevel="0" collapsed="false">
      <c r="B727" s="49"/>
    </row>
    <row r="728" customFormat="false" ht="15" hidden="false" customHeight="true" outlineLevel="0" collapsed="false">
      <c r="B728" s="49"/>
    </row>
    <row r="729" customFormat="false" ht="15" hidden="false" customHeight="true" outlineLevel="0" collapsed="false">
      <c r="B729" s="49"/>
    </row>
    <row r="730" customFormat="false" ht="15" hidden="false" customHeight="true" outlineLevel="0" collapsed="false">
      <c r="B730" s="49"/>
    </row>
    <row r="731" customFormat="false" ht="15" hidden="false" customHeight="true" outlineLevel="0" collapsed="false">
      <c r="B731" s="49"/>
    </row>
    <row r="732" customFormat="false" ht="15" hidden="false" customHeight="true" outlineLevel="0" collapsed="false">
      <c r="B732" s="49"/>
    </row>
    <row r="733" customFormat="false" ht="15" hidden="false" customHeight="true" outlineLevel="0" collapsed="false">
      <c r="B733" s="49"/>
    </row>
    <row r="734" customFormat="false" ht="15" hidden="false" customHeight="true" outlineLevel="0" collapsed="false">
      <c r="B734" s="49"/>
    </row>
    <row r="735" customFormat="false" ht="15" hidden="false" customHeight="true" outlineLevel="0" collapsed="false">
      <c r="B735" s="49"/>
    </row>
    <row r="736" customFormat="false" ht="15" hidden="false" customHeight="true" outlineLevel="0" collapsed="false">
      <c r="B736" s="49"/>
    </row>
    <row r="737" customFormat="false" ht="15" hidden="false" customHeight="true" outlineLevel="0" collapsed="false">
      <c r="B737" s="49"/>
    </row>
    <row r="738" customFormat="false" ht="15" hidden="false" customHeight="true" outlineLevel="0" collapsed="false">
      <c r="B738" s="49"/>
    </row>
    <row r="739" customFormat="false" ht="15" hidden="false" customHeight="true" outlineLevel="0" collapsed="false">
      <c r="B739" s="49"/>
    </row>
    <row r="740" customFormat="false" ht="15" hidden="false" customHeight="true" outlineLevel="0" collapsed="false">
      <c r="B740" s="49"/>
    </row>
    <row r="741" customFormat="false" ht="15" hidden="false" customHeight="true" outlineLevel="0" collapsed="false">
      <c r="B741" s="49"/>
    </row>
    <row r="742" customFormat="false" ht="15" hidden="false" customHeight="true" outlineLevel="0" collapsed="false">
      <c r="B742" s="49"/>
    </row>
    <row r="743" customFormat="false" ht="15" hidden="false" customHeight="true" outlineLevel="0" collapsed="false">
      <c r="B743" s="49"/>
    </row>
    <row r="744" customFormat="false" ht="15" hidden="false" customHeight="true" outlineLevel="0" collapsed="false">
      <c r="B744" s="49"/>
    </row>
    <row r="745" customFormat="false" ht="15" hidden="false" customHeight="true" outlineLevel="0" collapsed="false">
      <c r="B745" s="49"/>
    </row>
    <row r="746" customFormat="false" ht="15" hidden="false" customHeight="true" outlineLevel="0" collapsed="false">
      <c r="B746" s="49"/>
    </row>
    <row r="747" customFormat="false" ht="15" hidden="false" customHeight="true" outlineLevel="0" collapsed="false">
      <c r="B747" s="49"/>
    </row>
    <row r="748" customFormat="false" ht="15" hidden="false" customHeight="true" outlineLevel="0" collapsed="false">
      <c r="B748" s="49"/>
    </row>
    <row r="749" customFormat="false" ht="15" hidden="false" customHeight="true" outlineLevel="0" collapsed="false">
      <c r="B749" s="49"/>
    </row>
    <row r="750" customFormat="false" ht="15" hidden="false" customHeight="true" outlineLevel="0" collapsed="false">
      <c r="B750" s="49"/>
    </row>
    <row r="751" customFormat="false" ht="15" hidden="false" customHeight="true" outlineLevel="0" collapsed="false">
      <c r="B751" s="49"/>
    </row>
    <row r="752" customFormat="false" ht="15" hidden="false" customHeight="true" outlineLevel="0" collapsed="false">
      <c r="B752" s="49"/>
    </row>
    <row r="753" customFormat="false" ht="15" hidden="false" customHeight="true" outlineLevel="0" collapsed="false">
      <c r="B753" s="49"/>
    </row>
    <row r="754" customFormat="false" ht="15" hidden="false" customHeight="true" outlineLevel="0" collapsed="false">
      <c r="B754" s="49"/>
    </row>
    <row r="755" customFormat="false" ht="15" hidden="false" customHeight="true" outlineLevel="0" collapsed="false">
      <c r="B755" s="49"/>
    </row>
    <row r="756" customFormat="false" ht="15" hidden="false" customHeight="true" outlineLevel="0" collapsed="false">
      <c r="B756" s="49"/>
    </row>
    <row r="757" customFormat="false" ht="15" hidden="false" customHeight="true" outlineLevel="0" collapsed="false">
      <c r="B757" s="49"/>
    </row>
    <row r="758" customFormat="false" ht="15" hidden="false" customHeight="true" outlineLevel="0" collapsed="false">
      <c r="B758" s="49"/>
    </row>
    <row r="759" customFormat="false" ht="15" hidden="false" customHeight="true" outlineLevel="0" collapsed="false">
      <c r="B759" s="49"/>
    </row>
    <row r="760" customFormat="false" ht="15" hidden="false" customHeight="true" outlineLevel="0" collapsed="false">
      <c r="B760" s="49"/>
    </row>
    <row r="761" customFormat="false" ht="15" hidden="false" customHeight="true" outlineLevel="0" collapsed="false">
      <c r="B761" s="49"/>
    </row>
    <row r="762" customFormat="false" ht="15" hidden="false" customHeight="true" outlineLevel="0" collapsed="false">
      <c r="B762" s="49"/>
    </row>
    <row r="763" customFormat="false" ht="15" hidden="false" customHeight="true" outlineLevel="0" collapsed="false">
      <c r="B763" s="49"/>
    </row>
    <row r="764" customFormat="false" ht="15" hidden="false" customHeight="true" outlineLevel="0" collapsed="false">
      <c r="B764" s="49"/>
    </row>
    <row r="765" customFormat="false" ht="15" hidden="false" customHeight="true" outlineLevel="0" collapsed="false">
      <c r="B765" s="49"/>
    </row>
    <row r="766" customFormat="false" ht="15" hidden="false" customHeight="true" outlineLevel="0" collapsed="false">
      <c r="B766" s="49"/>
    </row>
    <row r="767" customFormat="false" ht="15" hidden="false" customHeight="true" outlineLevel="0" collapsed="false">
      <c r="B767" s="49"/>
    </row>
    <row r="768" customFormat="false" ht="15" hidden="false" customHeight="true" outlineLevel="0" collapsed="false">
      <c r="B768" s="49"/>
    </row>
    <row r="769" customFormat="false" ht="15" hidden="false" customHeight="true" outlineLevel="0" collapsed="false">
      <c r="B769" s="49"/>
    </row>
    <row r="770" customFormat="false" ht="15" hidden="false" customHeight="true" outlineLevel="0" collapsed="false">
      <c r="B770" s="49"/>
    </row>
    <row r="771" customFormat="false" ht="15" hidden="false" customHeight="true" outlineLevel="0" collapsed="false">
      <c r="B771" s="49"/>
    </row>
    <row r="772" customFormat="false" ht="15" hidden="false" customHeight="true" outlineLevel="0" collapsed="false">
      <c r="B772" s="49"/>
    </row>
    <row r="773" customFormat="false" ht="15" hidden="false" customHeight="true" outlineLevel="0" collapsed="false">
      <c r="B773" s="49"/>
    </row>
    <row r="774" customFormat="false" ht="15" hidden="false" customHeight="true" outlineLevel="0" collapsed="false">
      <c r="B774" s="49"/>
    </row>
    <row r="775" customFormat="false" ht="15" hidden="false" customHeight="true" outlineLevel="0" collapsed="false">
      <c r="B775" s="49"/>
    </row>
    <row r="776" customFormat="false" ht="15" hidden="false" customHeight="true" outlineLevel="0" collapsed="false">
      <c r="B776" s="49"/>
    </row>
    <row r="777" customFormat="false" ht="15" hidden="false" customHeight="true" outlineLevel="0" collapsed="false">
      <c r="B777" s="49"/>
    </row>
    <row r="778" customFormat="false" ht="15" hidden="false" customHeight="true" outlineLevel="0" collapsed="false">
      <c r="B778" s="49"/>
    </row>
    <row r="779" customFormat="false" ht="15" hidden="false" customHeight="true" outlineLevel="0" collapsed="false">
      <c r="B779" s="49"/>
    </row>
    <row r="780" customFormat="false" ht="15" hidden="false" customHeight="true" outlineLevel="0" collapsed="false">
      <c r="B780" s="49"/>
    </row>
    <row r="781" customFormat="false" ht="15" hidden="false" customHeight="true" outlineLevel="0" collapsed="false">
      <c r="B781" s="49"/>
    </row>
    <row r="782" customFormat="false" ht="15" hidden="false" customHeight="true" outlineLevel="0" collapsed="false">
      <c r="B782" s="49"/>
    </row>
    <row r="783" customFormat="false" ht="15" hidden="false" customHeight="true" outlineLevel="0" collapsed="false">
      <c r="B783" s="49"/>
    </row>
    <row r="784" customFormat="false" ht="15" hidden="false" customHeight="true" outlineLevel="0" collapsed="false">
      <c r="B784" s="49"/>
    </row>
    <row r="785" customFormat="false" ht="15" hidden="false" customHeight="true" outlineLevel="0" collapsed="false">
      <c r="B785" s="49"/>
    </row>
    <row r="786" customFormat="false" ht="15" hidden="false" customHeight="true" outlineLevel="0" collapsed="false">
      <c r="B786" s="49"/>
    </row>
    <row r="787" customFormat="false" ht="15" hidden="false" customHeight="true" outlineLevel="0" collapsed="false">
      <c r="B787" s="49"/>
    </row>
    <row r="788" customFormat="false" ht="15" hidden="false" customHeight="true" outlineLevel="0" collapsed="false">
      <c r="B788" s="49"/>
    </row>
    <row r="789" customFormat="false" ht="15" hidden="false" customHeight="true" outlineLevel="0" collapsed="false">
      <c r="B789" s="49"/>
    </row>
    <row r="790" customFormat="false" ht="15" hidden="false" customHeight="true" outlineLevel="0" collapsed="false">
      <c r="B790" s="49"/>
    </row>
    <row r="791" customFormat="false" ht="15" hidden="false" customHeight="true" outlineLevel="0" collapsed="false">
      <c r="B791" s="49"/>
    </row>
    <row r="792" customFormat="false" ht="15" hidden="false" customHeight="true" outlineLevel="0" collapsed="false">
      <c r="B792" s="49"/>
    </row>
    <row r="793" customFormat="false" ht="15" hidden="false" customHeight="true" outlineLevel="0" collapsed="false">
      <c r="B793" s="49"/>
    </row>
    <row r="794" customFormat="false" ht="15" hidden="false" customHeight="true" outlineLevel="0" collapsed="false">
      <c r="B794" s="49"/>
    </row>
    <row r="795" customFormat="false" ht="15" hidden="false" customHeight="true" outlineLevel="0" collapsed="false">
      <c r="B795" s="49"/>
    </row>
    <row r="796" customFormat="false" ht="15" hidden="false" customHeight="true" outlineLevel="0" collapsed="false">
      <c r="B796" s="49"/>
    </row>
    <row r="797" customFormat="false" ht="15" hidden="false" customHeight="true" outlineLevel="0" collapsed="false">
      <c r="B797" s="49"/>
    </row>
    <row r="798" customFormat="false" ht="15" hidden="false" customHeight="true" outlineLevel="0" collapsed="false">
      <c r="B798" s="49"/>
    </row>
    <row r="799" customFormat="false" ht="15" hidden="false" customHeight="true" outlineLevel="0" collapsed="false">
      <c r="B799" s="49"/>
    </row>
    <row r="800" customFormat="false" ht="15" hidden="false" customHeight="true" outlineLevel="0" collapsed="false">
      <c r="B800" s="49"/>
    </row>
    <row r="801" customFormat="false" ht="15" hidden="false" customHeight="true" outlineLevel="0" collapsed="false">
      <c r="B801" s="49"/>
    </row>
    <row r="802" customFormat="false" ht="15" hidden="false" customHeight="true" outlineLevel="0" collapsed="false">
      <c r="B802" s="49"/>
    </row>
    <row r="803" customFormat="false" ht="15" hidden="false" customHeight="true" outlineLevel="0" collapsed="false">
      <c r="B803" s="49"/>
    </row>
    <row r="804" customFormat="false" ht="15" hidden="false" customHeight="true" outlineLevel="0" collapsed="false">
      <c r="B804" s="49"/>
    </row>
    <row r="805" customFormat="false" ht="15" hidden="false" customHeight="true" outlineLevel="0" collapsed="false">
      <c r="B805" s="49"/>
    </row>
    <row r="806" customFormat="false" ht="15" hidden="false" customHeight="true" outlineLevel="0" collapsed="false">
      <c r="B806" s="49"/>
    </row>
    <row r="807" customFormat="false" ht="15" hidden="false" customHeight="true" outlineLevel="0" collapsed="false">
      <c r="B807" s="49"/>
    </row>
    <row r="808" customFormat="false" ht="15" hidden="false" customHeight="true" outlineLevel="0" collapsed="false">
      <c r="B808" s="49"/>
    </row>
    <row r="809" customFormat="false" ht="15" hidden="false" customHeight="true" outlineLevel="0" collapsed="false">
      <c r="B809" s="49"/>
    </row>
    <row r="810" customFormat="false" ht="15" hidden="false" customHeight="true" outlineLevel="0" collapsed="false">
      <c r="B810" s="49"/>
    </row>
    <row r="811" customFormat="false" ht="15" hidden="false" customHeight="true" outlineLevel="0" collapsed="false">
      <c r="B811" s="49"/>
    </row>
    <row r="812" customFormat="false" ht="15" hidden="false" customHeight="true" outlineLevel="0" collapsed="false">
      <c r="B812" s="49"/>
    </row>
    <row r="813" customFormat="false" ht="15" hidden="false" customHeight="true" outlineLevel="0" collapsed="false">
      <c r="B813" s="49"/>
    </row>
    <row r="814" customFormat="false" ht="15" hidden="false" customHeight="true" outlineLevel="0" collapsed="false">
      <c r="B814" s="49"/>
    </row>
    <row r="815" customFormat="false" ht="15" hidden="false" customHeight="true" outlineLevel="0" collapsed="false">
      <c r="B815" s="49"/>
    </row>
    <row r="816" customFormat="false" ht="15" hidden="false" customHeight="true" outlineLevel="0" collapsed="false">
      <c r="B816" s="49"/>
    </row>
    <row r="817" customFormat="false" ht="15" hidden="false" customHeight="true" outlineLevel="0" collapsed="false">
      <c r="B817" s="49"/>
    </row>
    <row r="818" customFormat="false" ht="15" hidden="false" customHeight="true" outlineLevel="0" collapsed="false">
      <c r="B818" s="49"/>
    </row>
    <row r="819" customFormat="false" ht="15" hidden="false" customHeight="true" outlineLevel="0" collapsed="false">
      <c r="B819" s="49"/>
    </row>
    <row r="820" customFormat="false" ht="15" hidden="false" customHeight="true" outlineLevel="0" collapsed="false">
      <c r="B820" s="49"/>
    </row>
    <row r="821" customFormat="false" ht="15" hidden="false" customHeight="true" outlineLevel="0" collapsed="false">
      <c r="B821" s="49"/>
    </row>
    <row r="822" customFormat="false" ht="15" hidden="false" customHeight="true" outlineLevel="0" collapsed="false">
      <c r="B822" s="49"/>
    </row>
    <row r="823" customFormat="false" ht="15" hidden="false" customHeight="true" outlineLevel="0" collapsed="false">
      <c r="B823" s="49"/>
    </row>
    <row r="824" customFormat="false" ht="15" hidden="false" customHeight="true" outlineLevel="0" collapsed="false">
      <c r="B824" s="49"/>
    </row>
    <row r="825" customFormat="false" ht="15" hidden="false" customHeight="true" outlineLevel="0" collapsed="false">
      <c r="B825" s="49"/>
    </row>
    <row r="826" customFormat="false" ht="15" hidden="false" customHeight="true" outlineLevel="0" collapsed="false">
      <c r="B826" s="49"/>
    </row>
    <row r="827" customFormat="false" ht="15" hidden="false" customHeight="true" outlineLevel="0" collapsed="false">
      <c r="B827" s="49"/>
    </row>
    <row r="828" customFormat="false" ht="15" hidden="false" customHeight="true" outlineLevel="0" collapsed="false">
      <c r="B828" s="49"/>
    </row>
    <row r="829" customFormat="false" ht="15" hidden="false" customHeight="true" outlineLevel="0" collapsed="false">
      <c r="B829" s="49"/>
    </row>
    <row r="830" customFormat="false" ht="15" hidden="false" customHeight="true" outlineLevel="0" collapsed="false">
      <c r="B830" s="49"/>
    </row>
    <row r="831" customFormat="false" ht="15" hidden="false" customHeight="true" outlineLevel="0" collapsed="false">
      <c r="B831" s="49"/>
    </row>
    <row r="832" customFormat="false" ht="15" hidden="false" customHeight="true" outlineLevel="0" collapsed="false">
      <c r="B832" s="49"/>
    </row>
    <row r="833" customFormat="false" ht="15" hidden="false" customHeight="true" outlineLevel="0" collapsed="false">
      <c r="B833" s="49"/>
    </row>
    <row r="834" customFormat="false" ht="15" hidden="false" customHeight="true" outlineLevel="0" collapsed="false">
      <c r="B834" s="49"/>
    </row>
    <row r="835" customFormat="false" ht="15" hidden="false" customHeight="true" outlineLevel="0" collapsed="false">
      <c r="B835" s="49"/>
    </row>
    <row r="836" customFormat="false" ht="15" hidden="false" customHeight="true" outlineLevel="0" collapsed="false">
      <c r="B836" s="49"/>
    </row>
    <row r="837" customFormat="false" ht="15" hidden="false" customHeight="true" outlineLevel="0" collapsed="false">
      <c r="B837" s="49"/>
    </row>
    <row r="838" customFormat="false" ht="15" hidden="false" customHeight="true" outlineLevel="0" collapsed="false">
      <c r="B838" s="49"/>
    </row>
    <row r="839" customFormat="false" ht="15" hidden="false" customHeight="true" outlineLevel="0" collapsed="false">
      <c r="B839" s="49"/>
    </row>
    <row r="840" customFormat="false" ht="15" hidden="false" customHeight="true" outlineLevel="0" collapsed="false">
      <c r="B840" s="49"/>
    </row>
    <row r="841" customFormat="false" ht="15" hidden="false" customHeight="true" outlineLevel="0" collapsed="false">
      <c r="B841" s="49"/>
    </row>
    <row r="842" customFormat="false" ht="15" hidden="false" customHeight="true" outlineLevel="0" collapsed="false">
      <c r="B842" s="49"/>
    </row>
    <row r="843" customFormat="false" ht="15" hidden="false" customHeight="true" outlineLevel="0" collapsed="false">
      <c r="B843" s="49"/>
    </row>
    <row r="844" customFormat="false" ht="15" hidden="false" customHeight="true" outlineLevel="0" collapsed="false">
      <c r="B844" s="49"/>
    </row>
    <row r="845" customFormat="false" ht="15" hidden="false" customHeight="true" outlineLevel="0" collapsed="false">
      <c r="B845" s="49"/>
    </row>
    <row r="846" customFormat="false" ht="15" hidden="false" customHeight="true" outlineLevel="0" collapsed="false">
      <c r="B846" s="49"/>
    </row>
    <row r="847" customFormat="false" ht="15" hidden="false" customHeight="true" outlineLevel="0" collapsed="false">
      <c r="B847" s="49"/>
    </row>
    <row r="848" customFormat="false" ht="15" hidden="false" customHeight="true" outlineLevel="0" collapsed="false">
      <c r="B848" s="49"/>
    </row>
    <row r="849" customFormat="false" ht="15" hidden="false" customHeight="true" outlineLevel="0" collapsed="false">
      <c r="B849" s="49"/>
    </row>
    <row r="850" customFormat="false" ht="15" hidden="false" customHeight="true" outlineLevel="0" collapsed="false">
      <c r="B850" s="49"/>
    </row>
    <row r="851" customFormat="false" ht="15" hidden="false" customHeight="true" outlineLevel="0" collapsed="false">
      <c r="B851" s="49"/>
    </row>
    <row r="852" customFormat="false" ht="15" hidden="false" customHeight="true" outlineLevel="0" collapsed="false">
      <c r="B852" s="49"/>
    </row>
    <row r="853" customFormat="false" ht="15" hidden="false" customHeight="true" outlineLevel="0" collapsed="false">
      <c r="B853" s="49"/>
    </row>
    <row r="854" customFormat="false" ht="15" hidden="false" customHeight="true" outlineLevel="0" collapsed="false">
      <c r="B854" s="49"/>
    </row>
    <row r="855" customFormat="false" ht="15" hidden="false" customHeight="true" outlineLevel="0" collapsed="false">
      <c r="B855" s="49"/>
    </row>
    <row r="856" customFormat="false" ht="15" hidden="false" customHeight="true" outlineLevel="0" collapsed="false">
      <c r="B856" s="49"/>
    </row>
    <row r="857" customFormat="false" ht="15" hidden="false" customHeight="true" outlineLevel="0" collapsed="false">
      <c r="B857" s="49"/>
    </row>
    <row r="858" customFormat="false" ht="15" hidden="false" customHeight="true" outlineLevel="0" collapsed="false">
      <c r="B858" s="49"/>
    </row>
    <row r="859" customFormat="false" ht="15" hidden="false" customHeight="true" outlineLevel="0" collapsed="false">
      <c r="B859" s="49"/>
    </row>
    <row r="860" customFormat="false" ht="15" hidden="false" customHeight="true" outlineLevel="0" collapsed="false">
      <c r="B860" s="49"/>
    </row>
    <row r="861" customFormat="false" ht="15" hidden="false" customHeight="true" outlineLevel="0" collapsed="false">
      <c r="B861" s="49"/>
    </row>
    <row r="862" customFormat="false" ht="15" hidden="false" customHeight="true" outlineLevel="0" collapsed="false">
      <c r="B862" s="49"/>
    </row>
    <row r="863" customFormat="false" ht="15" hidden="false" customHeight="true" outlineLevel="0" collapsed="false">
      <c r="B863" s="49"/>
    </row>
    <row r="864" customFormat="false" ht="15" hidden="false" customHeight="true" outlineLevel="0" collapsed="false">
      <c r="B864" s="49"/>
    </row>
    <row r="865" customFormat="false" ht="15" hidden="false" customHeight="true" outlineLevel="0" collapsed="false">
      <c r="B865" s="49"/>
    </row>
    <row r="866" customFormat="false" ht="15" hidden="false" customHeight="true" outlineLevel="0" collapsed="false">
      <c r="B866" s="49"/>
    </row>
    <row r="867" customFormat="false" ht="15" hidden="false" customHeight="true" outlineLevel="0" collapsed="false">
      <c r="B867" s="49"/>
    </row>
    <row r="868" customFormat="false" ht="15" hidden="false" customHeight="true" outlineLevel="0" collapsed="false">
      <c r="B868" s="49"/>
    </row>
    <row r="869" customFormat="false" ht="15" hidden="false" customHeight="true" outlineLevel="0" collapsed="false">
      <c r="B869" s="49"/>
    </row>
    <row r="870" customFormat="false" ht="15" hidden="false" customHeight="true" outlineLevel="0" collapsed="false">
      <c r="B870" s="49"/>
    </row>
    <row r="871" customFormat="false" ht="15" hidden="false" customHeight="true" outlineLevel="0" collapsed="false">
      <c r="B871" s="49"/>
    </row>
    <row r="872" customFormat="false" ht="15" hidden="false" customHeight="true" outlineLevel="0" collapsed="false">
      <c r="B872" s="49"/>
    </row>
    <row r="873" customFormat="false" ht="15" hidden="false" customHeight="true" outlineLevel="0" collapsed="false">
      <c r="B873" s="49"/>
    </row>
    <row r="874" customFormat="false" ht="15" hidden="false" customHeight="true" outlineLevel="0" collapsed="false">
      <c r="B874" s="49"/>
    </row>
    <row r="875" customFormat="false" ht="15" hidden="false" customHeight="true" outlineLevel="0" collapsed="false">
      <c r="B875" s="49"/>
    </row>
    <row r="876" customFormat="false" ht="15" hidden="false" customHeight="true" outlineLevel="0" collapsed="false">
      <c r="B876" s="49"/>
    </row>
    <row r="877" customFormat="false" ht="15" hidden="false" customHeight="true" outlineLevel="0" collapsed="false">
      <c r="B877" s="49"/>
    </row>
    <row r="878" customFormat="false" ht="15" hidden="false" customHeight="true" outlineLevel="0" collapsed="false">
      <c r="B878" s="49"/>
    </row>
    <row r="879" customFormat="false" ht="15" hidden="false" customHeight="true" outlineLevel="0" collapsed="false">
      <c r="B879" s="49"/>
    </row>
    <row r="880" customFormat="false" ht="15" hidden="false" customHeight="true" outlineLevel="0" collapsed="false">
      <c r="B880" s="49"/>
    </row>
    <row r="881" customFormat="false" ht="15" hidden="false" customHeight="true" outlineLevel="0" collapsed="false">
      <c r="B881" s="49"/>
    </row>
    <row r="882" customFormat="false" ht="15" hidden="false" customHeight="true" outlineLevel="0" collapsed="false">
      <c r="B882" s="49"/>
    </row>
    <row r="883" customFormat="false" ht="15" hidden="false" customHeight="true" outlineLevel="0" collapsed="false">
      <c r="B883" s="49"/>
    </row>
    <row r="884" customFormat="false" ht="15" hidden="false" customHeight="true" outlineLevel="0" collapsed="false">
      <c r="B884" s="49"/>
    </row>
    <row r="885" customFormat="false" ht="15" hidden="false" customHeight="true" outlineLevel="0" collapsed="false">
      <c r="B885" s="49"/>
    </row>
    <row r="886" customFormat="false" ht="15" hidden="false" customHeight="true" outlineLevel="0" collapsed="false">
      <c r="B886" s="49"/>
    </row>
    <row r="887" customFormat="false" ht="15" hidden="false" customHeight="true" outlineLevel="0" collapsed="false">
      <c r="B887" s="49"/>
    </row>
    <row r="888" customFormat="false" ht="15" hidden="false" customHeight="true" outlineLevel="0" collapsed="false">
      <c r="B888" s="49"/>
    </row>
    <row r="889" customFormat="false" ht="15" hidden="false" customHeight="true" outlineLevel="0" collapsed="false">
      <c r="B889" s="49"/>
    </row>
    <row r="890" customFormat="false" ht="15" hidden="false" customHeight="true" outlineLevel="0" collapsed="false">
      <c r="B890" s="49"/>
    </row>
    <row r="891" customFormat="false" ht="15" hidden="false" customHeight="true" outlineLevel="0" collapsed="false">
      <c r="B891" s="49"/>
    </row>
    <row r="892" customFormat="false" ht="15" hidden="false" customHeight="true" outlineLevel="0" collapsed="false">
      <c r="B892" s="49"/>
    </row>
    <row r="893" customFormat="false" ht="15" hidden="false" customHeight="true" outlineLevel="0" collapsed="false">
      <c r="B893" s="49"/>
    </row>
    <row r="894" customFormat="false" ht="15" hidden="false" customHeight="true" outlineLevel="0" collapsed="false">
      <c r="B894" s="49"/>
    </row>
    <row r="895" customFormat="false" ht="15" hidden="false" customHeight="true" outlineLevel="0" collapsed="false">
      <c r="B895" s="49"/>
    </row>
    <row r="896" customFormat="false" ht="15" hidden="false" customHeight="true" outlineLevel="0" collapsed="false">
      <c r="B896" s="49"/>
    </row>
    <row r="897" customFormat="false" ht="15" hidden="false" customHeight="true" outlineLevel="0" collapsed="false">
      <c r="B897" s="49"/>
    </row>
    <row r="898" customFormat="false" ht="15" hidden="false" customHeight="true" outlineLevel="0" collapsed="false">
      <c r="B898" s="49"/>
    </row>
    <row r="899" customFormat="false" ht="15" hidden="false" customHeight="true" outlineLevel="0" collapsed="false">
      <c r="B899" s="49"/>
    </row>
    <row r="900" customFormat="false" ht="15" hidden="false" customHeight="true" outlineLevel="0" collapsed="false">
      <c r="B900" s="49"/>
    </row>
    <row r="901" customFormat="false" ht="15" hidden="false" customHeight="true" outlineLevel="0" collapsed="false">
      <c r="B901" s="49"/>
    </row>
    <row r="902" customFormat="false" ht="15" hidden="false" customHeight="true" outlineLevel="0" collapsed="false">
      <c r="B902" s="49"/>
    </row>
    <row r="903" customFormat="false" ht="15" hidden="false" customHeight="true" outlineLevel="0" collapsed="false">
      <c r="B903" s="49"/>
    </row>
    <row r="904" customFormat="false" ht="15" hidden="false" customHeight="true" outlineLevel="0" collapsed="false">
      <c r="B904" s="49"/>
    </row>
    <row r="905" customFormat="false" ht="15" hidden="false" customHeight="true" outlineLevel="0" collapsed="false">
      <c r="B905" s="49"/>
    </row>
    <row r="906" customFormat="false" ht="15" hidden="false" customHeight="true" outlineLevel="0" collapsed="false">
      <c r="B906" s="49"/>
    </row>
    <row r="907" customFormat="false" ht="15" hidden="false" customHeight="true" outlineLevel="0" collapsed="false">
      <c r="B907" s="49"/>
    </row>
    <row r="908" customFormat="false" ht="15" hidden="false" customHeight="true" outlineLevel="0" collapsed="false">
      <c r="B908" s="49"/>
    </row>
    <row r="909" customFormat="false" ht="15" hidden="false" customHeight="true" outlineLevel="0" collapsed="false">
      <c r="B909" s="49"/>
    </row>
    <row r="910" customFormat="false" ht="15" hidden="false" customHeight="true" outlineLevel="0" collapsed="false">
      <c r="B910" s="49"/>
    </row>
    <row r="911" customFormat="false" ht="15" hidden="false" customHeight="true" outlineLevel="0" collapsed="false">
      <c r="B911" s="49"/>
    </row>
    <row r="912" customFormat="false" ht="15" hidden="false" customHeight="true" outlineLevel="0" collapsed="false">
      <c r="B912" s="49"/>
    </row>
    <row r="913" customFormat="false" ht="15" hidden="false" customHeight="true" outlineLevel="0" collapsed="false">
      <c r="B913" s="49"/>
    </row>
    <row r="914" customFormat="false" ht="15" hidden="false" customHeight="true" outlineLevel="0" collapsed="false">
      <c r="B914" s="49"/>
    </row>
    <row r="915" customFormat="false" ht="15" hidden="false" customHeight="true" outlineLevel="0" collapsed="false">
      <c r="B915" s="49"/>
    </row>
    <row r="916" customFormat="false" ht="15" hidden="false" customHeight="true" outlineLevel="0" collapsed="false">
      <c r="B916" s="49"/>
    </row>
    <row r="917" customFormat="false" ht="15" hidden="false" customHeight="true" outlineLevel="0" collapsed="false">
      <c r="B917" s="49"/>
    </row>
    <row r="918" customFormat="false" ht="15" hidden="false" customHeight="true" outlineLevel="0" collapsed="false">
      <c r="B918" s="49"/>
    </row>
    <row r="919" customFormat="false" ht="15" hidden="false" customHeight="true" outlineLevel="0" collapsed="false">
      <c r="B919" s="49"/>
    </row>
    <row r="920" customFormat="false" ht="15" hidden="false" customHeight="true" outlineLevel="0" collapsed="false">
      <c r="B920" s="49"/>
    </row>
    <row r="921" customFormat="false" ht="15" hidden="false" customHeight="true" outlineLevel="0" collapsed="false">
      <c r="B921" s="49"/>
    </row>
    <row r="922" customFormat="false" ht="15" hidden="false" customHeight="true" outlineLevel="0" collapsed="false">
      <c r="B922" s="49"/>
    </row>
    <row r="923" customFormat="false" ht="15" hidden="false" customHeight="true" outlineLevel="0" collapsed="false">
      <c r="B923" s="49"/>
    </row>
    <row r="924" customFormat="false" ht="15" hidden="false" customHeight="true" outlineLevel="0" collapsed="false">
      <c r="B924" s="49"/>
    </row>
    <row r="925" customFormat="false" ht="15" hidden="false" customHeight="true" outlineLevel="0" collapsed="false">
      <c r="B925" s="49"/>
    </row>
    <row r="926" customFormat="false" ht="15" hidden="false" customHeight="true" outlineLevel="0" collapsed="false">
      <c r="B926" s="49"/>
    </row>
    <row r="927" customFormat="false" ht="15" hidden="false" customHeight="true" outlineLevel="0" collapsed="false">
      <c r="B927" s="49"/>
    </row>
    <row r="928" customFormat="false" ht="15" hidden="false" customHeight="true" outlineLevel="0" collapsed="false">
      <c r="B928" s="49"/>
    </row>
    <row r="929" customFormat="false" ht="15" hidden="false" customHeight="true" outlineLevel="0" collapsed="false">
      <c r="B929" s="49"/>
    </row>
    <row r="930" customFormat="false" ht="15" hidden="false" customHeight="true" outlineLevel="0" collapsed="false">
      <c r="B930" s="49"/>
    </row>
    <row r="931" customFormat="false" ht="15" hidden="false" customHeight="true" outlineLevel="0" collapsed="false">
      <c r="B931" s="49"/>
    </row>
    <row r="932" customFormat="false" ht="15" hidden="false" customHeight="true" outlineLevel="0" collapsed="false">
      <c r="B932" s="49"/>
    </row>
    <row r="933" customFormat="false" ht="15" hidden="false" customHeight="true" outlineLevel="0" collapsed="false">
      <c r="B933" s="49"/>
    </row>
    <row r="934" customFormat="false" ht="15" hidden="false" customHeight="true" outlineLevel="0" collapsed="false">
      <c r="B934" s="49"/>
    </row>
    <row r="935" customFormat="false" ht="15" hidden="false" customHeight="true" outlineLevel="0" collapsed="false">
      <c r="B935" s="49"/>
    </row>
    <row r="936" customFormat="false" ht="15" hidden="false" customHeight="true" outlineLevel="0" collapsed="false">
      <c r="B936" s="49"/>
    </row>
    <row r="937" customFormat="false" ht="15" hidden="false" customHeight="true" outlineLevel="0" collapsed="false">
      <c r="B937" s="49"/>
    </row>
    <row r="938" customFormat="false" ht="15" hidden="false" customHeight="true" outlineLevel="0" collapsed="false">
      <c r="B938" s="49"/>
    </row>
    <row r="939" customFormat="false" ht="15" hidden="false" customHeight="true" outlineLevel="0" collapsed="false">
      <c r="B939" s="49"/>
    </row>
    <row r="940" customFormat="false" ht="15" hidden="false" customHeight="true" outlineLevel="0" collapsed="false">
      <c r="B940" s="49"/>
    </row>
    <row r="941" customFormat="false" ht="15" hidden="false" customHeight="true" outlineLevel="0" collapsed="false">
      <c r="B941" s="49"/>
    </row>
    <row r="942" customFormat="false" ht="15" hidden="false" customHeight="true" outlineLevel="0" collapsed="false">
      <c r="B942" s="49"/>
    </row>
    <row r="943" customFormat="false" ht="15" hidden="false" customHeight="true" outlineLevel="0" collapsed="false">
      <c r="B943" s="49"/>
    </row>
    <row r="944" customFormat="false" ht="15" hidden="false" customHeight="true" outlineLevel="0" collapsed="false">
      <c r="B944" s="49"/>
    </row>
    <row r="945" customFormat="false" ht="15" hidden="false" customHeight="true" outlineLevel="0" collapsed="false">
      <c r="B945" s="49"/>
    </row>
    <row r="946" customFormat="false" ht="15" hidden="false" customHeight="true" outlineLevel="0" collapsed="false">
      <c r="B946" s="49"/>
    </row>
    <row r="947" customFormat="false" ht="15" hidden="false" customHeight="true" outlineLevel="0" collapsed="false">
      <c r="B947" s="49"/>
    </row>
    <row r="948" customFormat="false" ht="15" hidden="false" customHeight="true" outlineLevel="0" collapsed="false">
      <c r="B948" s="49"/>
    </row>
    <row r="949" customFormat="false" ht="15" hidden="false" customHeight="true" outlineLevel="0" collapsed="false">
      <c r="B949" s="49"/>
    </row>
    <row r="950" customFormat="false" ht="15" hidden="false" customHeight="true" outlineLevel="0" collapsed="false">
      <c r="B950" s="49"/>
    </row>
    <row r="951" customFormat="false" ht="15" hidden="false" customHeight="true" outlineLevel="0" collapsed="false">
      <c r="B951" s="49"/>
    </row>
    <row r="952" customFormat="false" ht="15" hidden="false" customHeight="true" outlineLevel="0" collapsed="false">
      <c r="B952" s="49"/>
    </row>
    <row r="953" customFormat="false" ht="15" hidden="false" customHeight="true" outlineLevel="0" collapsed="false">
      <c r="B953" s="49"/>
    </row>
    <row r="954" customFormat="false" ht="15" hidden="false" customHeight="true" outlineLevel="0" collapsed="false">
      <c r="B954" s="49"/>
    </row>
    <row r="955" customFormat="false" ht="15" hidden="false" customHeight="true" outlineLevel="0" collapsed="false">
      <c r="B955" s="49"/>
    </row>
    <row r="956" customFormat="false" ht="15" hidden="false" customHeight="true" outlineLevel="0" collapsed="false">
      <c r="B956" s="49"/>
    </row>
    <row r="957" customFormat="false" ht="15" hidden="false" customHeight="true" outlineLevel="0" collapsed="false">
      <c r="B957" s="49"/>
    </row>
    <row r="958" customFormat="false" ht="15" hidden="false" customHeight="true" outlineLevel="0" collapsed="false">
      <c r="B958" s="49"/>
    </row>
    <row r="959" customFormat="false" ht="15" hidden="false" customHeight="true" outlineLevel="0" collapsed="false">
      <c r="B959" s="49"/>
    </row>
    <row r="960" customFormat="false" ht="15" hidden="false" customHeight="true" outlineLevel="0" collapsed="false">
      <c r="B960" s="49"/>
    </row>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sheetData>
  <conditionalFormatting sqref="K1:K2000">
    <cfRule type="containsText" priority="2" operator="containsText" aboveAverage="0" equalAverage="0" bottom="0" percent="0" rank="0" text="Pending Review" dxfId="21">
      <formula>NOT(ISERROR(SEARCH("Pending Review",K1)))</formula>
    </cfRule>
    <cfRule type="containsText" priority="3" operator="containsText" aboveAverage="0" equalAverage="0" bottom="0" percent="0" rank="0" text="Pending Solution" dxfId="22">
      <formula>NOT(ISERROR(SEARCH("Pending Solution",K1)))</formula>
    </cfRule>
    <cfRule type="containsText" priority="4" operator="containsText" aboveAverage="0" equalAverage="0" bottom="0" percent="0" rank="0" text="No Design Required" dxfId="23">
      <formula>NOT(ISERROR(SEARCH("No Design Required",K1)))</formula>
    </cfRule>
    <cfRule type="containsText" priority="5" operator="containsText" aboveAverage="0" equalAverage="0" bottom="0" percent="0" rank="0" text="Ready for Development" dxfId="23">
      <formula>NOT(ISERROR(SEARCH("Ready for Development",K1)))</formula>
    </cfRule>
    <cfRule type="containsText" priority="6" operator="containsText" aboveAverage="0" equalAverage="0" bottom="0" percent="0" rank="0" text="Pending Design" dxfId="22">
      <formula>NOT(ISERROR(SEARCH("Pending Design",K1)))</formula>
    </cfRule>
  </conditionalFormatting>
  <conditionalFormatting sqref="K18">
    <cfRule type="containsText" priority="7" operator="containsText" aboveAverage="0" equalAverage="0" bottom="0" percent="0" rank="0" text="Pending Review" dxfId="21">
      <formula>NOT(ISERROR(SEARCH("Pending Review",K18)))</formula>
    </cfRule>
    <cfRule type="containsText" priority="8" operator="containsText" aboveAverage="0" equalAverage="0" bottom="0" percent="0" rank="0" text="Pending Solution" dxfId="22">
      <formula>NOT(ISERROR(SEARCH("Pending Solution",K18)))</formula>
    </cfRule>
  </conditionalFormatting>
  <conditionalFormatting sqref="A2:N101 A102:M102 A103:N960">
    <cfRule type="expression" priority="9" aboveAverage="0" equalAverage="0" bottom="0" percent="0" rank="0" text="" dxfId="10">
      <formula>$C2="US"</formula>
    </cfRule>
    <cfRule type="expression" priority="10" aboveAverage="0" equalAverage="0" bottom="0" percent="0" rank="0" text="" dxfId="11">
      <formula>$C2="MyMSC"</formula>
    </cfRule>
    <cfRule type="expression" priority="11" aboveAverage="0" equalAverage="0" bottom="0" percent="0" rank="0" text="" dxfId="12">
      <formula>$C2="Rollout"</formula>
    </cfRule>
    <cfRule type="expression" priority="12" aboveAverage="0" equalAverage="0" bottom="0" percent="0" rank="0" text="" dxfId="12">
      <formula>$C2="MVP Rollout"</formula>
    </cfRule>
    <cfRule type="expression" priority="13" aboveAverage="0" equalAverage="0" bottom="0" percent="0" rank="0" text="" dxfId="13">
      <formula>$C2="Backlog"</formula>
    </cfRule>
    <cfRule type="expression" priority="14" aboveAverage="0" equalAverage="0" bottom="0" percent="0" rank="0" text="" dxfId="13">
      <formula>$C2="Growth"</formula>
    </cfRule>
    <cfRule type="expression" priority="15" aboveAverage="0" equalAverage="0" bottom="0" percent="0" rank="0" text="" dxfId="14">
      <formula>$C2="Tech Enhancements"</formula>
    </cfRule>
    <cfRule type="expression" priority="16" aboveAverage="0" equalAverage="0" bottom="0" percent="0" rank="0" text="" dxfId="15">
      <formula>LEFT($C2,2)="PI"</formula>
    </cfRule>
  </conditionalFormatting>
  <dataValidations count="4">
    <dataValidation allowBlank="true" errorStyle="stop" operator="between" showDropDown="false" showErrorMessage="false" showInputMessage="false" sqref="G2:G460" type="list">
      <formula1>"Yes,No,TBC"</formula1>
      <formula2>0</formula2>
    </dataValidation>
    <dataValidation allowBlank="true" errorStyle="stop" operator="between" showDropDown="false" showErrorMessage="false" showInputMessage="false" sqref="I2:I460" type="list">
      <formula1>"Clare,Luke,Bipin,Remo,Praneeth"</formula1>
      <formula2>0</formula2>
    </dataValidation>
    <dataValidation allowBlank="true" errorStyle="stop" operator="between" showDropDown="false" showErrorMessage="false" showInputMessage="false" sqref="K2:K46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M2:M46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72" t="s">
        <v>446</v>
      </c>
      <c r="B1" s="72"/>
      <c r="C1" s="72"/>
      <c r="D1" s="72"/>
      <c r="E1" s="72"/>
      <c r="F1" s="72"/>
      <c r="G1" s="72"/>
      <c r="H1" s="72"/>
      <c r="I1" s="72"/>
      <c r="J1" s="72"/>
      <c r="K1" s="72"/>
      <c r="L1" s="72"/>
      <c r="M1" s="72"/>
      <c r="N1" s="72"/>
      <c r="O1" s="72"/>
      <c r="P1" s="72"/>
      <c r="Q1" s="72"/>
      <c r="R1" s="72"/>
      <c r="T1" s="1" t="s">
        <v>447</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413</v>
      </c>
      <c r="C3" s="19" t="s">
        <v>414</v>
      </c>
      <c r="D3" s="19" t="s">
        <v>415</v>
      </c>
      <c r="E3" s="19" t="s">
        <v>416</v>
      </c>
      <c r="F3" s="19" t="s">
        <v>418</v>
      </c>
      <c r="G3" s="19" t="s">
        <v>420</v>
      </c>
      <c r="H3" s="19" t="s">
        <v>421</v>
      </c>
      <c r="I3" s="19" t="s">
        <v>423</v>
      </c>
      <c r="J3" s="19" t="s">
        <v>424</v>
      </c>
      <c r="K3" s="19" t="s">
        <v>425</v>
      </c>
      <c r="L3" s="19" t="s">
        <v>426</v>
      </c>
      <c r="M3" s="19" t="s">
        <v>422</v>
      </c>
      <c r="N3" s="19" t="s">
        <v>419</v>
      </c>
      <c r="O3" s="19" t="s">
        <v>417</v>
      </c>
      <c r="P3" s="19" t="s">
        <v>427</v>
      </c>
      <c r="Q3" s="19" t="s">
        <v>428</v>
      </c>
      <c r="R3" s="19" t="s">
        <v>448</v>
      </c>
      <c r="T3" s="1" t="e">
        <f aca="false">IF(AND('sprint planning'!#ref!&gt;=10,'sprint planning'!#ref!&lt;=16),IFERROR(MATCH('sprint planning'!#ref!,Roadmap!$A$4:$A$15,0),99)*100+'sprint planning'!#ref!+3/100000,"")</f>
        <v>#VALUE!</v>
      </c>
    </row>
    <row r="4" customFormat="false" ht="15" hidden="false" customHeight="true" outlineLevel="0" collapsed="false">
      <c r="A4" s="69" t="s">
        <v>84</v>
      </c>
      <c r="B4" s="69" t="n">
        <f aca="false">SUMIFS(SprintPlanning[HLE],SprintPlanning[Stream],$A4,SprintPlanning[Sprint],B$3)+SUMIFS('Q1 Backlog Report 2026'!$K:$K,'Q1 Backlog Report 2026'!$D:$D,$A4,'Q1 Backlog Report 2026'!$I:$I,B$3)</f>
        <v>19</v>
      </c>
      <c r="C4" s="69" t="n">
        <f aca="false">SUMIFS(SprintPlanning[HLE],SprintPlanning[Stream],$A4,SprintPlanning[Sprint],C$3)+SUMIFS('Q1 Backlog Report 2026'!$K:$K,'Q1 Backlog Report 2026'!$D:$D,$A4,'Q1 Backlog Report 2026'!$I:$I,C$3)</f>
        <v>11</v>
      </c>
      <c r="D4" s="69" t="n">
        <f aca="false">SUMIFS(SprintPlanning[HLE],SprintPlanning[Stream],$A4,SprintPlanning[Sprint],D$3)+SUMIFS('Q1 Backlog Report 2026'!$K:$K,'Q1 Backlog Report 2026'!$D:$D,$A4,'Q1 Backlog Report 2026'!$I:$I,D$3)</f>
        <v>3</v>
      </c>
      <c r="E4" s="69" t="n">
        <f aca="false">SUMIFS(SprintPlanning[HLE],SprintPlanning[Stream],$A4,SprintPlanning[Sprint],E$3)+SUMIFS('Q1 Backlog Report 2026'!$K:$K,'Q1 Backlog Report 2026'!$D:$D,$A4,'Q1 Backlog Report 2026'!$I:$I,E$3)</f>
        <v>45</v>
      </c>
      <c r="F4" s="69" t="n">
        <f aca="false">SUMIFS(SprintPlanning[HLE],SprintPlanning[Stream],$A4,SprintPlanning[Sprint],F$3)+SUMIFS('Q2 Backlog Report 2026'!$K:$K,'Q2 Backlog Report 2026'!$D:$D,$A4,'Q2 Backlog Report 2026'!$I:$I,F$3)</f>
        <v>50</v>
      </c>
      <c r="G4" s="69" t="n">
        <f aca="false">SUMIFS(SprintPlanning[HLE],SprintPlanning[Stream],$A4,SprintPlanning[Sprint],G$3)+SUMIFS('Q2 Backlog Report 2026'!$K:$K,'Q2 Backlog Report 2026'!$D:$D,$A4,'Q2 Backlog Report 2026'!$I:$I,G$3)</f>
        <v>59</v>
      </c>
      <c r="H4" s="69" t="n">
        <f aca="false">SUMIFS(SprintPlanning[HLE],SprintPlanning[Stream],$A4,SprintPlanning[Sprint],H$3)+SUMIFS('Q2 Backlog Report 2026'!$K:$K,'Q2 Backlog Report 2026'!$D:$D,$A4,'Q2 Backlog Report 2026'!$I:$I,H$3)</f>
        <v>52</v>
      </c>
      <c r="I4" s="69" t="n">
        <f aca="false">SUMIFS(SprintPlanning[HLE],SprintPlanning[Stream],$A4,SprintPlanning[Sprint],I$3)+SUMIFS('Q2 Backlog Report 2026'!$K:$K,'Q2 Backlog Report 2026'!$D:$D,$A4,'Q2 Backlog Report 2026'!$I:$I,I$3)</f>
        <v>31</v>
      </c>
      <c r="J4" s="69" t="n">
        <f aca="false">SUMIFS(SprintPlanning[HLE],SprintPlanning[Stream],$A4,SprintPlanning[Sprint],J$3)+SUMIFS('Q3 Backlog Report 2026'!$K:$K,'Q3 Backlog Report 2026'!$D:$D,$A4,'Q3 Backlog Report 2026'!$I:$I,J$3)</f>
        <v>74</v>
      </c>
      <c r="K4" s="69" t="n">
        <f aca="false">SUMIFS(SprintPlanning[HLE],SprintPlanning[Stream],$A4,SprintPlanning[Sprint],K$3)+SUMIFS('Q3 Backlog Report 2026'!$K:$K,'Q3 Backlog Report 2026'!$D:$D,$A4,'Q3 Backlog Report 2026'!$I:$I,K$3)</f>
        <v>86</v>
      </c>
      <c r="L4" s="69" t="n">
        <f aca="false">SUMIFS(SprintPlanning[HLE],SprintPlanning[Stream],$A4,SprintPlanning[Sprint],L$3)+SUMIFS('Q3 Backlog Report 2026'!$K:$K,'Q3 Backlog Report 2026'!$D:$D,$A4,'Q3 Backlog Report 2026'!$I:$I,L$3)</f>
        <v>16</v>
      </c>
      <c r="M4" s="69" t="n">
        <f aca="false">SUMIFS(SprintPlanning[HLE],SprintPlanning[Stream],$A4,SprintPlanning[Sprint],M$3)+SUMIFS('Q3 Backlog Report 2026'!$K:$K,'Q3 Backlog Report 2026'!$D:$D,$A4,'Q3 Backlog Report 2026'!$I:$I,M$3)</f>
        <v>20</v>
      </c>
      <c r="N4" s="69" t="n">
        <f aca="false">SUMIFS(SprintPlanning[HLE],SprintPlanning[Stream],$A4,SprintPlanning[Sprint],N$3)+SUMIFS('Q4 Backlog Report 2026'!$K:$K,'Q4 Backlog Report 2026'!$D:$D,$A4,'Q4 Backlog Report 2026'!$I:$I,N$3)</f>
        <v>3</v>
      </c>
      <c r="O4" s="69" t="n">
        <f aca="false">SUMIFS(SprintPlanning[HLE],SprintPlanning[Stream],$A4,SprintPlanning[Sprint],O$3)+SUMIFS('Q4 Backlog Report 2026'!$K:$K,'Q4 Backlog Report 2026'!$D:$D,$A4,'Q4 Backlog Report 2026'!$I:$I,O$3)</f>
        <v>0</v>
      </c>
      <c r="P4" s="69" t="n">
        <f aca="false">SUMIFS(SprintPlanning[HLE],SprintPlanning[Stream],$A4,SprintPlanning[Sprint],P$3)+SUMIFS('Q4 Backlog Report 2026'!$K:$K,'Q4 Backlog Report 2026'!$D:$D,$A4,'Q4 Backlog Report 2026'!$I:$I,P$3)</f>
        <v>0</v>
      </c>
      <c r="Q4" s="69" t="n">
        <f aca="false">SUMIFS(SprintPlanning[HLE],SprintPlanning[Stream],$A4,SprintPlanning[Sprint],Q$3)+SUMIFS('Q4 Backlog Report 2026'!$K:$K,'Q4 Backlog Report 2026'!$D:$D,$A4,'Q4 Backlog Report 2026'!$I:$I,Q$3)</f>
        <v>0</v>
      </c>
      <c r="R4" s="73" t="n">
        <f aca="false">SUM(B4:Q4)</f>
        <v>469</v>
      </c>
      <c r="T4" s="1" t="e">
        <f aca="false">IF(AND('sprint planning'!#ref!&gt;=10,'sprint planning'!#ref!&lt;=16),IFERROR(MATCH('sprint planning'!#ref!,Roadmap!$A$4:$A$15,0),99)*100+'sprint planning'!#ref!+4/100000,"")</f>
        <v>#VALUE!</v>
      </c>
    </row>
    <row r="5" customFormat="false" ht="15" hidden="false" customHeight="true" outlineLevel="0" collapsed="false">
      <c r="A5" s="69" t="s">
        <v>119</v>
      </c>
      <c r="B5" s="69" t="n">
        <f aca="false">SUMIFS(SprintPlanning[HLE],SprintPlanning[Stream],$A5,SprintPlanning[Sprint],B$3)+SUMIFS('Q1 Backlog Report 2026'!$K:$K,'Q1 Backlog Report 2026'!$D:$D,$A5,'Q1 Backlog Report 2026'!$I:$I,B$3)</f>
        <v>0</v>
      </c>
      <c r="C5" s="69" t="n">
        <f aca="false">SUMIFS(SprintPlanning[HLE],SprintPlanning[Stream],$A5,SprintPlanning[Sprint],C$3)+SUMIFS('Q1 Backlog Report 2026'!$K:$K,'Q1 Backlog Report 2026'!$D:$D,$A5,'Q1 Backlog Report 2026'!$I:$I,C$3)</f>
        <v>3</v>
      </c>
      <c r="D5" s="69" t="n">
        <f aca="false">SUMIFS(SprintPlanning[HLE],SprintPlanning[Stream],$A5,SprintPlanning[Sprint],D$3)+SUMIFS('Q1 Backlog Report 2026'!$K:$K,'Q1 Backlog Report 2026'!$D:$D,$A5,'Q1 Backlog Report 2026'!$I:$I,D$3)</f>
        <v>14</v>
      </c>
      <c r="E5" s="69" t="n">
        <f aca="false">SUMIFS(SprintPlanning[HLE],SprintPlanning[Stream],$A5,SprintPlanning[Sprint],E$3)+SUMIFS('Q1 Backlog Report 2026'!$K:$K,'Q1 Backlog Report 2026'!$D:$D,$A5,'Q1 Backlog Report 2026'!$I:$I,E$3)</f>
        <v>18</v>
      </c>
      <c r="F5" s="69" t="n">
        <f aca="false">SUMIFS(SprintPlanning[HLE],SprintPlanning[Stream],$A5,SprintPlanning[Sprint],F$3)+SUMIFS('Q2 Backlog Report 2026'!$K:$K,'Q2 Backlog Report 2026'!$D:$D,$A5,'Q2 Backlog Report 2026'!$I:$I,F$3)</f>
        <v>124</v>
      </c>
      <c r="G5" s="69" t="n">
        <f aca="false">SUMIFS(SprintPlanning[HLE],SprintPlanning[Stream],$A5,SprintPlanning[Sprint],G$3)+SUMIFS('Q2 Backlog Report 2026'!$K:$K,'Q2 Backlog Report 2026'!$D:$D,$A5,'Q2 Backlog Report 2026'!$I:$I,G$3)</f>
        <v>50</v>
      </c>
      <c r="H5" s="69" t="n">
        <f aca="false">SUMIFS(SprintPlanning[HLE],SprintPlanning[Stream],$A5,SprintPlanning[Sprint],H$3)+SUMIFS('Q2 Backlog Report 2026'!$K:$K,'Q2 Backlog Report 2026'!$D:$D,$A5,'Q2 Backlog Report 2026'!$I:$I,H$3)</f>
        <v>10</v>
      </c>
      <c r="I5" s="69" t="n">
        <f aca="false">SUMIFS(SprintPlanning[HLE],SprintPlanning[Stream],$A5,SprintPlanning[Sprint],I$3)+SUMIFS('Q2 Backlog Report 2026'!$K:$K,'Q2 Backlog Report 2026'!$D:$D,$A5,'Q2 Backlog Report 2026'!$I:$I,I$3)</f>
        <v>53</v>
      </c>
      <c r="J5" s="69" t="n">
        <f aca="false">SUMIFS(SprintPlanning[HLE],SprintPlanning[Stream],$A5,SprintPlanning[Sprint],J$3)+SUMIFS('Q3 Backlog Report 2026'!$K:$K,'Q3 Backlog Report 2026'!$D:$D,$A5,'Q3 Backlog Report 2026'!$I:$I,J$3)</f>
        <v>29</v>
      </c>
      <c r="K5" s="69" t="n">
        <f aca="false">SUMIFS(SprintPlanning[HLE],SprintPlanning[Stream],$A5,SprintPlanning[Sprint],K$3)+SUMIFS('Q3 Backlog Report 2026'!$K:$K,'Q3 Backlog Report 2026'!$D:$D,$A5,'Q3 Backlog Report 2026'!$I:$I,K$3)</f>
        <v>0</v>
      </c>
      <c r="L5" s="69" t="n">
        <f aca="false">SUMIFS(SprintPlanning[HLE],SprintPlanning[Stream],$A5,SprintPlanning[Sprint],L$3)+SUMIFS('Q3 Backlog Report 2026'!$K:$K,'Q3 Backlog Report 2026'!$D:$D,$A5,'Q3 Backlog Report 2026'!$I:$I,L$3)</f>
        <v>36</v>
      </c>
      <c r="M5" s="69" t="n">
        <f aca="false">SUMIFS(SprintPlanning[HLE],SprintPlanning[Stream],$A5,SprintPlanning[Sprint],M$3)+SUMIFS('Q3 Backlog Report 2026'!$K:$K,'Q3 Backlog Report 2026'!$D:$D,$A5,'Q3 Backlog Report 2026'!$I:$I,M$3)</f>
        <v>21</v>
      </c>
      <c r="N5" s="69" t="n">
        <f aca="false">SUMIFS(SprintPlanning[HLE],SprintPlanning[Stream],$A5,SprintPlanning[Sprint],N$3)+SUMIFS('Q4 Backlog Report 2026'!$K:$K,'Q4 Backlog Report 2026'!$D:$D,$A5,'Q4 Backlog Report 2026'!$I:$I,N$3)</f>
        <v>0</v>
      </c>
      <c r="O5" s="69" t="n">
        <f aca="false">SUMIFS(SprintPlanning[HLE],SprintPlanning[Stream],$A5,SprintPlanning[Sprint],O$3)+SUMIFS('Q4 Backlog Report 2026'!$K:$K,'Q4 Backlog Report 2026'!$D:$D,$A5,'Q4 Backlog Report 2026'!$I:$I,O$3)</f>
        <v>20</v>
      </c>
      <c r="P5" s="69" t="n">
        <f aca="false">SUMIFS(SprintPlanning[HLE],SprintPlanning[Stream],$A5,SprintPlanning[Sprint],P$3)+SUMIFS('Q4 Backlog Report 2026'!$K:$K,'Q4 Backlog Report 2026'!$D:$D,$A5,'Q4 Backlog Report 2026'!$I:$I,P$3)</f>
        <v>8</v>
      </c>
      <c r="Q5" s="69" t="n">
        <f aca="false">SUMIFS(SprintPlanning[HLE],SprintPlanning[Stream],$A5,SprintPlanning[Sprint],Q$3)+SUMIFS('Q4 Backlog Report 2026'!$K:$K,'Q4 Backlog Report 2026'!$D:$D,$A5,'Q4 Backlog Report 2026'!$I:$I,Q$3)</f>
        <v>0</v>
      </c>
      <c r="R5" s="73" t="n">
        <f aca="false">SUM(B5:Q5)</f>
        <v>386</v>
      </c>
      <c r="T5" s="1" t="e">
        <f aca="false">IF(AND('sprint planning'!#ref!&gt;=10,'sprint planning'!#ref!&lt;=16),IFERROR(MATCH('sprint planning'!#ref!,Roadmap!$A$4:$A$15,0),99)*100+'sprint planning'!#ref!+5/100000,"")</f>
        <v>#VALUE!</v>
      </c>
    </row>
    <row r="6" customFormat="false" ht="15" hidden="false" customHeight="true" outlineLevel="0" collapsed="false">
      <c r="A6" s="69" t="s">
        <v>104</v>
      </c>
      <c r="B6" s="69" t="n">
        <f aca="false">SUMIFS(SprintPlanning[HLE],SprintPlanning[Stream],$A6,SprintPlanning[Sprint],B$3)+SUMIFS('Q1 Backlog Report 2026'!$K:$K,'Q1 Backlog Report 2026'!$D:$D,$A6,'Q1 Backlog Report 2026'!$I:$I,B$3)</f>
        <v>0</v>
      </c>
      <c r="C6" s="69" t="n">
        <f aca="false">SUMIFS(SprintPlanning[HLE],SprintPlanning[Stream],$A6,SprintPlanning[Sprint],C$3)+SUMIFS('Q1 Backlog Report 2026'!$K:$K,'Q1 Backlog Report 2026'!$D:$D,$A6,'Q1 Backlog Report 2026'!$I:$I,C$3)</f>
        <v>0</v>
      </c>
      <c r="D6" s="69" t="n">
        <f aca="false">SUMIFS(SprintPlanning[HLE],SprintPlanning[Stream],$A6,SprintPlanning[Sprint],D$3)+SUMIFS('Q1 Backlog Report 2026'!$K:$K,'Q1 Backlog Report 2026'!$D:$D,$A6,'Q1 Backlog Report 2026'!$I:$I,D$3)</f>
        <v>21</v>
      </c>
      <c r="E6" s="69" t="n">
        <f aca="false">SUMIFS(SprintPlanning[HLE],SprintPlanning[Stream],$A6,SprintPlanning[Sprint],E$3)+SUMIFS('Q1 Backlog Report 2026'!$K:$K,'Q1 Backlog Report 2026'!$D:$D,$A6,'Q1 Backlog Report 2026'!$I:$I,E$3)</f>
        <v>0</v>
      </c>
      <c r="F6" s="69" t="n">
        <f aca="false">SUMIFS(SprintPlanning[HLE],SprintPlanning[Stream],$A6,SprintPlanning[Sprint],F$3)+SUMIFS('Q2 Backlog Report 2026'!$K:$K,'Q2 Backlog Report 2026'!$D:$D,$A6,'Q2 Backlog Report 2026'!$I:$I,F$3)</f>
        <v>0</v>
      </c>
      <c r="G6" s="69" t="n">
        <f aca="false">SUMIFS(SprintPlanning[HLE],SprintPlanning[Stream],$A6,SprintPlanning[Sprint],G$3)+SUMIFS('Q2 Backlog Report 2026'!$K:$K,'Q2 Backlog Report 2026'!$D:$D,$A6,'Q2 Backlog Report 2026'!$I:$I,G$3)</f>
        <v>39</v>
      </c>
      <c r="H6" s="69" t="n">
        <f aca="false">SUMIFS(SprintPlanning[HLE],SprintPlanning[Stream],$A6,SprintPlanning[Sprint],H$3)+SUMIFS('Q2 Backlog Report 2026'!$K:$K,'Q2 Backlog Report 2026'!$D:$D,$A6,'Q2 Backlog Report 2026'!$I:$I,H$3)</f>
        <v>23</v>
      </c>
      <c r="I6" s="69" t="n">
        <f aca="false">SUMIFS(SprintPlanning[HLE],SprintPlanning[Stream],$A6,SprintPlanning[Sprint],I$3)+SUMIFS('Q2 Backlog Report 2026'!$K:$K,'Q2 Backlog Report 2026'!$D:$D,$A6,'Q2 Backlog Report 2026'!$I:$I,I$3)</f>
        <v>0</v>
      </c>
      <c r="J6" s="69" t="n">
        <f aca="false">SUMIFS(SprintPlanning[HLE],SprintPlanning[Stream],$A6,SprintPlanning[Sprint],J$3)+SUMIFS('Q3 Backlog Report 2026'!$K:$K,'Q3 Backlog Report 2026'!$D:$D,$A6,'Q3 Backlog Report 2026'!$I:$I,J$3)</f>
        <v>5</v>
      </c>
      <c r="K6" s="69" t="n">
        <f aca="false">SUMIFS(SprintPlanning[HLE],SprintPlanning[Stream],$A6,SprintPlanning[Sprint],K$3)+SUMIFS('Q3 Backlog Report 2026'!$K:$K,'Q3 Backlog Report 2026'!$D:$D,$A6,'Q3 Backlog Report 2026'!$I:$I,K$3)</f>
        <v>13</v>
      </c>
      <c r="L6" s="69" t="n">
        <f aca="false">SUMIFS(SprintPlanning[HLE],SprintPlanning[Stream],$A6,SprintPlanning[Sprint],L$3)+SUMIFS('Q3 Backlog Report 2026'!$K:$K,'Q3 Backlog Report 2026'!$D:$D,$A6,'Q3 Backlog Report 2026'!$I:$I,L$3)</f>
        <v>27</v>
      </c>
      <c r="M6" s="69" t="n">
        <f aca="false">SUMIFS(SprintPlanning[HLE],SprintPlanning[Stream],$A6,SprintPlanning[Sprint],M$3)+SUMIFS('Q3 Backlog Report 2026'!$K:$K,'Q3 Backlog Report 2026'!$D:$D,$A6,'Q3 Backlog Report 2026'!$I:$I,M$3)</f>
        <v>0</v>
      </c>
      <c r="N6" s="69" t="n">
        <f aca="false">SUMIFS(SprintPlanning[HLE],SprintPlanning[Stream],$A6,SprintPlanning[Sprint],N$3)+SUMIFS('Q4 Backlog Report 2026'!$K:$K,'Q4 Backlog Report 2026'!$D:$D,$A6,'Q4 Backlog Report 2026'!$I:$I,N$3)</f>
        <v>0</v>
      </c>
      <c r="O6" s="69" t="n">
        <f aca="false">SUMIFS(SprintPlanning[HLE],SprintPlanning[Stream],$A6,SprintPlanning[Sprint],O$3)+SUMIFS('Q4 Backlog Report 2026'!$K:$K,'Q4 Backlog Report 2026'!$D:$D,$A6,'Q4 Backlog Report 2026'!$I:$I,O$3)</f>
        <v>8</v>
      </c>
      <c r="P6" s="69" t="n">
        <f aca="false">SUMIFS(SprintPlanning[HLE],SprintPlanning[Stream],$A6,SprintPlanning[Sprint],P$3)+SUMIFS('Q4 Backlog Report 2026'!$K:$K,'Q4 Backlog Report 2026'!$D:$D,$A6,'Q4 Backlog Report 2026'!$I:$I,P$3)</f>
        <v>8</v>
      </c>
      <c r="Q6" s="69" t="n">
        <f aca="false">SUMIFS(SprintPlanning[HLE],SprintPlanning[Stream],$A6,SprintPlanning[Sprint],Q$3)+SUMIFS('Q4 Backlog Report 2026'!$K:$K,'Q4 Backlog Report 2026'!$D:$D,$A6,'Q4 Backlog Report 2026'!$I:$I,Q$3)</f>
        <v>0</v>
      </c>
      <c r="R6" s="73" t="n">
        <f aca="false">SUM(B6:Q6)</f>
        <v>144</v>
      </c>
      <c r="T6" s="1" t="e">
        <f aca="false">IF(AND('sprint planning'!#ref!&gt;=10,'sprint planning'!#ref!&lt;=16),IFERROR(MATCH('sprint planning'!#ref!,Roadmap!$A$4:$A$15,0),99)*100+'sprint planning'!#ref!+6/100000,"")</f>
        <v>#VALUE!</v>
      </c>
    </row>
    <row r="7" customFormat="false" ht="15" hidden="false" customHeight="true" outlineLevel="0" collapsed="false">
      <c r="A7" s="69" t="s">
        <v>91</v>
      </c>
      <c r="B7" s="69" t="n">
        <f aca="false">SUMIFS(SprintPlanning[HLE],SprintPlanning[Stream],$A7,SprintPlanning[Sprint],B$3)+SUMIFS('Q1 Backlog Report 2026'!$K:$K,'Q1 Backlog Report 2026'!$D:$D,$A7,'Q1 Backlog Report 2026'!$I:$I,B$3)</f>
        <v>7</v>
      </c>
      <c r="C7" s="69" t="n">
        <f aca="false">SUMIFS(SprintPlanning[HLE],SprintPlanning[Stream],$A7,SprintPlanning[Sprint],C$3)+SUMIFS('Q1 Backlog Report 2026'!$K:$K,'Q1 Backlog Report 2026'!$D:$D,$A7,'Q1 Backlog Report 2026'!$I:$I,C$3)</f>
        <v>11</v>
      </c>
      <c r="D7" s="69" t="n">
        <f aca="false">SUMIFS(SprintPlanning[HLE],SprintPlanning[Stream],$A7,SprintPlanning[Sprint],D$3)+SUMIFS('Q1 Backlog Report 2026'!$K:$K,'Q1 Backlog Report 2026'!$D:$D,$A7,'Q1 Backlog Report 2026'!$I:$I,D$3)</f>
        <v>0</v>
      </c>
      <c r="E7" s="69" t="n">
        <f aca="false">SUMIFS(SprintPlanning[HLE],SprintPlanning[Stream],$A7,SprintPlanning[Sprint],E$3)+SUMIFS('Q1 Backlog Report 2026'!$K:$K,'Q1 Backlog Report 2026'!$D:$D,$A7,'Q1 Backlog Report 2026'!$I:$I,E$3)</f>
        <v>0</v>
      </c>
      <c r="F7" s="69" t="n">
        <f aca="false">SUMIFS(SprintPlanning[HLE],SprintPlanning[Stream],$A7,SprintPlanning[Sprint],F$3)+SUMIFS('Q2 Backlog Report 2026'!$K:$K,'Q2 Backlog Report 2026'!$D:$D,$A7,'Q2 Backlog Report 2026'!$I:$I,F$3)</f>
        <v>2</v>
      </c>
      <c r="G7" s="69" t="n">
        <f aca="false">SUMIFS(SprintPlanning[HLE],SprintPlanning[Stream],$A7,SprintPlanning[Sprint],G$3)+SUMIFS('Q2 Backlog Report 2026'!$K:$K,'Q2 Backlog Report 2026'!$D:$D,$A7,'Q2 Backlog Report 2026'!$I:$I,G$3)</f>
        <v>0</v>
      </c>
      <c r="H7" s="69" t="n">
        <f aca="false">SUMIFS(SprintPlanning[HLE],SprintPlanning[Stream],$A7,SprintPlanning[Sprint],H$3)+SUMIFS('Q2 Backlog Report 2026'!$K:$K,'Q2 Backlog Report 2026'!$D:$D,$A7,'Q2 Backlog Report 2026'!$I:$I,H$3)</f>
        <v>8</v>
      </c>
      <c r="I7" s="69" t="n">
        <f aca="false">SUMIFS(SprintPlanning[HLE],SprintPlanning[Stream],$A7,SprintPlanning[Sprint],I$3)+SUMIFS('Q2 Backlog Report 2026'!$K:$K,'Q2 Backlog Report 2026'!$D:$D,$A7,'Q2 Backlog Report 2026'!$I:$I,I$3)</f>
        <v>8</v>
      </c>
      <c r="J7" s="69" t="n">
        <f aca="false">SUMIFS(SprintPlanning[HLE],SprintPlanning[Stream],$A7,SprintPlanning[Sprint],J$3)+SUMIFS('Q3 Backlog Report 2026'!$K:$K,'Q3 Backlog Report 2026'!$D:$D,$A7,'Q3 Backlog Report 2026'!$I:$I,J$3)</f>
        <v>0</v>
      </c>
      <c r="K7" s="69" t="n">
        <f aca="false">SUMIFS(SprintPlanning[HLE],SprintPlanning[Stream],$A7,SprintPlanning[Sprint],K$3)+SUMIFS('Q3 Backlog Report 2026'!$K:$K,'Q3 Backlog Report 2026'!$D:$D,$A7,'Q3 Backlog Report 2026'!$I:$I,K$3)</f>
        <v>0</v>
      </c>
      <c r="L7" s="69" t="n">
        <f aca="false">SUMIFS(SprintPlanning[HLE],SprintPlanning[Stream],$A7,SprintPlanning[Sprint],L$3)+SUMIFS('Q3 Backlog Report 2026'!$K:$K,'Q3 Backlog Report 2026'!$D:$D,$A7,'Q3 Backlog Report 2026'!$I:$I,L$3)</f>
        <v>0</v>
      </c>
      <c r="M7" s="69" t="n">
        <f aca="false">SUMIFS(SprintPlanning[HLE],SprintPlanning[Stream],$A7,SprintPlanning[Sprint],M$3)+SUMIFS('Q3 Backlog Report 2026'!$K:$K,'Q3 Backlog Report 2026'!$D:$D,$A7,'Q3 Backlog Report 2026'!$I:$I,M$3)</f>
        <v>0</v>
      </c>
      <c r="N7" s="69" t="n">
        <f aca="false">SUMIFS(SprintPlanning[HLE],SprintPlanning[Stream],$A7,SprintPlanning[Sprint],N$3)+SUMIFS('Q4 Backlog Report 2026'!$K:$K,'Q4 Backlog Report 2026'!$D:$D,$A7,'Q4 Backlog Report 2026'!$I:$I,N$3)</f>
        <v>9</v>
      </c>
      <c r="O7" s="69" t="n">
        <f aca="false">SUMIFS(SprintPlanning[HLE],SprintPlanning[Stream],$A7,SprintPlanning[Sprint],O$3)+SUMIFS('Q4 Backlog Report 2026'!$K:$K,'Q4 Backlog Report 2026'!$D:$D,$A7,'Q4 Backlog Report 2026'!$I:$I,O$3)</f>
        <v>0</v>
      </c>
      <c r="P7" s="69" t="n">
        <f aca="false">SUMIFS(SprintPlanning[HLE],SprintPlanning[Stream],$A7,SprintPlanning[Sprint],P$3)+SUMIFS('Q4 Backlog Report 2026'!$K:$K,'Q4 Backlog Report 2026'!$D:$D,$A7,'Q4 Backlog Report 2026'!$I:$I,P$3)</f>
        <v>0</v>
      </c>
      <c r="Q7" s="69" t="n">
        <f aca="false">SUMIFS(SprintPlanning[HLE],SprintPlanning[Stream],$A7,SprintPlanning[Sprint],Q$3)+SUMIFS('Q4 Backlog Report 2026'!$K:$K,'Q4 Backlog Report 2026'!$D:$D,$A7,'Q4 Backlog Report 2026'!$I:$I,Q$3)</f>
        <v>0</v>
      </c>
      <c r="R7" s="73" t="n">
        <f aca="false">SUM(B7:Q7)</f>
        <v>45</v>
      </c>
      <c r="T7" s="1" t="e">
        <f aca="false">IF(AND('sprint planning'!#ref!&gt;=10,'sprint planning'!#ref!&lt;=16),IFERROR(MATCH('sprint planning'!#ref!,Roadmap!$A$4:$A$15,0),99)*100+'sprint planning'!#ref!+7/100000,"")</f>
        <v>#VALUE!</v>
      </c>
    </row>
    <row r="8" customFormat="false" ht="15" hidden="false" customHeight="true" outlineLevel="0" collapsed="false">
      <c r="A8" s="69" t="s">
        <v>297</v>
      </c>
      <c r="B8" s="69" t="n">
        <f aca="false">SUMIFS(SprintPlanning[HLE],SprintPlanning[Stream],$A8,SprintPlanning[Sprint],B$3)+SUMIFS('Q1 Backlog Report 2026'!$K:$K,'Q1 Backlog Report 2026'!$D:$D,$A8,'Q1 Backlog Report 2026'!$I:$I,B$3)</f>
        <v>0</v>
      </c>
      <c r="C8" s="69" t="n">
        <f aca="false">SUMIFS(SprintPlanning[HLE],SprintPlanning[Stream],$A8,SprintPlanning[Sprint],C$3)+SUMIFS('Q1 Backlog Report 2026'!$K:$K,'Q1 Backlog Report 2026'!$D:$D,$A8,'Q1 Backlog Report 2026'!$I:$I,C$3)</f>
        <v>0</v>
      </c>
      <c r="D8" s="69" t="n">
        <f aca="false">SUMIFS(SprintPlanning[HLE],SprintPlanning[Stream],$A8,SprintPlanning[Sprint],D$3)+SUMIFS('Q1 Backlog Report 2026'!$K:$K,'Q1 Backlog Report 2026'!$D:$D,$A8,'Q1 Backlog Report 2026'!$I:$I,D$3)</f>
        <v>0</v>
      </c>
      <c r="E8" s="69" t="n">
        <f aca="false">SUMIFS(SprintPlanning[HLE],SprintPlanning[Stream],$A8,SprintPlanning[Sprint],E$3)+SUMIFS('Q1 Backlog Report 2026'!$K:$K,'Q1 Backlog Report 2026'!$D:$D,$A8,'Q1 Backlog Report 2026'!$I:$I,E$3)</f>
        <v>0</v>
      </c>
      <c r="F8" s="69" t="n">
        <f aca="false">SUMIFS(SprintPlanning[HLE],SprintPlanning[Stream],$A8,SprintPlanning[Sprint],F$3)+SUMIFS('Q2 Backlog Report 2026'!$K:$K,'Q2 Backlog Report 2026'!$D:$D,$A8,'Q2 Backlog Report 2026'!$I:$I,F$3)</f>
        <v>0</v>
      </c>
      <c r="G8" s="69" t="n">
        <f aca="false">SUMIFS(SprintPlanning[HLE],SprintPlanning[Stream],$A8,SprintPlanning[Sprint],G$3)+SUMIFS('Q2 Backlog Report 2026'!$K:$K,'Q2 Backlog Report 2026'!$D:$D,$A8,'Q2 Backlog Report 2026'!$I:$I,G$3)</f>
        <v>0</v>
      </c>
      <c r="H8" s="69" t="n">
        <f aca="false">SUMIFS(SprintPlanning[HLE],SprintPlanning[Stream],$A8,SprintPlanning[Sprint],H$3)+SUMIFS('Q2 Backlog Report 2026'!$K:$K,'Q2 Backlog Report 2026'!$D:$D,$A8,'Q2 Backlog Report 2026'!$I:$I,H$3)</f>
        <v>0</v>
      </c>
      <c r="I8" s="69" t="n">
        <f aca="false">SUMIFS(SprintPlanning[HLE],SprintPlanning[Stream],$A8,SprintPlanning[Sprint],I$3)+SUMIFS('Q2 Backlog Report 2026'!$K:$K,'Q2 Backlog Report 2026'!$D:$D,$A8,'Q2 Backlog Report 2026'!$I:$I,I$3)</f>
        <v>0</v>
      </c>
      <c r="J8" s="69" t="n">
        <f aca="false">SUMIFS(SprintPlanning[HLE],SprintPlanning[Stream],$A8,SprintPlanning[Sprint],J$3)+SUMIFS('Q3 Backlog Report 2026'!$K:$K,'Q3 Backlog Report 2026'!$D:$D,$A8,'Q3 Backlog Report 2026'!$I:$I,J$3)</f>
        <v>21</v>
      </c>
      <c r="K8" s="69" t="n">
        <f aca="false">SUMIFS(SprintPlanning[HLE],SprintPlanning[Stream],$A8,SprintPlanning[Sprint],K$3)+SUMIFS('Q3 Backlog Report 2026'!$K:$K,'Q3 Backlog Report 2026'!$D:$D,$A8,'Q3 Backlog Report 2026'!$I:$I,K$3)</f>
        <v>13</v>
      </c>
      <c r="L8" s="69" t="n">
        <f aca="false">SUMIFS(SprintPlanning[HLE],SprintPlanning[Stream],$A8,SprintPlanning[Sprint],L$3)+SUMIFS('Q3 Backlog Report 2026'!$K:$K,'Q3 Backlog Report 2026'!$D:$D,$A8,'Q3 Backlog Report 2026'!$I:$I,L$3)</f>
        <v>13</v>
      </c>
      <c r="M8" s="69" t="n">
        <f aca="false">SUMIFS(SprintPlanning[HLE],SprintPlanning[Stream],$A8,SprintPlanning[Sprint],M$3)+SUMIFS('Q3 Backlog Report 2026'!$K:$K,'Q3 Backlog Report 2026'!$D:$D,$A8,'Q3 Backlog Report 2026'!$I:$I,M$3)</f>
        <v>42</v>
      </c>
      <c r="N8" s="69" t="n">
        <f aca="false">SUMIFS(SprintPlanning[HLE],SprintPlanning[Stream],$A8,SprintPlanning[Sprint],N$3)+SUMIFS('Q4 Backlog Report 2026'!$K:$K,'Q4 Backlog Report 2026'!$D:$D,$A8,'Q4 Backlog Report 2026'!$I:$I,N$3)</f>
        <v>29</v>
      </c>
      <c r="O8" s="69" t="n">
        <f aca="false">SUMIFS(SprintPlanning[HLE],SprintPlanning[Stream],$A8,SprintPlanning[Sprint],O$3)+SUMIFS('Q4 Backlog Report 2026'!$K:$K,'Q4 Backlog Report 2026'!$D:$D,$A8,'Q4 Backlog Report 2026'!$I:$I,O$3)</f>
        <v>5</v>
      </c>
      <c r="P8" s="69" t="n">
        <f aca="false">SUMIFS(SprintPlanning[HLE],SprintPlanning[Stream],$A8,SprintPlanning[Sprint],P$3)+SUMIFS('Q4 Backlog Report 2026'!$K:$K,'Q4 Backlog Report 2026'!$D:$D,$A8,'Q4 Backlog Report 2026'!$I:$I,P$3)</f>
        <v>0</v>
      </c>
      <c r="Q8" s="69" t="n">
        <f aca="false">SUMIFS(SprintPlanning[HLE],SprintPlanning[Stream],$A8,SprintPlanning[Sprint],Q$3)+SUMIFS('Q4 Backlog Report 2026'!$K:$K,'Q4 Backlog Report 2026'!$D:$D,$A8,'Q4 Backlog Report 2026'!$I:$I,Q$3)</f>
        <v>0</v>
      </c>
      <c r="R8" s="73" t="n">
        <f aca="false">SUM(B8:Q8)</f>
        <v>123</v>
      </c>
      <c r="T8" s="1" t="e">
        <f aca="false">IF(AND('sprint planning'!#ref!&gt;=10,'sprint planning'!#ref!&lt;=16),IFERROR(MATCH('sprint planning'!#ref!,Roadmap!$A$4:$A$15,0),99)*100+'sprint planning'!#ref!+8/100000,"")</f>
        <v>#VALUE!</v>
      </c>
    </row>
    <row r="9" customFormat="false" ht="15" hidden="false" customHeight="true" outlineLevel="0" collapsed="false">
      <c r="A9" s="69" t="s">
        <v>128</v>
      </c>
      <c r="B9" s="69" t="n">
        <f aca="false">SUMIFS(SprintPlanning[HLE],SprintPlanning[Stream],$A9,SprintPlanning[Sprint],B$3)+SUMIFS('Q1 Backlog Report 2026'!$K:$K,'Q1 Backlog Report 2026'!$D:$D,$A9,'Q1 Backlog Report 2026'!$I:$I,B$3)</f>
        <v>0</v>
      </c>
      <c r="C9" s="69" t="n">
        <f aca="false">SUMIFS(SprintPlanning[HLE],SprintPlanning[Stream],$A9,SprintPlanning[Sprint],C$3)+SUMIFS('Q1 Backlog Report 2026'!$K:$K,'Q1 Backlog Report 2026'!$D:$D,$A9,'Q1 Backlog Report 2026'!$I:$I,C$3)</f>
        <v>0</v>
      </c>
      <c r="D9" s="69" t="n">
        <f aca="false">SUMIFS(SprintPlanning[HLE],SprintPlanning[Stream],$A9,SprintPlanning[Sprint],D$3)+SUMIFS('Q1 Backlog Report 2026'!$K:$K,'Q1 Backlog Report 2026'!$D:$D,$A9,'Q1 Backlog Report 2026'!$I:$I,D$3)</f>
        <v>0</v>
      </c>
      <c r="E9" s="69" t="n">
        <f aca="false">SUMIFS(SprintPlanning[HLE],SprintPlanning[Stream],$A9,SprintPlanning[Sprint],E$3)+SUMIFS('Q1 Backlog Report 2026'!$K:$K,'Q1 Backlog Report 2026'!$D:$D,$A9,'Q1 Backlog Report 2026'!$I:$I,E$3)</f>
        <v>0</v>
      </c>
      <c r="F9" s="69" t="n">
        <f aca="false">SUMIFS(SprintPlanning[HLE],SprintPlanning[Stream],$A9,SprintPlanning[Sprint],F$3)+SUMIFS('Q2 Backlog Report 2026'!$K:$K,'Q2 Backlog Report 2026'!$D:$D,$A9,'Q2 Backlog Report 2026'!$I:$I,F$3)</f>
        <v>0</v>
      </c>
      <c r="G9" s="69" t="n">
        <f aca="false">SUMIFS(SprintPlanning[HLE],SprintPlanning[Stream],$A9,SprintPlanning[Sprint],G$3)+SUMIFS('Q2 Backlog Report 2026'!$K:$K,'Q2 Backlog Report 2026'!$D:$D,$A9,'Q2 Backlog Report 2026'!$I:$I,G$3)</f>
        <v>0</v>
      </c>
      <c r="H9" s="69" t="n">
        <f aca="false">SUMIFS(SprintPlanning[HLE],SprintPlanning[Stream],$A9,SprintPlanning[Sprint],H$3)+SUMIFS('Q2 Backlog Report 2026'!$K:$K,'Q2 Backlog Report 2026'!$D:$D,$A9,'Q2 Backlog Report 2026'!$I:$I,H$3)</f>
        <v>0</v>
      </c>
      <c r="I9" s="69" t="n">
        <f aca="false">SUMIFS(SprintPlanning[HLE],SprintPlanning[Stream],$A9,SprintPlanning[Sprint],I$3)+SUMIFS('Q2 Backlog Report 2026'!$K:$K,'Q2 Backlog Report 2026'!$D:$D,$A9,'Q2 Backlog Report 2026'!$I:$I,I$3)</f>
        <v>0</v>
      </c>
      <c r="J9" s="69" t="n">
        <f aca="false">SUMIFS(SprintPlanning[HLE],SprintPlanning[Stream],$A9,SprintPlanning[Sprint],J$3)+SUMIFS('Q3 Backlog Report 2026'!$K:$K,'Q3 Backlog Report 2026'!$D:$D,$A9,'Q3 Backlog Report 2026'!$I:$I,J$3)</f>
        <v>0</v>
      </c>
      <c r="K9" s="69" t="n">
        <f aca="false">SUMIFS(SprintPlanning[HLE],SprintPlanning[Stream],$A9,SprintPlanning[Sprint],K$3)+SUMIFS('Q3 Backlog Report 2026'!$K:$K,'Q3 Backlog Report 2026'!$D:$D,$A9,'Q3 Backlog Report 2026'!$I:$I,K$3)</f>
        <v>0</v>
      </c>
      <c r="L9" s="69" t="n">
        <f aca="false">SUMIFS(SprintPlanning[HLE],SprintPlanning[Stream],$A9,SprintPlanning[Sprint],L$3)+SUMIFS('Q3 Backlog Report 2026'!$K:$K,'Q3 Backlog Report 2026'!$D:$D,$A9,'Q3 Backlog Report 2026'!$I:$I,L$3)</f>
        <v>0</v>
      </c>
      <c r="M9" s="69" t="n">
        <f aca="false">SUMIFS(SprintPlanning[HLE],SprintPlanning[Stream],$A9,SprintPlanning[Sprint],M$3)+SUMIFS('Q3 Backlog Report 2026'!$K:$K,'Q3 Backlog Report 2026'!$D:$D,$A9,'Q3 Backlog Report 2026'!$I:$I,M$3)</f>
        <v>34</v>
      </c>
      <c r="N9" s="69" t="n">
        <f aca="false">SUMIFS(SprintPlanning[HLE],SprintPlanning[Stream],$A9,SprintPlanning[Sprint],N$3)+SUMIFS('Q4 Backlog Report 2026'!$K:$K,'Q4 Backlog Report 2026'!$D:$D,$A9,'Q4 Backlog Report 2026'!$I:$I,N$3)</f>
        <v>9</v>
      </c>
      <c r="O9" s="69" t="n">
        <f aca="false">SUMIFS(SprintPlanning[HLE],SprintPlanning[Stream],$A9,SprintPlanning[Sprint],O$3)+SUMIFS('Q4 Backlog Report 2026'!$K:$K,'Q4 Backlog Report 2026'!$D:$D,$A9,'Q4 Backlog Report 2026'!$I:$I,O$3)</f>
        <v>0</v>
      </c>
      <c r="P9" s="69" t="n">
        <f aca="false">SUMIFS(SprintPlanning[HLE],SprintPlanning[Stream],$A9,SprintPlanning[Sprint],P$3)+SUMIFS('Q4 Backlog Report 2026'!$K:$K,'Q4 Backlog Report 2026'!$D:$D,$A9,'Q4 Backlog Report 2026'!$I:$I,P$3)</f>
        <v>0</v>
      </c>
      <c r="Q9" s="69" t="n">
        <f aca="false">SUMIFS(SprintPlanning[HLE],SprintPlanning[Stream],$A9,SprintPlanning[Sprint],Q$3)+SUMIFS('Q4 Backlog Report 2026'!$K:$K,'Q4 Backlog Report 2026'!$D:$D,$A9,'Q4 Backlog Report 2026'!$I:$I,Q$3)</f>
        <v>0</v>
      </c>
      <c r="R9" s="73" t="n">
        <f aca="false">SUM(B9:Q9)</f>
        <v>43</v>
      </c>
      <c r="T9" s="1" t="e">
        <f aca="false">IF(AND('sprint planning'!#ref!&gt;=10,'sprint planning'!#ref!&lt;=16),IFERROR(MATCH('sprint planning'!#ref!,Roadmap!$A$4:$A$15,0),99)*100+'sprint planning'!#ref!+9/100000,"")</f>
        <v>#VALUE!</v>
      </c>
    </row>
    <row r="10" customFormat="false" ht="15" hidden="false" customHeight="true" outlineLevel="0" collapsed="false">
      <c r="A10" s="69" t="s">
        <v>28</v>
      </c>
      <c r="B10" s="69" t="n">
        <f aca="false">SUMIFS(SprintPlanning[HLE],SprintPlanning[Stream],$A10,SprintPlanning[Sprint],B$3)+SUMIFS('Q1 Backlog Report 2026'!$K:$K,'Q1 Backlog Report 2026'!$D:$D,$A10,'Q1 Backlog Report 2026'!$I:$I,B$3)</f>
        <v>23</v>
      </c>
      <c r="C10" s="69" t="n">
        <f aca="false">SUMIFS(SprintPlanning[HLE],SprintPlanning[Stream],$A10,SprintPlanning[Sprint],C$3)+SUMIFS('Q1 Backlog Report 2026'!$K:$K,'Q1 Backlog Report 2026'!$D:$D,$A10,'Q1 Backlog Report 2026'!$I:$I,C$3)</f>
        <v>0</v>
      </c>
      <c r="D10" s="69" t="n">
        <f aca="false">SUMIFS(SprintPlanning[HLE],SprintPlanning[Stream],$A10,SprintPlanning[Sprint],D$3)+SUMIFS('Q1 Backlog Report 2026'!$K:$K,'Q1 Backlog Report 2026'!$D:$D,$A10,'Q1 Backlog Report 2026'!$I:$I,D$3)</f>
        <v>46</v>
      </c>
      <c r="E10" s="69" t="n">
        <f aca="false">SUMIFS(SprintPlanning[HLE],SprintPlanning[Stream],$A10,SprintPlanning[Sprint],E$3)+SUMIFS('Q1 Backlog Report 2026'!$K:$K,'Q1 Backlog Report 2026'!$D:$D,$A10,'Q1 Backlog Report 2026'!$I:$I,E$3)</f>
        <v>5</v>
      </c>
      <c r="F10" s="69" t="n">
        <f aca="false">SUMIFS(SprintPlanning[HLE],SprintPlanning[Stream],$A10,SprintPlanning[Sprint],F$3)+SUMIFS('Q2 Backlog Report 2026'!$K:$K,'Q2 Backlog Report 2026'!$D:$D,$A10,'Q2 Backlog Report 2026'!$I:$I,F$3)</f>
        <v>18</v>
      </c>
      <c r="G10" s="69" t="n">
        <f aca="false">SUMIFS(SprintPlanning[HLE],SprintPlanning[Stream],$A10,SprintPlanning[Sprint],G$3)+SUMIFS('Q2 Backlog Report 2026'!$K:$K,'Q2 Backlog Report 2026'!$D:$D,$A10,'Q2 Backlog Report 2026'!$I:$I,G$3)</f>
        <v>0</v>
      </c>
      <c r="H10" s="69" t="n">
        <f aca="false">SUMIFS(SprintPlanning[HLE],SprintPlanning[Stream],$A10,SprintPlanning[Sprint],H$3)+SUMIFS('Q2 Backlog Report 2026'!$K:$K,'Q2 Backlog Report 2026'!$D:$D,$A10,'Q2 Backlog Report 2026'!$I:$I,H$3)</f>
        <v>0</v>
      </c>
      <c r="I10" s="69" t="n">
        <f aca="false">SUMIFS(SprintPlanning[HLE],SprintPlanning[Stream],$A10,SprintPlanning[Sprint],I$3)+SUMIFS('Q2 Backlog Report 2026'!$K:$K,'Q2 Backlog Report 2026'!$D:$D,$A10,'Q2 Backlog Report 2026'!$I:$I,I$3)</f>
        <v>13</v>
      </c>
      <c r="J10" s="69" t="n">
        <f aca="false">SUMIFS(SprintPlanning[HLE],SprintPlanning[Stream],$A10,SprintPlanning[Sprint],J$3)+SUMIFS('Q3 Backlog Report 2026'!$K:$K,'Q3 Backlog Report 2026'!$D:$D,$A10,'Q3 Backlog Report 2026'!$I:$I,J$3)</f>
        <v>0</v>
      </c>
      <c r="K10" s="69" t="n">
        <f aca="false">SUMIFS(SprintPlanning[HLE],SprintPlanning[Stream],$A10,SprintPlanning[Sprint],K$3)+SUMIFS('Q3 Backlog Report 2026'!$K:$K,'Q3 Backlog Report 2026'!$D:$D,$A10,'Q3 Backlog Report 2026'!$I:$I,K$3)</f>
        <v>0</v>
      </c>
      <c r="L10" s="69" t="n">
        <f aca="false">SUMIFS(SprintPlanning[HLE],SprintPlanning[Stream],$A10,SprintPlanning[Sprint],L$3)+SUMIFS('Q3 Backlog Report 2026'!$K:$K,'Q3 Backlog Report 2026'!$D:$D,$A10,'Q3 Backlog Report 2026'!$I:$I,L$3)</f>
        <v>0</v>
      </c>
      <c r="M10" s="69" t="n">
        <f aca="false">SUMIFS(SprintPlanning[HLE],SprintPlanning[Stream],$A10,SprintPlanning[Sprint],M$3)+SUMIFS('Q3 Backlog Report 2026'!$K:$K,'Q3 Backlog Report 2026'!$D:$D,$A10,'Q3 Backlog Report 2026'!$I:$I,M$3)</f>
        <v>0</v>
      </c>
      <c r="N10" s="69" t="n">
        <f aca="false">SUMIFS(SprintPlanning[HLE],SprintPlanning[Stream],$A10,SprintPlanning[Sprint],N$3)+SUMIFS('Q4 Backlog Report 2026'!$K:$K,'Q4 Backlog Report 2026'!$D:$D,$A10,'Q4 Backlog Report 2026'!$I:$I,N$3)</f>
        <v>21</v>
      </c>
      <c r="O10" s="69" t="n">
        <f aca="false">SUMIFS(SprintPlanning[HLE],SprintPlanning[Stream],$A10,SprintPlanning[Sprint],O$3)+SUMIFS('Q4 Backlog Report 2026'!$K:$K,'Q4 Backlog Report 2026'!$D:$D,$A10,'Q4 Backlog Report 2026'!$I:$I,O$3)</f>
        <v>13</v>
      </c>
      <c r="P10" s="69" t="n">
        <f aca="false">SUMIFS(SprintPlanning[HLE],SprintPlanning[Stream],$A10,SprintPlanning[Sprint],P$3)+SUMIFS('Q4 Backlog Report 2026'!$K:$K,'Q4 Backlog Report 2026'!$D:$D,$A10,'Q4 Backlog Report 2026'!$I:$I,P$3)</f>
        <v>0</v>
      </c>
      <c r="Q10" s="69" t="n">
        <f aca="false">SUMIFS(SprintPlanning[HLE],SprintPlanning[Stream],$A10,SprintPlanning[Sprint],Q$3)+SUMIFS('Q4 Backlog Report 2026'!$K:$K,'Q4 Backlog Report 2026'!$D:$D,$A10,'Q4 Backlog Report 2026'!$I:$I,Q$3)</f>
        <v>0</v>
      </c>
      <c r="R10" s="73" t="n">
        <f aca="false">SUM(B10:Q10)</f>
        <v>139</v>
      </c>
      <c r="T10" s="1" t="e">
        <f aca="false">IF(AND('sprint planning'!#ref!&gt;=10,'sprint planning'!#ref!&lt;=16),IFERROR(MATCH('sprint planning'!#ref!,Roadmap!$A$4:$A$15,0),99)*100+'sprint planning'!#ref!+10/100000,"")</f>
        <v>#VALUE!</v>
      </c>
    </row>
    <row r="11" customFormat="false" ht="15" hidden="false" customHeight="true" outlineLevel="0" collapsed="false">
      <c r="A11" s="69" t="s">
        <v>449</v>
      </c>
      <c r="B11" s="69" t="n">
        <f aca="false">SUMIFS(SprintPlanning[HLE],SprintPlanning[Stream],$A11,SprintPlanning[Sprint],B$3)+SUMIFS('Q1 Backlog Report 2026'!$K:$K,'Q1 Backlog Report 2026'!$D:$D,$A11,'Q1 Backlog Report 2026'!$I:$I,B$3)</f>
        <v>0</v>
      </c>
      <c r="C11" s="69" t="n">
        <f aca="false">SUMIFS(SprintPlanning[HLE],SprintPlanning[Stream],$A11,SprintPlanning[Sprint],C$3)+SUMIFS('Q1 Backlog Report 2026'!$K:$K,'Q1 Backlog Report 2026'!$D:$D,$A11,'Q1 Backlog Report 2026'!$I:$I,C$3)</f>
        <v>0</v>
      </c>
      <c r="D11" s="69" t="n">
        <f aca="false">SUMIFS(SprintPlanning[HLE],SprintPlanning[Stream],$A11,SprintPlanning[Sprint],D$3)+SUMIFS('Q1 Backlog Report 2026'!$K:$K,'Q1 Backlog Report 2026'!$D:$D,$A11,'Q1 Backlog Report 2026'!$I:$I,D$3)</f>
        <v>0</v>
      </c>
      <c r="E11" s="69" t="n">
        <f aca="false">SUMIFS(SprintPlanning[HLE],SprintPlanning[Stream],$A11,SprintPlanning[Sprint],E$3)+SUMIFS('Q1 Backlog Report 2026'!$K:$K,'Q1 Backlog Report 2026'!$D:$D,$A11,'Q1 Backlog Report 2026'!$I:$I,E$3)</f>
        <v>0</v>
      </c>
      <c r="F11" s="69" t="n">
        <f aca="false">SUMIFS(SprintPlanning[HLE],SprintPlanning[Stream],$A11,SprintPlanning[Sprint],F$3)+SUMIFS('Q2 Backlog Report 2026'!$K:$K,'Q2 Backlog Report 2026'!$D:$D,$A11,'Q2 Backlog Report 2026'!$I:$I,F$3)</f>
        <v>0</v>
      </c>
      <c r="G11" s="69" t="n">
        <f aca="false">SUMIFS(SprintPlanning[HLE],SprintPlanning[Stream],$A11,SprintPlanning[Sprint],G$3)+SUMIFS('Q2 Backlog Report 2026'!$K:$K,'Q2 Backlog Report 2026'!$D:$D,$A11,'Q2 Backlog Report 2026'!$I:$I,G$3)</f>
        <v>0</v>
      </c>
      <c r="H11" s="69" t="n">
        <f aca="false">SUMIFS(SprintPlanning[HLE],SprintPlanning[Stream],$A11,SprintPlanning[Sprint],H$3)+SUMIFS('Q2 Backlog Report 2026'!$K:$K,'Q2 Backlog Report 2026'!$D:$D,$A11,'Q2 Backlog Report 2026'!$I:$I,H$3)</f>
        <v>0</v>
      </c>
      <c r="I11" s="69" t="n">
        <f aca="false">SUMIFS(SprintPlanning[HLE],SprintPlanning[Stream],$A11,SprintPlanning[Sprint],I$3)+SUMIFS('Q2 Backlog Report 2026'!$K:$K,'Q2 Backlog Report 2026'!$D:$D,$A11,'Q2 Backlog Report 2026'!$I:$I,I$3)</f>
        <v>0</v>
      </c>
      <c r="J11" s="69" t="n">
        <f aca="false">SUMIFS(SprintPlanning[HLE],SprintPlanning[Stream],$A11,SprintPlanning[Sprint],J$3)+SUMIFS('Q3 Backlog Report 2026'!$K:$K,'Q3 Backlog Report 2026'!$D:$D,$A11,'Q3 Backlog Report 2026'!$I:$I,J$3)</f>
        <v>0</v>
      </c>
      <c r="K11" s="69" t="n">
        <f aca="false">SUMIFS(SprintPlanning[HLE],SprintPlanning[Stream],$A11,SprintPlanning[Sprint],K$3)+SUMIFS('Q3 Backlog Report 2026'!$K:$K,'Q3 Backlog Report 2026'!$D:$D,$A11,'Q3 Backlog Report 2026'!$I:$I,K$3)</f>
        <v>0</v>
      </c>
      <c r="L11" s="69" t="n">
        <f aca="false">SUMIFS(SprintPlanning[HLE],SprintPlanning[Stream],$A11,SprintPlanning[Sprint],L$3)+SUMIFS('Q3 Backlog Report 2026'!$K:$K,'Q3 Backlog Report 2026'!$D:$D,$A11,'Q3 Backlog Report 2026'!$I:$I,L$3)</f>
        <v>0</v>
      </c>
      <c r="M11" s="69" t="n">
        <f aca="false">SUMIFS(SprintPlanning[HLE],SprintPlanning[Stream],$A11,SprintPlanning[Sprint],M$3)+SUMIFS('Q3 Backlog Report 2026'!$K:$K,'Q3 Backlog Report 2026'!$D:$D,$A11,'Q3 Backlog Report 2026'!$I:$I,M$3)</f>
        <v>0</v>
      </c>
      <c r="N11" s="69" t="n">
        <f aca="false">SUMIFS(SprintPlanning[HLE],SprintPlanning[Stream],$A11,SprintPlanning[Sprint],N$3)+SUMIFS('Q4 Backlog Report 2026'!$K:$K,'Q4 Backlog Report 2026'!$D:$D,$A11,'Q4 Backlog Report 2026'!$I:$I,N$3)</f>
        <v>0</v>
      </c>
      <c r="O11" s="69" t="n">
        <f aca="false">SUMIFS(SprintPlanning[HLE],SprintPlanning[Stream],$A11,SprintPlanning[Sprint],O$3)+SUMIFS('Q4 Backlog Report 2026'!$K:$K,'Q4 Backlog Report 2026'!$D:$D,$A11,'Q4 Backlog Report 2026'!$I:$I,O$3)</f>
        <v>0</v>
      </c>
      <c r="P11" s="69" t="n">
        <f aca="false">SUMIFS(SprintPlanning[HLE],SprintPlanning[Stream],$A11,SprintPlanning[Sprint],P$3)+SUMIFS('Q4 Backlog Report 2026'!$K:$K,'Q4 Backlog Report 2026'!$D:$D,$A11,'Q4 Backlog Report 2026'!$I:$I,P$3)</f>
        <v>0</v>
      </c>
      <c r="Q11" s="69" t="n">
        <f aca="false">SUMIFS(SprintPlanning[HLE],SprintPlanning[Stream],$A11,SprintPlanning[Sprint],Q$3)+SUMIFS('Q4 Backlog Report 2026'!$K:$K,'Q4 Backlog Report 2026'!$D:$D,$A11,'Q4 Backlog Report 2026'!$I:$I,Q$3)</f>
        <v>0</v>
      </c>
      <c r="R11" s="73" t="n">
        <f aca="false">SUM(B11:Q11)</f>
        <v>0</v>
      </c>
      <c r="T11" s="1" t="e">
        <f aca="false">IF(AND('sprint planning'!#ref!&gt;=10,'sprint planning'!#ref!&lt;=16),IFERROR(MATCH('sprint planning'!#ref!,Roadmap!$A$4:$A$15,0),99)*100+'sprint planning'!#ref!+11/100000,"")</f>
        <v>#VALUE!</v>
      </c>
    </row>
    <row r="12" customFormat="false" ht="15" hidden="false" customHeight="true" outlineLevel="0" collapsed="false">
      <c r="A12" s="69" t="s">
        <v>450</v>
      </c>
      <c r="B12" s="69" t="n">
        <f aca="false">SUMIFS(SprintPlanning[HLE],SprintPlanning[Stream],$A12,SprintPlanning[Sprint],B$3)+SUMIFS('Q1 Backlog Report 2026'!$K:$K,'Q1 Backlog Report 2026'!$D:$D,$A12,'Q1 Backlog Report 2026'!$I:$I,B$3)</f>
        <v>21</v>
      </c>
      <c r="C12" s="69" t="n">
        <f aca="false">SUMIFS(SprintPlanning[HLE],SprintPlanning[Stream],$A12,SprintPlanning[Sprint],C$3)+SUMIFS('Q1 Backlog Report 2026'!$K:$K,'Q1 Backlog Report 2026'!$D:$D,$A12,'Q1 Backlog Report 2026'!$I:$I,C$3)</f>
        <v>2</v>
      </c>
      <c r="D12" s="69" t="n">
        <f aca="false">SUMIFS(SprintPlanning[HLE],SprintPlanning[Stream],$A12,SprintPlanning[Sprint],D$3)+SUMIFS('Q1 Backlog Report 2026'!$K:$K,'Q1 Backlog Report 2026'!$D:$D,$A12,'Q1 Backlog Report 2026'!$I:$I,D$3)</f>
        <v>0</v>
      </c>
      <c r="E12" s="69" t="n">
        <f aca="false">SUMIFS(SprintPlanning[HLE],SprintPlanning[Stream],$A12,SprintPlanning[Sprint],E$3)+SUMIFS('Q1 Backlog Report 2026'!$K:$K,'Q1 Backlog Report 2026'!$D:$D,$A12,'Q1 Backlog Report 2026'!$I:$I,E$3)</f>
        <v>0</v>
      </c>
      <c r="F12" s="69" t="n">
        <f aca="false">SUMIFS(SprintPlanning[HLE],SprintPlanning[Stream],$A12,SprintPlanning[Sprint],F$3)+SUMIFS('Q2 Backlog Report 2026'!$K:$K,'Q2 Backlog Report 2026'!$D:$D,$A12,'Q2 Backlog Report 2026'!$I:$I,F$3)</f>
        <v>0</v>
      </c>
      <c r="G12" s="69" t="n">
        <f aca="false">SUMIFS(SprintPlanning[HLE],SprintPlanning[Stream],$A12,SprintPlanning[Sprint],G$3)+SUMIFS('Q2 Backlog Report 2026'!$K:$K,'Q2 Backlog Report 2026'!$D:$D,$A12,'Q2 Backlog Report 2026'!$I:$I,G$3)</f>
        <v>0</v>
      </c>
      <c r="H12" s="69" t="n">
        <f aca="false">SUMIFS(SprintPlanning[HLE],SprintPlanning[Stream],$A12,SprintPlanning[Sprint],H$3)+SUMIFS('Q2 Backlog Report 2026'!$K:$K,'Q2 Backlog Report 2026'!$D:$D,$A12,'Q2 Backlog Report 2026'!$I:$I,H$3)</f>
        <v>0</v>
      </c>
      <c r="I12" s="69" t="n">
        <f aca="false">SUMIFS(SprintPlanning[HLE],SprintPlanning[Stream],$A12,SprintPlanning[Sprint],I$3)+SUMIFS('Q2 Backlog Report 2026'!$K:$K,'Q2 Backlog Report 2026'!$D:$D,$A12,'Q2 Backlog Report 2026'!$I:$I,I$3)</f>
        <v>0</v>
      </c>
      <c r="J12" s="69" t="n">
        <f aca="false">SUMIFS(SprintPlanning[HLE],SprintPlanning[Stream],$A12,SprintPlanning[Sprint],J$3)+SUMIFS('Q3 Backlog Report 2026'!$K:$K,'Q3 Backlog Report 2026'!$D:$D,$A12,'Q3 Backlog Report 2026'!$I:$I,J$3)</f>
        <v>0</v>
      </c>
      <c r="K12" s="69" t="n">
        <f aca="false">SUMIFS(SprintPlanning[HLE],SprintPlanning[Stream],$A12,SprintPlanning[Sprint],K$3)+SUMIFS('Q3 Backlog Report 2026'!$K:$K,'Q3 Backlog Report 2026'!$D:$D,$A12,'Q3 Backlog Report 2026'!$I:$I,K$3)</f>
        <v>0</v>
      </c>
      <c r="L12" s="69" t="n">
        <f aca="false">SUMIFS(SprintPlanning[HLE],SprintPlanning[Stream],$A12,SprintPlanning[Sprint],L$3)+SUMIFS('Q3 Backlog Report 2026'!$K:$K,'Q3 Backlog Report 2026'!$D:$D,$A12,'Q3 Backlog Report 2026'!$I:$I,L$3)</f>
        <v>0</v>
      </c>
      <c r="M12" s="69" t="n">
        <f aca="false">SUMIFS(SprintPlanning[HLE],SprintPlanning[Stream],$A12,SprintPlanning[Sprint],M$3)+SUMIFS('Q3 Backlog Report 2026'!$K:$K,'Q3 Backlog Report 2026'!$D:$D,$A12,'Q3 Backlog Report 2026'!$I:$I,M$3)</f>
        <v>0</v>
      </c>
      <c r="N12" s="69" t="n">
        <f aca="false">SUMIFS(SprintPlanning[HLE],SprintPlanning[Stream],$A12,SprintPlanning[Sprint],N$3)+SUMIFS('Q4 Backlog Report 2026'!$K:$K,'Q4 Backlog Report 2026'!$D:$D,$A12,'Q4 Backlog Report 2026'!$I:$I,N$3)</f>
        <v>0</v>
      </c>
      <c r="O12" s="69" t="n">
        <f aca="false">SUMIFS(SprintPlanning[HLE],SprintPlanning[Stream],$A12,SprintPlanning[Sprint],O$3)+SUMIFS('Q4 Backlog Report 2026'!$K:$K,'Q4 Backlog Report 2026'!$D:$D,$A12,'Q4 Backlog Report 2026'!$I:$I,O$3)</f>
        <v>0</v>
      </c>
      <c r="P12" s="69" t="n">
        <f aca="false">SUMIFS(SprintPlanning[HLE],SprintPlanning[Stream],$A12,SprintPlanning[Sprint],P$3)+SUMIFS('Q4 Backlog Report 2026'!$K:$K,'Q4 Backlog Report 2026'!$D:$D,$A12,'Q4 Backlog Report 2026'!$I:$I,P$3)</f>
        <v>0</v>
      </c>
      <c r="Q12" s="69" t="n">
        <f aca="false">SUMIFS(SprintPlanning[HLE],SprintPlanning[Stream],$A12,SprintPlanning[Sprint],Q$3)+SUMIFS('Q4 Backlog Report 2026'!$K:$K,'Q4 Backlog Report 2026'!$D:$D,$A12,'Q4 Backlog Report 2026'!$I:$I,Q$3)</f>
        <v>0</v>
      </c>
      <c r="R12" s="73" t="n">
        <f aca="false">SUM(B12:Q12)</f>
        <v>23</v>
      </c>
      <c r="T12" s="1" t="e">
        <f aca="false">IF(AND('sprint planning'!#ref!&gt;=10,'sprint planning'!#ref!&lt;=16),IFERROR(MATCH('sprint planning'!#ref!,Roadmap!$A$4:$A$15,0),99)*100+'sprint planning'!#ref!+12/100000,"")</f>
        <v>#VALUE!</v>
      </c>
    </row>
    <row r="13" customFormat="false" ht="15" hidden="false" customHeight="true" outlineLevel="0" collapsed="false">
      <c r="A13" s="69" t="s">
        <v>451</v>
      </c>
      <c r="B13" s="69" t="n">
        <f aca="false">SUMIFS(SprintPlanning[HLE],SprintPlanning[Stream],$A13,SprintPlanning[Sprint],B$3)+SUMIFS('Q1 Backlog Report 2026'!$K:$K,'Q1 Backlog Report 2026'!$D:$D,$A13,'Q1 Backlog Report 2026'!$I:$I,B$3)</f>
        <v>8</v>
      </c>
      <c r="C13" s="69" t="n">
        <f aca="false">SUMIFS(SprintPlanning[HLE],SprintPlanning[Stream],$A13,SprintPlanning[Sprint],C$3)+SUMIFS('Q1 Backlog Report 2026'!$K:$K,'Q1 Backlog Report 2026'!$D:$D,$A13,'Q1 Backlog Report 2026'!$I:$I,C$3)</f>
        <v>0</v>
      </c>
      <c r="D13" s="69" t="n">
        <f aca="false">SUMIFS(SprintPlanning[HLE],SprintPlanning[Stream],$A13,SprintPlanning[Sprint],D$3)+SUMIFS('Q1 Backlog Report 2026'!$K:$K,'Q1 Backlog Report 2026'!$D:$D,$A13,'Q1 Backlog Report 2026'!$I:$I,D$3)</f>
        <v>0</v>
      </c>
      <c r="E13" s="69" t="n">
        <f aca="false">SUMIFS(SprintPlanning[HLE],SprintPlanning[Stream],$A13,SprintPlanning[Sprint],E$3)+SUMIFS('Q1 Backlog Report 2026'!$K:$K,'Q1 Backlog Report 2026'!$D:$D,$A13,'Q1 Backlog Report 2026'!$I:$I,E$3)</f>
        <v>0</v>
      </c>
      <c r="F13" s="69" t="n">
        <f aca="false">SUMIFS(SprintPlanning[HLE],SprintPlanning[Stream],$A13,SprintPlanning[Sprint],F$3)+SUMIFS('Q2 Backlog Report 2026'!$K:$K,'Q2 Backlog Report 2026'!$D:$D,$A13,'Q2 Backlog Report 2026'!$I:$I,F$3)</f>
        <v>0</v>
      </c>
      <c r="G13" s="69" t="n">
        <f aca="false">SUMIFS(SprintPlanning[HLE],SprintPlanning[Stream],$A13,SprintPlanning[Sprint],G$3)+SUMIFS('Q2 Backlog Report 2026'!$K:$K,'Q2 Backlog Report 2026'!$D:$D,$A13,'Q2 Backlog Report 2026'!$I:$I,G$3)</f>
        <v>0</v>
      </c>
      <c r="H13" s="69" t="n">
        <f aca="false">SUMIFS(SprintPlanning[HLE],SprintPlanning[Stream],$A13,SprintPlanning[Sprint],H$3)+SUMIFS('Q2 Backlog Report 2026'!$K:$K,'Q2 Backlog Report 2026'!$D:$D,$A13,'Q2 Backlog Report 2026'!$I:$I,H$3)</f>
        <v>0</v>
      </c>
      <c r="I13" s="69" t="n">
        <f aca="false">SUMIFS(SprintPlanning[HLE],SprintPlanning[Stream],$A13,SprintPlanning[Sprint],I$3)+SUMIFS('Q2 Backlog Report 2026'!$K:$K,'Q2 Backlog Report 2026'!$D:$D,$A13,'Q2 Backlog Report 2026'!$I:$I,I$3)</f>
        <v>0</v>
      </c>
      <c r="J13" s="69" t="n">
        <f aca="false">SUMIFS(SprintPlanning[HLE],SprintPlanning[Stream],$A13,SprintPlanning[Sprint],J$3)+SUMIFS('Q3 Backlog Report 2026'!$K:$K,'Q3 Backlog Report 2026'!$D:$D,$A13,'Q3 Backlog Report 2026'!$I:$I,J$3)</f>
        <v>0</v>
      </c>
      <c r="K13" s="69" t="n">
        <f aca="false">SUMIFS(SprintPlanning[HLE],SprintPlanning[Stream],$A13,SprintPlanning[Sprint],K$3)+SUMIFS('Q3 Backlog Report 2026'!$K:$K,'Q3 Backlog Report 2026'!$D:$D,$A13,'Q3 Backlog Report 2026'!$I:$I,K$3)</f>
        <v>0</v>
      </c>
      <c r="L13" s="69" t="n">
        <f aca="false">SUMIFS(SprintPlanning[HLE],SprintPlanning[Stream],$A13,SprintPlanning[Sprint],L$3)+SUMIFS('Q3 Backlog Report 2026'!$K:$K,'Q3 Backlog Report 2026'!$D:$D,$A13,'Q3 Backlog Report 2026'!$I:$I,L$3)</f>
        <v>0</v>
      </c>
      <c r="M13" s="69" t="n">
        <f aca="false">SUMIFS(SprintPlanning[HLE],SprintPlanning[Stream],$A13,SprintPlanning[Sprint],M$3)+SUMIFS('Q3 Backlog Report 2026'!$K:$K,'Q3 Backlog Report 2026'!$D:$D,$A13,'Q3 Backlog Report 2026'!$I:$I,M$3)</f>
        <v>0</v>
      </c>
      <c r="N13" s="69" t="n">
        <f aca="false">SUMIFS(SprintPlanning[HLE],SprintPlanning[Stream],$A13,SprintPlanning[Sprint],N$3)+SUMIFS('Q4 Backlog Report 2026'!$K:$K,'Q4 Backlog Report 2026'!$D:$D,$A13,'Q4 Backlog Report 2026'!$I:$I,N$3)</f>
        <v>0</v>
      </c>
      <c r="O13" s="69" t="n">
        <f aca="false">SUMIFS(SprintPlanning[HLE],SprintPlanning[Stream],$A13,SprintPlanning[Sprint],O$3)+SUMIFS('Q4 Backlog Report 2026'!$K:$K,'Q4 Backlog Report 2026'!$D:$D,$A13,'Q4 Backlog Report 2026'!$I:$I,O$3)</f>
        <v>0</v>
      </c>
      <c r="P13" s="69" t="n">
        <f aca="false">SUMIFS(SprintPlanning[HLE],SprintPlanning[Stream],$A13,SprintPlanning[Sprint],P$3)+SUMIFS('Q4 Backlog Report 2026'!$K:$K,'Q4 Backlog Report 2026'!$D:$D,$A13,'Q4 Backlog Report 2026'!$I:$I,P$3)</f>
        <v>0</v>
      </c>
      <c r="Q13" s="69" t="n">
        <f aca="false">SUMIFS(SprintPlanning[HLE],SprintPlanning[Stream],$A13,SprintPlanning[Sprint],Q$3)+SUMIFS('Q4 Backlog Report 2026'!$K:$K,'Q4 Backlog Report 2026'!$D:$D,$A13,'Q4 Backlog Report 2026'!$I:$I,Q$3)</f>
        <v>0</v>
      </c>
      <c r="R13" s="73" t="n">
        <f aca="false">SUM(B13:Q13)</f>
        <v>8</v>
      </c>
      <c r="T13" s="1" t="e">
        <f aca="false">IF(AND('sprint planning'!#ref!&gt;=10,'sprint planning'!#ref!&lt;=16),IFERROR(MATCH('sprint planning'!#ref!,Roadmap!$A$4:$A$15,0),99)*100+'sprint planning'!#ref!+13/100000,"")</f>
        <v>#VALUE!</v>
      </c>
    </row>
    <row r="14" customFormat="false" ht="15" hidden="false" customHeight="true" outlineLevel="0" collapsed="false">
      <c r="A14" s="69" t="s">
        <v>452</v>
      </c>
      <c r="B14" s="69" t="n">
        <f aca="false">SUMIFS(SprintPlanning[HLE],SprintPlanning[Stream],$A14,SprintPlanning[Sprint],B$3)+SUMIFS('Q1 Backlog Report 2026'!$K:$K,'Q1 Backlog Report 2026'!$D:$D,$A14,'Q1 Backlog Report 2026'!$I:$I,B$3)</f>
        <v>10</v>
      </c>
      <c r="C14" s="69" t="n">
        <f aca="false">SUMIFS(SprintPlanning[HLE],SprintPlanning[Stream],$A14,SprintPlanning[Sprint],C$3)+SUMIFS('Q1 Backlog Report 2026'!$K:$K,'Q1 Backlog Report 2026'!$D:$D,$A14,'Q1 Backlog Report 2026'!$I:$I,C$3)</f>
        <v>8</v>
      </c>
      <c r="D14" s="69" t="n">
        <f aca="false">SUMIFS(SprintPlanning[HLE],SprintPlanning[Stream],$A14,SprintPlanning[Sprint],D$3)+SUMIFS('Q1 Backlog Report 2026'!$K:$K,'Q1 Backlog Report 2026'!$D:$D,$A14,'Q1 Backlog Report 2026'!$I:$I,D$3)</f>
        <v>0</v>
      </c>
      <c r="E14" s="69" t="n">
        <f aca="false">SUMIFS(SprintPlanning[HLE],SprintPlanning[Stream],$A14,SprintPlanning[Sprint],E$3)+SUMIFS('Q1 Backlog Report 2026'!$K:$K,'Q1 Backlog Report 2026'!$D:$D,$A14,'Q1 Backlog Report 2026'!$I:$I,E$3)</f>
        <v>0</v>
      </c>
      <c r="F14" s="69" t="n">
        <f aca="false">SUMIFS(SprintPlanning[HLE],SprintPlanning[Stream],$A14,SprintPlanning[Sprint],F$3)+SUMIFS('Q2 Backlog Report 2026'!$K:$K,'Q2 Backlog Report 2026'!$D:$D,$A14,'Q2 Backlog Report 2026'!$I:$I,F$3)</f>
        <v>0</v>
      </c>
      <c r="G14" s="69" t="n">
        <f aca="false">SUMIFS(SprintPlanning[HLE],SprintPlanning[Stream],$A14,SprintPlanning[Sprint],G$3)+SUMIFS('Q2 Backlog Report 2026'!$K:$K,'Q2 Backlog Report 2026'!$D:$D,$A14,'Q2 Backlog Report 2026'!$I:$I,G$3)</f>
        <v>0</v>
      </c>
      <c r="H14" s="69" t="n">
        <f aca="false">SUMIFS(SprintPlanning[HLE],SprintPlanning[Stream],$A14,SprintPlanning[Sprint],H$3)+SUMIFS('Q2 Backlog Report 2026'!$K:$K,'Q2 Backlog Report 2026'!$D:$D,$A14,'Q2 Backlog Report 2026'!$I:$I,H$3)</f>
        <v>0</v>
      </c>
      <c r="I14" s="69" t="n">
        <f aca="false">SUMIFS(SprintPlanning[HLE],SprintPlanning[Stream],$A14,SprintPlanning[Sprint],I$3)+SUMIFS('Q2 Backlog Report 2026'!$K:$K,'Q2 Backlog Report 2026'!$D:$D,$A14,'Q2 Backlog Report 2026'!$I:$I,I$3)</f>
        <v>0</v>
      </c>
      <c r="J14" s="69" t="n">
        <f aca="false">SUMIFS(SprintPlanning[HLE],SprintPlanning[Stream],$A14,SprintPlanning[Sprint],J$3)+SUMIFS('Q3 Backlog Report 2026'!$K:$K,'Q3 Backlog Report 2026'!$D:$D,$A14,'Q3 Backlog Report 2026'!$I:$I,J$3)</f>
        <v>0</v>
      </c>
      <c r="K14" s="69" t="n">
        <f aca="false">SUMIFS(SprintPlanning[HLE],SprintPlanning[Stream],$A14,SprintPlanning[Sprint],K$3)+SUMIFS('Q3 Backlog Report 2026'!$K:$K,'Q3 Backlog Report 2026'!$D:$D,$A14,'Q3 Backlog Report 2026'!$I:$I,K$3)</f>
        <v>0</v>
      </c>
      <c r="L14" s="69" t="n">
        <f aca="false">SUMIFS(SprintPlanning[HLE],SprintPlanning[Stream],$A14,SprintPlanning[Sprint],L$3)+SUMIFS('Q3 Backlog Report 2026'!$K:$K,'Q3 Backlog Report 2026'!$D:$D,$A14,'Q3 Backlog Report 2026'!$I:$I,L$3)</f>
        <v>0</v>
      </c>
      <c r="M14" s="69" t="n">
        <f aca="false">SUMIFS(SprintPlanning[HLE],SprintPlanning[Stream],$A14,SprintPlanning[Sprint],M$3)+SUMIFS('Q3 Backlog Report 2026'!$K:$K,'Q3 Backlog Report 2026'!$D:$D,$A14,'Q3 Backlog Report 2026'!$I:$I,M$3)</f>
        <v>0</v>
      </c>
      <c r="N14" s="69" t="n">
        <f aca="false">SUMIFS(SprintPlanning[HLE],SprintPlanning[Stream],$A14,SprintPlanning[Sprint],N$3)+SUMIFS('Q4 Backlog Report 2026'!$K:$K,'Q4 Backlog Report 2026'!$D:$D,$A14,'Q4 Backlog Report 2026'!$I:$I,N$3)</f>
        <v>0</v>
      </c>
      <c r="O14" s="69" t="n">
        <f aca="false">SUMIFS(SprintPlanning[HLE],SprintPlanning[Stream],$A14,SprintPlanning[Sprint],O$3)+SUMIFS('Q4 Backlog Report 2026'!$K:$K,'Q4 Backlog Report 2026'!$D:$D,$A14,'Q4 Backlog Report 2026'!$I:$I,O$3)</f>
        <v>0</v>
      </c>
      <c r="P14" s="69" t="n">
        <f aca="false">SUMIFS(SprintPlanning[HLE],SprintPlanning[Stream],$A14,SprintPlanning[Sprint],P$3)+SUMIFS('Q4 Backlog Report 2026'!$K:$K,'Q4 Backlog Report 2026'!$D:$D,$A14,'Q4 Backlog Report 2026'!$I:$I,P$3)</f>
        <v>0</v>
      </c>
      <c r="Q14" s="69" t="n">
        <f aca="false">SUMIFS(SprintPlanning[HLE],SprintPlanning[Stream],$A14,SprintPlanning[Sprint],Q$3)+SUMIFS('Q4 Backlog Report 2026'!$K:$K,'Q4 Backlog Report 2026'!$D:$D,$A14,'Q4 Backlog Report 2026'!$I:$I,Q$3)</f>
        <v>0</v>
      </c>
      <c r="R14" s="73" t="n">
        <f aca="false">SUM(B14:Q14)</f>
        <v>18</v>
      </c>
      <c r="T14" s="1" t="str">
        <f aca="false">IF(AND('Sprint Planning'!$H3&gt;=10,'Sprint Planning'!$H3&lt;=16),IFERROR(MATCH('Sprint Planning'!$C3,Roadmap!$A$4:$A$15,0),99)*100+'Sprint Planning'!$H3+14/100000,"")</f>
        <v/>
      </c>
    </row>
    <row r="15" customFormat="false" ht="15" hidden="false" customHeight="true" outlineLevel="0" collapsed="false">
      <c r="A15" s="69" t="s">
        <v>257</v>
      </c>
      <c r="B15" s="69" t="n">
        <f aca="false">SUMIFS(SprintPlanning[HLE],SprintPlanning[Stream],$A15,SprintPlanning[Sprint],B$3)+SUMIFS('Q1 Backlog Report 2026'!$K:$K,'Q1 Backlog Report 2026'!$D:$D,$A15,'Q1 Backlog Report 2026'!$I:$I,B$3)</f>
        <v>0</v>
      </c>
      <c r="C15" s="69" t="n">
        <f aca="false">SUMIFS(SprintPlanning[HLE],SprintPlanning[Stream],$A15,SprintPlanning[Sprint],C$3)+SUMIFS('Q1 Backlog Report 2026'!$K:$K,'Q1 Backlog Report 2026'!$D:$D,$A15,'Q1 Backlog Report 2026'!$I:$I,C$3)</f>
        <v>0</v>
      </c>
      <c r="D15" s="69" t="n">
        <f aca="false">SUMIFS(SprintPlanning[HLE],SprintPlanning[Stream],$A15,SprintPlanning[Sprint],D$3)+SUMIFS('Q1 Backlog Report 2026'!$K:$K,'Q1 Backlog Report 2026'!$D:$D,$A15,'Q1 Backlog Report 2026'!$I:$I,D$3)</f>
        <v>0</v>
      </c>
      <c r="E15" s="69" t="n">
        <f aca="false">SUMIFS(SprintPlanning[HLE],SprintPlanning[Stream],$A15,SprintPlanning[Sprint],E$3)+SUMIFS('Q1 Backlog Report 2026'!$K:$K,'Q1 Backlog Report 2026'!$D:$D,$A15,'Q1 Backlog Report 2026'!$I:$I,E$3)</f>
        <v>0</v>
      </c>
      <c r="F15" s="69" t="n">
        <f aca="false">SUMIFS(SprintPlanning[HLE],SprintPlanning[Stream],$A15,SprintPlanning[Sprint],F$3)+SUMIFS('Q2 Backlog Report 2026'!$K:$K,'Q2 Backlog Report 2026'!$D:$D,$A15,'Q2 Backlog Report 2026'!$I:$I,F$3)</f>
        <v>8</v>
      </c>
      <c r="G15" s="69" t="n">
        <f aca="false">SUMIFS(SprintPlanning[HLE],SprintPlanning[Stream],$A15,SprintPlanning[Sprint],G$3)+SUMIFS('Q2 Backlog Report 2026'!$K:$K,'Q2 Backlog Report 2026'!$D:$D,$A15,'Q2 Backlog Report 2026'!$I:$I,G$3)</f>
        <v>5</v>
      </c>
      <c r="H15" s="69" t="n">
        <f aca="false">SUMIFS(SprintPlanning[HLE],SprintPlanning[Stream],$A15,SprintPlanning[Sprint],H$3)+SUMIFS('Q2 Backlog Report 2026'!$K:$K,'Q2 Backlog Report 2026'!$D:$D,$A15,'Q2 Backlog Report 2026'!$I:$I,H$3)</f>
        <v>10</v>
      </c>
      <c r="I15" s="69" t="n">
        <f aca="false">SUMIFS(SprintPlanning[HLE],SprintPlanning[Stream],$A15,SprintPlanning[Sprint],I$3)+SUMIFS('Q2 Backlog Report 2026'!$K:$K,'Q2 Backlog Report 2026'!$D:$D,$A15,'Q2 Backlog Report 2026'!$I:$I,I$3)</f>
        <v>0</v>
      </c>
      <c r="J15" s="69" t="n">
        <f aca="false">SUMIFS(SprintPlanning[HLE],SprintPlanning[Stream],$A15,SprintPlanning[Sprint],J$3)+SUMIFS('Q3 Backlog Report 2026'!$K:$K,'Q3 Backlog Report 2026'!$D:$D,$A15,'Q3 Backlog Report 2026'!$I:$I,J$3)</f>
        <v>12</v>
      </c>
      <c r="K15" s="69" t="n">
        <f aca="false">SUMIFS(SprintPlanning[HLE],SprintPlanning[Stream],$A15,SprintPlanning[Sprint],K$3)+SUMIFS('Q3 Backlog Report 2026'!$K:$K,'Q3 Backlog Report 2026'!$D:$D,$A15,'Q3 Backlog Report 2026'!$I:$I,K$3)</f>
        <v>8</v>
      </c>
      <c r="L15" s="69" t="n">
        <f aca="false">SUMIFS(SprintPlanning[HLE],SprintPlanning[Stream],$A15,SprintPlanning[Sprint],L$3)+SUMIFS('Q3 Backlog Report 2026'!$K:$K,'Q3 Backlog Report 2026'!$D:$D,$A15,'Q3 Backlog Report 2026'!$I:$I,L$3)</f>
        <v>0</v>
      </c>
      <c r="M15" s="69" t="n">
        <f aca="false">SUMIFS(SprintPlanning[HLE],SprintPlanning[Stream],$A15,SprintPlanning[Sprint],M$3)+SUMIFS('Q3 Backlog Report 2026'!$K:$K,'Q3 Backlog Report 2026'!$D:$D,$A15,'Q3 Backlog Report 2026'!$I:$I,M$3)</f>
        <v>0</v>
      </c>
      <c r="N15" s="69" t="n">
        <f aca="false">SUMIFS(SprintPlanning[HLE],SprintPlanning[Stream],$A15,SprintPlanning[Sprint],N$3)+SUMIFS('Q4 Backlog Report 2026'!$K:$K,'Q4 Backlog Report 2026'!$D:$D,$A15,'Q4 Backlog Report 2026'!$I:$I,N$3)</f>
        <v>0</v>
      </c>
      <c r="O15" s="69" t="n">
        <f aca="false">SUMIFS(SprintPlanning[HLE],SprintPlanning[Stream],$A15,SprintPlanning[Sprint],O$3)+SUMIFS('Q4 Backlog Report 2026'!$K:$K,'Q4 Backlog Report 2026'!$D:$D,$A15,'Q4 Backlog Report 2026'!$I:$I,O$3)</f>
        <v>0</v>
      </c>
      <c r="P15" s="69" t="n">
        <f aca="false">SUMIFS(SprintPlanning[HLE],SprintPlanning[Stream],$A15,SprintPlanning[Sprint],P$3)+SUMIFS('Q4 Backlog Report 2026'!$K:$K,'Q4 Backlog Report 2026'!$D:$D,$A15,'Q4 Backlog Report 2026'!$I:$I,P$3)</f>
        <v>0</v>
      </c>
      <c r="Q15" s="69" t="n">
        <f aca="false">SUMIFS(SprintPlanning[HLE],SprintPlanning[Stream],$A15,SprintPlanning[Sprint],Q$3)+SUMIFS('Q4 Backlog Report 2026'!$K:$K,'Q4 Backlog Report 2026'!$D:$D,$A15,'Q4 Backlog Report 2026'!$I:$I,Q$3)</f>
        <v>0</v>
      </c>
      <c r="R15" s="73" t="n">
        <f aca="false">SUM(B15:Q15)</f>
        <v>43</v>
      </c>
      <c r="T15" s="1" t="e">
        <f aca="false">IF(AND('sprint planning'!#ref!&gt;=10,'sprint planning'!#ref!&lt;=16),IFERROR(MATCH('sprint planning'!#ref!,Roadmap!$A$4:$A$15,0),99)*100+'sprint planning'!#ref!+15/100000,"")</f>
        <v>#VALUE!</v>
      </c>
    </row>
    <row r="16" customFormat="false" ht="15" hidden="false" customHeight="true" outlineLevel="0" collapsed="false">
      <c r="A16" s="73" t="s">
        <v>448</v>
      </c>
      <c r="B16" s="73" t="n">
        <f aca="false">SUM(B4:B15)</f>
        <v>88</v>
      </c>
      <c r="C16" s="73" t="n">
        <f aca="false">SUM(C4:C15)</f>
        <v>35</v>
      </c>
      <c r="D16" s="73" t="n">
        <f aca="false">SUM(D4:D15)</f>
        <v>84</v>
      </c>
      <c r="E16" s="73" t="n">
        <f aca="false">SUM(E4:E15)</f>
        <v>68</v>
      </c>
      <c r="F16" s="73" t="n">
        <f aca="false">SUM(F4:F15)</f>
        <v>202</v>
      </c>
      <c r="G16" s="73" t="n">
        <f aca="false">SUM(G4:G15)</f>
        <v>153</v>
      </c>
      <c r="H16" s="73" t="n">
        <f aca="false">SUM(H4:H15)</f>
        <v>103</v>
      </c>
      <c r="I16" s="73" t="n">
        <f aca="false">SUM(I4:I15)</f>
        <v>105</v>
      </c>
      <c r="J16" s="73" t="n">
        <f aca="false">SUM(J4:J15)</f>
        <v>141</v>
      </c>
      <c r="K16" s="73" t="n">
        <f aca="false">SUM(K4:K15)</f>
        <v>120</v>
      </c>
      <c r="L16" s="73" t="n">
        <f aca="false">SUM(L4:L15)</f>
        <v>92</v>
      </c>
      <c r="M16" s="73" t="n">
        <f aca="false">SUM(M4:M15)</f>
        <v>117</v>
      </c>
      <c r="N16" s="73" t="n">
        <f aca="false">SUM(N4:N15)</f>
        <v>71</v>
      </c>
      <c r="O16" s="73" t="n">
        <f aca="false">SUM(O4:O15)</f>
        <v>46</v>
      </c>
      <c r="P16" s="73" t="n">
        <f aca="false">SUM(P4:P15)</f>
        <v>16</v>
      </c>
      <c r="Q16" s="73" t="n">
        <f aca="false">SUM(Q4:Q15)</f>
        <v>0</v>
      </c>
      <c r="R16" s="73" t="n">
        <f aca="false">SUM(R4:R15)</f>
        <v>1441</v>
      </c>
      <c r="T16" s="1" t="e">
        <f aca="false">IF(AND('sprint planning'!#ref!&gt;=10,'sprint planning'!#ref!&lt;=16),IFERROR(MATCH('sprint planning'!#ref!,Roadmap!$A$4:$A$15,0),99)*100+'sprint planning'!#ref!+16/100000,"")</f>
        <v>#VALUE!</v>
      </c>
    </row>
    <row r="17" customFormat="false" ht="15" hidden="false" customHeight="true" outlineLevel="0" collapsed="false">
      <c r="T17" s="1" t="e">
        <f aca="false">IF(AND('sprint planning'!#ref!&gt;=10,'sprint planning'!#ref!&lt;=16),IFERROR(MATCH('sprint planning'!#ref!,Roadmap!$A$4:$A$15,0),99)*100+'sprint planning'!#ref!+17/100000,"")</f>
        <v>#VALUE!</v>
      </c>
    </row>
    <row r="18" customFormat="false" ht="15" hidden="false" customHeight="true" outlineLevel="0" collapsed="false">
      <c r="A18" s="74" t="s">
        <v>453</v>
      </c>
      <c r="T18" s="1" t="str">
        <f aca="false">IF(AND('Sprint Planning'!$H4&gt;=10,'Sprint Planning'!$H4&lt;=16),IFERROR(MATCH('Sprint Planning'!$C4,Roadmap!$A$4:$A$15,0),99)*100+'Sprint Planning'!$H4+18/100000,"")</f>
        <v/>
      </c>
    </row>
    <row r="19" customFormat="false" ht="15" hidden="false" customHeight="true" outlineLevel="0" collapsed="false">
      <c r="T19" s="1" t="str">
        <f aca="false">IF(AND('Sprint Planning'!$H5&gt;=10,'Sprint Planning'!$H5&lt;=16),IFERROR(MATCH('Sprint Planning'!$C5,Roadmap!$A$4:$A$15,0),99)*100+'Sprint Planning'!$H5+19/100000,"")</f>
        <v/>
      </c>
    </row>
    <row r="20" customFormat="false" ht="15" hidden="false" customHeight="true" outlineLevel="0" collapsed="false">
      <c r="A20" s="75" t="s">
        <v>69</v>
      </c>
      <c r="B20" s="76" t="s">
        <v>454</v>
      </c>
      <c r="C20" s="75"/>
      <c r="D20" s="75" t="s">
        <v>425</v>
      </c>
      <c r="E20" s="75" t="s">
        <v>426</v>
      </c>
      <c r="F20" s="75" t="s">
        <v>422</v>
      </c>
      <c r="G20" s="75" t="s">
        <v>419</v>
      </c>
      <c r="H20" s="75" t="s">
        <v>417</v>
      </c>
      <c r="I20" s="75" t="s">
        <v>427</v>
      </c>
      <c r="J20" s="75" t="s">
        <v>428</v>
      </c>
      <c r="K20" s="77"/>
      <c r="T20" s="1" t="e">
        <f aca="false">IF(AND('sprint planning'!#ref!&gt;=10,'sprint planning'!#ref!&lt;=16),IFERROR(MATCH('sprint planning'!#ref!,Roadmap!$A$4:$A$15,0),99)*100+'sprint planning'!#ref!+20/100000,"")</f>
        <v>#VALUE!</v>
      </c>
    </row>
    <row r="21" customFormat="false" ht="15" hidden="false" customHeight="true" outlineLevel="0" collapsed="false">
      <c r="A21" s="1" t="str">
        <f aca="false">IFERROR(INDEX('Sprint Planning'!$C$2:$C$201,MATCH(SMALL(Roadmap!$T$2:$T$243,ROW()-20),Roadmap!$T$2:$T$243,0)),"")</f>
        <v/>
      </c>
      <c r="B21" s="49" t="str">
        <f aca="false">IFERROR(INDEX('Sprint Planning'!$B$2:$B$201,MATCH(SMALL(Roadmap!$T$2:$T$243,ROW()-20),Roadmap!$T$2:$T$243,0)),"")</f>
        <v/>
      </c>
      <c r="C21" s="1" t="str">
        <f aca="false">IFERROR(INDEX('Sprint Planning'!$H$2:$H$201,MATCH(SMALL(Roadmap!$T$2:$T$243,ROW()-20),Roadmap!$T$2:$T$243,0)),"")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str">
        <f aca="false">IF(AND('Sprint Planning'!$H6&gt;=10,'Sprint Planning'!$H6&lt;=16),IFERROR(MATCH('Sprint Planning'!$C6,Roadmap!$A$4:$A$15,0),99)*100+'Sprint Planning'!$H6+21/100000,"")</f>
        <v/>
      </c>
    </row>
    <row r="22" customFormat="false" ht="15" hidden="false" customHeight="true" outlineLevel="0" collapsed="false">
      <c r="A22" s="1" t="str">
        <f aca="false">IFERROR(INDEX('Sprint Planning'!$C$2:$C$201,MATCH(SMALL(Roadmap!$T$2:$T$243,ROW()-20),Roadmap!$T$2:$T$243,0)),"")</f>
        <v/>
      </c>
      <c r="B22" s="49" t="str">
        <f aca="false">IFERROR(INDEX('Sprint Planning'!$B$2:$B$201,MATCH(SMALL(Roadmap!$T$2:$T$243,ROW()-20),Roadmap!$T$2:$T$243,0)),"")</f>
        <v/>
      </c>
      <c r="C22" s="1" t="str">
        <f aca="false">IFERROR(INDEX('Sprint Planning'!$H$2:$H$201,MATCH(SMALL(Roadmap!$T$2:$T$243,ROW()-20),Roadmap!$T$2:$T$243,0)),"")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Planning'!$H7&gt;=10,'Sprint Planning'!$H7&lt;=16),IFERROR(MATCH('Sprint Planning'!$C7,Roadmap!$A$4:$A$15,0),99)*100+'Sprint Planning'!$H7+22/100000,"")</f>
        <v>714.00022</v>
      </c>
    </row>
    <row r="23" customFormat="false" ht="15" hidden="false" customHeight="true" outlineLevel="0" collapsed="false">
      <c r="A23" s="1" t="str">
        <f aca="false">IFERROR(INDEX('Sprint Planning'!$C$2:$C$201,MATCH(SMALL(Roadmap!$T$2:$T$243,ROW()-20),Roadmap!$T$2:$T$243,0)),"")</f>
        <v/>
      </c>
      <c r="B23" s="49" t="str">
        <f aca="false">IFERROR(INDEX('Sprint Planning'!$B$2:$B$201,MATCH(SMALL(Roadmap!$T$2:$T$243,ROW()-20),Roadmap!$T$2:$T$243,0)),"")</f>
        <v/>
      </c>
      <c r="C23" s="1" t="str">
        <f aca="false">IFERROR(INDEX('Sprint Planning'!$H$2:$H$201,MATCH(SMALL(Roadmap!$T$2:$T$243,ROW()-20),Roadmap!$T$2:$T$243,0)),"")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Planning'!$H8&gt;=10,'Sprint Planning'!$H8&lt;=16),IFERROR(MATCH('Sprint Planning'!$C8,Roadmap!$A$4:$A$15,0),99)*100+'Sprint Planning'!$H8+23/100000,"")</f>
        <v>713.00023</v>
      </c>
    </row>
    <row r="24" customFormat="false" ht="15" hidden="false" customHeight="true" outlineLevel="0" collapsed="false">
      <c r="A24" s="1" t="str">
        <f aca="false">IFERROR(INDEX('Sprint Planning'!$C$2:$C$201,MATCH(SMALL(Roadmap!$T$2:$T$243,ROW()-20),Roadmap!$T$2:$T$243,0)),"")</f>
        <v/>
      </c>
      <c r="B24" s="49" t="str">
        <f aca="false">IFERROR(INDEX('Sprint Planning'!$B$2:$B$201,MATCH(SMALL(Roadmap!$T$2:$T$243,ROW()-20),Roadmap!$T$2:$T$243,0)),"")</f>
        <v/>
      </c>
      <c r="C24" s="1" t="str">
        <f aca="false">IFERROR(INDEX('Sprint Planning'!$H$2:$H$201,MATCH(SMALL(Roadmap!$T$2:$T$243,ROW()-20),Roadmap!$T$2:$T$243,0)),"")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e">
        <f aca="false">IF(AND('sprint planning'!#ref!&gt;=10,'sprint planning'!#ref!&lt;=16),IFERROR(MATCH('sprint planning'!#ref!,Roadmap!$A$4:$A$15,0),99)*100+'sprint planning'!#ref!+24/100000,"")</f>
        <v>#VALUE!</v>
      </c>
    </row>
    <row r="25" customFormat="false" ht="15" hidden="false" customHeight="true" outlineLevel="0" collapsed="false">
      <c r="A25" s="1" t="str">
        <f aca="false">IFERROR(INDEX('Sprint Planning'!$C$2:$C$201,MATCH(SMALL(Roadmap!$T$2:$T$243,ROW()-20),Roadmap!$T$2:$T$243,0)),"")</f>
        <v/>
      </c>
      <c r="B25" s="49" t="str">
        <f aca="false">IFERROR(INDEX('Sprint Planning'!$B$2:$B$201,MATCH(SMALL(Roadmap!$T$2:$T$243,ROW()-20),Roadmap!$T$2:$T$243,0)),"")</f>
        <v/>
      </c>
      <c r="C25" s="1" t="str">
        <f aca="false">IFERROR(INDEX('Sprint Planning'!$H$2:$H$201,MATCH(SMALL(Roadmap!$T$2:$T$243,ROW()-20),Roadmap!$T$2:$T$243,0)),"")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str">
        <f aca="false">IF(AND('Sprint Planning'!$H9&gt;=10,'Sprint Planning'!$H9&lt;=16),IFERROR(MATCH('Sprint Planning'!$C9,Roadmap!$A$4:$A$15,0),99)*100+'Sprint Planning'!$H9+25/100000,"")</f>
        <v/>
      </c>
    </row>
    <row r="26" customFormat="false" ht="15" hidden="false" customHeight="true" outlineLevel="0" collapsed="false">
      <c r="A26" s="1" t="str">
        <f aca="false">IFERROR(INDEX('Sprint Planning'!$C$2:$C$201,MATCH(SMALL(Roadmap!$T$2:$T$243,ROW()-20),Roadmap!$T$2:$T$243,0)),"")</f>
        <v/>
      </c>
      <c r="B26" s="49" t="str">
        <f aca="false">IFERROR(INDEX('Sprint Planning'!$B$2:$B$201,MATCH(SMALL(Roadmap!$T$2:$T$243,ROW()-20),Roadmap!$T$2:$T$243,0)),"")</f>
        <v/>
      </c>
      <c r="C26" s="1" t="str">
        <f aca="false">IFERROR(INDEX('Sprint Planning'!$H$2:$H$201,MATCH(SMALL(Roadmap!$T$2:$T$243,ROW()-20),Roadmap!$T$2:$T$243,0)),"")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Planning'!$H10&gt;=10,'Sprint Planning'!$H10&lt;=16),IFERROR(MATCH('Sprint Planning'!$C10,Roadmap!$A$4:$A$15,0),99)*100+'Sprint Planning'!$H10+26/100000,"")</f>
        <v>112.00026</v>
      </c>
    </row>
    <row r="27" customFormat="false" ht="15" hidden="false" customHeight="true" outlineLevel="0" collapsed="false">
      <c r="A27" s="1" t="str">
        <f aca="false">IFERROR(INDEX('Sprint Planning'!$C$2:$C$201,MATCH(SMALL(Roadmap!$T$2:$T$243,ROW()-20),Roadmap!$T$2:$T$243,0)),"")</f>
        <v/>
      </c>
      <c r="B27" s="49" t="str">
        <f aca="false">IFERROR(INDEX('Sprint Planning'!$B$2:$B$201,MATCH(SMALL(Roadmap!$T$2:$T$243,ROW()-20),Roadmap!$T$2:$T$243,0)),"")</f>
        <v/>
      </c>
      <c r="C27" s="1" t="str">
        <f aca="false">IFERROR(INDEX('Sprint Planning'!$H$2:$H$201,MATCH(SMALL(Roadmap!$T$2:$T$243,ROW()-20),Roadmap!$T$2:$T$243,0)),"")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str">
        <f aca="false">IF(AND('Sprint Planning'!$H11&gt;=10,'Sprint Planning'!$H11&lt;=16),IFERROR(MATCH('Sprint Planning'!$C11,Roadmap!$A$4:$A$15,0),99)*100+'Sprint Planning'!$H11+27/100000,"")</f>
        <v/>
      </c>
    </row>
    <row r="28" customFormat="false" ht="15" hidden="false" customHeight="true" outlineLevel="0" collapsed="false">
      <c r="A28" s="1" t="str">
        <f aca="false">IFERROR(INDEX('Sprint Planning'!$C$2:$C$201,MATCH(SMALL(Roadmap!$T$2:$T$243,ROW()-20),Roadmap!$T$2:$T$243,0)),"")</f>
        <v/>
      </c>
      <c r="B28" s="49" t="str">
        <f aca="false">IFERROR(INDEX('Sprint Planning'!$B$2:$B$201,MATCH(SMALL(Roadmap!$T$2:$T$243,ROW()-20),Roadmap!$T$2:$T$243,0)),"")</f>
        <v/>
      </c>
      <c r="C28" s="1" t="str">
        <f aca="false">IFERROR(INDEX('Sprint Planning'!$H$2:$H$201,MATCH(SMALL(Roadmap!$T$2:$T$243,ROW()-20),Roadmap!$T$2:$T$243,0)),"")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str">
        <f aca="false">IF(AND('Sprint Planning'!$H12&gt;=10,'Sprint Planning'!$H12&lt;=16),IFERROR(MATCH('Sprint Planning'!$C12,Roadmap!$A$4:$A$15,0),99)*100+'Sprint Planning'!$H12+28/100000,"")</f>
        <v/>
      </c>
    </row>
    <row r="29" customFormat="false" ht="15" hidden="false" customHeight="true" outlineLevel="0" collapsed="false">
      <c r="A29" s="1" t="str">
        <f aca="false">IFERROR(INDEX('Sprint Planning'!$C$2:$C$201,MATCH(SMALL(Roadmap!$T$2:$T$243,ROW()-20),Roadmap!$T$2:$T$243,0)),"")</f>
        <v/>
      </c>
      <c r="B29" s="49" t="str">
        <f aca="false">IFERROR(INDEX('Sprint Planning'!$B$2:$B$201,MATCH(SMALL(Roadmap!$T$2:$T$243,ROW()-20),Roadmap!$T$2:$T$243,0)),"")</f>
        <v/>
      </c>
      <c r="C29" s="1" t="str">
        <f aca="false">IFERROR(INDEX('Sprint Planning'!$H$2:$H$201,MATCH(SMALL(Roadmap!$T$2:$T$243,ROW()-20),Roadmap!$T$2:$T$243,0)),"")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str">
        <f aca="false">IF(AND('Sprint Planning'!$H13&gt;=10,'Sprint Planning'!$H13&lt;=16),IFERROR(MATCH('Sprint Planning'!$C13,Roadmap!$A$4:$A$15,0),99)*100+'Sprint Planning'!$H13+29/100000,"")</f>
        <v/>
      </c>
    </row>
    <row r="30" customFormat="false" ht="15" hidden="false" customHeight="true" outlineLevel="0" collapsed="false">
      <c r="A30" s="1" t="str">
        <f aca="false">IFERROR(INDEX('Sprint Planning'!$C$2:$C$201,MATCH(SMALL(Roadmap!$T$2:$T$243,ROW()-20),Roadmap!$T$2:$T$243,0)),"")</f>
        <v/>
      </c>
      <c r="B30" s="49" t="str">
        <f aca="false">IFERROR(INDEX('Sprint Planning'!$B$2:$B$201,MATCH(SMALL(Roadmap!$T$2:$T$243,ROW()-20),Roadmap!$T$2:$T$243,0)),"")</f>
        <v/>
      </c>
      <c r="C30" s="1" t="str">
        <f aca="false">IFERROR(INDEX('Sprint Planning'!$H$2:$H$201,MATCH(SMALL(Roadmap!$T$2:$T$243,ROW()-20),Roadmap!$T$2:$T$243,0)),"")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Planning'!$H14&gt;=10,'Sprint Planning'!$H14&lt;=16),IFERROR(MATCH('Sprint Planning'!$C14,Roadmap!$A$4:$A$15,0),99)*100+'Sprint Planning'!$H14+30/100000,"")</f>
        <v>215.0003</v>
      </c>
    </row>
    <row r="31" customFormat="false" ht="15" hidden="false" customHeight="true" outlineLevel="0" collapsed="false">
      <c r="A31" s="1" t="str">
        <f aca="false">IFERROR(INDEX('Sprint Planning'!$C$2:$C$201,MATCH(SMALL(Roadmap!$T$2:$T$243,ROW()-20),Roadmap!$T$2:$T$243,0)),"")</f>
        <v/>
      </c>
      <c r="B31" s="49" t="str">
        <f aca="false">IFERROR(INDEX('Sprint Planning'!$B$2:$B$201,MATCH(SMALL(Roadmap!$T$2:$T$243,ROW()-20),Roadmap!$T$2:$T$243,0)),"")</f>
        <v/>
      </c>
      <c r="C31" s="1" t="str">
        <f aca="false">IFERROR(INDEX('Sprint Planning'!$H$2:$H$201,MATCH(SMALL(Roadmap!$T$2:$T$243,ROW()-20),Roadmap!$T$2:$T$243,0)),"")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Planning'!$H15&gt;=10,'Sprint Planning'!$H15&lt;=16),IFERROR(MATCH('Sprint Planning'!$C15,Roadmap!$A$4:$A$15,0),99)*100+'Sprint Planning'!$H15+31/100000,"")</f>
        <v>613.00031</v>
      </c>
    </row>
    <row r="32" customFormat="false" ht="15" hidden="false" customHeight="true" outlineLevel="0" collapsed="false">
      <c r="A32" s="1" t="str">
        <f aca="false">IFERROR(INDEX('Sprint Planning'!$C$2:$C$201,MATCH(SMALL(Roadmap!$T$2:$T$243,ROW()-20),Roadmap!$T$2:$T$243,0)),"")</f>
        <v/>
      </c>
      <c r="B32" s="49" t="str">
        <f aca="false">IFERROR(INDEX('Sprint Planning'!$B$2:$B$201,MATCH(SMALL(Roadmap!$T$2:$T$243,ROW()-20),Roadmap!$T$2:$T$243,0)),"")</f>
        <v/>
      </c>
      <c r="C32" s="1" t="str">
        <f aca="false">IFERROR(INDEX('Sprint Planning'!$H$2:$H$201,MATCH(SMALL(Roadmap!$T$2:$T$243,ROW()-20),Roadmap!$T$2:$T$243,0)),"")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e">
        <f aca="false">IF(AND('sprint planning'!#ref!&gt;=10,'sprint planning'!#ref!&lt;=16),IFERROR(MATCH('sprint planning'!#ref!,Roadmap!$A$4:$A$15,0),99)*100+'sprint planning'!#ref!+32/100000,"")</f>
        <v>#VALUE!</v>
      </c>
    </row>
    <row r="33" customFormat="false" ht="15" hidden="false" customHeight="true" outlineLevel="0" collapsed="false">
      <c r="A33" s="1" t="str">
        <f aca="false">IFERROR(INDEX('Sprint Planning'!$C$2:$C$201,MATCH(SMALL(Roadmap!$T$2:$T$243,ROW()-20),Roadmap!$T$2:$T$243,0)),"")</f>
        <v/>
      </c>
      <c r="B33" s="49" t="str">
        <f aca="false">IFERROR(INDEX('Sprint Planning'!$B$2:$B$201,MATCH(SMALL(Roadmap!$T$2:$T$243,ROW()-20),Roadmap!$T$2:$T$243,0)),"")</f>
        <v/>
      </c>
      <c r="C33" s="1" t="str">
        <f aca="false">IFERROR(INDEX('Sprint Planning'!$H$2:$H$201,MATCH(SMALL(Roadmap!$T$2:$T$243,ROW()-20),Roadmap!$T$2:$T$243,0)),"")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Planning'!$H16&gt;=10,'Sprint Planning'!$H16&lt;=16),IFERROR(MATCH('Sprint Planning'!$C16,Roadmap!$A$4:$A$15,0),99)*100+'Sprint Planning'!$H16+33/100000,"")</f>
        <v/>
      </c>
    </row>
    <row r="34" customFormat="false" ht="15" hidden="false" customHeight="true" outlineLevel="0" collapsed="false">
      <c r="A34" s="1" t="str">
        <f aca="false">IFERROR(INDEX('Sprint Planning'!$C$2:$C$201,MATCH(SMALL(Roadmap!$T$2:$T$243,ROW()-20),Roadmap!$T$2:$T$243,0)),"")</f>
        <v/>
      </c>
      <c r="B34" s="49" t="str">
        <f aca="false">IFERROR(INDEX('Sprint Planning'!$B$2:$B$201,MATCH(SMALL(Roadmap!$T$2:$T$243,ROW()-20),Roadmap!$T$2:$T$243,0)),"")</f>
        <v/>
      </c>
      <c r="C34" s="1" t="str">
        <f aca="false">IFERROR(INDEX('Sprint Planning'!$H$2:$H$201,MATCH(SMALL(Roadmap!$T$2:$T$243,ROW()-20),Roadmap!$T$2:$T$243,0)),"")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Planning'!$H17&gt;=10,'Sprint Planning'!$H17&lt;=16),IFERROR(MATCH('Sprint Planning'!$C17,Roadmap!$A$4:$A$15,0),99)*100+'Sprint Planning'!$H17+34/100000,"")</f>
        <v/>
      </c>
    </row>
    <row r="35" customFormat="false" ht="15" hidden="false" customHeight="true" outlineLevel="0" collapsed="false">
      <c r="A35" s="1" t="str">
        <f aca="false">IFERROR(INDEX('Sprint Planning'!$C$2:$C$201,MATCH(SMALL(Roadmap!$T$2:$T$243,ROW()-20),Roadmap!$T$2:$T$243,0)),"")</f>
        <v/>
      </c>
      <c r="B35" s="49" t="str">
        <f aca="false">IFERROR(INDEX('Sprint Planning'!$B$2:$B$201,MATCH(SMALL(Roadmap!$T$2:$T$243,ROW()-20),Roadmap!$T$2:$T$243,0)),"")</f>
        <v/>
      </c>
      <c r="C35" s="1" t="str">
        <f aca="false">IFERROR(INDEX('Sprint Planning'!$H$2:$H$201,MATCH(SMALL(Roadmap!$T$2:$T$243,ROW()-20),Roadmap!$T$2:$T$243,0)),"")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Planning'!$H18&gt;=10,'Sprint Planning'!$H18&lt;=16),IFERROR(MATCH('Sprint Planning'!$C18,Roadmap!$A$4:$A$15,0),99)*100+'Sprint Planning'!$H18+35/100000,"")</f>
        <v/>
      </c>
    </row>
    <row r="36" customFormat="false" ht="15" hidden="false" customHeight="true" outlineLevel="0" collapsed="false">
      <c r="A36" s="1" t="str">
        <f aca="false">IFERROR(INDEX('Sprint Planning'!$C$2:$C$201,MATCH(SMALL(Roadmap!$T$2:$T$243,ROW()-20),Roadmap!$T$2:$T$243,0)),"")</f>
        <v/>
      </c>
      <c r="B36" s="49" t="str">
        <f aca="false">IFERROR(INDEX('Sprint Planning'!$B$2:$B$201,MATCH(SMALL(Roadmap!$T$2:$T$243,ROW()-20),Roadmap!$T$2:$T$243,0)),"")</f>
        <v/>
      </c>
      <c r="C36" s="1" t="str">
        <f aca="false">IFERROR(INDEX('Sprint Planning'!$H$2:$H$201,MATCH(SMALL(Roadmap!$T$2:$T$243,ROW()-20),Roadmap!$T$2:$T$243,0)),"")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Planning'!$H19&gt;=10,'Sprint Planning'!$H19&lt;=16),IFERROR(MATCH('Sprint Planning'!$C19,Roadmap!$A$4:$A$15,0),99)*100+'Sprint Planning'!$H19+36/100000,"")</f>
        <v/>
      </c>
    </row>
    <row r="37" customFormat="false" ht="15" hidden="false" customHeight="true" outlineLevel="0" collapsed="false">
      <c r="A37" s="1" t="str">
        <f aca="false">IFERROR(INDEX('Sprint Planning'!$C$2:$C$201,MATCH(SMALL(Roadmap!$T$2:$T$243,ROW()-20),Roadmap!$T$2:$T$243,0)),"")</f>
        <v/>
      </c>
      <c r="B37" s="49" t="str">
        <f aca="false">IFERROR(INDEX('Sprint Planning'!$B$2:$B$201,MATCH(SMALL(Roadmap!$T$2:$T$243,ROW()-20),Roadmap!$T$2:$T$243,0)),"")</f>
        <v/>
      </c>
      <c r="C37" s="1" t="str">
        <f aca="false">IFERROR(INDEX('Sprint Planning'!$H$2:$H$201,MATCH(SMALL(Roadmap!$T$2:$T$243,ROW()-20),Roadmap!$T$2:$T$243,0)),"")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Planning'!$H20&gt;=10,'Sprint Planning'!$H20&lt;=16),IFERROR(MATCH('Sprint Planning'!$C20,Roadmap!$A$4:$A$15,0),99)*100+'Sprint Planning'!$H20+37/100000,"")</f>
        <v/>
      </c>
    </row>
    <row r="38" customFormat="false" ht="15" hidden="false" customHeight="true" outlineLevel="0" collapsed="false">
      <c r="A38" s="1" t="str">
        <f aca="false">IFERROR(INDEX('Sprint Planning'!$C$2:$C$201,MATCH(SMALL(Roadmap!$T$2:$T$243,ROW()-20),Roadmap!$T$2:$T$243,0)),"")</f>
        <v/>
      </c>
      <c r="B38" s="49" t="str">
        <f aca="false">IFERROR(INDEX('Sprint Planning'!$B$2:$B$201,MATCH(SMALL(Roadmap!$T$2:$T$243,ROW()-20),Roadmap!$T$2:$T$243,0)),"")</f>
        <v/>
      </c>
      <c r="C38" s="1" t="str">
        <f aca="false">IFERROR(INDEX('Sprint Planning'!$H$2:$H$201,MATCH(SMALL(Roadmap!$T$2:$T$243,ROW()-20),Roadmap!$T$2:$T$243,0)),"")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Planning'!$H21&gt;=10,'Sprint Planning'!$H21&lt;=16),IFERROR(MATCH('Sprint Planning'!$C21,Roadmap!$A$4:$A$15,0),99)*100+'Sprint Planning'!$H21+38/100000,"")</f>
        <v/>
      </c>
    </row>
    <row r="39" customFormat="false" ht="15" hidden="false" customHeight="true" outlineLevel="0" collapsed="false">
      <c r="A39" s="1" t="str">
        <f aca="false">IFERROR(INDEX('Sprint Planning'!$C$2:$C$201,MATCH(SMALL(Roadmap!$T$2:$T$243,ROW()-20),Roadmap!$T$2:$T$243,0)),"")</f>
        <v/>
      </c>
      <c r="B39" s="49" t="str">
        <f aca="false">IFERROR(INDEX('Sprint Planning'!$B$2:$B$201,MATCH(SMALL(Roadmap!$T$2:$T$243,ROW()-20),Roadmap!$T$2:$T$243,0)),"")</f>
        <v/>
      </c>
      <c r="C39" s="1" t="str">
        <f aca="false">IFERROR(INDEX('Sprint Planning'!$H$2:$H$201,MATCH(SMALL(Roadmap!$T$2:$T$243,ROW()-20),Roadmap!$T$2:$T$243,0)),"")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Planning'!$H22&gt;=10,'Sprint Planning'!$H22&lt;=16),IFERROR(MATCH('Sprint Planning'!$C22,Roadmap!$A$4:$A$15,0),99)*100+'Sprint Planning'!$H22+39/100000,"")</f>
        <v/>
      </c>
    </row>
    <row r="40" customFormat="false" ht="15" hidden="false" customHeight="true" outlineLevel="0" collapsed="false">
      <c r="A40" s="1" t="str">
        <f aca="false">IFERROR(INDEX('Sprint Planning'!$C$2:$C$201,MATCH(SMALL(Roadmap!$T$2:$T$243,ROW()-20),Roadmap!$T$2:$T$243,0)),"")</f>
        <v/>
      </c>
      <c r="B40" s="49" t="str">
        <f aca="false">IFERROR(INDEX('Sprint Planning'!$B$2:$B$201,MATCH(SMALL(Roadmap!$T$2:$T$243,ROW()-20),Roadmap!$T$2:$T$243,0)),"")</f>
        <v/>
      </c>
      <c r="C40" s="1" t="str">
        <f aca="false">IFERROR(INDEX('Sprint Planning'!$H$2:$H$201,MATCH(SMALL(Roadmap!$T$2:$T$243,ROW()-20),Roadmap!$T$2:$T$243,0)),"")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Planning'!$H23&gt;=10,'Sprint Planning'!$H23&lt;=16),IFERROR(MATCH('Sprint Planning'!$C23,Roadmap!$A$4:$A$15,0),99)*100+'Sprint Planning'!$H23+40/100000,"")</f>
        <v/>
      </c>
    </row>
    <row r="41" customFormat="false" ht="15" hidden="false" customHeight="true" outlineLevel="0" collapsed="false">
      <c r="A41" s="1" t="str">
        <f aca="false">IFERROR(INDEX('Sprint Planning'!$C$2:$C$201,MATCH(SMALL(Roadmap!$T$2:$T$243,ROW()-20),Roadmap!$T$2:$T$243,0)),"")</f>
        <v/>
      </c>
      <c r="B41" s="49" t="str">
        <f aca="false">IFERROR(INDEX('Sprint Planning'!$B$2:$B$201,MATCH(SMALL(Roadmap!$T$2:$T$243,ROW()-20),Roadmap!$T$2:$T$243,0)),"")</f>
        <v/>
      </c>
      <c r="C41" s="1" t="str">
        <f aca="false">IFERROR(INDEX('Sprint Planning'!$H$2:$H$201,MATCH(SMALL(Roadmap!$T$2:$T$243,ROW()-20),Roadmap!$T$2:$T$243,0)),"")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n">
        <f aca="false">IF(AND('Sprint Planning'!$H24&gt;=10,'Sprint Planning'!$H24&lt;=16),IFERROR(MATCH('Sprint Planning'!$C24,Roadmap!$A$4:$A$15,0),99)*100+'Sprint Planning'!$H24+41/100000,"")</f>
        <v>214.00041</v>
      </c>
    </row>
    <row r="42" customFormat="false" ht="15" hidden="false" customHeight="true" outlineLevel="0" collapsed="false">
      <c r="A42" s="1" t="str">
        <f aca="false">IFERROR(INDEX('Sprint Planning'!$C$2:$C$201,MATCH(SMALL(Roadmap!$T$2:$T$243,ROW()-20),Roadmap!$T$2:$T$243,0)),"")</f>
        <v/>
      </c>
      <c r="B42" s="49" t="str">
        <f aca="false">IFERROR(INDEX('Sprint Planning'!$B$2:$B$201,MATCH(SMALL(Roadmap!$T$2:$T$243,ROW()-20),Roadmap!$T$2:$T$243,0)),"")</f>
        <v/>
      </c>
      <c r="C42" s="1" t="str">
        <f aca="false">IFERROR(INDEX('Sprint Planning'!$H$2:$H$201,MATCH(SMALL(Roadmap!$T$2:$T$243,ROW()-20),Roadmap!$T$2:$T$243,0)),"")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Planning'!$H25&gt;=10,'Sprint Planning'!$H25&lt;=16),IFERROR(MATCH('Sprint Planning'!$C25,Roadmap!$A$4:$A$15,0),99)*100+'Sprint Planning'!$H25+42/100000,"")</f>
        <v/>
      </c>
    </row>
    <row r="43" customFormat="false" ht="15" hidden="false" customHeight="true" outlineLevel="0" collapsed="false">
      <c r="A43" s="1" t="str">
        <f aca="false">IFERROR(INDEX('Sprint Planning'!$C$2:$C$201,MATCH(SMALL(Roadmap!$T$2:$T$243,ROW()-20),Roadmap!$T$2:$T$243,0)),"")</f>
        <v/>
      </c>
      <c r="B43" s="49" t="str">
        <f aca="false">IFERROR(INDEX('Sprint Planning'!$B$2:$B$201,MATCH(SMALL(Roadmap!$T$2:$T$243,ROW()-20),Roadmap!$T$2:$T$243,0)),"")</f>
        <v/>
      </c>
      <c r="C43" s="1" t="str">
        <f aca="false">IFERROR(INDEX('Sprint Planning'!$H$2:$H$201,MATCH(SMALL(Roadmap!$T$2:$T$243,ROW()-20),Roadmap!$T$2:$T$243,0)),"")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Planning'!$H26&gt;=10,'Sprint Planning'!$H26&lt;=16),IFERROR(MATCH('Sprint Planning'!$C26,Roadmap!$A$4:$A$15,0),99)*100+'Sprint Planning'!$H26+43/100000,"")</f>
        <v/>
      </c>
    </row>
    <row r="44" customFormat="false" ht="15" hidden="false" customHeight="true" outlineLevel="0" collapsed="false">
      <c r="A44" s="1" t="str">
        <f aca="false">IFERROR(INDEX('Sprint Planning'!$C$2:$C$201,MATCH(SMALL(Roadmap!$T$2:$T$243,ROW()-20),Roadmap!$T$2:$T$243,0)),"")</f>
        <v/>
      </c>
      <c r="B44" s="49" t="str">
        <f aca="false">IFERROR(INDEX('Sprint Planning'!$B$2:$B$201,MATCH(SMALL(Roadmap!$T$2:$T$243,ROW()-20),Roadmap!$T$2:$T$243,0)),"")</f>
        <v/>
      </c>
      <c r="C44" s="1" t="str">
        <f aca="false">IFERROR(INDEX('Sprint Planning'!$H$2:$H$201,MATCH(SMALL(Roadmap!$T$2:$T$243,ROW()-20),Roadmap!$T$2:$T$243,0)),"")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Planning'!$H27&gt;=10,'Sprint Planning'!$H27&lt;=16),IFERROR(MATCH('Sprint Planning'!$C27,Roadmap!$A$4:$A$15,0),99)*100+'Sprint Planning'!$H27+44/100000,"")</f>
        <v/>
      </c>
    </row>
    <row r="45" customFormat="false" ht="15" hidden="false" customHeight="true" outlineLevel="0" collapsed="false">
      <c r="A45" s="1" t="str">
        <f aca="false">IFERROR(INDEX('Sprint Planning'!$C$2:$C$201,MATCH(SMALL(Roadmap!$T$2:$T$243,ROW()-20),Roadmap!$T$2:$T$243,0)),"")</f>
        <v/>
      </c>
      <c r="B45" s="49" t="str">
        <f aca="false">IFERROR(INDEX('Sprint Planning'!$B$2:$B$201,MATCH(SMALL(Roadmap!$T$2:$T$243,ROW()-20),Roadmap!$T$2:$T$243,0)),"")</f>
        <v/>
      </c>
      <c r="C45" s="1" t="str">
        <f aca="false">IFERROR(INDEX('Sprint Planning'!$H$2:$H$201,MATCH(SMALL(Roadmap!$T$2:$T$243,ROW()-20),Roadmap!$T$2:$T$243,0)),"")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e">
        <f aca="false">IF(AND('sprint planning'!#ref!&gt;=10,'sprint planning'!#ref!&lt;=16),IFERROR(MATCH('sprint planning'!#ref!,Roadmap!$A$4:$A$15,0),99)*100+'sprint planning'!#ref!+45/100000,"")</f>
        <v>#VALUE!</v>
      </c>
    </row>
    <row r="46" customFormat="false" ht="15" hidden="false" customHeight="true" outlineLevel="0" collapsed="false">
      <c r="A46" s="1" t="str">
        <f aca="false">IFERROR(INDEX('Sprint Planning'!$C$2:$C$201,MATCH(SMALL(Roadmap!$T$2:$T$243,ROW()-20),Roadmap!$T$2:$T$243,0)),"")</f>
        <v/>
      </c>
      <c r="B46" s="49" t="str">
        <f aca="false">IFERROR(INDEX('Sprint Planning'!$B$2:$B$201,MATCH(SMALL(Roadmap!$T$2:$T$243,ROW()-20),Roadmap!$T$2:$T$243,0)),"")</f>
        <v/>
      </c>
      <c r="C46" s="1" t="str">
        <f aca="false">IFERROR(INDEX('Sprint Planning'!$H$2:$H$201,MATCH(SMALL(Roadmap!$T$2:$T$243,ROW()-20),Roadmap!$T$2:$T$243,0)),"")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e">
        <f aca="false">IF(AND('sprint planning'!#ref!&gt;=10,'sprint planning'!#ref!&lt;=16),IFERROR(MATCH('sprint planning'!#ref!,Roadmap!$A$4:$A$15,0),99)*100+'sprint planning'!#ref!+46/100000,"")</f>
        <v>#VALUE!</v>
      </c>
    </row>
    <row r="47" customFormat="false" ht="15" hidden="false" customHeight="true" outlineLevel="0" collapsed="false">
      <c r="A47" s="1" t="str">
        <f aca="false">IFERROR(INDEX('Sprint Planning'!$C$2:$C$201,MATCH(SMALL(Roadmap!$T$2:$T$243,ROW()-20),Roadmap!$T$2:$T$243,0)),"")</f>
        <v/>
      </c>
      <c r="B47" s="49" t="str">
        <f aca="false">IFERROR(INDEX('Sprint Planning'!$B$2:$B$201,MATCH(SMALL(Roadmap!$T$2:$T$243,ROW()-20),Roadmap!$T$2:$T$243,0)),"")</f>
        <v/>
      </c>
      <c r="C47" s="1" t="str">
        <f aca="false">IFERROR(INDEX('Sprint Planning'!$H$2:$H$201,MATCH(SMALL(Roadmap!$T$2:$T$243,ROW()-20),Roadmap!$T$2:$T$243,0)),"")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Planning'!$H28&gt;=10,'Sprint Planning'!$H28&lt;=16),IFERROR(MATCH('Sprint Planning'!$C28,Roadmap!$A$4:$A$15,0),99)*100+'Sprint Planning'!$H28+47/100000,"")</f>
        <v/>
      </c>
    </row>
    <row r="48" customFormat="false" ht="15" hidden="false" customHeight="true" outlineLevel="0" collapsed="false">
      <c r="A48" s="1" t="str">
        <f aca="false">IFERROR(INDEX('Sprint Planning'!$C$2:$C$201,MATCH(SMALL(Roadmap!$T$2:$T$243,ROW()-20),Roadmap!$T$2:$T$243,0)),"")</f>
        <v/>
      </c>
      <c r="B48" s="49" t="str">
        <f aca="false">IFERROR(INDEX('Sprint Planning'!$B$2:$B$201,MATCH(SMALL(Roadmap!$T$2:$T$243,ROW()-20),Roadmap!$T$2:$T$243,0)),"")</f>
        <v/>
      </c>
      <c r="C48" s="1" t="str">
        <f aca="false">IFERROR(INDEX('Sprint Planning'!$H$2:$H$201,MATCH(SMALL(Roadmap!$T$2:$T$243,ROW()-20),Roadmap!$T$2:$T$243,0)),"")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Planning'!$H29&gt;=10,'Sprint Planning'!$H29&lt;=16),IFERROR(MATCH('Sprint Planning'!$C29,Roadmap!$A$4:$A$15,0),99)*100+'Sprint Planning'!$H29+48/100000,"")</f>
        <v/>
      </c>
    </row>
    <row r="49" customFormat="false" ht="15" hidden="false" customHeight="true" outlineLevel="0" collapsed="false">
      <c r="A49" s="1" t="str">
        <f aca="false">IFERROR(INDEX('Sprint Planning'!$C$2:$C$201,MATCH(SMALL(Roadmap!$T$2:$T$243,ROW()-20),Roadmap!$T$2:$T$243,0)),"")</f>
        <v/>
      </c>
      <c r="B49" s="49" t="str">
        <f aca="false">IFERROR(INDEX('Sprint Planning'!$B$2:$B$201,MATCH(SMALL(Roadmap!$T$2:$T$243,ROW()-20),Roadmap!$T$2:$T$243,0)),"")</f>
        <v/>
      </c>
      <c r="C49" s="1" t="str">
        <f aca="false">IFERROR(INDEX('Sprint Planning'!$H$2:$H$201,MATCH(SMALL(Roadmap!$T$2:$T$243,ROW()-20),Roadmap!$T$2:$T$243,0)),"")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Planning'!$H30&gt;=10,'Sprint Planning'!$H30&lt;=16),IFERROR(MATCH('Sprint Planning'!$C30,Roadmap!$A$4:$A$15,0),99)*100+'Sprint Planning'!$H30+49/100000,"")</f>
        <v/>
      </c>
    </row>
    <row r="50" customFormat="false" ht="15" hidden="false" customHeight="true" outlineLevel="0" collapsed="false">
      <c r="A50" s="1" t="str">
        <f aca="false">IFERROR(INDEX('Sprint Planning'!$C$2:$C$201,MATCH(SMALL(Roadmap!$T$2:$T$243,ROW()-20),Roadmap!$T$2:$T$243,0)),"")</f>
        <v/>
      </c>
      <c r="B50" s="49" t="str">
        <f aca="false">IFERROR(INDEX('Sprint Planning'!$B$2:$B$201,MATCH(SMALL(Roadmap!$T$2:$T$243,ROW()-20),Roadmap!$T$2:$T$243,0)),"")</f>
        <v/>
      </c>
      <c r="C50" s="1" t="str">
        <f aca="false">IFERROR(INDEX('Sprint Planning'!$H$2:$H$201,MATCH(SMALL(Roadmap!$T$2:$T$243,ROW()-20),Roadmap!$T$2:$T$243,0)),"")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Planning'!$H31&gt;=10,'Sprint Planning'!$H31&lt;=16),IFERROR(MATCH('Sprint Planning'!$C31,Roadmap!$A$4:$A$15,0),99)*100+'Sprint Planning'!$H31+50/100000,"")</f>
        <v/>
      </c>
    </row>
    <row r="51" customFormat="false" ht="15" hidden="false" customHeight="true" outlineLevel="0" collapsed="false">
      <c r="A51" s="1" t="str">
        <f aca="false">IFERROR(INDEX('Sprint Planning'!$C$2:$C$201,MATCH(SMALL(Roadmap!$T$2:$T$243,ROW()-20),Roadmap!$T$2:$T$243,0)),"")</f>
        <v/>
      </c>
      <c r="B51" s="49" t="str">
        <f aca="false">IFERROR(INDEX('Sprint Planning'!$B$2:$B$201,MATCH(SMALL(Roadmap!$T$2:$T$243,ROW()-20),Roadmap!$T$2:$T$243,0)),"")</f>
        <v/>
      </c>
      <c r="C51" s="1" t="str">
        <f aca="false">IFERROR(INDEX('Sprint Planning'!$H$2:$H$201,MATCH(SMALL(Roadmap!$T$2:$T$243,ROW()-20),Roadmap!$T$2:$T$243,0)),"")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str">
        <f aca="false">IF(AND('Sprint Planning'!$H32&gt;=10,'Sprint Planning'!$H32&lt;=16),IFERROR(MATCH('Sprint Planning'!$C32,Roadmap!$A$4:$A$15,0),99)*100+'Sprint Planning'!$H32+51/100000,"")</f>
        <v/>
      </c>
    </row>
    <row r="52" customFormat="false" ht="15" hidden="false" customHeight="true" outlineLevel="0" collapsed="false">
      <c r="A52" s="1" t="str">
        <f aca="false">IFERROR(INDEX('Sprint Planning'!$C$2:$C$201,MATCH(SMALL(Roadmap!$T$2:$T$243,ROW()-20),Roadmap!$T$2:$T$243,0)),"")</f>
        <v/>
      </c>
      <c r="B52" s="49" t="str">
        <f aca="false">IFERROR(INDEX('Sprint Planning'!$B$2:$B$201,MATCH(SMALL(Roadmap!$T$2:$T$243,ROW()-20),Roadmap!$T$2:$T$243,0)),"")</f>
        <v/>
      </c>
      <c r="C52" s="1" t="str">
        <f aca="false">IFERROR(INDEX('Sprint Planning'!$H$2:$H$201,MATCH(SMALL(Roadmap!$T$2:$T$243,ROW()-20),Roadmap!$T$2:$T$243,0)),"")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Planning'!$H33&gt;=10,'Sprint Planning'!$H33&lt;=16),IFERROR(MATCH('Sprint Planning'!$C33,Roadmap!$A$4:$A$15,0),99)*100+'Sprint Planning'!$H33+52/100000,"")</f>
        <v/>
      </c>
    </row>
    <row r="53" customFormat="false" ht="15" hidden="false" customHeight="true" outlineLevel="0" collapsed="false">
      <c r="A53" s="1" t="str">
        <f aca="false">IFERROR(INDEX('Sprint Planning'!$C$2:$C$201,MATCH(SMALL(Roadmap!$T$2:$T$243,ROW()-20),Roadmap!$T$2:$T$243,0)),"")</f>
        <v/>
      </c>
      <c r="B53" s="49" t="str">
        <f aca="false">IFERROR(INDEX('Sprint Planning'!$B$2:$B$201,MATCH(SMALL(Roadmap!$T$2:$T$243,ROW()-20),Roadmap!$T$2:$T$243,0)),"")</f>
        <v/>
      </c>
      <c r="C53" s="1" t="str">
        <f aca="false">IFERROR(INDEX('Sprint Planning'!$H$2:$H$201,MATCH(SMALL(Roadmap!$T$2:$T$243,ROW()-20),Roadmap!$T$2:$T$243,0)),"")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Planning'!$H34&gt;=10,'Sprint Planning'!$H34&lt;=16),IFERROR(MATCH('Sprint Planning'!$C34,Roadmap!$A$4:$A$15,0),99)*100+'Sprint Planning'!$H34+53/100000,"")</f>
        <v/>
      </c>
    </row>
    <row r="54" customFormat="false" ht="15" hidden="false" customHeight="true" outlineLevel="0" collapsed="false">
      <c r="A54" s="1" t="str">
        <f aca="false">IFERROR(INDEX('Sprint Planning'!$C$2:$C$201,MATCH(SMALL(Roadmap!$T$2:$T$243,ROW()-20),Roadmap!$T$2:$T$243,0)),"")</f>
        <v/>
      </c>
      <c r="B54" s="49" t="str">
        <f aca="false">IFERROR(INDEX('Sprint Planning'!$B$2:$B$201,MATCH(SMALL(Roadmap!$T$2:$T$243,ROW()-20),Roadmap!$T$2:$T$243,0)),"")</f>
        <v/>
      </c>
      <c r="C54" s="1" t="str">
        <f aca="false">IFERROR(INDEX('Sprint Planning'!$H$2:$H$201,MATCH(SMALL(Roadmap!$T$2:$T$243,ROW()-20),Roadmap!$T$2:$T$243,0)),"")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Planning'!$H35&gt;=10,'Sprint Planning'!$H35&lt;=16),IFERROR(MATCH('Sprint Planning'!$C35,Roadmap!$A$4:$A$15,0),99)*100+'Sprint Planning'!$H35+54/100000,"")</f>
        <v/>
      </c>
    </row>
    <row r="55" customFormat="false" ht="15" hidden="false" customHeight="true" outlineLevel="0" collapsed="false">
      <c r="A55" s="1" t="str">
        <f aca="false">IFERROR(INDEX('Sprint Planning'!$C$2:$C$201,MATCH(SMALL(Roadmap!$T$2:$T$243,ROW()-20),Roadmap!$T$2:$T$243,0)),"")</f>
        <v/>
      </c>
      <c r="B55" s="49" t="str">
        <f aca="false">IFERROR(INDEX('Sprint Planning'!$B$2:$B$201,MATCH(SMALL(Roadmap!$T$2:$T$243,ROW()-20),Roadmap!$T$2:$T$243,0)),"")</f>
        <v/>
      </c>
      <c r="C55" s="1" t="str">
        <f aca="false">IFERROR(INDEX('Sprint Planning'!$H$2:$H$201,MATCH(SMALL(Roadmap!$T$2:$T$243,ROW()-20),Roadmap!$T$2:$T$243,0)),"")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Planning'!$H36&gt;=10,'Sprint Planning'!$H36&lt;=16),IFERROR(MATCH('Sprint Planning'!$C36,Roadmap!$A$4:$A$15,0),99)*100+'Sprint Planning'!$H36+55/100000,"")</f>
        <v/>
      </c>
    </row>
    <row r="56" customFormat="false" ht="15" hidden="false" customHeight="true" outlineLevel="0" collapsed="false">
      <c r="A56" s="1" t="str">
        <f aca="false">IFERROR(INDEX('Sprint Planning'!$C$2:$C$201,MATCH(SMALL(Roadmap!$T$2:$T$243,ROW()-20),Roadmap!$T$2:$T$243,0)),"")</f>
        <v/>
      </c>
      <c r="B56" s="49" t="str">
        <f aca="false">IFERROR(INDEX('Sprint Planning'!$B$2:$B$201,MATCH(SMALL(Roadmap!$T$2:$T$243,ROW()-20),Roadmap!$T$2:$T$243,0)),"")</f>
        <v/>
      </c>
      <c r="C56" s="1" t="str">
        <f aca="false">IFERROR(INDEX('Sprint Planning'!$H$2:$H$201,MATCH(SMALL(Roadmap!$T$2:$T$243,ROW()-20),Roadmap!$T$2:$T$243,0)),"")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Planning'!$H37&gt;=10,'Sprint Planning'!$H37&lt;=16),IFERROR(MATCH('Sprint Planning'!$C37,Roadmap!$A$4:$A$15,0),99)*100+'Sprint Planning'!$H37+56/100000,"")</f>
        <v/>
      </c>
    </row>
    <row r="57" customFormat="false" ht="15" hidden="false" customHeight="true" outlineLevel="0" collapsed="false">
      <c r="A57" s="1" t="str">
        <f aca="false">IFERROR(INDEX('Sprint Planning'!$C$2:$C$201,MATCH(SMALL(Roadmap!$T$2:$T$243,ROW()-20),Roadmap!$T$2:$T$243,0)),"")</f>
        <v/>
      </c>
      <c r="B57" s="49" t="str">
        <f aca="false">IFERROR(INDEX('Sprint Planning'!$B$2:$B$201,MATCH(SMALL(Roadmap!$T$2:$T$243,ROW()-20),Roadmap!$T$2:$T$243,0)),"")</f>
        <v/>
      </c>
      <c r="C57" s="1" t="str">
        <f aca="false">IFERROR(INDEX('Sprint Planning'!$H$2:$H$201,MATCH(SMALL(Roadmap!$T$2:$T$243,ROW()-20),Roadmap!$T$2:$T$243,0)),"")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Planning'!$H38&gt;=10,'Sprint Planning'!$H38&lt;=16),IFERROR(MATCH('Sprint Planning'!$C38,Roadmap!$A$4:$A$15,0),99)*100+'Sprint Planning'!$H38+57/100000,"")</f>
        <v/>
      </c>
    </row>
    <row r="58" customFormat="false" ht="15" hidden="false" customHeight="true" outlineLevel="0" collapsed="false">
      <c r="A58" s="1" t="str">
        <f aca="false">IFERROR(INDEX('Sprint Planning'!$C$2:$C$201,MATCH(SMALL(Roadmap!$T$2:$T$243,ROW()-20),Roadmap!$T$2:$T$243,0)),"")</f>
        <v/>
      </c>
      <c r="B58" s="49" t="str">
        <f aca="false">IFERROR(INDEX('Sprint Planning'!$B$2:$B$201,MATCH(SMALL(Roadmap!$T$2:$T$243,ROW()-20),Roadmap!$T$2:$T$243,0)),"")</f>
        <v/>
      </c>
      <c r="C58" s="1" t="str">
        <f aca="false">IFERROR(INDEX('Sprint Planning'!$H$2:$H$201,MATCH(SMALL(Roadmap!$T$2:$T$243,ROW()-20),Roadmap!$T$2:$T$243,0)),"")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Planning'!$H39&gt;=10,'Sprint Planning'!$H39&lt;=16),IFERROR(MATCH('Sprint Planning'!$C39,Roadmap!$A$4:$A$15,0),99)*100+'Sprint Planning'!$H39+58/100000,"")</f>
        <v/>
      </c>
    </row>
    <row r="59" customFormat="false" ht="15" hidden="false" customHeight="true" outlineLevel="0" collapsed="false">
      <c r="A59" s="1" t="str">
        <f aca="false">IFERROR(INDEX('Sprint Planning'!$C$2:$C$201,MATCH(SMALL(Roadmap!$T$2:$T$243,ROW()-20),Roadmap!$T$2:$T$243,0)),"")</f>
        <v/>
      </c>
      <c r="B59" s="49" t="str">
        <f aca="false">IFERROR(INDEX('Sprint Planning'!$B$2:$B$201,MATCH(SMALL(Roadmap!$T$2:$T$243,ROW()-20),Roadmap!$T$2:$T$243,0)),"")</f>
        <v/>
      </c>
      <c r="C59" s="1" t="str">
        <f aca="false">IFERROR(INDEX('Sprint Planning'!$H$2:$H$201,MATCH(SMALL(Roadmap!$T$2:$T$243,ROW()-20),Roadmap!$T$2:$T$243,0)),"")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Planning'!$H40&gt;=10,'Sprint Planning'!$H40&lt;=16),IFERROR(MATCH('Sprint Planning'!$C40,Roadmap!$A$4:$A$15,0),99)*100+'Sprint Planning'!$H40+59/100000,"")</f>
        <v/>
      </c>
    </row>
    <row r="60" customFormat="false" ht="15" hidden="false" customHeight="true" outlineLevel="0" collapsed="false">
      <c r="A60" s="1" t="str">
        <f aca="false">IFERROR(INDEX('Sprint Planning'!$C$2:$C$201,MATCH(SMALL(Roadmap!$T$2:$T$243,ROW()-20),Roadmap!$T$2:$T$243,0)),"")</f>
        <v/>
      </c>
      <c r="B60" s="49" t="str">
        <f aca="false">IFERROR(INDEX('Sprint Planning'!$B$2:$B$201,MATCH(SMALL(Roadmap!$T$2:$T$243,ROW()-20),Roadmap!$T$2:$T$243,0)),"")</f>
        <v/>
      </c>
      <c r="C60" s="1" t="str">
        <f aca="false">IFERROR(INDEX('Sprint Planning'!$H$2:$H$201,MATCH(SMALL(Roadmap!$T$2:$T$243,ROW()-20),Roadmap!$T$2:$T$243,0)),"")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Planning'!$H41&gt;=10,'Sprint Planning'!$H41&lt;=16),IFERROR(MATCH('Sprint Planning'!$C41,Roadmap!$A$4:$A$15,0),99)*100+'Sprint Planning'!$H41+60/100000,"")</f>
        <v/>
      </c>
    </row>
    <row r="61" customFormat="false" ht="15" hidden="false" customHeight="true" outlineLevel="0" collapsed="false">
      <c r="A61" s="1" t="str">
        <f aca="false">IFERROR(INDEX('Sprint Planning'!$C$2:$C$201,MATCH(SMALL(Roadmap!$T$2:$T$243,ROW()-20),Roadmap!$T$2:$T$243,0)),"")</f>
        <v/>
      </c>
      <c r="B61" s="49" t="str">
        <f aca="false">IFERROR(INDEX('Sprint Planning'!$B$2:$B$201,MATCH(SMALL(Roadmap!$T$2:$T$243,ROW()-20),Roadmap!$T$2:$T$243,0)),"")</f>
        <v/>
      </c>
      <c r="C61" s="1" t="str">
        <f aca="false">IFERROR(INDEX('Sprint Planning'!$H$2:$H$201,MATCH(SMALL(Roadmap!$T$2:$T$243,ROW()-20),Roadmap!$T$2:$T$243,0)),"")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Planning'!$H42&gt;=10,'Sprint Planning'!$H42&lt;=16),IFERROR(MATCH('Sprint Planning'!$C42,Roadmap!$A$4:$A$15,0),99)*100+'Sprint Planning'!$H42+61/100000,"")</f>
        <v/>
      </c>
    </row>
    <row r="62" customFormat="false" ht="15" hidden="false" customHeight="true" outlineLevel="0" collapsed="false">
      <c r="A62" s="1" t="str">
        <f aca="false">IFERROR(INDEX('Sprint Planning'!$C$2:$C$201,MATCH(SMALL(Roadmap!$T$2:$T$243,ROW()-20),Roadmap!$T$2:$T$243,0)),"")</f>
        <v/>
      </c>
      <c r="B62" s="1" t="str">
        <f aca="false">IFERROR(INDEX('Sprint Planning'!$B$2:$B$201,MATCH(SMALL(Roadmap!$T$2:$T$243,ROW()-20),Roadmap!$T$2:$T$243,0)),"")</f>
        <v/>
      </c>
      <c r="C62" s="1" t="str">
        <f aca="false">IFERROR(INDEX('Sprint Planning'!$H$2:$H$201,MATCH(SMALL(Roadmap!$T$2:$T$243,ROW()-20),Roadmap!$T$2:$T$243,0)),"")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Planning'!$H43&gt;=10,'Sprint Planning'!$H43&lt;=16),IFERROR(MATCH('Sprint Planning'!$C43,Roadmap!$A$4:$A$15,0),99)*100+'Sprint Planning'!$H43+62/100000,"")</f>
        <v/>
      </c>
    </row>
    <row r="63" customFormat="false" ht="15" hidden="false" customHeight="true" outlineLevel="0" collapsed="false">
      <c r="A63" s="1" t="str">
        <f aca="false">IFERROR(INDEX('Sprint Planning'!$C$2:$C$201,MATCH(SMALL(Roadmap!$T$2:$T$243,ROW()-20),Roadmap!$T$2:$T$243,0)),"")</f>
        <v/>
      </c>
      <c r="B63" s="1" t="str">
        <f aca="false">IFERROR(INDEX('Sprint Planning'!$B$2:$B$201,MATCH(SMALL(Roadmap!$T$2:$T$243,ROW()-20),Roadmap!$T$2:$T$243,0)),"")</f>
        <v/>
      </c>
      <c r="C63" s="1" t="str">
        <f aca="false">IFERROR(INDEX('Sprint Planning'!$H$2:$H$201,MATCH(SMALL(Roadmap!$T$2:$T$243,ROW()-20),Roadmap!$T$2:$T$243,0)),"")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Planning'!$H44&gt;=10,'Sprint Planning'!$H44&lt;=16),IFERROR(MATCH('Sprint Planning'!$C44,Roadmap!$A$4:$A$15,0),99)*100+'Sprint Planning'!$H44+63/100000,"")</f>
        <v/>
      </c>
    </row>
    <row r="64" customFormat="false" ht="15" hidden="false" customHeight="true" outlineLevel="0" collapsed="false">
      <c r="A64" s="1" t="str">
        <f aca="false">IFERROR(INDEX('Sprint Planning'!$C$2:$C$201,MATCH(SMALL(Roadmap!$T$2:$T$243,ROW()-20),Roadmap!$T$2:$T$243,0)),"")</f>
        <v/>
      </c>
      <c r="B64" s="1" t="str">
        <f aca="false">IFERROR(INDEX('Sprint Planning'!$B$2:$B$201,MATCH(SMALL(Roadmap!$T$2:$T$243,ROW()-20),Roadmap!$T$2:$T$243,0)),"")</f>
        <v/>
      </c>
      <c r="C64" s="1" t="str">
        <f aca="false">IFERROR(INDEX('Sprint Planning'!$H$2:$H$201,MATCH(SMALL(Roadmap!$T$2:$T$243,ROW()-20),Roadmap!$T$2:$T$243,0)),"")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Planning'!$H45&gt;=10,'Sprint Planning'!$H45&lt;=16),IFERROR(MATCH('Sprint Planning'!$C45,Roadmap!$A$4:$A$15,0),99)*100+'Sprint Planning'!$H45+64/100000,"")</f>
        <v/>
      </c>
    </row>
    <row r="65" customFormat="false" ht="15" hidden="false" customHeight="true" outlineLevel="0" collapsed="false">
      <c r="A65" s="1" t="str">
        <f aca="false">IFERROR(INDEX('Sprint Planning'!$C$2:$C$201,MATCH(SMALL(Roadmap!$T$2:$T$243,ROW()-20),Roadmap!$T$2:$T$243,0)),"")</f>
        <v/>
      </c>
      <c r="B65" s="1" t="str">
        <f aca="false">IFERROR(INDEX('Sprint Planning'!$B$2:$B$201,MATCH(SMALL(Roadmap!$T$2:$T$243,ROW()-20),Roadmap!$T$2:$T$243,0)),"")</f>
        <v/>
      </c>
      <c r="C65" s="1" t="str">
        <f aca="false">IFERROR(INDEX('Sprint Planning'!$H$2:$H$201,MATCH(SMALL(Roadmap!$T$2:$T$243,ROW()-20),Roadmap!$T$2:$T$243,0)),"")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Planning'!$H46&gt;=10,'Sprint Planning'!$H46&lt;=16),IFERROR(MATCH('Sprint Planning'!$C46,Roadmap!$A$4:$A$15,0),99)*100+'Sprint Planning'!$H46+65/100000,"")</f>
        <v/>
      </c>
    </row>
    <row r="66" customFormat="false" ht="15" hidden="false" customHeight="true" outlineLevel="0" collapsed="false">
      <c r="A66" s="1" t="str">
        <f aca="false">IFERROR(INDEX('Sprint Planning'!$C$2:$C$201,MATCH(SMALL(Roadmap!$T$2:$T$243,ROW()-20),Roadmap!$T$2:$T$243,0)),"")</f>
        <v/>
      </c>
      <c r="B66" s="1" t="str">
        <f aca="false">IFERROR(INDEX('Sprint Planning'!$B$2:$B$201,MATCH(SMALL(Roadmap!$T$2:$T$243,ROW()-20),Roadmap!$T$2:$T$243,0)),"")</f>
        <v/>
      </c>
      <c r="C66" s="1" t="str">
        <f aca="false">IFERROR(INDEX('Sprint Planning'!$H$2:$H$201,MATCH(SMALL(Roadmap!$T$2:$T$243,ROW()-20),Roadmap!$T$2:$T$243,0)),"")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Planning'!$H47&gt;=10,'Sprint Planning'!$H47&lt;=16),IFERROR(MATCH('Sprint Planning'!$C47,Roadmap!$A$4:$A$15,0),99)*100+'Sprint Planning'!$H47+66/100000,"")</f>
        <v/>
      </c>
    </row>
    <row r="67" customFormat="false" ht="15" hidden="false" customHeight="true" outlineLevel="0" collapsed="false">
      <c r="A67" s="1" t="str">
        <f aca="false">IFERROR(INDEX('Sprint Planning'!$C$2:$C$201,MATCH(SMALL(Roadmap!$T$2:$T$243,ROW()-20),Roadmap!$T$2:$T$243,0)),"")</f>
        <v/>
      </c>
      <c r="B67" s="1" t="str">
        <f aca="false">IFERROR(INDEX('Sprint Planning'!$B$2:$B$201,MATCH(SMALL(Roadmap!$T$2:$T$243,ROW()-20),Roadmap!$T$2:$T$243,0)),"")</f>
        <v/>
      </c>
      <c r="C67" s="1" t="str">
        <f aca="false">IFERROR(INDEX('Sprint Planning'!$H$2:$H$201,MATCH(SMALL(Roadmap!$T$2:$T$243,ROW()-20),Roadmap!$T$2:$T$243,0)),"")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Planning'!$H48&gt;=10,'Sprint Planning'!$H48&lt;=16),IFERROR(MATCH('Sprint Planning'!$C48,Roadmap!$A$4:$A$15,0),99)*100+'Sprint Planning'!$H48+67/100000,"")</f>
        <v/>
      </c>
    </row>
    <row r="68" customFormat="false" ht="15" hidden="false" customHeight="true" outlineLevel="0" collapsed="false">
      <c r="A68" s="1" t="str">
        <f aca="false">IFERROR(INDEX('Sprint Planning'!$C$2:$C$201,MATCH(SMALL(Roadmap!$T$2:$T$243,ROW()-20),Roadmap!$T$2:$T$243,0)),"")</f>
        <v/>
      </c>
      <c r="B68" s="1" t="str">
        <f aca="false">IFERROR(INDEX('Sprint Planning'!$B$2:$B$201,MATCH(SMALL(Roadmap!$T$2:$T$243,ROW()-20),Roadmap!$T$2:$T$243,0)),"")</f>
        <v/>
      </c>
      <c r="C68" s="1" t="str">
        <f aca="false">IFERROR(INDEX('Sprint Planning'!$H$2:$H$201,MATCH(SMALL(Roadmap!$T$2:$T$243,ROW()-20),Roadmap!$T$2:$T$243,0)),"")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Planning'!$H49&gt;=10,'Sprint Planning'!$H49&lt;=16),IFERROR(MATCH('Sprint Planning'!$C49,Roadmap!$A$4:$A$15,0),99)*100+'Sprint Planning'!$H49+68/100000,"")</f>
        <v/>
      </c>
    </row>
    <row r="69" customFormat="false" ht="15" hidden="false" customHeight="true" outlineLevel="0" collapsed="false">
      <c r="A69" s="1" t="str">
        <f aca="false">IFERROR(INDEX('Sprint Planning'!$C$2:$C$201,MATCH(SMALL(Roadmap!$T$2:$T$243,ROW()-20),Roadmap!$T$2:$T$243,0)),"")</f>
        <v/>
      </c>
      <c r="B69" s="1" t="str">
        <f aca="false">IFERROR(INDEX('Sprint Planning'!$B$2:$B$201,MATCH(SMALL(Roadmap!$T$2:$T$243,ROW()-20),Roadmap!$T$2:$T$243,0)),"")</f>
        <v/>
      </c>
      <c r="C69" s="1" t="str">
        <f aca="false">IFERROR(INDEX('Sprint Planning'!$H$2:$H$201,MATCH(SMALL(Roadmap!$T$2:$T$243,ROW()-20),Roadmap!$T$2:$T$243,0)),"")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Planning'!$H50&gt;=10,'Sprint Planning'!$H50&lt;=16),IFERROR(MATCH('Sprint Planning'!$C50,Roadmap!$A$4:$A$15,0),99)*100+'Sprint Planning'!$H50+69/100000,"")</f>
        <v/>
      </c>
    </row>
    <row r="70" customFormat="false" ht="15" hidden="false" customHeight="true" outlineLevel="0" collapsed="false">
      <c r="A70" s="1" t="str">
        <f aca="false">IFERROR(INDEX('Sprint Planning'!$C$2:$C$201,MATCH(SMALL(Roadmap!$T$2:$T$243,ROW()-20),Roadmap!$T$2:$T$243,0)),"")</f>
        <v/>
      </c>
      <c r="B70" s="1" t="str">
        <f aca="false">IFERROR(INDEX('Sprint Planning'!$B$2:$B$201,MATCH(SMALL(Roadmap!$T$2:$T$243,ROW()-20),Roadmap!$T$2:$T$243,0)),"")</f>
        <v/>
      </c>
      <c r="C70" s="1" t="str">
        <f aca="false">IFERROR(INDEX('Sprint Planning'!$H$2:$H$201,MATCH(SMALL(Roadmap!$T$2:$T$243,ROW()-20),Roadmap!$T$2:$T$243,0)),"")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Planning'!$H51&gt;=10,'Sprint Planning'!$H51&lt;=16),IFERROR(MATCH('Sprint Planning'!$C51,Roadmap!$A$4:$A$15,0),99)*100+'Sprint Planning'!$H51+70/100000,"")</f>
        <v/>
      </c>
    </row>
    <row r="71" customFormat="false" ht="15" hidden="false" customHeight="true" outlineLevel="0" collapsed="false">
      <c r="A71" s="1" t="str">
        <f aca="false">IFERROR(INDEX('Sprint Planning'!$C$2:$C$201,MATCH(SMALL(Roadmap!$T$2:$T$243,ROW()-20),Roadmap!$T$2:$T$243,0)),"")</f>
        <v/>
      </c>
      <c r="B71" s="1" t="str">
        <f aca="false">IFERROR(INDEX('Sprint Planning'!$B$2:$B$201,MATCH(SMALL(Roadmap!$T$2:$T$243,ROW()-20),Roadmap!$T$2:$T$243,0)),"")</f>
        <v/>
      </c>
      <c r="C71" s="1" t="str">
        <f aca="false">IFERROR(INDEX('Sprint Planning'!$H$2:$H$201,MATCH(SMALL(Roadmap!$T$2:$T$243,ROW()-20),Roadmap!$T$2:$T$243,0)),"")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Planning'!$H52&gt;=10,'Sprint Planning'!$H52&lt;=16),IFERROR(MATCH('Sprint Planning'!$C52,Roadmap!$A$4:$A$15,0),99)*100+'Sprint Planning'!$H52+71/100000,"")</f>
        <v/>
      </c>
    </row>
    <row r="72" customFormat="false" ht="15" hidden="false" customHeight="true" outlineLevel="0" collapsed="false">
      <c r="A72" s="1" t="str">
        <f aca="false">IFERROR(INDEX('Sprint Planning'!$C$2:$C$201,MATCH(SMALL(Roadmap!$T$2:$T$243,ROW()-20),Roadmap!$T$2:$T$243,0)),"")</f>
        <v/>
      </c>
      <c r="B72" s="1" t="str">
        <f aca="false">IFERROR(INDEX('Sprint Planning'!$B$2:$B$201,MATCH(SMALL(Roadmap!$T$2:$T$243,ROW()-20),Roadmap!$T$2:$T$243,0)),"")</f>
        <v/>
      </c>
      <c r="C72" s="1" t="str">
        <f aca="false">IFERROR(INDEX('Sprint Planning'!$H$2:$H$201,MATCH(SMALL(Roadmap!$T$2:$T$243,ROW()-20),Roadmap!$T$2:$T$243,0)),"")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Planning'!$H53&gt;=10,'Sprint Planning'!$H53&lt;=16),IFERROR(MATCH('Sprint Planning'!$C53,Roadmap!$A$4:$A$15,0),99)*100+'Sprint Planning'!$H53+72/100000,"")</f>
        <v/>
      </c>
    </row>
    <row r="73" customFormat="false" ht="15" hidden="false" customHeight="true" outlineLevel="0" collapsed="false">
      <c r="A73" s="1" t="str">
        <f aca="false">IFERROR(INDEX('Sprint Planning'!$C$2:$C$201,MATCH(SMALL(Roadmap!$T$2:$T$243,ROW()-20),Roadmap!$T$2:$T$243,0)),"")</f>
        <v/>
      </c>
      <c r="B73" s="1" t="str">
        <f aca="false">IFERROR(INDEX('Sprint Planning'!$B$2:$B$201,MATCH(SMALL(Roadmap!$T$2:$T$243,ROW()-20),Roadmap!$T$2:$T$243,0)),"")</f>
        <v/>
      </c>
      <c r="C73" s="1" t="str">
        <f aca="false">IFERROR(INDEX('Sprint Planning'!$H$2:$H$201,MATCH(SMALL(Roadmap!$T$2:$T$243,ROW()-20),Roadmap!$T$2:$T$243,0)),"")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Planning'!$H54&gt;=10,'Sprint Planning'!$H54&lt;=16),IFERROR(MATCH('Sprint Planning'!$C54,Roadmap!$A$4:$A$15,0),99)*100+'Sprint Planning'!$H54+73/100000,"")</f>
        <v/>
      </c>
    </row>
    <row r="74" customFormat="false" ht="15" hidden="false" customHeight="true" outlineLevel="0" collapsed="false">
      <c r="A74" s="1" t="str">
        <f aca="false">IFERROR(INDEX('Sprint Planning'!$C$2:$C$201,MATCH(SMALL(Roadmap!$T$2:$T$243,ROW()-20),Roadmap!$T$2:$T$243,0)),"")</f>
        <v/>
      </c>
      <c r="B74" s="1" t="str">
        <f aca="false">IFERROR(INDEX('Sprint Planning'!$B$2:$B$201,MATCH(SMALL(Roadmap!$T$2:$T$243,ROW()-20),Roadmap!$T$2:$T$243,0)),"")</f>
        <v/>
      </c>
      <c r="C74" s="1" t="str">
        <f aca="false">IFERROR(INDEX('Sprint Planning'!$H$2:$H$201,MATCH(SMALL(Roadmap!$T$2:$T$243,ROW()-20),Roadmap!$T$2:$T$243,0)),"")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Planning'!$H55&gt;=10,'Sprint Planning'!$H55&lt;=16),IFERROR(MATCH('Sprint Planning'!$C55,Roadmap!$A$4:$A$15,0),99)*100+'Sprint Planning'!$H55+74/100000,"")</f>
        <v/>
      </c>
    </row>
    <row r="75" customFormat="false" ht="15" hidden="false" customHeight="true" outlineLevel="0" collapsed="false">
      <c r="A75" s="1" t="str">
        <f aca="false">IFERROR(INDEX('Sprint Planning'!$C$2:$C$201,MATCH(SMALL(Roadmap!$T$2:$T$243,ROW()-20),Roadmap!$T$2:$T$243,0)),"")</f>
        <v/>
      </c>
      <c r="B75" s="1" t="str">
        <f aca="false">IFERROR(INDEX('Sprint Planning'!$B$2:$B$201,MATCH(SMALL(Roadmap!$T$2:$T$243,ROW()-20),Roadmap!$T$2:$T$243,0)),"")</f>
        <v/>
      </c>
      <c r="C75" s="1" t="str">
        <f aca="false">IFERROR(INDEX('Sprint Planning'!$H$2:$H$201,MATCH(SMALL(Roadmap!$T$2:$T$243,ROW()-20),Roadmap!$T$2:$T$243,0)),"")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e">
        <f aca="false">IF(AND('sprint planning'!#ref!&gt;=10,'sprint planning'!#ref!&lt;=16),IFERROR(MATCH('sprint planning'!#ref!,Roadmap!$A$4:$A$15,0),99)*100+'sprint planning'!#ref!+75/100000,"")</f>
        <v>#VALUE!</v>
      </c>
    </row>
    <row r="76" customFormat="false" ht="15" hidden="false" customHeight="true" outlineLevel="0" collapsed="false">
      <c r="A76" s="1" t="str">
        <f aca="false">IFERROR(INDEX('Sprint Planning'!$C$2:$C$201,MATCH(SMALL(Roadmap!$T$2:$T$243,ROW()-20),Roadmap!$T$2:$T$243,0)),"")</f>
        <v/>
      </c>
      <c r="B76" s="1" t="str">
        <f aca="false">IFERROR(INDEX('Sprint Planning'!$B$2:$B$201,MATCH(SMALL(Roadmap!$T$2:$T$243,ROW()-20),Roadmap!$T$2:$T$243,0)),"")</f>
        <v/>
      </c>
      <c r="C76" s="1" t="str">
        <f aca="false">IFERROR(INDEX('Sprint Planning'!$H$2:$H$201,MATCH(SMALL(Roadmap!$T$2:$T$243,ROW()-20),Roadmap!$T$2:$T$243,0)),"")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Planning'!$H56&gt;=10,'Sprint Planning'!$H56&lt;=16),IFERROR(MATCH('Sprint Planning'!$C56,Roadmap!$A$4:$A$15,0),99)*100+'Sprint Planning'!$H56+76/100000,"")</f>
        <v/>
      </c>
    </row>
    <row r="77" customFormat="false" ht="15" hidden="false" customHeight="true" outlineLevel="0" collapsed="false">
      <c r="A77" s="1" t="str">
        <f aca="false">IFERROR(INDEX('Sprint Planning'!$C$2:$C$201,MATCH(SMALL(Roadmap!$T$2:$T$243,ROW()-20),Roadmap!$T$2:$T$243,0)),"")</f>
        <v/>
      </c>
      <c r="B77" s="1" t="str">
        <f aca="false">IFERROR(INDEX('Sprint Planning'!$B$2:$B$201,MATCH(SMALL(Roadmap!$T$2:$T$243,ROW()-20),Roadmap!$T$2:$T$243,0)),"")</f>
        <v/>
      </c>
      <c r="C77" s="1" t="str">
        <f aca="false">IFERROR(INDEX('Sprint Planning'!$H$2:$H$201,MATCH(SMALL(Roadmap!$T$2:$T$243,ROW()-20),Roadmap!$T$2:$T$243,0)),"")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Planning'!$H57&gt;=10,'Sprint Planning'!$H57&lt;=16),IFERROR(MATCH('Sprint Planning'!$C57,Roadmap!$A$4:$A$15,0),99)*100+'Sprint Planning'!$H57+77/100000,"")</f>
        <v/>
      </c>
    </row>
    <row r="78" customFormat="false" ht="15" hidden="false" customHeight="true" outlineLevel="0" collapsed="false">
      <c r="A78" s="1" t="str">
        <f aca="false">IFERROR(INDEX('Sprint Planning'!$C$2:$C$201,MATCH(SMALL(Roadmap!$T$2:$T$243,ROW()-20),Roadmap!$T$2:$T$243,0)),"")</f>
        <v/>
      </c>
      <c r="B78" s="1" t="str">
        <f aca="false">IFERROR(INDEX('Sprint Planning'!$B$2:$B$201,MATCH(SMALL(Roadmap!$T$2:$T$243,ROW()-20),Roadmap!$T$2:$T$243,0)),"")</f>
        <v/>
      </c>
      <c r="C78" s="1" t="str">
        <f aca="false">IFERROR(INDEX('Sprint Planning'!$H$2:$H$201,MATCH(SMALL(Roadmap!$T$2:$T$243,ROW()-20),Roadmap!$T$2:$T$243,0)),"")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Planning'!$H58&gt;=10,'Sprint Planning'!$H58&lt;=16),IFERROR(MATCH('Sprint Planning'!$C58,Roadmap!$A$4:$A$15,0),99)*100+'Sprint Planning'!$H58+78/100000,"")</f>
        <v/>
      </c>
    </row>
    <row r="79" customFormat="false" ht="15" hidden="false" customHeight="true" outlineLevel="0" collapsed="false">
      <c r="A79" s="1" t="str">
        <f aca="false">IFERROR(INDEX('Sprint Planning'!$C$2:$C$201,MATCH(SMALL(Roadmap!$T$2:$T$243,ROW()-20),Roadmap!$T$2:$T$243,0)),"")</f>
        <v/>
      </c>
      <c r="B79" s="1" t="str">
        <f aca="false">IFERROR(INDEX('Sprint Planning'!$B$2:$B$201,MATCH(SMALL(Roadmap!$T$2:$T$243,ROW()-20),Roadmap!$T$2:$T$243,0)),"")</f>
        <v/>
      </c>
      <c r="C79" s="1" t="str">
        <f aca="false">IFERROR(INDEX('Sprint Planning'!$H$2:$H$201,MATCH(SMALL(Roadmap!$T$2:$T$243,ROW()-20),Roadmap!$T$2:$T$243,0)),"")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Planning'!$H59&gt;=10,'Sprint Planning'!$H59&lt;=16),IFERROR(MATCH('Sprint Planning'!$C59,Roadmap!$A$4:$A$15,0),99)*100+'Sprint Planning'!$H59+79/100000,"")</f>
        <v/>
      </c>
    </row>
    <row r="80" customFormat="false" ht="15" hidden="false" customHeight="true" outlineLevel="0" collapsed="false">
      <c r="A80" s="1" t="str">
        <f aca="false">IFERROR(INDEX('Sprint Planning'!$C$2:$C$201,MATCH(SMALL(Roadmap!$T$2:$T$243,ROW()-20),Roadmap!$T$2:$T$243,0)),"")</f>
        <v/>
      </c>
      <c r="B80" s="1" t="str">
        <f aca="false">IFERROR(INDEX('Sprint Planning'!$B$2:$B$201,MATCH(SMALL(Roadmap!$T$2:$T$243,ROW()-20),Roadmap!$T$2:$T$243,0)),"")</f>
        <v/>
      </c>
      <c r="C80" s="1" t="str">
        <f aca="false">IFERROR(INDEX('Sprint Planning'!$H$2:$H$201,MATCH(SMALL(Roadmap!$T$2:$T$243,ROW()-20),Roadmap!$T$2:$T$243,0)),"")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Planning'!$H60&gt;=10,'Sprint Planning'!$H60&lt;=16),IFERROR(MATCH('Sprint Planning'!$C60,Roadmap!$A$4:$A$15,0),99)*100+'Sprint Planning'!$H60+80/100000,"")</f>
        <v/>
      </c>
    </row>
    <row r="81" customFormat="false" ht="15" hidden="false" customHeight="true" outlineLevel="0" collapsed="false">
      <c r="A81" s="1" t="str">
        <f aca="false">IFERROR(INDEX('Sprint Planning'!$C$2:$C$201,MATCH(SMALL(Roadmap!$T$2:$T$243,ROW()-20),Roadmap!$T$2:$T$243,0)),"")</f>
        <v/>
      </c>
      <c r="B81" s="1" t="str">
        <f aca="false">IFERROR(INDEX('Sprint Planning'!$B$2:$B$201,MATCH(SMALL(Roadmap!$T$2:$T$243,ROW()-20),Roadmap!$T$2:$T$243,0)),"")</f>
        <v/>
      </c>
      <c r="C81" s="1" t="str">
        <f aca="false">IFERROR(INDEX('Sprint Planning'!$H$2:$H$201,MATCH(SMALL(Roadmap!$T$2:$T$243,ROW()-20),Roadmap!$T$2:$T$243,0)),"")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Planning'!$H61&gt;=10,'Sprint Planning'!$H61&lt;=16),IFERROR(MATCH('Sprint Planning'!$C61,Roadmap!$A$4:$A$15,0),99)*100+'Sprint Planning'!$H61+81/100000,"")</f>
        <v/>
      </c>
    </row>
    <row r="82" customFormat="false" ht="15" hidden="false" customHeight="true" outlineLevel="0" collapsed="false">
      <c r="A82" s="1" t="str">
        <f aca="false">IFERROR(INDEX('Sprint Planning'!$C$2:$C$201,MATCH(SMALL(Roadmap!$T$2:$T$243,ROW()-20),Roadmap!$T$2:$T$243,0)),"")</f>
        <v/>
      </c>
      <c r="B82" s="1" t="str">
        <f aca="false">IFERROR(INDEX('Sprint Planning'!$B$2:$B$201,MATCH(SMALL(Roadmap!$T$2:$T$243,ROW()-20),Roadmap!$T$2:$T$243,0)),"")</f>
        <v/>
      </c>
      <c r="C82" s="1" t="str">
        <f aca="false">IFERROR(INDEX('Sprint Planning'!$H$2:$H$201,MATCH(SMALL(Roadmap!$T$2:$T$243,ROW()-20),Roadmap!$T$2:$T$243,0)),"")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Planning'!$H62&gt;=10,'Sprint Planning'!$H62&lt;=16),IFERROR(MATCH('Sprint Planning'!$C62,Roadmap!$A$4:$A$15,0),99)*100+'Sprint Planning'!$H62+82/100000,"")</f>
        <v/>
      </c>
    </row>
    <row r="83" customFormat="false" ht="15" hidden="false" customHeight="true" outlineLevel="0" collapsed="false">
      <c r="A83" s="1" t="str">
        <f aca="false">IFERROR(INDEX('Sprint Planning'!$C$2:$C$201,MATCH(SMALL(Roadmap!$T$2:$T$243,ROW()-20),Roadmap!$T$2:$T$243,0)),"")</f>
        <v/>
      </c>
      <c r="B83" s="1" t="str">
        <f aca="false">IFERROR(INDEX('Sprint Planning'!$B$2:$B$201,MATCH(SMALL(Roadmap!$T$2:$T$243,ROW()-20),Roadmap!$T$2:$T$243,0)),"")</f>
        <v/>
      </c>
      <c r="C83" s="1" t="str">
        <f aca="false">IFERROR(INDEX('Sprint Planning'!$H$2:$H$201,MATCH(SMALL(Roadmap!$T$2:$T$243,ROW()-20),Roadmap!$T$2:$T$243,0)),"")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Planning'!$H63&gt;=10,'Sprint Planning'!$H63&lt;=16),IFERROR(MATCH('Sprint Planning'!$C63,Roadmap!$A$4:$A$15,0),99)*100+'Sprint Planning'!$H63+83/100000,"")</f>
        <v/>
      </c>
    </row>
    <row r="84" customFormat="false" ht="15" hidden="false" customHeight="true" outlineLevel="0" collapsed="false">
      <c r="A84" s="1" t="str">
        <f aca="false">IFERROR(INDEX('Sprint Planning'!$C$2:$C$201,MATCH(SMALL(Roadmap!$T$2:$T$243,ROW()-20),Roadmap!$T$2:$T$243,0)),"")</f>
        <v/>
      </c>
      <c r="B84" s="1" t="str">
        <f aca="false">IFERROR(INDEX('Sprint Planning'!$B$2:$B$201,MATCH(SMALL(Roadmap!$T$2:$T$243,ROW()-20),Roadmap!$T$2:$T$243,0)),"")</f>
        <v/>
      </c>
      <c r="C84" s="1" t="str">
        <f aca="false">IFERROR(INDEX('Sprint Planning'!$H$2:$H$201,MATCH(SMALL(Roadmap!$T$2:$T$243,ROW()-20),Roadmap!$T$2:$T$243,0)),"")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Planning'!$H64&gt;=10,'Sprint Planning'!$H64&lt;=16),IFERROR(MATCH('Sprint Planning'!$C64,Roadmap!$A$4:$A$15,0),99)*100+'Sprint Planning'!$H64+84/100000,"")</f>
        <v/>
      </c>
    </row>
    <row r="85" customFormat="false" ht="15" hidden="false" customHeight="true" outlineLevel="0" collapsed="false">
      <c r="A85" s="1" t="str">
        <f aca="false">IFERROR(INDEX('Sprint Planning'!$C$2:$C$201,MATCH(SMALL(Roadmap!$T$2:$T$243,ROW()-20),Roadmap!$T$2:$T$243,0)),"")</f>
        <v/>
      </c>
      <c r="B85" s="1" t="str">
        <f aca="false">IFERROR(INDEX('Sprint Planning'!$B$2:$B$201,MATCH(SMALL(Roadmap!$T$2:$T$243,ROW()-20),Roadmap!$T$2:$T$243,0)),"")</f>
        <v/>
      </c>
      <c r="C85" s="1" t="str">
        <f aca="false">IFERROR(INDEX('Sprint Planning'!$H$2:$H$201,MATCH(SMALL(Roadmap!$T$2:$T$243,ROW()-20),Roadmap!$T$2:$T$243,0)),"")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Planning'!$H65&gt;=10,'Sprint Planning'!$H65&lt;=16),IFERROR(MATCH('Sprint Planning'!$C65,Roadmap!$A$4:$A$15,0),99)*100+'Sprint Planning'!$H65+85/100000,"")</f>
        <v/>
      </c>
    </row>
    <row r="86" customFormat="false" ht="15" hidden="false" customHeight="true" outlineLevel="0" collapsed="false">
      <c r="A86" s="1" t="str">
        <f aca="false">IFERROR(INDEX('Sprint Planning'!$C$2:$C$201,MATCH(SMALL(Roadmap!$T$2:$T$243,ROW()-20),Roadmap!$T$2:$T$243,0)),"")</f>
        <v/>
      </c>
      <c r="B86" s="1" t="str">
        <f aca="false">IFERROR(INDEX('Sprint Planning'!$B$2:$B$201,MATCH(SMALL(Roadmap!$T$2:$T$243,ROW()-20),Roadmap!$T$2:$T$243,0)),"")</f>
        <v/>
      </c>
      <c r="C86" s="1" t="str">
        <f aca="false">IFERROR(INDEX('Sprint Planning'!$H$2:$H$201,MATCH(SMALL(Roadmap!$T$2:$T$243,ROW()-20),Roadmap!$T$2:$T$243,0)),"")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e">
        <f aca="false">IF(AND('sprint planning'!#ref!&gt;=10,'sprint planning'!#ref!&lt;=16),IFERROR(MATCH('sprint planning'!#ref!,Roadmap!$A$4:$A$15,0),99)*100+'sprint planning'!#ref!+86/100000,"")</f>
        <v>#VALUE!</v>
      </c>
    </row>
    <row r="87" customFormat="false" ht="15" hidden="false" customHeight="true" outlineLevel="0" collapsed="false">
      <c r="A87" s="1" t="str">
        <f aca="false">IFERROR(INDEX('Sprint Planning'!$C$2:$C$201,MATCH(SMALL(Roadmap!$T$2:$T$243,ROW()-20),Roadmap!$T$2:$T$243,0)),"")</f>
        <v/>
      </c>
      <c r="B87" s="1" t="str">
        <f aca="false">IFERROR(INDEX('Sprint Planning'!$B$2:$B$201,MATCH(SMALL(Roadmap!$T$2:$T$243,ROW()-20),Roadmap!$T$2:$T$243,0)),"")</f>
        <v/>
      </c>
      <c r="C87" s="1" t="str">
        <f aca="false">IFERROR(INDEX('Sprint Planning'!$H$2:$H$201,MATCH(SMALL(Roadmap!$T$2:$T$243,ROW()-20),Roadmap!$T$2:$T$243,0)),"")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Planning'!$H66&gt;=10,'Sprint Planning'!$H66&lt;=16),IFERROR(MATCH('Sprint Planning'!$C66,Roadmap!$A$4:$A$15,0),99)*100+'Sprint Planning'!$H66+87/100000,"")</f>
        <v/>
      </c>
    </row>
    <row r="88" customFormat="false" ht="15" hidden="false" customHeight="true" outlineLevel="0" collapsed="false">
      <c r="A88" s="1" t="str">
        <f aca="false">IFERROR(INDEX('Sprint Planning'!$C$2:$C$201,MATCH(SMALL(Roadmap!$T$2:$T$243,ROW()-20),Roadmap!$T$2:$T$243,0)),"")</f>
        <v/>
      </c>
      <c r="B88" s="1" t="str">
        <f aca="false">IFERROR(INDEX('Sprint Planning'!$B$2:$B$201,MATCH(SMALL(Roadmap!$T$2:$T$243,ROW()-20),Roadmap!$T$2:$T$243,0)),"")</f>
        <v/>
      </c>
      <c r="C88" s="1" t="str">
        <f aca="false">IFERROR(INDEX('Sprint Planning'!$H$2:$H$201,MATCH(SMALL(Roadmap!$T$2:$T$243,ROW()-20),Roadmap!$T$2:$T$243,0)),"")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Planning'!$H67&gt;=10,'Sprint Planning'!$H67&lt;=16),IFERROR(MATCH('Sprint Planning'!$C67,Roadmap!$A$4:$A$15,0),99)*100+'Sprint Planning'!$H67+88/100000,"")</f>
        <v/>
      </c>
    </row>
    <row r="89" customFormat="false" ht="15" hidden="false" customHeight="true" outlineLevel="0" collapsed="false">
      <c r="A89" s="1" t="str">
        <f aca="false">IFERROR(INDEX('Sprint Planning'!$C$2:$C$201,MATCH(SMALL(Roadmap!$T$2:$T$243,ROW()-20),Roadmap!$T$2:$T$243,0)),"")</f>
        <v/>
      </c>
      <c r="B89" s="1" t="str">
        <f aca="false">IFERROR(INDEX('Sprint Planning'!$B$2:$B$201,MATCH(SMALL(Roadmap!$T$2:$T$243,ROW()-20),Roadmap!$T$2:$T$243,0)),"")</f>
        <v/>
      </c>
      <c r="C89" s="1" t="str">
        <f aca="false">IFERROR(INDEX('Sprint Planning'!$H$2:$H$201,MATCH(SMALL(Roadmap!$T$2:$T$243,ROW()-20),Roadmap!$T$2:$T$243,0)),"")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Planning'!$H68&gt;=10,'Sprint Planning'!$H68&lt;=16),IFERROR(MATCH('Sprint Planning'!$C68,Roadmap!$A$4:$A$15,0),99)*100+'Sprint Planning'!$H68+89/100000,"")</f>
        <v/>
      </c>
    </row>
    <row r="90" customFormat="false" ht="15" hidden="false" customHeight="true" outlineLevel="0" collapsed="false">
      <c r="A90" s="1" t="str">
        <f aca="false">IFERROR(INDEX('Sprint Planning'!$C$2:$C$201,MATCH(SMALL(Roadmap!$T$2:$T$243,ROW()-20),Roadmap!$T$2:$T$243,0)),"")</f>
        <v/>
      </c>
      <c r="B90" s="1" t="str">
        <f aca="false">IFERROR(INDEX('Sprint Planning'!$B$2:$B$201,MATCH(SMALL(Roadmap!$T$2:$T$243,ROW()-20),Roadmap!$T$2:$T$243,0)),"")</f>
        <v/>
      </c>
      <c r="C90" s="1" t="str">
        <f aca="false">IFERROR(INDEX('Sprint Planning'!$H$2:$H$201,MATCH(SMALL(Roadmap!$T$2:$T$243,ROW()-20),Roadmap!$T$2:$T$243,0)),"")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Planning'!$H69&gt;=10,'Sprint Planning'!$H69&lt;=16),IFERROR(MATCH('Sprint Planning'!$C69,Roadmap!$A$4:$A$15,0),99)*100+'Sprint Planning'!$H69+90/100000,"")</f>
        <v/>
      </c>
    </row>
    <row r="91" customFormat="false" ht="15" hidden="false" customHeight="true" outlineLevel="0" collapsed="false">
      <c r="A91" s="1" t="str">
        <f aca="false">IFERROR(INDEX('Sprint Planning'!$C$2:$C$201,MATCH(SMALL(Roadmap!$T$2:$T$243,ROW()-20),Roadmap!$T$2:$T$243,0)),"")</f>
        <v/>
      </c>
      <c r="B91" s="1" t="str">
        <f aca="false">IFERROR(INDEX('Sprint Planning'!$B$2:$B$201,MATCH(SMALL(Roadmap!$T$2:$T$243,ROW()-20),Roadmap!$T$2:$T$243,0)),"")</f>
        <v/>
      </c>
      <c r="C91" s="1" t="str">
        <f aca="false">IFERROR(INDEX('Sprint Planning'!$H$2:$H$201,MATCH(SMALL(Roadmap!$T$2:$T$243,ROW()-20),Roadmap!$T$2:$T$243,0)),"")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Planning'!$H70&gt;=10,'Sprint Planning'!$H70&lt;=16),IFERROR(MATCH('Sprint Planning'!$C70,Roadmap!$A$4:$A$15,0),99)*100+'Sprint Planning'!$H70+91/100000,"")</f>
        <v/>
      </c>
    </row>
    <row r="92" customFormat="false" ht="15" hidden="false" customHeight="true" outlineLevel="0" collapsed="false">
      <c r="A92" s="1" t="str">
        <f aca="false">IFERROR(INDEX('Sprint Planning'!$C$2:$C$201,MATCH(SMALL(Roadmap!$T$2:$T$243,ROW()-20),Roadmap!$T$2:$T$243,0)),"")</f>
        <v/>
      </c>
      <c r="B92" s="1" t="str">
        <f aca="false">IFERROR(INDEX('Sprint Planning'!$B$2:$B$201,MATCH(SMALL(Roadmap!$T$2:$T$243,ROW()-20),Roadmap!$T$2:$T$243,0)),"")</f>
        <v/>
      </c>
      <c r="C92" s="1" t="str">
        <f aca="false">IFERROR(INDEX('Sprint Planning'!$H$2:$H$201,MATCH(SMALL(Roadmap!$T$2:$T$243,ROW()-20),Roadmap!$T$2:$T$243,0)),"")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Planning'!$H71&gt;=10,'Sprint Planning'!$H71&lt;=16),IFERROR(MATCH('Sprint Planning'!$C71,Roadmap!$A$4:$A$15,0),99)*100+'Sprint Planning'!$H71+92/100000,"")</f>
        <v/>
      </c>
    </row>
    <row r="93" customFormat="false" ht="15" hidden="false" customHeight="true" outlineLevel="0" collapsed="false">
      <c r="A93" s="1" t="str">
        <f aca="false">IFERROR(INDEX('Sprint Planning'!$C$2:$C$201,MATCH(SMALL(Roadmap!$T$2:$T$243,ROW()-20),Roadmap!$T$2:$T$243,0)),"")</f>
        <v/>
      </c>
      <c r="B93" s="1" t="str">
        <f aca="false">IFERROR(INDEX('Sprint Planning'!$B$2:$B$201,MATCH(SMALL(Roadmap!$T$2:$T$243,ROW()-20),Roadmap!$T$2:$T$243,0)),"")</f>
        <v/>
      </c>
      <c r="C93" s="1" t="str">
        <f aca="false">IFERROR(INDEX('Sprint Planning'!$H$2:$H$201,MATCH(SMALL(Roadmap!$T$2:$T$243,ROW()-20),Roadmap!$T$2:$T$243,0)),"")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n">
        <f aca="false">IF(AND('Sprint Planning'!$H72&gt;=10,'Sprint Planning'!$H72&lt;=16),IFERROR(MATCH('Sprint Planning'!$C72,Roadmap!$A$4:$A$15,0),99)*100+'Sprint Planning'!$H72+93/100000,"")</f>
        <v>613.00093</v>
      </c>
    </row>
    <row r="94" customFormat="false" ht="15" hidden="false" customHeight="true" outlineLevel="0" collapsed="false">
      <c r="A94" s="1" t="str">
        <f aca="false">IFERROR(INDEX('Sprint Planning'!$C$2:$C$201,MATCH(SMALL(Roadmap!$T$2:$T$243,ROW()-20),Roadmap!$T$2:$T$243,0)),"")</f>
        <v/>
      </c>
      <c r="B94" s="1" t="str">
        <f aca="false">IFERROR(INDEX('Sprint Planning'!$B$2:$B$201,MATCH(SMALL(Roadmap!$T$2:$T$243,ROW()-20),Roadmap!$T$2:$T$243,0)),"")</f>
        <v/>
      </c>
      <c r="C94" s="1" t="str">
        <f aca="false">IFERROR(INDEX('Sprint Planning'!$H$2:$H$201,MATCH(SMALL(Roadmap!$T$2:$T$243,ROW()-20),Roadmap!$T$2:$T$243,0)),"")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e">
        <f aca="false">IF(AND('sprint planning'!#ref!&gt;=10,'sprint planning'!#ref!&lt;=16),IFERROR(MATCH('sprint planning'!#ref!,Roadmap!$A$4:$A$15,0),99)*100+'sprint planning'!#ref!+94/100000,"")</f>
        <v>#VALUE!</v>
      </c>
    </row>
    <row r="95" customFormat="false" ht="15" hidden="false" customHeight="true" outlineLevel="0" collapsed="false">
      <c r="A95" s="1" t="str">
        <f aca="false">IFERROR(INDEX('Sprint Planning'!$C$2:$C$201,MATCH(SMALL(Roadmap!$T$2:$T$243,ROW()-20),Roadmap!$T$2:$T$243,0)),"")</f>
        <v/>
      </c>
      <c r="B95" s="1" t="str">
        <f aca="false">IFERROR(INDEX('Sprint Planning'!$B$2:$B$201,MATCH(SMALL(Roadmap!$T$2:$T$243,ROW()-20),Roadmap!$T$2:$T$243,0)),"")</f>
        <v/>
      </c>
      <c r="C95" s="1" t="str">
        <f aca="false">IFERROR(INDEX('Sprint Planning'!$H$2:$H$201,MATCH(SMALL(Roadmap!$T$2:$T$243,ROW()-20),Roadmap!$T$2:$T$243,0)),"")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e">
        <f aca="false">IF(AND('sprint planning'!#ref!&gt;=10,'sprint planning'!#ref!&lt;=16),IFERROR(MATCH('sprint planning'!#ref!,Roadmap!$A$4:$A$15,0),99)*100+'sprint planning'!#ref!+95/100000,"")</f>
        <v>#VALUE!</v>
      </c>
    </row>
    <row r="96" customFormat="false" ht="15" hidden="false" customHeight="true" outlineLevel="0" collapsed="false">
      <c r="A96" s="1" t="str">
        <f aca="false">IFERROR(INDEX('Sprint Planning'!$C$2:$C$201,MATCH(SMALL(Roadmap!$T$2:$T$243,ROW()-20),Roadmap!$T$2:$T$243,0)),"")</f>
        <v/>
      </c>
      <c r="B96" s="1" t="str">
        <f aca="false">IFERROR(INDEX('Sprint Planning'!$B$2:$B$201,MATCH(SMALL(Roadmap!$T$2:$T$243,ROW()-20),Roadmap!$T$2:$T$243,0)),"")</f>
        <v/>
      </c>
      <c r="C96" s="1" t="str">
        <f aca="false">IFERROR(INDEX('Sprint Planning'!$H$2:$H$201,MATCH(SMALL(Roadmap!$T$2:$T$243,ROW()-20),Roadmap!$T$2:$T$243,0)),"")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Planning'!$H73&gt;=10,'Sprint Planning'!$H73&lt;=16),IFERROR(MATCH('Sprint Planning'!$C73,Roadmap!$A$4:$A$15,0),99)*100+'Sprint Planning'!$H73+96/100000,"")</f>
        <v/>
      </c>
    </row>
    <row r="97" customFormat="false" ht="15" hidden="false" customHeight="true" outlineLevel="0" collapsed="false">
      <c r="A97" s="1" t="str">
        <f aca="false">IFERROR(INDEX('Sprint Planning'!$C$2:$C$201,MATCH(SMALL(Roadmap!$T$2:$T$243,ROW()-20),Roadmap!$T$2:$T$243,0)),"")</f>
        <v/>
      </c>
      <c r="B97" s="1" t="str">
        <f aca="false">IFERROR(INDEX('Sprint Planning'!$B$2:$B$201,MATCH(SMALL(Roadmap!$T$2:$T$243,ROW()-20),Roadmap!$T$2:$T$243,0)),"")</f>
        <v/>
      </c>
      <c r="C97" s="1" t="str">
        <f aca="false">IFERROR(INDEX('Sprint Planning'!$H$2:$H$201,MATCH(SMALL(Roadmap!$T$2:$T$243,ROW()-20),Roadmap!$T$2:$T$243,0)),"")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e">
        <f aca="false">IF(AND('sprint planning'!#ref!&gt;=10,'sprint planning'!#ref!&lt;=16),IFERROR(MATCH('sprint planning'!#ref!,Roadmap!$A$4:$A$15,0),99)*100+'sprint planning'!#ref!+97/100000,"")</f>
        <v>#VALUE!</v>
      </c>
    </row>
    <row r="98" customFormat="false" ht="15" hidden="false" customHeight="true" outlineLevel="0" collapsed="false">
      <c r="A98" s="1" t="str">
        <f aca="false">IFERROR(INDEX('Sprint Planning'!$C$2:$C$201,MATCH(SMALL(Roadmap!$T$2:$T$243,ROW()-20),Roadmap!$T$2:$T$243,0)),"")</f>
        <v/>
      </c>
      <c r="B98" s="1" t="str">
        <f aca="false">IFERROR(INDEX('Sprint Planning'!$B$2:$B$201,MATCH(SMALL(Roadmap!$T$2:$T$243,ROW()-20),Roadmap!$T$2:$T$243,0)),"")</f>
        <v/>
      </c>
      <c r="C98" s="1" t="str">
        <f aca="false">IFERROR(INDEX('Sprint Planning'!$H$2:$H$201,MATCH(SMALL(Roadmap!$T$2:$T$243,ROW()-20),Roadmap!$T$2:$T$243,0)),"")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Planning'!$C$2:$C$201,MATCH(SMALL(Roadmap!$T$2:$T$243,ROW()-20),Roadmap!$T$2:$T$243,0)),"")</f>
        <v/>
      </c>
      <c r="B99" s="1" t="str">
        <f aca="false">IFERROR(INDEX('Sprint Planning'!$B$2:$B$201,MATCH(SMALL(Roadmap!$T$2:$T$243,ROW()-20),Roadmap!$T$2:$T$243,0)),"")</f>
        <v/>
      </c>
      <c r="C99" s="1" t="str">
        <f aca="false">IFERROR(INDEX('Sprint Planning'!$H$2:$H$201,MATCH(SMALL(Roadmap!$T$2:$T$243,ROW()-20),Roadmap!$T$2:$T$243,0)),"")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Planning'!$C$2:$C$201,MATCH(SMALL(Roadmap!$T$2:$T$243,ROW()-20),Roadmap!$T$2:$T$243,0)),"")</f>
        <v/>
      </c>
      <c r="B100" s="1" t="str">
        <f aca="false">IFERROR(INDEX('Sprint Planning'!$B$2:$B$201,MATCH(SMALL(Roadmap!$T$2:$T$243,ROW()-20),Roadmap!$T$2:$T$243,0)),"")</f>
        <v/>
      </c>
      <c r="C100" s="1" t="str">
        <f aca="false">IFERROR(INDEX('Sprint Planning'!$H$2:$H$201,MATCH(SMALL(Roadmap!$T$2:$T$243,ROW()-20),Roadmap!$T$2:$T$243,0)),"")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e">
        <f aca="false">IF(AND('sprint planning'!#ref!&gt;=10,'sprint planning'!#ref!&lt;=16),IFERROR(MATCH('sprint planning'!#ref!,Roadmap!$A$4:$A$15,0),99)*100+'sprint planning'!#ref!+100/100000,"")</f>
        <v>#VALUE!</v>
      </c>
    </row>
    <row r="101" customFormat="false" ht="15" hidden="false" customHeight="true" outlineLevel="0" collapsed="false">
      <c r="T101" s="1" t="e">
        <f aca="false">IF(AND('sprint planning'!#ref!&gt;=10,'sprint planning'!#ref!&lt;=16),IFERROR(MATCH('sprint planning'!#ref!,Roadmap!$A$4:$A$15,0),99)*100+'sprint planning'!#ref!+101/100000,"")</f>
        <v>#VALUE!</v>
      </c>
    </row>
    <row r="102" customFormat="false" ht="15" hidden="false" customHeight="true" outlineLevel="0" collapsed="false">
      <c r="T102" s="1" t="e">
        <f aca="false">IF(AND('sprint planning'!#ref!&gt;=10,'sprint planning'!#ref!&lt;=16),IFERROR(MATCH('sprint planning'!#ref!,Roadmap!$A$4:$A$15,0),99)*100+'sprint planning'!#ref!+102/100000,"")</f>
        <v>#VALUE!</v>
      </c>
    </row>
    <row r="103" customFormat="false" ht="15" hidden="false" customHeight="true" outlineLevel="0" collapsed="false">
      <c r="T103" s="1" t="e">
        <f aca="false">IF(AND('sprint planning'!#ref!&gt;=10,'sprint planning'!#ref!&lt;=16),IFERROR(MATCH('sprint planning'!#ref!,Roadmap!$A$4:$A$15,0),99)*100+'sprint planning'!#ref!+103/100000,"")</f>
        <v>#VALUE!</v>
      </c>
    </row>
    <row r="104" customFormat="false" ht="15" hidden="false" customHeight="true" outlineLevel="0" collapsed="false">
      <c r="T104" s="1" t="e">
        <f aca="false">IF(AND('sprint planning'!#ref!&gt;=10,'sprint planning'!#ref!&lt;=16),IFERROR(MATCH('sprint planning'!#ref!,Roadmap!$A$4:$A$15,0),99)*100+'sprint planning'!#ref!+104/100000,"")</f>
        <v>#VALUE!</v>
      </c>
    </row>
    <row r="105" customFormat="false" ht="15" hidden="false" customHeight="true" outlineLevel="0" collapsed="false">
      <c r="T105" s="1" t="n">
        <f aca="false">IF(AND('Sprint Planning'!$H74&gt;=10,'Sprint Planning'!$H74&lt;=16),IFERROR(MATCH('Sprint Planning'!$C74,Roadmap!$A$4:$A$15,0),99)*100+'Sprint Planning'!$H74+105/100000,"")</f>
        <v>9914.00105</v>
      </c>
    </row>
    <row r="106" customFormat="false" ht="15" hidden="false" customHeight="true" outlineLevel="0" collapsed="false">
      <c r="T106" s="1" t="str">
        <f aca="false">IF(AND('Sprint Planning'!$H75&gt;=10,'Sprint Planning'!$H75&lt;=16),IFERROR(MATCH('Sprint Planning'!$C75,Roadmap!$A$4:$A$15,0),99)*100+'Sprint Planning'!$H75+106/100000,"")</f>
        <v/>
      </c>
    </row>
    <row r="107" customFormat="false" ht="15" hidden="false" customHeight="true" outlineLevel="0" collapsed="false">
      <c r="T107" s="1" t="n">
        <f aca="false">IF(AND('Sprint Planning'!$H76&gt;=10,'Sprint Planning'!$H76&lt;=16),IFERROR(MATCH('Sprint Planning'!$C76,Roadmap!$A$4:$A$15,0),99)*100+'Sprint Planning'!$H76+107/100000,"")</f>
        <v>9914.00107</v>
      </c>
    </row>
    <row r="108" customFormat="false" ht="15" hidden="false" customHeight="true" outlineLevel="0" collapsed="false">
      <c r="T108" s="1" t="n">
        <f aca="false">IF(AND('Sprint Planning'!$H77&gt;=10,'Sprint Planning'!$H77&lt;=16),IFERROR(MATCH('Sprint Planning'!$C77,Roadmap!$A$4:$A$15,0),99)*100+'Sprint Planning'!$H77+108/100000,"")</f>
        <v>211.00108</v>
      </c>
    </row>
    <row r="109" customFormat="false" ht="15" hidden="false" customHeight="true" outlineLevel="0" collapsed="false">
      <c r="T109" s="1" t="str">
        <f aca="false">IF(AND('Sprint Planning'!$H78&gt;=10,'Sprint Planning'!$H78&lt;=16),IFERROR(MATCH('Sprint Planning'!$C78,Roadmap!$A$4:$A$15,0),99)*100+'Sprint Planning'!$H78+109/100000,"")</f>
        <v/>
      </c>
    </row>
    <row r="110" customFormat="false" ht="15" hidden="false" customHeight="true" outlineLevel="0" collapsed="false">
      <c r="T110" s="1" t="e">
        <f aca="false">IF(AND('sprint planning'!#ref!&gt;=10,'sprint planning'!#ref!&lt;=16),IFERROR(MATCH('sprint planning'!#ref!,Roadmap!$A$4:$A$15,0),99)*100+'sprint planning'!#ref!+110/100000,"")</f>
        <v>#VALUE!</v>
      </c>
    </row>
    <row r="111" customFormat="false" ht="15" hidden="false" customHeight="true" outlineLevel="0" collapsed="false">
      <c r="T111" s="1" t="e">
        <f aca="false">IF(AND('sprint planning'!#ref!&gt;=10,'sprint planning'!#ref!&lt;=16),IFERROR(MATCH('sprint planning'!#ref!,Roadmap!$A$4:$A$15,0),99)*100+'sprint planning'!#ref!+111/100000,"")</f>
        <v>#VALUE!</v>
      </c>
    </row>
    <row r="112" customFormat="false" ht="15" hidden="false" customHeight="true" outlineLevel="0" collapsed="false">
      <c r="T112" s="1" t="str">
        <f aca="false">IF(AND('Sprint Planning'!$H79&gt;=10,'Sprint Planning'!$H79&lt;=16),IFERROR(MATCH('Sprint Planning'!$C79,Roadmap!$A$4:$A$15,0),99)*100+'Sprint Planning'!$H79+112/100000,"")</f>
        <v/>
      </c>
    </row>
    <row r="113" customFormat="false" ht="15" hidden="false" customHeight="true" outlineLevel="0" collapsed="false">
      <c r="T113" s="1" t="n">
        <f aca="false">IF(AND('Sprint Planning'!$H80&gt;=10,'Sprint Planning'!$H80&lt;=16),IFERROR(MATCH('Sprint Planning'!$C80,Roadmap!$A$4:$A$15,0),99)*100+'Sprint Planning'!$H80+113/100000,"")</f>
        <v>512.00113</v>
      </c>
    </row>
    <row r="114" customFormat="false" ht="15" hidden="false" customHeight="true" outlineLevel="0" collapsed="false">
      <c r="T114" s="1" t="str">
        <f aca="false">IF(AND('Sprint Planning'!$H81&gt;=10,'Sprint Planning'!$H81&lt;=16),IFERROR(MATCH('Sprint Planning'!$C81,Roadmap!$A$4:$A$15,0),99)*100+'Sprint Planning'!$H81+114/100000,"")</f>
        <v/>
      </c>
    </row>
    <row r="115" customFormat="false" ht="15" hidden="false" customHeight="true" outlineLevel="0" collapsed="false">
      <c r="T115" s="1" t="str">
        <f aca="false">IF(AND('Sprint Planning'!$H82&gt;=10,'Sprint Planning'!$H82&lt;=16),IFERROR(MATCH('Sprint Planning'!$C82,Roadmap!$A$4:$A$15,0),99)*100+'Sprint Planning'!$H82+115/100000,"")</f>
        <v/>
      </c>
    </row>
    <row r="116" customFormat="false" ht="15" hidden="false" customHeight="true" outlineLevel="0" collapsed="false">
      <c r="T116" s="1" t="e">
        <f aca="false">IF(AND('sprint planning'!#ref!&gt;=10,'sprint planning'!#ref!&lt;=16),IFERROR(MATCH('sprint planning'!#ref!,Roadmap!$A$4:$A$15,0),99)*100+'sprint planning'!#ref!+116/100000,"")</f>
        <v>#VALUE!</v>
      </c>
    </row>
    <row r="117" customFormat="false" ht="15" hidden="false" customHeight="true" outlineLevel="0" collapsed="false">
      <c r="T117" s="1" t="e">
        <f aca="false">IF(AND('sprint planning'!#ref!&gt;=10,'sprint planning'!#ref!&lt;=16),IFERROR(MATCH('sprint planning'!#ref!,Roadmap!$A$4:$A$15,0),99)*100+'sprint planning'!#ref!+117/100000,"")</f>
        <v>#VALUE!</v>
      </c>
    </row>
    <row r="118" customFormat="false" ht="15" hidden="false" customHeight="true" outlineLevel="0" collapsed="false">
      <c r="T118" s="1" t="str">
        <f aca="false">IF(AND('Sprint Planning'!$H83&gt;=10,'Sprint Planning'!$H83&lt;=16),IFERROR(MATCH('Sprint Planning'!$C83,Roadmap!$A$4:$A$15,0),99)*100+'Sprint Planning'!$H83+118/100000,"")</f>
        <v/>
      </c>
    </row>
    <row r="119" customFormat="false" ht="15" hidden="false" customHeight="true" outlineLevel="0" collapsed="false">
      <c r="T119" s="1" t="str">
        <f aca="false">IF(AND('Sprint Planning'!$H84&gt;=10,'Sprint Planning'!$H84&lt;=16),IFERROR(MATCH('Sprint Planning'!$C84,Roadmap!$A$4:$A$15,0),99)*100+'Sprint Planning'!$H84+119/100000,"")</f>
        <v/>
      </c>
    </row>
    <row r="120" customFormat="false" ht="15" hidden="false" customHeight="true" outlineLevel="0" collapsed="false">
      <c r="T120" s="1" t="str">
        <f aca="false">IF(AND('Sprint Planning'!$H85&gt;=10,'Sprint Planning'!$H85&lt;=16),IFERROR(MATCH('Sprint Planning'!$C85,Roadmap!$A$4:$A$15,0),99)*100+'Sprint Planning'!$H85+120/100000,"")</f>
        <v/>
      </c>
    </row>
    <row r="121" customFormat="false" ht="15" hidden="false" customHeight="true" outlineLevel="0" collapsed="false">
      <c r="T121" s="1" t="str">
        <f aca="false">IF(AND('Sprint Planning'!$H86&gt;=10,'Sprint Planning'!$H86&lt;=16),IFERROR(MATCH('Sprint Planning'!$C86,Roadmap!$A$4:$A$15,0),99)*100+'Sprint Planning'!$H86+121/100000,"")</f>
        <v/>
      </c>
    </row>
    <row r="122" customFormat="false" ht="15" hidden="false" customHeight="true" outlineLevel="0" collapsed="false">
      <c r="T122" s="1" t="e">
        <f aca="false">IF(AND('sprint planning'!#ref!&gt;=10,'sprint planning'!#ref!&lt;=16),IFERROR(MATCH('sprint planning'!#ref!,Roadmap!$A$4:$A$15,0),99)*100+'sprint planning'!#ref!+122/100000,"")</f>
        <v>#VALUE!</v>
      </c>
    </row>
    <row r="123" customFormat="false" ht="15" hidden="false" customHeight="true" outlineLevel="0" collapsed="false">
      <c r="T123" s="1" t="e">
        <f aca="false">IF(AND('sprint planning'!#ref!&gt;=10,'sprint planning'!#ref!&lt;=16),IFERROR(MATCH('sprint planning'!#ref!,Roadmap!$A$4:$A$15,0),99)*100+'sprint planning'!#ref!+123/100000,"")</f>
        <v>#VALUE!</v>
      </c>
    </row>
    <row r="124" customFormat="false" ht="15" hidden="false" customHeight="true" outlineLevel="0" collapsed="false">
      <c r="T124" s="1" t="e">
        <f aca="false">IF(AND('sprint planning'!#ref!&gt;=10,'sprint planning'!#ref!&lt;=16),IFERROR(MATCH('sprint planning'!#ref!,Roadmap!$A$4:$A$15,0),99)*100+'sprint planning'!#ref!+124/100000,"")</f>
        <v>#VALUE!</v>
      </c>
    </row>
    <row r="125" customFormat="false" ht="15" hidden="false" customHeight="true" outlineLevel="0" collapsed="false">
      <c r="T125" s="1" t="n">
        <f aca="false">IF(AND('Sprint Planning'!$H87&gt;=10,'Sprint Planning'!$H87&lt;=16),IFERROR(MATCH('Sprint Planning'!$C87,Roadmap!$A$4:$A$15,0),99)*100+'Sprint Planning'!$H87+125/100000,"")</f>
        <v>112.00125</v>
      </c>
    </row>
    <row r="126" customFormat="false" ht="15" hidden="false" customHeight="true" outlineLevel="0" collapsed="false">
      <c r="T126" s="1" t="n">
        <f aca="false">IF(AND('Sprint Planning'!$H88&gt;=10,'Sprint Planning'!$H88&lt;=16),IFERROR(MATCH('Sprint Planning'!$C88,Roadmap!$A$4:$A$15,0),99)*100+'Sprint Planning'!$H88+126/100000,"")</f>
        <v>212.00126</v>
      </c>
    </row>
    <row r="127" customFormat="false" ht="15" hidden="false" customHeight="true" outlineLevel="0" collapsed="false">
      <c r="T127" s="1" t="n">
        <f aca="false">IF(AND('Sprint Planning'!$H89&gt;=10,'Sprint Planning'!$H89&lt;=16),IFERROR(MATCH('Sprint Planning'!$C89,Roadmap!$A$4:$A$15,0),99)*100+'Sprint Planning'!$H89+127/100000,"")</f>
        <v>112.00127</v>
      </c>
    </row>
    <row r="128" customFormat="false" ht="15" hidden="false" customHeight="true" outlineLevel="0" collapsed="false">
      <c r="T128" s="1" t="str">
        <f aca="false">IF(AND('Sprint Planning'!$H90&gt;=10,'Sprint Planning'!$H90&lt;=16),IFERROR(MATCH('Sprint Planning'!$C90,Roadmap!$A$4:$A$15,0),99)*100+'Sprint Planning'!$H90+128/100000,"")</f>
        <v/>
      </c>
    </row>
    <row r="129" customFormat="false" ht="15" hidden="false" customHeight="true" outlineLevel="0" collapsed="false">
      <c r="T129" s="1" t="n">
        <f aca="false">IF(AND('Sprint Planning'!$H91&gt;=10,'Sprint Planning'!$H91&lt;=16),IFERROR(MATCH('Sprint Planning'!$C91,Roadmap!$A$4:$A$15,0),99)*100+'Sprint Planning'!$H91+129/100000,"")</f>
        <v>212.00129</v>
      </c>
    </row>
    <row r="130" customFormat="false" ht="15" hidden="false" customHeight="true" outlineLevel="0" collapsed="false">
      <c r="T130" s="1" t="str">
        <f aca="false">IF(AND('Sprint Planning'!$H92&gt;=10,'Sprint Planning'!$H92&lt;=16),IFERROR(MATCH('Sprint Planning'!$C92,Roadmap!$A$4:$A$15,0),99)*100+'Sprint Planning'!$H92+130/100000,"")</f>
        <v/>
      </c>
    </row>
    <row r="131" customFormat="false" ht="15" hidden="false" customHeight="true" outlineLevel="0" collapsed="false">
      <c r="T131" s="1" t="str">
        <f aca="false">IF(AND('Sprint Planning'!$H93&gt;=10,'Sprint Planning'!$H93&lt;=16),IFERROR(MATCH('Sprint Planning'!$C93,Roadmap!$A$4:$A$15,0),99)*100+'Sprint Planning'!$H93+131/100000,"")</f>
        <v/>
      </c>
    </row>
    <row r="132" customFormat="false" ht="15" hidden="false" customHeight="true" outlineLevel="0" collapsed="false">
      <c r="T132" s="1" t="n">
        <f aca="false">IF(AND('Sprint Planning'!$H94&gt;=10,'Sprint Planning'!$H94&lt;=16),IFERROR(MATCH('Sprint Planning'!$C94,Roadmap!$A$4:$A$15,0),99)*100+'Sprint Planning'!$H94+132/100000,"")</f>
        <v>315.00132</v>
      </c>
    </row>
    <row r="133" customFormat="false" ht="15" hidden="false" customHeight="true" outlineLevel="0" collapsed="false">
      <c r="T133" s="1" t="e">
        <f aca="false">IF(AND('sprint planning'!#ref!&gt;=10,'sprint planning'!#ref!&lt;=16),IFERROR(MATCH('sprint planning'!#ref!,Roadmap!$A$4:$A$15,0),99)*100+'sprint planning'!#ref!+133/100000,"")</f>
        <v>#VALUE!</v>
      </c>
    </row>
    <row r="134" customFormat="false" ht="15" hidden="false" customHeight="true" outlineLevel="0" collapsed="false">
      <c r="T134" s="1" t="e">
        <f aca="false">IF(AND('sprint planning'!#ref!&gt;=10,'sprint planning'!#ref!&lt;=16),IFERROR(MATCH('sprint planning'!#ref!,Roadmap!$A$4:$A$15,0),99)*100+'sprint planning'!#ref!+134/100000,"")</f>
        <v>#VALUE!</v>
      </c>
    </row>
    <row r="135" customFormat="false" ht="15" hidden="false" customHeight="true" outlineLevel="0" collapsed="false">
      <c r="T135" s="1" t="n">
        <f aca="false">IF(AND('Sprint Planning'!$H95&gt;=10,'Sprint Planning'!$H95&lt;=16),IFERROR(MATCH('Sprint Planning'!$C95,Roadmap!$A$4:$A$15,0),99)*100+'Sprint Planning'!$H95+135/100000,"")</f>
        <v>9914.00135</v>
      </c>
    </row>
    <row r="136" customFormat="false" ht="15" hidden="false" customHeight="true" outlineLevel="0" collapsed="false">
      <c r="T136" s="1" t="n">
        <f aca="false">IF(AND('Sprint Planning'!$H96&gt;=10,'Sprint Planning'!$H96&lt;=16),IFERROR(MATCH('Sprint Planning'!$C96,Roadmap!$A$4:$A$15,0),99)*100+'Sprint Planning'!$H96+136/100000,"")</f>
        <v>9914.00136</v>
      </c>
    </row>
    <row r="137" customFormat="false" ht="15" hidden="false" customHeight="true" outlineLevel="0" collapsed="false">
      <c r="T137" s="1" t="n">
        <f aca="false">IF(AND('Sprint Planning'!$H97&gt;=10,'Sprint Planning'!$H97&lt;=16),IFERROR(MATCH('Sprint Planning'!$C97,Roadmap!$A$4:$A$15,0),99)*100+'Sprint Planning'!$H97+137/100000,"")</f>
        <v>9912.00137</v>
      </c>
    </row>
    <row r="138" customFormat="false" ht="15" hidden="false" customHeight="true" outlineLevel="0" collapsed="false">
      <c r="T138" s="1" t="e">
        <f aca="false">IF(AND('sprint planning'!#ref!&gt;=10,'sprint planning'!#ref!&lt;=16),IFERROR(MATCH('sprint planning'!#ref!,Roadmap!$A$4:$A$15,0),99)*100+'sprint planning'!#ref!+138/100000,"")</f>
        <v>#VALUE!</v>
      </c>
    </row>
    <row r="139" customFormat="false" ht="15" hidden="false" customHeight="true" outlineLevel="0" collapsed="false">
      <c r="T139" s="1" t="e">
        <f aca="false">IF(AND('sprint planning'!#ref!&gt;=10,'sprint planning'!#ref!&lt;=16),IFERROR(MATCH('sprint planning'!#ref!,Roadmap!$A$4:$A$15,0),99)*100+'sprint planning'!#ref!+139/100000,"")</f>
        <v>#VALUE!</v>
      </c>
    </row>
    <row r="140" customFormat="false" ht="15" hidden="false" customHeight="true" outlineLevel="0" collapsed="false">
      <c r="T140" s="1" t="str">
        <f aca="false">IF(AND('Sprint Planning'!$H98&gt;=10,'Sprint Planning'!$H98&lt;=16),IFERROR(MATCH('Sprint Planning'!$C98,Roadmap!$A$4:$A$15,0),99)*100+'Sprint Planning'!$H98+140/100000,"")</f>
        <v/>
      </c>
    </row>
    <row r="141" customFormat="false" ht="15" hidden="false" customHeight="true" outlineLevel="0" collapsed="false">
      <c r="T141" s="1" t="str">
        <f aca="false">IF(AND('Sprint Planning'!$H99&gt;=10,'Sprint Planning'!$H99&lt;=16),IFERROR(MATCH('Sprint Planning'!$C99,Roadmap!$A$4:$A$15,0),99)*100+'Sprint Planning'!$H99+141/100000,"")</f>
        <v/>
      </c>
    </row>
    <row r="142" customFormat="false" ht="15" hidden="false" customHeight="true" outlineLevel="0" collapsed="false">
      <c r="T142" s="1" t="str">
        <f aca="false">IF(AND('Sprint Planning'!$H100&gt;=10,'Sprint Planning'!$H100&lt;=16),IFERROR(MATCH('Sprint Planning'!$C100,Roadmap!$A$4:$A$15,0),99)*100+'Sprint Planning'!$H100+142/100000,"")</f>
        <v/>
      </c>
    </row>
    <row r="143" customFormat="false" ht="15" hidden="false" customHeight="true" outlineLevel="0" collapsed="false">
      <c r="T143" s="1" t="str">
        <f aca="false">IF(AND('Sprint Planning'!$H101&gt;=10,'Sprint Planning'!$H101&lt;=16),IFERROR(MATCH('Sprint Planning'!$C101,Roadmap!$A$4:$A$15,0),99)*100+'Sprint Planning'!$H101+143/100000,"")</f>
        <v/>
      </c>
    </row>
    <row r="144" customFormat="false" ht="15" hidden="false" customHeight="true" outlineLevel="0" collapsed="false">
      <c r="T144" s="1" t="str">
        <f aca="false">IF(AND('Sprint Planning'!$H102&gt;=10,'Sprint Planning'!$H102&lt;=16),IFERROR(MATCH('Sprint Planning'!$C102,Roadmap!$A$4:$A$15,0),99)*100+'Sprint Planning'!$H102+144/100000,"")</f>
        <v/>
      </c>
    </row>
    <row r="145" customFormat="false" ht="15" hidden="false" customHeight="true" outlineLevel="0" collapsed="false">
      <c r="T145" s="1" t="n">
        <f aca="false">IF(AND('Sprint Planning'!$H103&gt;=10,'Sprint Planning'!$H103&lt;=16),IFERROR(MATCH('Sprint Planning'!$C103,Roadmap!$A$4:$A$15,0),99)*100+'Sprint Planning'!$H103+145/100000,"")</f>
        <v>314.00145</v>
      </c>
    </row>
    <row r="146" customFormat="false" ht="15" hidden="false" customHeight="true" outlineLevel="0" collapsed="false">
      <c r="T146" s="1" t="n">
        <f aca="false">IF(AND('Sprint Planning'!$H104&gt;=10,'Sprint Planning'!$H104&lt;=16),IFERROR(MATCH('Sprint Planning'!$C104,Roadmap!$A$4:$A$15,0),99)*100+'Sprint Planning'!$H104+146/100000,"")</f>
        <v>413.00146</v>
      </c>
    </row>
    <row r="147" customFormat="false" ht="15" hidden="false" customHeight="true" outlineLevel="0" collapsed="false">
      <c r="T147" s="1" t="n">
        <f aca="false">IF(AND('Sprint Planning'!$H105&gt;=10,'Sprint Planning'!$H105&lt;=16),IFERROR(MATCH('Sprint Planning'!$C105,Roadmap!$A$4:$A$15,0),99)*100+'Sprint Planning'!$H105+147/100000,"")</f>
        <v>413.00147</v>
      </c>
    </row>
    <row r="148" customFormat="false" ht="15" hidden="false" customHeight="true" outlineLevel="0" collapsed="false">
      <c r="T148" s="1" t="n">
        <f aca="false">IF(AND('Sprint Planning'!$H106&gt;=10,'Sprint Planning'!$H106&lt;=16),IFERROR(MATCH('Sprint Planning'!$C106,Roadmap!$A$4:$A$15,0),99)*100+'Sprint Planning'!$H106+148/100000,"")</f>
        <v>513.00148</v>
      </c>
    </row>
    <row r="149" customFormat="false" ht="15" hidden="false" customHeight="true" outlineLevel="0" collapsed="false">
      <c r="T149" s="1" t="str">
        <f aca="false">IF(AND('Sprint Planning'!$H107&gt;=10,'Sprint Planning'!$H107&lt;=16),IFERROR(MATCH('Sprint Planning'!$C107,Roadmap!$A$4:$A$15,0),99)*100+'Sprint Planning'!$H107+149/100000,"")</f>
        <v/>
      </c>
    </row>
    <row r="150" customFormat="false" ht="15" hidden="false" customHeight="true" outlineLevel="0" collapsed="false">
      <c r="T150" s="1" t="str">
        <f aca="false">IF(AND('Sprint Planning'!$H108&gt;=10,'Sprint Planning'!$H108&lt;=16),IFERROR(MATCH('Sprint Planning'!$C108,Roadmap!$A$4:$A$15,0),99)*100+'Sprint Planning'!$H108+150/100000,"")</f>
        <v/>
      </c>
    </row>
    <row r="151" customFormat="false" ht="15" hidden="false" customHeight="true" outlineLevel="0" collapsed="false">
      <c r="T151" s="1" t="n">
        <f aca="false">IF(AND('Sprint Planning'!$H109&gt;=10,'Sprint Planning'!$H109&lt;=16),IFERROR(MATCH('Sprint Planning'!$C109,Roadmap!$A$4:$A$15,0),99)*100+'Sprint Planning'!$H109+151/100000,"")</f>
        <v>613.00151</v>
      </c>
    </row>
    <row r="152" customFormat="false" ht="15" hidden="false" customHeight="true" outlineLevel="0" collapsed="false">
      <c r="T152" s="1" t="n">
        <f aca="false">IF(AND('Sprint Planning'!$H110&gt;=10,'Sprint Planning'!$H110&lt;=16),IFERROR(MATCH('Sprint Planning'!$C110,Roadmap!$A$4:$A$15,0),99)*100+'Sprint Planning'!$H110+152/100000,"")</f>
        <v>514.00152</v>
      </c>
    </row>
    <row r="153" customFormat="false" ht="15" hidden="false" customHeight="true" outlineLevel="0" collapsed="false">
      <c r="T153" s="1" t="n">
        <f aca="false">IF(AND('Sprint Planning'!$H111&gt;=10,'Sprint Planning'!$H111&lt;=16),IFERROR(MATCH('Sprint Planning'!$C111,Roadmap!$A$4:$A$15,0),99)*100+'Sprint Planning'!$H111+153/100000,"")</f>
        <v>513.00153</v>
      </c>
    </row>
    <row r="154" customFormat="false" ht="15" hidden="false" customHeight="true" outlineLevel="0" collapsed="false">
      <c r="T154" s="1" t="n">
        <f aca="false">IF(AND('Sprint Planning'!$H112&gt;=10,'Sprint Planning'!$H112&lt;=16),IFERROR(MATCH('Sprint Planning'!$C112,Roadmap!$A$4:$A$15,0),99)*100+'Sprint Planning'!$H112+154/100000,"")</f>
        <v>113.00154</v>
      </c>
    </row>
    <row r="155" customFormat="false" ht="15" hidden="false" customHeight="true" outlineLevel="0" collapsed="false">
      <c r="T155" s="1" t="str">
        <f aca="false">IF(AND('Sprint Planning'!$H113&gt;=10,'Sprint Planning'!$H113&lt;=16),IFERROR(MATCH('Sprint Planning'!$C113,Roadmap!$A$4:$A$15,0),99)*100+'Sprint Planning'!$H113+155/100000,"")</f>
        <v/>
      </c>
    </row>
    <row r="156" customFormat="false" ht="15" hidden="false" customHeight="true" outlineLevel="0" collapsed="false">
      <c r="T156" s="1" t="str">
        <f aca="false">IF(AND('Sprint Planning'!$H114&gt;=10,'Sprint Planning'!$H114&lt;=16),IFERROR(MATCH('Sprint Planning'!$C114,Roadmap!$A$4:$A$15,0),99)*100+'Sprint Planning'!$H114+156/100000,"")</f>
        <v/>
      </c>
    </row>
    <row r="157" customFormat="false" ht="15" hidden="false" customHeight="true" outlineLevel="0" collapsed="false">
      <c r="T157" s="1" t="str">
        <f aca="false">IF(AND('Sprint Planning'!$H115&gt;=10,'Sprint Planning'!$H115&lt;=16),IFERROR(MATCH('Sprint Planning'!$C115,Roadmap!$A$4:$A$15,0),99)*100+'Sprint Planning'!$H115+157/100000,"")</f>
        <v/>
      </c>
    </row>
    <row r="158" customFormat="false" ht="15" hidden="false" customHeight="true" outlineLevel="0" collapsed="false">
      <c r="T158" s="1" t="str">
        <f aca="false">IF(AND('Sprint Planning'!$H116&gt;=10,'Sprint Planning'!$H116&lt;=16),IFERROR(MATCH('Sprint Planning'!$C116,Roadmap!$A$4:$A$15,0),99)*100+'Sprint Planning'!$H116+158/100000,"")</f>
        <v/>
      </c>
    </row>
    <row r="159" customFormat="false" ht="15" hidden="false" customHeight="true" outlineLevel="0" collapsed="false">
      <c r="T159" s="1" t="str">
        <f aca="false">IF(AND('Sprint Planning'!$H117&gt;=10,'Sprint Planning'!$H117&lt;=16),IFERROR(MATCH('Sprint Planning'!$C117,Roadmap!$A$4:$A$15,0),99)*100+'Sprint Planning'!$H117+159/100000,"")</f>
        <v/>
      </c>
    </row>
    <row r="160" customFormat="false" ht="15" hidden="false" customHeight="true" outlineLevel="0" collapsed="false">
      <c r="T160" s="1" t="str">
        <f aca="false">IF(AND('Sprint Planning'!$H118&gt;=10,'Sprint Planning'!$H118&lt;=16),IFERROR(MATCH('Sprint Planning'!$C118,Roadmap!$A$4:$A$15,0),99)*100+'Sprint Planning'!$H118+160/100000,"")</f>
        <v/>
      </c>
    </row>
    <row r="161" customFormat="false" ht="15" hidden="false" customHeight="true" outlineLevel="0" collapsed="false">
      <c r="T161" s="1" t="str">
        <f aca="false">IF(AND('Sprint Planning'!$H119&gt;=10,'Sprint Planning'!$H119&lt;=16),IFERROR(MATCH('Sprint Planning'!$C119,Roadmap!$A$4:$A$15,0),99)*100+'Sprint Planning'!$H119+161/100000,"")</f>
        <v/>
      </c>
    </row>
    <row r="162" customFormat="false" ht="15" hidden="false" customHeight="true" outlineLevel="0" collapsed="false">
      <c r="T162" s="1" t="str">
        <f aca="false">IF(AND('Sprint Planning'!$H120&gt;=10,'Sprint Planning'!$H120&lt;=16),IFERROR(MATCH('Sprint Planning'!$C120,Roadmap!$A$4:$A$15,0),99)*100+'Sprint Planning'!$H120+162/100000,"")</f>
        <v/>
      </c>
    </row>
    <row r="163" customFormat="false" ht="15" hidden="false" customHeight="true" outlineLevel="0" collapsed="false">
      <c r="T163" s="1" t="str">
        <f aca="false">IF(AND('Sprint Planning'!$H121&gt;=10,'Sprint Planning'!$H121&lt;=16),IFERROR(MATCH('Sprint Planning'!$C121,Roadmap!$A$4:$A$15,0),99)*100+'Sprint Planning'!$H121+163/100000,"")</f>
        <v/>
      </c>
    </row>
    <row r="164" customFormat="false" ht="15" hidden="false" customHeight="true" outlineLevel="0" collapsed="false">
      <c r="T164" s="1" t="str">
        <f aca="false">IF(AND('Sprint Planning'!$H122&gt;=10,'Sprint Planning'!$H122&lt;=16),IFERROR(MATCH('Sprint Planning'!$C122,Roadmap!$A$4:$A$15,0),99)*100+'Sprint Planning'!$H122+164/100000,"")</f>
        <v/>
      </c>
    </row>
    <row r="165" customFormat="false" ht="15" hidden="false" customHeight="true" outlineLevel="0" collapsed="false">
      <c r="T165" s="1" t="str">
        <f aca="false">IF(AND('Sprint Planning'!$H123&gt;=10,'Sprint Planning'!$H123&lt;=16),IFERROR(MATCH('Sprint Planning'!$C123,Roadmap!$A$4:$A$15,0),99)*100+'Sprint Planning'!$H123+165/100000,"")</f>
        <v/>
      </c>
    </row>
    <row r="166" customFormat="false" ht="15" hidden="false" customHeight="true" outlineLevel="0" collapsed="false">
      <c r="T166" s="1" t="str">
        <f aca="false">IF(AND('Sprint Planning'!$H124&gt;=10,'Sprint Planning'!$H124&lt;=16),IFERROR(MATCH('Sprint Planning'!$C124,Roadmap!$A$4:$A$15,0),99)*100+'Sprint Planning'!$H124+166/100000,"")</f>
        <v/>
      </c>
    </row>
    <row r="167" customFormat="false" ht="15" hidden="false" customHeight="true" outlineLevel="0" collapsed="false">
      <c r="T167" s="1" t="str">
        <f aca="false">IF(AND('Sprint Planning'!$H125&gt;=10,'Sprint Planning'!$H125&lt;=16),IFERROR(MATCH('Sprint Planning'!$C125,Roadmap!$A$4:$A$15,0),99)*100+'Sprint Planning'!$H125+167/100000,"")</f>
        <v/>
      </c>
    </row>
    <row r="168" customFormat="false" ht="15" hidden="false" customHeight="true" outlineLevel="0" collapsed="false">
      <c r="T168" s="1" t="str">
        <f aca="false">IF(AND('Sprint Planning'!$H126&gt;=10,'Sprint Planning'!$H126&lt;=16),IFERROR(MATCH('Sprint Planning'!$C126,Roadmap!$A$4:$A$15,0),99)*100+'Sprint Planning'!$H126+168/100000,"")</f>
        <v/>
      </c>
    </row>
    <row r="169" customFormat="false" ht="15" hidden="false" customHeight="true" outlineLevel="0" collapsed="false">
      <c r="T169" s="1" t="str">
        <f aca="false">IF(AND('Sprint Planning'!$H127&gt;=10,'Sprint Planning'!$H127&lt;=16),IFERROR(MATCH('Sprint Planning'!$C127,Roadmap!$A$4:$A$15,0),99)*100+'Sprint Planning'!$H127+169/100000,"")</f>
        <v/>
      </c>
    </row>
    <row r="170" customFormat="false" ht="15" hidden="false" customHeight="true" outlineLevel="0" collapsed="false">
      <c r="T170" s="1" t="str">
        <f aca="false">IF(AND('Sprint Planning'!$H128&gt;=10,'Sprint Planning'!$H128&lt;=16),IFERROR(MATCH('Sprint Planning'!$C128,Roadmap!$A$4:$A$15,0),99)*100+'Sprint Planning'!$H128+170/100000,"")</f>
        <v/>
      </c>
    </row>
    <row r="171" customFormat="false" ht="15" hidden="false" customHeight="true" outlineLevel="0" collapsed="false">
      <c r="T171" s="1" t="str">
        <f aca="false">IF(AND('Sprint Planning'!$H129&gt;=10,'Sprint Planning'!$H129&lt;=16),IFERROR(MATCH('Sprint Planning'!$C129,Roadmap!$A$4:$A$15,0),99)*100+'Sprint Planning'!$H129+171/100000,"")</f>
        <v/>
      </c>
    </row>
    <row r="172" customFormat="false" ht="15" hidden="false" customHeight="true" outlineLevel="0" collapsed="false">
      <c r="T172" s="1" t="str">
        <f aca="false">IF(AND('Sprint Planning'!$H130&gt;=10,'Sprint Planning'!$H130&lt;=16),IFERROR(MATCH('Sprint Planning'!$C130,Roadmap!$A$4:$A$15,0),99)*100+'Sprint Planning'!$H130+172/100000,"")</f>
        <v/>
      </c>
    </row>
    <row r="173" customFormat="false" ht="15" hidden="false" customHeight="true" outlineLevel="0" collapsed="false">
      <c r="T173" s="1" t="str">
        <f aca="false">IF(AND('Sprint Planning'!$H131&gt;=10,'Sprint Planning'!$H131&lt;=16),IFERROR(MATCH('Sprint Planning'!$C131,Roadmap!$A$4:$A$15,0),99)*100+'Sprint Planning'!$H131+173/100000,"")</f>
        <v/>
      </c>
    </row>
    <row r="174" customFormat="false" ht="15" hidden="false" customHeight="true" outlineLevel="0" collapsed="false">
      <c r="T174" s="1" t="str">
        <f aca="false">IF(AND('Sprint Planning'!$H132&gt;=10,'Sprint Planning'!$H132&lt;=16),IFERROR(MATCH('Sprint Planning'!$C132,Roadmap!$A$4:$A$15,0),99)*100+'Sprint Planning'!$H132+174/100000,"")</f>
        <v/>
      </c>
    </row>
    <row r="175" customFormat="false" ht="15" hidden="false" customHeight="true" outlineLevel="0" collapsed="false">
      <c r="T175" s="1" t="str">
        <f aca="false">IF(AND('Sprint Planning'!$H133&gt;=10,'Sprint Planning'!$H133&lt;=16),IFERROR(MATCH('Sprint Planning'!$C133,Roadmap!$A$4:$A$15,0),99)*100+'Sprint Planning'!$H133+175/100000,"")</f>
        <v/>
      </c>
    </row>
    <row r="176" customFormat="false" ht="15" hidden="false" customHeight="true" outlineLevel="0" collapsed="false">
      <c r="T176" s="1" t="str">
        <f aca="false">IF(AND('Sprint Planning'!$H134&gt;=10,'Sprint Planning'!$H134&lt;=16),IFERROR(MATCH('Sprint Planning'!$C134,Roadmap!$A$4:$A$15,0),99)*100+'Sprint Planning'!$H134+176/100000,"")</f>
        <v/>
      </c>
    </row>
    <row r="177" customFormat="false" ht="15" hidden="false" customHeight="true" outlineLevel="0" collapsed="false">
      <c r="T177" s="1" t="str">
        <f aca="false">IF(AND('Sprint Planning'!$H135&gt;=10,'Sprint Planning'!$H135&lt;=16),IFERROR(MATCH('Sprint Planning'!$C135,Roadmap!$A$4:$A$15,0),99)*100+'Sprint Planning'!$H135+177/100000,"")</f>
        <v/>
      </c>
    </row>
    <row r="178" customFormat="false" ht="15" hidden="false" customHeight="true" outlineLevel="0" collapsed="false">
      <c r="T178" s="1" t="str">
        <f aca="false">IF(AND('Sprint Planning'!$H136&gt;=10,'Sprint Planning'!$H136&lt;=16),IFERROR(MATCH('Sprint Planning'!$C136,Roadmap!$A$4:$A$15,0),99)*100+'Sprint Planning'!$H136+178/100000,"")</f>
        <v/>
      </c>
    </row>
    <row r="179" customFormat="false" ht="15" hidden="false" customHeight="true" outlineLevel="0" collapsed="false">
      <c r="T179" s="1" t="str">
        <f aca="false">IF(AND('Sprint Planning'!$H137&gt;=10,'Sprint Planning'!$H137&lt;=16),IFERROR(MATCH('Sprint Planning'!$C137,Roadmap!$A$4:$A$15,0),99)*100+'Sprint Planning'!$H137+179/100000,"")</f>
        <v/>
      </c>
    </row>
    <row r="180" customFormat="false" ht="15" hidden="false" customHeight="true" outlineLevel="0" collapsed="false">
      <c r="T180" s="1" t="str">
        <f aca="false">IF(AND('Sprint Planning'!$H138&gt;=10,'Sprint Planning'!$H138&lt;=16),IFERROR(MATCH('Sprint Planning'!$C138,Roadmap!$A$4:$A$15,0),99)*100+'Sprint Planning'!$H138+180/100000,"")</f>
        <v/>
      </c>
    </row>
    <row r="181" customFormat="false" ht="15" hidden="false" customHeight="true" outlineLevel="0" collapsed="false">
      <c r="T181" s="1" t="str">
        <f aca="false">IF(AND('Sprint Planning'!$H139&gt;=10,'Sprint Planning'!$H139&lt;=16),IFERROR(MATCH('Sprint Planning'!$C139,Roadmap!$A$4:$A$15,0),99)*100+'Sprint Planning'!$H139+181/100000,"")</f>
        <v/>
      </c>
    </row>
    <row r="182" customFormat="false" ht="15" hidden="false" customHeight="true" outlineLevel="0" collapsed="false">
      <c r="T182" s="1" t="str">
        <f aca="false">IF(AND('Sprint Planning'!$H140&gt;=10,'Sprint Planning'!$H140&lt;=16),IFERROR(MATCH('Sprint Planning'!$C140,Roadmap!$A$4:$A$15,0),99)*100+'Sprint Planning'!$H140+182/100000,"")</f>
        <v/>
      </c>
    </row>
    <row r="183" customFormat="false" ht="15" hidden="false" customHeight="true" outlineLevel="0" collapsed="false">
      <c r="T183" s="1" t="str">
        <f aca="false">IF(AND('Sprint Planning'!$H141&gt;=10,'Sprint Planning'!$H141&lt;=16),IFERROR(MATCH('Sprint Planning'!$C141,Roadmap!$A$4:$A$15,0),99)*100+'Sprint Planning'!$H141+183/100000,"")</f>
        <v/>
      </c>
    </row>
    <row r="184" customFormat="false" ht="15" hidden="false" customHeight="true" outlineLevel="0" collapsed="false">
      <c r="T184" s="1" t="str">
        <f aca="false">IF(AND('Sprint Planning'!$H142&gt;=10,'Sprint Planning'!$H142&lt;=16),IFERROR(MATCH('Sprint Planning'!$C142,Roadmap!$A$4:$A$15,0),99)*100+'Sprint Planning'!$H142+184/100000,"")</f>
        <v/>
      </c>
    </row>
    <row r="185" customFormat="false" ht="15" hidden="false" customHeight="true" outlineLevel="0" collapsed="false">
      <c r="T185" s="1" t="str">
        <f aca="false">IF(AND('Sprint Planning'!$H143&gt;=10,'Sprint Planning'!$H143&lt;=16),IFERROR(MATCH('Sprint Planning'!$C143,Roadmap!$A$4:$A$15,0),99)*100+'Sprint Planning'!$H143+185/100000,"")</f>
        <v/>
      </c>
    </row>
    <row r="186" customFormat="false" ht="15" hidden="false" customHeight="true" outlineLevel="0" collapsed="false">
      <c r="T186" s="1" t="str">
        <f aca="false">IF(AND('Sprint Planning'!$H144&gt;=10,'Sprint Planning'!$H144&lt;=16),IFERROR(MATCH('Sprint Planning'!$C144,Roadmap!$A$4:$A$15,0),99)*100+'Sprint Planning'!$H144+186/100000,"")</f>
        <v/>
      </c>
    </row>
    <row r="187" customFormat="false" ht="15" hidden="false" customHeight="true" outlineLevel="0" collapsed="false">
      <c r="T187" s="1" t="str">
        <f aca="false">IF(AND('Sprint Planning'!$H145&gt;=10,'Sprint Planning'!$H145&lt;=16),IFERROR(MATCH('Sprint Planning'!$C145,Roadmap!$A$4:$A$15,0),99)*100+'Sprint Planning'!$H145+187/100000,"")</f>
        <v/>
      </c>
    </row>
    <row r="188" customFormat="false" ht="15" hidden="false" customHeight="true" outlineLevel="0" collapsed="false">
      <c r="T188" s="1" t="str">
        <f aca="false">IF(AND('Sprint Planning'!$H146&gt;=10,'Sprint Planning'!$H146&lt;=16),IFERROR(MATCH('Sprint Planning'!$C146,Roadmap!$A$4:$A$15,0),99)*100+'Sprint Planning'!$H146+188/100000,"")</f>
        <v/>
      </c>
    </row>
    <row r="189" customFormat="false" ht="15" hidden="false" customHeight="true" outlineLevel="0" collapsed="false">
      <c r="T189" s="1" t="str">
        <f aca="false">IF(AND('Sprint Planning'!$H147&gt;=10,'Sprint Planning'!$H147&lt;=16),IFERROR(MATCH('Sprint Planning'!$C147,Roadmap!$A$4:$A$15,0),99)*100+'Sprint Planning'!$H147+189/100000,"")</f>
        <v/>
      </c>
    </row>
    <row r="190" customFormat="false" ht="15" hidden="false" customHeight="true" outlineLevel="0" collapsed="false">
      <c r="T190" s="1" t="str">
        <f aca="false">IF(AND('Sprint Planning'!$H148&gt;=10,'Sprint Planning'!$H148&lt;=16),IFERROR(MATCH('Sprint Planning'!$C148,Roadmap!$A$4:$A$15,0),99)*100+'Sprint Planning'!$H148+190/100000,"")</f>
        <v/>
      </c>
    </row>
    <row r="191" customFormat="false" ht="15" hidden="false" customHeight="true" outlineLevel="0" collapsed="false">
      <c r="T191" s="1" t="str">
        <f aca="false">IF(AND('Sprint Planning'!$H149&gt;=10,'Sprint Planning'!$H149&lt;=16),IFERROR(MATCH('Sprint Planning'!$C149,Roadmap!$A$4:$A$15,0),99)*100+'Sprint Planning'!$H149+191/100000,"")</f>
        <v/>
      </c>
    </row>
    <row r="192" customFormat="false" ht="15" hidden="false" customHeight="true" outlineLevel="0" collapsed="false">
      <c r="T192" s="1" t="str">
        <f aca="false">IF(AND('Sprint Planning'!$H150&gt;=10,'Sprint Planning'!$H150&lt;=16),IFERROR(MATCH('Sprint Planning'!$C150,Roadmap!$A$4:$A$15,0),99)*100+'Sprint Planning'!$H150+192/100000,"")</f>
        <v/>
      </c>
    </row>
    <row r="193" customFormat="false" ht="15" hidden="false" customHeight="true" outlineLevel="0" collapsed="false">
      <c r="T193" s="1" t="str">
        <f aca="false">IF(AND('Sprint Planning'!$H151&gt;=10,'Sprint Planning'!$H151&lt;=16),IFERROR(MATCH('Sprint Planning'!$C151,Roadmap!$A$4:$A$15,0),99)*100+'Sprint Planning'!$H151+193/100000,"")</f>
        <v/>
      </c>
    </row>
    <row r="194" customFormat="false" ht="15" hidden="false" customHeight="true" outlineLevel="0" collapsed="false">
      <c r="T194" s="1" t="str">
        <f aca="false">IF(AND('Sprint Planning'!$H152&gt;=10,'Sprint Planning'!$H152&lt;=16),IFERROR(MATCH('Sprint Planning'!$C152,Roadmap!$A$4:$A$15,0),99)*100+'Sprint Planning'!$H152+194/100000,"")</f>
        <v/>
      </c>
    </row>
    <row r="195" customFormat="false" ht="15" hidden="false" customHeight="true" outlineLevel="0" collapsed="false">
      <c r="T195" s="1" t="str">
        <f aca="false">IF(AND('Sprint Planning'!$H153&gt;=10,'Sprint Planning'!$H153&lt;=16),IFERROR(MATCH('Sprint Planning'!$C153,Roadmap!$A$4:$A$15,0),99)*100+'Sprint Planning'!$H153+195/100000,"")</f>
        <v/>
      </c>
    </row>
    <row r="196" customFormat="false" ht="15" hidden="false" customHeight="true" outlineLevel="0" collapsed="false">
      <c r="T196" s="1" t="str">
        <f aca="false">IF(AND('Sprint Planning'!$H154&gt;=10,'Sprint Planning'!$H154&lt;=16),IFERROR(MATCH('Sprint Planning'!$C154,Roadmap!$A$4:$A$15,0),99)*100+'Sprint Planning'!$H154+196/100000,"")</f>
        <v/>
      </c>
    </row>
    <row r="197" customFormat="false" ht="15" hidden="false" customHeight="true" outlineLevel="0" collapsed="false">
      <c r="T197" s="1" t="str">
        <f aca="false">IF(AND('Sprint Planning'!$H155&gt;=10,'Sprint Planning'!$H155&lt;=16),IFERROR(MATCH('Sprint Planning'!$C155,Roadmap!$A$4:$A$15,0),99)*100+'Sprint Planning'!$H155+197/100000,"")</f>
        <v/>
      </c>
    </row>
    <row r="198" customFormat="false" ht="15" hidden="false" customHeight="true" outlineLevel="0" collapsed="false">
      <c r="T198" s="1" t="str">
        <f aca="false">IF(AND('Sprint Planning'!$H156&gt;=10,'Sprint Planning'!$H156&lt;=16),IFERROR(MATCH('Sprint Planning'!$C156,Roadmap!$A$4:$A$15,0),99)*100+'Sprint Planning'!$H156+198/100000,"")</f>
        <v/>
      </c>
    </row>
    <row r="199" customFormat="false" ht="15" hidden="false" customHeight="true" outlineLevel="0" collapsed="false">
      <c r="T199" s="1" t="str">
        <f aca="false">IF(AND('Sprint Planning'!$H157&gt;=10,'Sprint Planning'!$H157&lt;=16),IFERROR(MATCH('Sprint Planning'!$C157,Roadmap!$A$4:$A$15,0),99)*100+'Sprint Planning'!$H157+199/100000,"")</f>
        <v/>
      </c>
    </row>
    <row r="200" customFormat="false" ht="15" hidden="false" customHeight="true" outlineLevel="0" collapsed="false">
      <c r="T200" s="1" t="str">
        <f aca="false">IF(AND('Sprint Planning'!$H158&gt;=10,'Sprint Planning'!$H158&lt;=16),IFERROR(MATCH('Sprint Planning'!$C158,Roadmap!$A$4:$A$15,0),99)*100+'Sprint Planning'!$H158+200/100000,"")</f>
        <v/>
      </c>
    </row>
    <row r="201" customFormat="false" ht="15" hidden="false" customHeight="true" outlineLevel="0" collapsed="false">
      <c r="T201" s="1" t="str">
        <f aca="false">IF(AND('Sprint Planning'!$H159&gt;=10,'Sprint Planning'!$H159&lt;=16),IFERROR(MATCH('Sprint Planning'!$C159,Roadmap!$A$4:$A$15,0),99)*100+'Sprint Planning'!$H159+201/100000,"")</f>
        <v/>
      </c>
    </row>
    <row r="202" customFormat="false" ht="15" hidden="false" customHeight="true" outlineLevel="0" collapsed="false">
      <c r="T202" s="1" t="str">
        <f aca="false">IF(AND('Sprint Planning'!$H160&gt;=10,'Sprint Planning'!$H160&lt;=16),IFERROR(MATCH('Sprint Planning'!$C160,Roadmap!$A$4:$A$15,0),99)*100+'Sprint Planning'!$H160+202/100000,"")</f>
        <v/>
      </c>
    </row>
    <row r="203" customFormat="false" ht="15" hidden="false" customHeight="true" outlineLevel="0" collapsed="false">
      <c r="T203" s="1" t="str">
        <f aca="false">IF(AND('Sprint Planning'!$H161&gt;=10,'Sprint Planning'!$H161&lt;=16),IFERROR(MATCH('Sprint Planning'!$C161,Roadmap!$A$4:$A$15,0),99)*100+'Sprint Planning'!$H161+203/100000,"")</f>
        <v/>
      </c>
    </row>
    <row r="204" customFormat="false" ht="15" hidden="false" customHeight="true" outlineLevel="0" collapsed="false">
      <c r="T204" s="1" t="str">
        <f aca="false">IF(AND('Sprint Planning'!$H162&gt;=10,'Sprint Planning'!$H162&lt;=16),IFERROR(MATCH('Sprint Planning'!$C162,Roadmap!$A$4:$A$15,0),99)*100+'Sprint Planning'!$H162+204/100000,"")</f>
        <v/>
      </c>
    </row>
    <row r="205" customFormat="false" ht="15" hidden="false" customHeight="true" outlineLevel="0" collapsed="false">
      <c r="T205" s="1" t="str">
        <f aca="false">IF(AND('Sprint Planning'!$H163&gt;=10,'Sprint Planning'!$H163&lt;=16),IFERROR(MATCH('Sprint Planning'!$C163,Roadmap!$A$4:$A$15,0),99)*100+'Sprint Planning'!$H163+205/100000,"")</f>
        <v/>
      </c>
    </row>
    <row r="206" customFormat="false" ht="15" hidden="false" customHeight="true" outlineLevel="0" collapsed="false">
      <c r="T206" s="1" t="str">
        <f aca="false">IF(AND('Sprint Planning'!$H164&gt;=10,'Sprint Planning'!$H164&lt;=16),IFERROR(MATCH('Sprint Planning'!$C164,Roadmap!$A$4:$A$15,0),99)*100+'Sprint Planning'!$H164+206/100000,"")</f>
        <v/>
      </c>
    </row>
    <row r="207" customFormat="false" ht="15" hidden="false" customHeight="true" outlineLevel="0" collapsed="false">
      <c r="T207" s="1" t="str">
        <f aca="false">IF(AND('Sprint Planning'!$H165&gt;=10,'Sprint Planning'!$H165&lt;=16),IFERROR(MATCH('Sprint Planning'!$C165,Roadmap!$A$4:$A$15,0),99)*100+'Sprint Planning'!$H165+207/100000,"")</f>
        <v/>
      </c>
    </row>
    <row r="208" customFormat="false" ht="15" hidden="false" customHeight="true" outlineLevel="0" collapsed="false">
      <c r="T208" s="1" t="str">
        <f aca="false">IF(AND('Sprint Planning'!$H166&gt;=10,'Sprint Planning'!$H166&lt;=16),IFERROR(MATCH('Sprint Planning'!$C166,Roadmap!$A$4:$A$15,0),99)*100+'Sprint Planning'!$H166+208/100000,"")</f>
        <v/>
      </c>
    </row>
    <row r="209" customFormat="false" ht="15" hidden="false" customHeight="true" outlineLevel="0" collapsed="false">
      <c r="T209" s="1" t="str">
        <f aca="false">IF(AND('Sprint Planning'!$H167&gt;=10,'Sprint Planning'!$H167&lt;=16),IFERROR(MATCH('Sprint Planning'!$C167,Roadmap!$A$4:$A$15,0),99)*100+'Sprint Planning'!$H167+209/100000,"")</f>
        <v/>
      </c>
    </row>
    <row r="210" customFormat="false" ht="15" hidden="false" customHeight="true" outlineLevel="0" collapsed="false">
      <c r="T210" s="1" t="str">
        <f aca="false">IF(AND('Sprint Planning'!$H168&gt;=10,'Sprint Planning'!$H168&lt;=16),IFERROR(MATCH('Sprint Planning'!$C168,Roadmap!$A$4:$A$15,0),99)*100+'Sprint Planning'!$H168+210/100000,"")</f>
        <v/>
      </c>
    </row>
    <row r="211" customFormat="false" ht="15" hidden="false" customHeight="true" outlineLevel="0" collapsed="false">
      <c r="T211" s="1" t="str">
        <f aca="false">IF(AND('Sprint Planning'!$H169&gt;=10,'Sprint Planning'!$H169&lt;=16),IFERROR(MATCH('Sprint Planning'!$C169,Roadmap!$A$4:$A$15,0),99)*100+'Sprint Planning'!$H169+211/100000,"")</f>
        <v/>
      </c>
    </row>
    <row r="212" customFormat="false" ht="15" hidden="false" customHeight="true" outlineLevel="0" collapsed="false">
      <c r="T212" s="1" t="str">
        <f aca="false">IF(AND('Sprint Planning'!$H170&gt;=10,'Sprint Planning'!$H170&lt;=16),IFERROR(MATCH('Sprint Planning'!$C170,Roadmap!$A$4:$A$15,0),99)*100+'Sprint Planning'!$H170+212/100000,"")</f>
        <v/>
      </c>
    </row>
    <row r="213" customFormat="false" ht="15" hidden="false" customHeight="true" outlineLevel="0" collapsed="false">
      <c r="T213" s="1" t="str">
        <f aca="false">IF(AND('Sprint Planning'!$H171&gt;=10,'Sprint Planning'!$H171&lt;=16),IFERROR(MATCH('Sprint Planning'!$C171,Roadmap!$A$4:$A$15,0),99)*100+'Sprint Planning'!$H171+213/100000,"")</f>
        <v/>
      </c>
    </row>
    <row r="214" customFormat="false" ht="15" hidden="false" customHeight="true" outlineLevel="0" collapsed="false">
      <c r="T214" s="1" t="str">
        <f aca="false">IF(AND('Sprint Planning'!$H172&gt;=10,'Sprint Planning'!$H172&lt;=16),IFERROR(MATCH('Sprint Planning'!$C172,Roadmap!$A$4:$A$15,0),99)*100+'Sprint Planning'!$H172+214/100000,"")</f>
        <v/>
      </c>
    </row>
    <row r="215" customFormat="false" ht="15" hidden="false" customHeight="true" outlineLevel="0" collapsed="false">
      <c r="T215" s="1" t="str">
        <f aca="false">IF(AND('Sprint Planning'!$H173&gt;=10,'Sprint Planning'!$H173&lt;=16),IFERROR(MATCH('Sprint Planning'!$C173,Roadmap!$A$4:$A$15,0),99)*100+'Sprint Planning'!$H173+215/100000,"")</f>
        <v/>
      </c>
    </row>
    <row r="216" customFormat="false" ht="15" hidden="false" customHeight="true" outlineLevel="0" collapsed="false">
      <c r="T216" s="1" t="str">
        <f aca="false">IF(AND('Sprint Planning'!$H174&gt;=10,'Sprint Planning'!$H174&lt;=16),IFERROR(MATCH('Sprint Planning'!$C174,Roadmap!$A$4:$A$15,0),99)*100+'Sprint Planning'!$H174+216/100000,"")</f>
        <v/>
      </c>
    </row>
    <row r="217" customFormat="false" ht="15" hidden="false" customHeight="true" outlineLevel="0" collapsed="false">
      <c r="T217" s="1" t="str">
        <f aca="false">IF(AND('Sprint Planning'!$H175&gt;=10,'Sprint Planning'!$H175&lt;=16),IFERROR(MATCH('Sprint Planning'!$C175,Roadmap!$A$4:$A$15,0),99)*100+'Sprint Planning'!$H175+217/100000,"")</f>
        <v/>
      </c>
    </row>
    <row r="218" customFormat="false" ht="15" hidden="false" customHeight="true" outlineLevel="0" collapsed="false">
      <c r="T218" s="1" t="str">
        <f aca="false">IF(AND('Sprint Planning'!$H176&gt;=10,'Sprint Planning'!$H176&lt;=16),IFERROR(MATCH('Sprint Planning'!$C176,Roadmap!$A$4:$A$15,0),99)*100+'Sprint Planning'!$H176+218/100000,"")</f>
        <v/>
      </c>
    </row>
    <row r="219" customFormat="false" ht="15" hidden="false" customHeight="true" outlineLevel="0" collapsed="false">
      <c r="T219" s="1" t="str">
        <f aca="false">IF(AND('Sprint Planning'!$H177&gt;=10,'Sprint Planning'!$H177&lt;=16),IFERROR(MATCH('Sprint Planning'!$C177,Roadmap!$A$4:$A$15,0),99)*100+'Sprint Planning'!$H177+219/100000,"")</f>
        <v/>
      </c>
    </row>
    <row r="220" customFormat="false" ht="15" hidden="false" customHeight="true" outlineLevel="0" collapsed="false">
      <c r="T220" s="1" t="str">
        <f aca="false">IF(AND('Sprint Planning'!$H178&gt;=10,'Sprint Planning'!$H178&lt;=16),IFERROR(MATCH('Sprint Planning'!$C178,Roadmap!$A$4:$A$15,0),99)*100+'Sprint Planning'!$H178+220/100000,"")</f>
        <v/>
      </c>
    </row>
    <row r="221" customFormat="false" ht="15" hidden="false" customHeight="true" outlineLevel="0" collapsed="false">
      <c r="T221" s="1" t="str">
        <f aca="false">IF(AND('Sprint Planning'!$H179&gt;=10,'Sprint Planning'!$H179&lt;=16),IFERROR(MATCH('Sprint Planning'!$C179,Roadmap!$A$4:$A$15,0),99)*100+'Sprint Planning'!$H179+221/100000,"")</f>
        <v/>
      </c>
    </row>
    <row r="222" customFormat="false" ht="15" hidden="false" customHeight="true" outlineLevel="0" collapsed="false">
      <c r="T222" s="1" t="str">
        <f aca="false">IF(AND('Sprint Planning'!$H180&gt;=10,'Sprint Planning'!$H180&lt;=16),IFERROR(MATCH('Sprint Planning'!$C180,Roadmap!$A$4:$A$15,0),99)*100+'Sprint Planning'!$H180+222/100000,"")</f>
        <v/>
      </c>
    </row>
    <row r="223" customFormat="false" ht="15" hidden="false" customHeight="true" outlineLevel="0" collapsed="false">
      <c r="T223" s="1" t="str">
        <f aca="false">IF(AND('Sprint Planning'!$H181&gt;=10,'Sprint Planning'!$H181&lt;=16),IFERROR(MATCH('Sprint Planning'!$C181,Roadmap!$A$4:$A$15,0),99)*100+'Sprint Planning'!$H181+223/100000,"")</f>
        <v/>
      </c>
    </row>
    <row r="224" customFormat="false" ht="15" hidden="false" customHeight="true" outlineLevel="0" collapsed="false">
      <c r="T224" s="1" t="str">
        <f aca="false">IF(AND('Sprint Planning'!$H182&gt;=10,'Sprint Planning'!$H182&lt;=16),IFERROR(MATCH('Sprint Planning'!$C182,Roadmap!$A$4:$A$15,0),99)*100+'Sprint Planning'!$H182+224/100000,"")</f>
        <v/>
      </c>
    </row>
    <row r="225" customFormat="false" ht="15" hidden="false" customHeight="true" outlineLevel="0" collapsed="false">
      <c r="T225" s="1" t="str">
        <f aca="false">IF(AND('Sprint Planning'!$H183&gt;=10,'Sprint Planning'!$H183&lt;=16),IFERROR(MATCH('Sprint Planning'!$C183,Roadmap!$A$4:$A$15,0),99)*100+'Sprint Planning'!$H183+225/100000,"")</f>
        <v/>
      </c>
    </row>
    <row r="226" customFormat="false" ht="15" hidden="false" customHeight="true" outlineLevel="0" collapsed="false">
      <c r="T226" s="1" t="str">
        <f aca="false">IF(AND('Sprint Planning'!$H184&gt;=10,'Sprint Planning'!$H184&lt;=16),IFERROR(MATCH('Sprint Planning'!$C184,Roadmap!$A$4:$A$15,0),99)*100+'Sprint Planning'!$H184+226/100000,"")</f>
        <v/>
      </c>
    </row>
    <row r="227" customFormat="false" ht="15" hidden="false" customHeight="true" outlineLevel="0" collapsed="false">
      <c r="T227" s="1" t="str">
        <f aca="false">IF(AND('Sprint Planning'!$H185&gt;=10,'Sprint Planning'!$H185&lt;=16),IFERROR(MATCH('Sprint Planning'!$C185,Roadmap!$A$4:$A$15,0),99)*100+'Sprint Planning'!$H185+227/100000,"")</f>
        <v/>
      </c>
    </row>
    <row r="228" customFormat="false" ht="15" hidden="false" customHeight="true" outlineLevel="0" collapsed="false">
      <c r="T228" s="1" t="str">
        <f aca="false">IF(AND('Sprint Planning'!$H186&gt;=10,'Sprint Planning'!$H186&lt;=16),IFERROR(MATCH('Sprint Planning'!$C186,Roadmap!$A$4:$A$15,0),99)*100+'Sprint Planning'!$H186+228/100000,"")</f>
        <v/>
      </c>
    </row>
    <row r="229" customFormat="false" ht="15" hidden="false" customHeight="true" outlineLevel="0" collapsed="false">
      <c r="T229" s="1" t="str">
        <f aca="false">IF(AND('Sprint Planning'!$H187&gt;=10,'Sprint Planning'!$H187&lt;=16),IFERROR(MATCH('Sprint Planning'!$C187,Roadmap!$A$4:$A$15,0),99)*100+'Sprint Planning'!$H187+229/100000,"")</f>
        <v/>
      </c>
    </row>
    <row r="230" customFormat="false" ht="15" hidden="false" customHeight="true" outlineLevel="0" collapsed="false">
      <c r="T230" s="1" t="str">
        <f aca="false">IF(AND('Sprint Planning'!$H188&gt;=10,'Sprint Planning'!$H188&lt;=16),IFERROR(MATCH('Sprint Planning'!$C188,Roadmap!$A$4:$A$15,0),99)*100+'Sprint Planning'!$H188+230/100000,"")</f>
        <v/>
      </c>
    </row>
    <row r="231" customFormat="false" ht="15" hidden="false" customHeight="true" outlineLevel="0" collapsed="false">
      <c r="T231" s="1" t="str">
        <f aca="false">IF(AND('Sprint Planning'!$H189&gt;=10,'Sprint Planning'!$H189&lt;=16),IFERROR(MATCH('Sprint Planning'!$C189,Roadmap!$A$4:$A$15,0),99)*100+'Sprint Planning'!$H189+231/100000,"")</f>
        <v/>
      </c>
    </row>
    <row r="232" customFormat="false" ht="15" hidden="false" customHeight="true" outlineLevel="0" collapsed="false">
      <c r="T232" s="1" t="str">
        <f aca="false">IF(AND('Sprint Planning'!$H190&gt;=10,'Sprint Planning'!$H190&lt;=16),IFERROR(MATCH('Sprint Planning'!$C190,Roadmap!$A$4:$A$15,0),99)*100+'Sprint Planning'!$H190+232/100000,"")</f>
        <v/>
      </c>
    </row>
    <row r="233" customFormat="false" ht="15" hidden="false" customHeight="true" outlineLevel="0" collapsed="false">
      <c r="T233" s="1" t="str">
        <f aca="false">IF(AND('Sprint Planning'!$H191&gt;=10,'Sprint Planning'!$H191&lt;=16),IFERROR(MATCH('Sprint Planning'!$C191,Roadmap!$A$4:$A$15,0),99)*100+'Sprint Planning'!$H191+233/100000,"")</f>
        <v/>
      </c>
    </row>
    <row r="234" customFormat="false" ht="15" hidden="false" customHeight="true" outlineLevel="0" collapsed="false">
      <c r="T234" s="1" t="str">
        <f aca="false">IF(AND('Sprint Planning'!$H192&gt;=10,'Sprint Planning'!$H192&lt;=16),IFERROR(MATCH('Sprint Planning'!$C192,Roadmap!$A$4:$A$15,0),99)*100+'Sprint Planning'!$H192+234/100000,"")</f>
        <v/>
      </c>
    </row>
    <row r="235" customFormat="false" ht="15" hidden="false" customHeight="true" outlineLevel="0" collapsed="false">
      <c r="T235" s="1" t="str">
        <f aca="false">IF(AND('Sprint Planning'!$H193&gt;=10,'Sprint Planning'!$H193&lt;=16),IFERROR(MATCH('Sprint Planning'!$C193,Roadmap!$A$4:$A$15,0),99)*100+'Sprint Planning'!$H193+235/100000,"")</f>
        <v/>
      </c>
    </row>
    <row r="236" customFormat="false" ht="15" hidden="false" customHeight="true" outlineLevel="0" collapsed="false">
      <c r="T236" s="1" t="str">
        <f aca="false">IF(AND('Sprint Planning'!$H194&gt;=10,'Sprint Planning'!$H194&lt;=16),IFERROR(MATCH('Sprint Planning'!$C194,Roadmap!$A$4:$A$15,0),99)*100+'Sprint Planning'!$H194+236/100000,"")</f>
        <v/>
      </c>
    </row>
    <row r="237" customFormat="false" ht="15" hidden="false" customHeight="true" outlineLevel="0" collapsed="false">
      <c r="T237" s="1" t="str">
        <f aca="false">IF(AND('Sprint Planning'!$H195&gt;=10,'Sprint Planning'!$H195&lt;=16),IFERROR(MATCH('Sprint Planning'!$C195,Roadmap!$A$4:$A$15,0),99)*100+'Sprint Planning'!$H195+237/100000,"")</f>
        <v/>
      </c>
    </row>
    <row r="238" customFormat="false" ht="15" hidden="false" customHeight="true" outlineLevel="0" collapsed="false">
      <c r="T238" s="1" t="str">
        <f aca="false">IF(AND('Sprint Planning'!$H196&gt;=10,'Sprint Planning'!$H196&lt;=16),IFERROR(MATCH('Sprint Planning'!$C196,Roadmap!$A$4:$A$15,0),99)*100+'Sprint Planning'!$H196+238/100000,"")</f>
        <v/>
      </c>
    </row>
    <row r="239" customFormat="false" ht="15" hidden="false" customHeight="true" outlineLevel="0" collapsed="false">
      <c r="T239" s="1" t="str">
        <f aca="false">IF(AND('Sprint Planning'!$H197&gt;=10,'Sprint Planning'!$H197&lt;=16),IFERROR(MATCH('Sprint Planning'!$C197,Roadmap!$A$4:$A$15,0),99)*100+'Sprint Planning'!$H197+239/100000,"")</f>
        <v/>
      </c>
    </row>
    <row r="240" customFormat="false" ht="15" hidden="false" customHeight="true" outlineLevel="0" collapsed="false">
      <c r="T240" s="1" t="str">
        <f aca="false">IF(AND('Sprint Planning'!$H198&gt;=10,'Sprint Planning'!$H198&lt;=16),IFERROR(MATCH('Sprint Planning'!$C198,Roadmap!$A$4:$A$15,0),99)*100+'Sprint Planning'!$H198+240/100000,"")</f>
        <v/>
      </c>
    </row>
    <row r="241" customFormat="false" ht="15" hidden="false" customHeight="true" outlineLevel="0" collapsed="false">
      <c r="T241" s="1" t="str">
        <f aca="false">IF(AND('Sprint Planning'!$H199&gt;=10,'Sprint Planning'!$H199&lt;=16),IFERROR(MATCH('Sprint Planning'!$C199,Roadmap!$A$4:$A$15,0),99)*100+'Sprint Planning'!$H199+241/100000,"")</f>
        <v/>
      </c>
    </row>
    <row r="242" customFormat="false" ht="15" hidden="false" customHeight="true" outlineLevel="0" collapsed="false">
      <c r="T242" s="1" t="str">
        <f aca="false">IF(AND('Sprint Planning'!$H200&gt;=10,'Sprint Planning'!$H200&lt;=16),IFERROR(MATCH('Sprint Planning'!$C200,Roadmap!$A$4:$A$15,0),99)*100+'Sprint Planning'!$H200+242/100000,"")</f>
        <v/>
      </c>
    </row>
    <row r="243" customFormat="false" ht="15" hidden="false" customHeight="true" outlineLevel="0" collapsed="false">
      <c r="T243" s="1" t="str">
        <f aca="false">IF(AND('Sprint Planning'!$H201&gt;=10,'Sprint Planning'!$H201&lt;=16),IFERROR(MATCH('Sprint Planning'!$C201,Roadmap!$A$4:$A$15,0),99)*100+'Sprint Planning'!$H201+243/100000,"")</f>
        <v/>
      </c>
    </row>
    <row r="244" customFormat="false" ht="15" hidden="false" customHeight="true" outlineLevel="0" collapsed="false">
      <c r="T244" s="1" t="str">
        <f aca="false">IF(AND('Sprint Planning'!$H202&gt;=10,'Sprint Planning'!$H202&lt;=16),IFERROR(MATCH('Sprint Planning'!$C202,Roadmap!$A$4:$A$15,0),99)*100+'Sprint Planning'!$H202+244/100000,"")</f>
        <v/>
      </c>
    </row>
    <row r="245" customFormat="false" ht="15" hidden="false" customHeight="true" outlineLevel="0" collapsed="false">
      <c r="T245" s="1" t="str">
        <f aca="false">IF(AND('Sprint Planning'!$H203&gt;=10,'Sprint Planning'!$H203&lt;=16),IFERROR(MATCH('Sprint Planning'!$C203,Roadmap!$A$4:$A$15,0),99)*100+'Sprint Planning'!$H203+245/100000,"")</f>
        <v/>
      </c>
    </row>
    <row r="246" customFormat="false" ht="15" hidden="false" customHeight="true" outlineLevel="0" collapsed="false">
      <c r="T246" s="1" t="str">
        <f aca="false">IF(AND('Sprint Planning'!$H204&gt;=10,'Sprint Planning'!$H204&lt;=16),IFERROR(MATCH('Sprint Planning'!$C204,Roadmap!$A$4:$A$15,0),99)*100+'Sprint Planning'!$H204+246/100000,"")</f>
        <v/>
      </c>
    </row>
    <row r="247" customFormat="false" ht="15" hidden="false" customHeight="true" outlineLevel="0" collapsed="false">
      <c r="T247" s="1" t="str">
        <f aca="false">IF(AND('Sprint Planning'!$H205&gt;=10,'Sprint Planning'!$H205&lt;=16),IFERROR(MATCH('Sprint Planning'!$C205,Roadmap!$A$4:$A$15,0),99)*100+'Sprint Planning'!$H205+247/100000,"")</f>
        <v/>
      </c>
    </row>
    <row r="248" customFormat="false" ht="15" hidden="false" customHeight="true" outlineLevel="0" collapsed="false">
      <c r="T248" s="1" t="str">
        <f aca="false">IF(AND('Sprint Planning'!$H206&gt;=10,'Sprint Planning'!$H206&lt;=16),IFERROR(MATCH('Sprint Planning'!$C206,Roadmap!$A$4:$A$15,0),99)*100+'Sprint Planning'!$H206+248/100000,"")</f>
        <v/>
      </c>
    </row>
    <row r="249" customFormat="false" ht="15" hidden="false" customHeight="true" outlineLevel="0" collapsed="false">
      <c r="T249" s="1" t="str">
        <f aca="false">IF(AND('Sprint Planning'!$H207&gt;=10,'Sprint Planning'!$H207&lt;=16),IFERROR(MATCH('Sprint Planning'!$C207,Roadmap!$A$4:$A$15,0),99)*100+'Sprint Planning'!$H207+249/100000,"")</f>
        <v/>
      </c>
    </row>
    <row r="250" customFormat="false" ht="15" hidden="false" customHeight="true" outlineLevel="0" collapsed="false">
      <c r="T250" s="1" t="str">
        <f aca="false">IF(AND('Sprint Planning'!$H208&gt;=10,'Sprint Planning'!$H208&lt;=16),IFERROR(MATCH('Sprint Planning'!$C208,Roadmap!$A$4:$A$15,0),99)*100+'Sprint Planning'!$H208+250/100000,"")</f>
        <v/>
      </c>
    </row>
    <row r="251" customFormat="false" ht="15" hidden="false" customHeight="true" outlineLevel="0" collapsed="false">
      <c r="T251" s="1" t="str">
        <f aca="false">IF(AND('Sprint Planning'!$H209&gt;=10,'Sprint Planning'!$H209&lt;=16),IFERROR(MATCH('Sprint Planning'!$C209,Roadmap!$A$4:$A$15,0),99)*100+'Sprint Planning'!$H209+251/100000,"")</f>
        <v/>
      </c>
    </row>
    <row r="252" customFormat="false" ht="15" hidden="false" customHeight="true" outlineLevel="0" collapsed="false">
      <c r="T252" s="1" t="str">
        <f aca="false">IF(AND('Sprint Planning'!$H210&gt;=10,'Sprint Planning'!$H210&lt;=16),IFERROR(MATCH('Sprint Planning'!$C210,Roadmap!$A$4:$A$15,0),99)*100+'Sprint Planning'!$H210+252/100000,"")</f>
        <v/>
      </c>
    </row>
    <row r="253" customFormat="false" ht="15" hidden="false" customHeight="true" outlineLevel="0" collapsed="false">
      <c r="T253" s="1" t="str">
        <f aca="false">IF(AND('Sprint Planning'!$H211&gt;=10,'Sprint Planning'!$H211&lt;=16),IFERROR(MATCH('Sprint Planning'!$C211,Roadmap!$A$4:$A$15,0),99)*100+'Sprint Planning'!$H211+253/100000,"")</f>
        <v/>
      </c>
    </row>
    <row r="254" customFormat="false" ht="15" hidden="false" customHeight="true" outlineLevel="0" collapsed="false">
      <c r="T254" s="1" t="str">
        <f aca="false">IF(AND('Sprint Planning'!$H212&gt;=10,'Sprint Planning'!$H212&lt;=16),IFERROR(MATCH('Sprint Planning'!$C212,Roadmap!$A$4:$A$15,0),99)*100+'Sprint Planning'!$H212+254/100000,"")</f>
        <v/>
      </c>
    </row>
    <row r="255" customFormat="false" ht="15" hidden="false" customHeight="true" outlineLevel="0" collapsed="false">
      <c r="T255" s="1" t="str">
        <f aca="false">IF(AND('Sprint Planning'!$H213&gt;=10,'Sprint Planning'!$H213&lt;=16),IFERROR(MATCH('Sprint Planning'!$C213,Roadmap!$A$4:$A$15,0),99)*100+'Sprint Planning'!$H213+255/100000,"")</f>
        <v/>
      </c>
    </row>
    <row r="256" customFormat="false" ht="15" hidden="false" customHeight="true" outlineLevel="0" collapsed="false">
      <c r="T256" s="1" t="str">
        <f aca="false">IF(AND('Sprint Planning'!$H214&gt;=10,'Sprint Planning'!$H214&lt;=16),IFERROR(MATCH('Sprint Planning'!$C214,Roadmap!$A$4:$A$15,0),99)*100+'Sprint Planning'!$H214+256/100000,"")</f>
        <v/>
      </c>
    </row>
    <row r="257" customFormat="false" ht="15" hidden="false" customHeight="true" outlineLevel="0" collapsed="false">
      <c r="T257" s="1" t="str">
        <f aca="false">IF(AND('Sprint Planning'!$H215&gt;=10,'Sprint Planning'!$H215&lt;=16),IFERROR(MATCH('Sprint Planning'!$C215,Roadmap!$A$4:$A$15,0),99)*100+'Sprint Planning'!$H215+257/100000,"")</f>
        <v/>
      </c>
    </row>
    <row r="258" customFormat="false" ht="15" hidden="false" customHeight="true" outlineLevel="0" collapsed="false">
      <c r="T258" s="1" t="str">
        <f aca="false">IF(AND('Sprint Planning'!$H216&gt;=10,'Sprint Planning'!$H216&lt;=16),IFERROR(MATCH('Sprint Planning'!$C216,Roadmap!$A$4:$A$15,0),99)*100+'Sprint Planning'!$H216+258/100000,"")</f>
        <v/>
      </c>
    </row>
    <row r="259" customFormat="false" ht="15" hidden="false" customHeight="true" outlineLevel="0" collapsed="false">
      <c r="T259" s="1" t="str">
        <f aca="false">IF(AND('Sprint Planning'!$H217&gt;=10,'Sprint Planning'!$H217&lt;=16),IFERROR(MATCH('Sprint Planning'!$C217,Roadmap!$A$4:$A$15,0),99)*100+'Sprint Planning'!$H217+259/100000,"")</f>
        <v/>
      </c>
    </row>
    <row r="260" customFormat="false" ht="15" hidden="false" customHeight="true" outlineLevel="0" collapsed="false">
      <c r="T260" s="1" t="str">
        <f aca="false">IF(AND('Sprint Planning'!$H218&gt;=10,'Sprint Planning'!$H218&lt;=16),IFERROR(MATCH('Sprint Planning'!$C218,Roadmap!$A$4:$A$15,0),99)*100+'Sprint Planning'!$H218+260/100000,"")</f>
        <v/>
      </c>
    </row>
    <row r="261" customFormat="false" ht="15" hidden="false" customHeight="true" outlineLevel="0" collapsed="false">
      <c r="T261" s="1" t="str">
        <f aca="false">IF(AND('Sprint Planning'!$H219&gt;=10,'Sprint Planning'!$H219&lt;=16),IFERROR(MATCH('Sprint Planning'!$C219,Roadmap!$A$4:$A$15,0),99)*100+'Sprint Planning'!$H219+261/100000,"")</f>
        <v/>
      </c>
    </row>
    <row r="262" customFormat="false" ht="15" hidden="false" customHeight="true" outlineLevel="0" collapsed="false">
      <c r="T262" s="1" t="str">
        <f aca="false">IF(AND('Sprint Planning'!$H220&gt;=10,'Sprint Planning'!$H220&lt;=16),IFERROR(MATCH('Sprint Planning'!$C220,Roadmap!$A$4:$A$15,0),99)*100+'Sprint Planning'!$H220+262/100000,"")</f>
        <v/>
      </c>
    </row>
    <row r="263" customFormat="false" ht="15" hidden="false" customHeight="true" outlineLevel="0" collapsed="false">
      <c r="T263" s="1" t="str">
        <f aca="false">IF(AND('Sprint Planning'!$H221&gt;=10,'Sprint Planning'!$H221&lt;=16),IFERROR(MATCH('Sprint Planning'!$C221,Roadmap!$A$4:$A$15,0),99)*100+'Sprint Planning'!$H221+263/100000,"")</f>
        <v/>
      </c>
    </row>
    <row r="264" customFormat="false" ht="15" hidden="false" customHeight="true" outlineLevel="0" collapsed="false">
      <c r="T264" s="1" t="str">
        <f aca="false">IF(AND('Sprint Planning'!$H222&gt;=10,'Sprint Planning'!$H222&lt;=16),IFERROR(MATCH('Sprint Planning'!$C222,Roadmap!$A$4:$A$15,0),99)*100+'Sprint Planning'!$H222+264/100000,"")</f>
        <v/>
      </c>
    </row>
    <row r="265" customFormat="false" ht="15" hidden="false" customHeight="true" outlineLevel="0" collapsed="false">
      <c r="T265" s="1" t="str">
        <f aca="false">IF(AND('Sprint Planning'!$H223&gt;=10,'Sprint Planning'!$H223&lt;=16),IFERROR(MATCH('Sprint Planning'!$C223,Roadmap!$A$4:$A$15,0),99)*100+'Sprint Planning'!$H223+265/100000,"")</f>
        <v/>
      </c>
    </row>
    <row r="266" customFormat="false" ht="15" hidden="false" customHeight="true" outlineLevel="0" collapsed="false">
      <c r="T266" s="1" t="str">
        <f aca="false">IF(AND('Sprint Planning'!$H224&gt;=10,'Sprint Planning'!$H224&lt;=16),IFERROR(MATCH('Sprint Planning'!$C224,Roadmap!$A$4:$A$15,0),99)*100+'Sprint Planning'!$H224+266/100000,"")</f>
        <v/>
      </c>
    </row>
    <row r="267" customFormat="false" ht="15" hidden="false" customHeight="true" outlineLevel="0" collapsed="false">
      <c r="T267" s="1" t="str">
        <f aca="false">IF(AND('Sprint Planning'!$H225&gt;=10,'Sprint Planning'!$H225&lt;=16),IFERROR(MATCH('Sprint Planning'!$C225,Roadmap!$A$4:$A$15,0),99)*100+'Sprint Planning'!$H225+267/100000,"")</f>
        <v/>
      </c>
    </row>
    <row r="268" customFormat="false" ht="15" hidden="false" customHeight="true" outlineLevel="0" collapsed="false">
      <c r="T268" s="1" t="str">
        <f aca="false">IF(AND('Sprint Planning'!$H226&gt;=10,'Sprint Planning'!$H226&lt;=16),IFERROR(MATCH('Sprint Planning'!$C226,Roadmap!$A$4:$A$15,0),99)*100+'Sprint Planning'!$H226+268/100000,"")</f>
        <v/>
      </c>
    </row>
    <row r="269" customFormat="false" ht="15" hidden="false" customHeight="true" outlineLevel="0" collapsed="false">
      <c r="T269" s="1" t="str">
        <f aca="false">IF(AND('Sprint Planning'!$H227&gt;=10,'Sprint Planning'!$H227&lt;=16),IFERROR(MATCH('Sprint Planning'!$C227,Roadmap!$A$4:$A$15,0),99)*100+'Sprint Planning'!$H227+269/100000,"")</f>
        <v/>
      </c>
    </row>
    <row r="270" customFormat="false" ht="15" hidden="false" customHeight="true" outlineLevel="0" collapsed="false">
      <c r="T270" s="1" t="str">
        <f aca="false">IF(AND('Sprint Planning'!$H228&gt;=10,'Sprint Planning'!$H228&lt;=16),IFERROR(MATCH('Sprint Planning'!$C228,Roadmap!$A$4:$A$15,0),99)*100+'Sprint Planning'!$H228+270/100000,"")</f>
        <v/>
      </c>
    </row>
    <row r="271" customFormat="false" ht="15" hidden="false" customHeight="true" outlineLevel="0" collapsed="false">
      <c r="T271" s="1" t="str">
        <f aca="false">IF(AND('Sprint Planning'!$H229&gt;=10,'Sprint Planning'!$H229&lt;=16),IFERROR(MATCH('Sprint Planning'!$C229,Roadmap!$A$4:$A$15,0),99)*100+'Sprint Planning'!$H229+271/100000,"")</f>
        <v/>
      </c>
    </row>
    <row r="272" customFormat="false" ht="15" hidden="false" customHeight="true" outlineLevel="0" collapsed="false">
      <c r="T272" s="1" t="str">
        <f aca="false">IF(AND('Sprint Planning'!$H230&gt;=10,'Sprint Planning'!$H230&lt;=16),IFERROR(MATCH('Sprint Planning'!$C230,Roadmap!$A$4:$A$15,0),99)*100+'Sprint Planning'!$H230+272/100000,"")</f>
        <v/>
      </c>
    </row>
    <row r="273" customFormat="false" ht="15" hidden="false" customHeight="true" outlineLevel="0" collapsed="false">
      <c r="T273" s="1" t="str">
        <f aca="false">IF(AND('Sprint Planning'!$H231&gt;=10,'Sprint Planning'!$H231&lt;=16),IFERROR(MATCH('Sprint Planning'!$C231,Roadmap!$A$4:$A$15,0),99)*100+'Sprint Planning'!$H231+273/100000,"")</f>
        <v/>
      </c>
    </row>
    <row r="274" customFormat="false" ht="15" hidden="false" customHeight="true" outlineLevel="0" collapsed="false">
      <c r="T274" s="1" t="str">
        <f aca="false">IF(AND('Sprint Planning'!$H232&gt;=10,'Sprint Planning'!$H232&lt;=16),IFERROR(MATCH('Sprint Planning'!$C232,Roadmap!$A$4:$A$15,0),99)*100+'Sprint Planning'!$H232+274/100000,"")</f>
        <v/>
      </c>
    </row>
    <row r="275" customFormat="false" ht="15" hidden="false" customHeight="true" outlineLevel="0" collapsed="false">
      <c r="T275" s="1" t="str">
        <f aca="false">IF(AND('Sprint Planning'!$H233&gt;=10,'Sprint Planning'!$H233&lt;=16),IFERROR(MATCH('Sprint Planning'!$C233,Roadmap!$A$4:$A$15,0),99)*100+'Sprint Planning'!$H233+275/100000,"")</f>
        <v/>
      </c>
    </row>
    <row r="276" customFormat="false" ht="15" hidden="false" customHeight="true" outlineLevel="0" collapsed="false">
      <c r="T276" s="1" t="str">
        <f aca="false">IF(AND('Sprint Planning'!$H234&gt;=10,'Sprint Planning'!$H234&lt;=16),IFERROR(MATCH('Sprint Planning'!$C234,Roadmap!$A$4:$A$15,0),99)*100+'Sprint Planning'!$H234+276/100000,"")</f>
        <v/>
      </c>
    </row>
    <row r="277" customFormat="false" ht="15" hidden="false" customHeight="true" outlineLevel="0" collapsed="false">
      <c r="T277" s="1" t="str">
        <f aca="false">IF(AND('Sprint Planning'!$H235&gt;=10,'Sprint Planning'!$H235&lt;=16),IFERROR(MATCH('Sprint Planning'!$C235,Roadmap!$A$4:$A$15,0),99)*100+'Sprint Planning'!$H235+277/100000,"")</f>
        <v/>
      </c>
    </row>
    <row r="278" customFormat="false" ht="15" hidden="false" customHeight="true" outlineLevel="0" collapsed="false">
      <c r="T278" s="1" t="str">
        <f aca="false">IF(AND('Sprint Planning'!$H236&gt;=10,'Sprint Planning'!$H236&lt;=16),IFERROR(MATCH('Sprint Planning'!$C236,Roadmap!$A$4:$A$15,0),99)*100+'Sprint Planning'!$H236+278/100000,"")</f>
        <v/>
      </c>
    </row>
    <row r="279" customFormat="false" ht="15" hidden="false" customHeight="true" outlineLevel="0" collapsed="false">
      <c r="T279" s="1" t="str">
        <f aca="false">IF(AND('Sprint Planning'!$H237&gt;=10,'Sprint Planning'!$H237&lt;=16),IFERROR(MATCH('Sprint Planning'!$C237,Roadmap!$A$4:$A$15,0),99)*100+'Sprint Planning'!$H237+279/100000,"")</f>
        <v/>
      </c>
    </row>
    <row r="280" customFormat="false" ht="15" hidden="false" customHeight="true" outlineLevel="0" collapsed="false">
      <c r="T280" s="1" t="str">
        <f aca="false">IF(AND('Sprint Planning'!$H238&gt;=10,'Sprint Planning'!$H238&lt;=16),IFERROR(MATCH('Sprint Planning'!$C238,Roadmap!$A$4:$A$15,0),99)*100+'Sprint Planning'!$H238+280/100000,"")</f>
        <v/>
      </c>
    </row>
    <row r="281" customFormat="false" ht="15" hidden="false" customHeight="true" outlineLevel="0" collapsed="false">
      <c r="T281" s="1" t="str">
        <f aca="false">IF(AND('Sprint Planning'!$H239&gt;=10,'Sprint Planning'!$H239&lt;=16),IFERROR(MATCH('Sprint Planning'!$C239,Roadmap!$A$4:$A$15,0),99)*100+'Sprint Planning'!$H239+281/100000,"")</f>
        <v/>
      </c>
    </row>
    <row r="282" customFormat="false" ht="15" hidden="false" customHeight="true" outlineLevel="0" collapsed="false">
      <c r="T282" s="1" t="str">
        <f aca="false">IF(AND('Sprint Planning'!$H240&gt;=10,'Sprint Planning'!$H240&lt;=16),IFERROR(MATCH('Sprint Planning'!$C240,Roadmap!$A$4:$A$15,0),99)*100+'Sprint Planning'!$H240+282/100000,"")</f>
        <v/>
      </c>
    </row>
    <row r="283" customFormat="false" ht="15" hidden="false" customHeight="true" outlineLevel="0" collapsed="false">
      <c r="T283" s="1" t="str">
        <f aca="false">IF(AND('Sprint Planning'!$H241&gt;=10,'Sprint Planning'!$H241&lt;=16),IFERROR(MATCH('Sprint Planning'!$C241,Roadmap!$A$4:$A$15,0),99)*100+'Sprint Planning'!$H241+283/100000,"")</f>
        <v/>
      </c>
    </row>
    <row r="284" customFormat="false" ht="15" hidden="false" customHeight="true" outlineLevel="0" collapsed="false">
      <c r="T284" s="1" t="str">
        <f aca="false">IF(AND('Sprint Planning'!$H242&gt;=10,'Sprint Planning'!$H242&lt;=16),IFERROR(MATCH('Sprint Planning'!$C242,Roadmap!$A$4:$A$15,0),99)*100+'Sprint Planning'!$H242+284/100000,"")</f>
        <v/>
      </c>
    </row>
    <row r="285" customFormat="false" ht="15" hidden="false" customHeight="true" outlineLevel="0" collapsed="false">
      <c r="T285" s="1" t="str">
        <f aca="false">IF(AND('Sprint Planning'!$H243&gt;=10,'Sprint Planning'!$H243&lt;=16),IFERROR(MATCH('Sprint Planning'!$C243,Roadmap!$A$4:$A$15,0),99)*100+'Sprint Planning'!$H243+285/100000,"")</f>
        <v/>
      </c>
    </row>
    <row r="286" customFormat="false" ht="15" hidden="false" customHeight="true" outlineLevel="0" collapsed="false">
      <c r="T286" s="1" t="str">
        <f aca="false">IF(AND('Sprint Planning'!$H244&gt;=10,'Sprint Planning'!$H244&lt;=16),IFERROR(MATCH('Sprint Planning'!$C244,Roadmap!$A$4:$A$15,0),99)*100+'Sprint Planning'!$H244+286/100000,"")</f>
        <v/>
      </c>
    </row>
    <row r="287" customFormat="false" ht="15" hidden="false" customHeight="true" outlineLevel="0" collapsed="false">
      <c r="T287" s="1" t="str">
        <f aca="false">IF(AND('Sprint Planning'!$H245&gt;=10,'Sprint Planning'!$H245&lt;=16),IFERROR(MATCH('Sprint Planning'!$C245,Roadmap!$A$4:$A$15,0),99)*100+'Sprint Planning'!$H245+287/100000,"")</f>
        <v/>
      </c>
    </row>
    <row r="288" customFormat="false" ht="15" hidden="false" customHeight="true" outlineLevel="0" collapsed="false">
      <c r="T288" s="1" t="str">
        <f aca="false">IF(AND('Sprint Planning'!$H246&gt;=10,'Sprint Planning'!$H246&lt;=16),IFERROR(MATCH('Sprint Planning'!$C246,Roadmap!$A$4:$A$15,0),99)*100+'Sprint Planning'!$H246+288/100000,"")</f>
        <v/>
      </c>
    </row>
    <row r="289" customFormat="false" ht="15" hidden="false" customHeight="true" outlineLevel="0" collapsed="false">
      <c r="T289" s="1" t="str">
        <f aca="false">IF(AND('Sprint Planning'!$H247&gt;=10,'Sprint Planning'!$H247&lt;=16),IFERROR(MATCH('Sprint Planning'!$C247,Roadmap!$A$4:$A$15,0),99)*100+'Sprint Planning'!$H247+289/100000,"")</f>
        <v/>
      </c>
    </row>
    <row r="290" customFormat="false" ht="15" hidden="false" customHeight="true" outlineLevel="0" collapsed="false">
      <c r="T290" s="1" t="str">
        <f aca="false">IF(AND('Sprint Planning'!$H248&gt;=10,'Sprint Planning'!$H248&lt;=16),IFERROR(MATCH('Sprint Planning'!$C248,Roadmap!$A$4:$A$15,0),99)*100+'Sprint Planning'!$H248+290/100000,"")</f>
        <v/>
      </c>
    </row>
    <row r="291" customFormat="false" ht="15" hidden="false" customHeight="true" outlineLevel="0" collapsed="false">
      <c r="T291" s="1" t="str">
        <f aca="false">IF(AND('Sprint Planning'!$H249&gt;=10,'Sprint Planning'!$H249&lt;=16),IFERROR(MATCH('Sprint Planning'!$C249,Roadmap!$A$4:$A$15,0),99)*100+'Sprint Planning'!$H249+291/100000,"")</f>
        <v/>
      </c>
    </row>
    <row r="292" customFormat="false" ht="15" hidden="false" customHeight="true" outlineLevel="0" collapsed="false">
      <c r="T292" s="1" t="str">
        <f aca="false">IF(AND('Sprint Planning'!$H250&gt;=10,'Sprint Planning'!$H250&lt;=16),IFERROR(MATCH('Sprint Planning'!$C250,Roadmap!$A$4:$A$15,0),99)*100+'Sprint Planning'!$H250+292/100000,"")</f>
        <v/>
      </c>
    </row>
    <row r="293" customFormat="false" ht="15" hidden="false" customHeight="true" outlineLevel="0" collapsed="false">
      <c r="T293" s="1" t="str">
        <f aca="false">IF(AND('Sprint Planning'!$H251&gt;=10,'Sprint Planning'!$H251&lt;=16),IFERROR(MATCH('Sprint Planning'!$C251,Roadmap!$A$4:$A$15,0),99)*100+'Sprint Planning'!$H251+293/100000,"")</f>
        <v/>
      </c>
    </row>
    <row r="294" customFormat="false" ht="15" hidden="false" customHeight="true" outlineLevel="0" collapsed="false">
      <c r="T294" s="1" t="str">
        <f aca="false">IF(AND('Sprint Planning'!$H252&gt;=10,'Sprint Planning'!$H252&lt;=16),IFERROR(MATCH('Sprint Planning'!$C252,Roadmap!$A$4:$A$15,0),99)*100+'Sprint Planning'!$H252+294/100000,"")</f>
        <v/>
      </c>
    </row>
    <row r="295" customFormat="false" ht="15" hidden="false" customHeight="true" outlineLevel="0" collapsed="false">
      <c r="T295" s="1" t="str">
        <f aca="false">IF(AND('Sprint Planning'!$H253&gt;=10,'Sprint Planning'!$H253&lt;=16),IFERROR(MATCH('Sprint Planning'!$C253,Roadmap!$A$4:$A$15,0),99)*100+'Sprint Planning'!$H253+295/100000,"")</f>
        <v/>
      </c>
    </row>
    <row r="296" customFormat="false" ht="15" hidden="false" customHeight="true" outlineLevel="0" collapsed="false">
      <c r="T296" s="1" t="str">
        <f aca="false">IF(AND('Sprint Planning'!$H254&gt;=10,'Sprint Planning'!$H254&lt;=16),IFERROR(MATCH('Sprint Planning'!$C254,Roadmap!$A$4:$A$15,0),99)*100+'Sprint Planning'!$H254+296/100000,"")</f>
        <v/>
      </c>
    </row>
    <row r="297" customFormat="false" ht="15" hidden="false" customHeight="true" outlineLevel="0" collapsed="false">
      <c r="T297" s="1" t="str">
        <f aca="false">IF(AND('Sprint Planning'!$H255&gt;=10,'Sprint Planning'!$H255&lt;=16),IFERROR(MATCH('Sprint Planning'!$C255,Roadmap!$A$4:$A$15,0),99)*100+'Sprint Planning'!$H255+297/100000,"")</f>
        <v/>
      </c>
    </row>
    <row r="298" customFormat="false" ht="15" hidden="false" customHeight="true" outlineLevel="0" collapsed="false">
      <c r="T298" s="1" t="str">
        <f aca="false">IF(AND('Sprint Planning'!$H256&gt;=10,'Sprint Planning'!$H256&lt;=16),IFERROR(MATCH('Sprint Planning'!$C256,Roadmap!$A$4:$A$15,0),99)*100+'Sprint Planning'!$H256+298/100000,"")</f>
        <v/>
      </c>
    </row>
    <row r="299" customFormat="false" ht="15" hidden="false" customHeight="true" outlineLevel="0" collapsed="false">
      <c r="T299" s="1" t="str">
        <f aca="false">IF(AND('Sprint Planning'!$H257&gt;=10,'Sprint Planning'!$H257&lt;=16),IFERROR(MATCH('Sprint Planning'!$C257,Roadmap!$A$4:$A$15,0),99)*100+'Sprint Planning'!$H257+299/100000,"")</f>
        <v/>
      </c>
    </row>
    <row r="300" customFormat="false" ht="15" hidden="false" customHeight="true" outlineLevel="0" collapsed="false">
      <c r="T300" s="1" t="str">
        <f aca="false">IF(AND('Sprint Planning'!$H258&gt;=10,'Sprint Planning'!$H258&lt;=16),IFERROR(MATCH('Sprint Planning'!$C258,Roadmap!$A$4:$A$15,0),99)*100+'Sprint Planning'!$H258+300/100000,"")</f>
        <v/>
      </c>
    </row>
    <row r="301" customFormat="false" ht="15" hidden="false" customHeight="true" outlineLevel="0" collapsed="false">
      <c r="T301" s="1" t="str">
        <f aca="false">IF(AND('Sprint Planning'!$H259&gt;=10,'Sprint Planning'!$H259&lt;=16),IFERROR(MATCH('Sprint Planning'!$C259,Roadmap!$A$4:$A$15,0),99)*100+'Sprint Planning'!$H259+301/100000,"")</f>
        <v/>
      </c>
    </row>
    <row r="302" customFormat="false" ht="15" hidden="false" customHeight="true" outlineLevel="0" collapsed="false">
      <c r="T302" s="1" t="str">
        <f aca="false">IF(AND('Sprint Planning'!$H260&gt;=10,'Sprint Planning'!$H260&lt;=16),IFERROR(MATCH('Sprint Planning'!$C260,Roadmap!$A$4:$A$15,0),99)*100+'Sprint Planning'!$H260+302/100000,"")</f>
        <v/>
      </c>
    </row>
    <row r="303" customFormat="false" ht="15" hidden="false" customHeight="true" outlineLevel="0" collapsed="false">
      <c r="T303" s="1" t="str">
        <f aca="false">IF(AND('Sprint Planning'!$H261&gt;=10,'Sprint Planning'!$H261&lt;=16),IFERROR(MATCH('Sprint Planning'!$C261,Roadmap!$A$4:$A$15,0),99)*100+'Sprint Planning'!$H261+303/100000,"")</f>
        <v/>
      </c>
    </row>
    <row r="304" customFormat="false" ht="15" hidden="false" customHeight="true" outlineLevel="0" collapsed="false">
      <c r="T304" s="1" t="str">
        <f aca="false">IF(AND('Sprint Planning'!$H262&gt;=10,'Sprint Planning'!$H262&lt;=16),IFERROR(MATCH('Sprint Planning'!$C262,Roadmap!$A$4:$A$15,0),99)*100+'Sprint Planning'!$H262+304/100000,"")</f>
        <v/>
      </c>
    </row>
    <row r="305" customFormat="false" ht="15" hidden="false" customHeight="true" outlineLevel="0" collapsed="false">
      <c r="T305" s="1" t="str">
        <f aca="false">IF(AND('Sprint Planning'!$H263&gt;=10,'Sprint Planning'!$H263&lt;=16),IFERROR(MATCH('Sprint Planning'!$C263,Roadmap!$A$4:$A$15,0),99)*100+'Sprint Planning'!$H263+305/100000,"")</f>
        <v/>
      </c>
    </row>
    <row r="306" customFormat="false" ht="15" hidden="false" customHeight="true" outlineLevel="0" collapsed="false">
      <c r="T306" s="1" t="str">
        <f aca="false">IF(AND('Sprint Planning'!$H264&gt;=10,'Sprint Planning'!$H264&lt;=16),IFERROR(MATCH('Sprint Planning'!$C264,Roadmap!$A$4:$A$15,0),99)*100+'Sprint Planning'!$H264+306/100000,"")</f>
        <v/>
      </c>
    </row>
    <row r="307" customFormat="false" ht="15" hidden="false" customHeight="true" outlineLevel="0" collapsed="false">
      <c r="T307" s="1" t="str">
        <f aca="false">IF(AND('Sprint Planning'!$H265&gt;=10,'Sprint Planning'!$H265&lt;=16),IFERROR(MATCH('Sprint Planning'!$C265,Roadmap!$A$4:$A$15,0),99)*100+'Sprint Planning'!$H265+307/100000,"")</f>
        <v/>
      </c>
    </row>
    <row r="308" customFormat="false" ht="15" hidden="false" customHeight="true" outlineLevel="0" collapsed="false">
      <c r="T308" s="1" t="str">
        <f aca="false">IF(AND('Sprint Planning'!$H266&gt;=10,'Sprint Planning'!$H266&lt;=16),IFERROR(MATCH('Sprint Planning'!$C266,Roadmap!$A$4:$A$15,0),99)*100+'Sprint Planning'!$H266+308/100000,"")</f>
        <v/>
      </c>
    </row>
    <row r="309" customFormat="false" ht="15" hidden="false" customHeight="true" outlineLevel="0" collapsed="false">
      <c r="T309" s="1" t="str">
        <f aca="false">IF(AND('Sprint Planning'!$H267&gt;=10,'Sprint Planning'!$H267&lt;=16),IFERROR(MATCH('Sprint Planning'!$C267,Roadmap!$A$4:$A$15,0),99)*100+'Sprint Planning'!$H267+309/100000,"")</f>
        <v/>
      </c>
    </row>
    <row r="310" customFormat="false" ht="15" hidden="false" customHeight="true" outlineLevel="0" collapsed="false">
      <c r="T310" s="1" t="str">
        <f aca="false">IF(AND('Sprint Planning'!$H268&gt;=10,'Sprint Planning'!$H268&lt;=16),IFERROR(MATCH('Sprint Planning'!$C268,Roadmap!$A$4:$A$15,0),99)*100+'Sprint Planning'!$H268+310/100000,"")</f>
        <v/>
      </c>
    </row>
    <row r="311" customFormat="false" ht="15" hidden="false" customHeight="true" outlineLevel="0" collapsed="false">
      <c r="T311" s="1" t="str">
        <f aca="false">IF(AND('Sprint Planning'!$H269&gt;=10,'Sprint Planning'!$H269&lt;=16),IFERROR(MATCH('Sprint Planning'!$C269,Roadmap!$A$4:$A$15,0),99)*100+'Sprint Planning'!$H269+311/100000,"")</f>
        <v/>
      </c>
    </row>
    <row r="312" customFormat="false" ht="15" hidden="false" customHeight="true" outlineLevel="0" collapsed="false">
      <c r="T312" s="1" t="str">
        <f aca="false">IF(AND('Sprint Planning'!$H270&gt;=10,'Sprint Planning'!$H270&lt;=16),IFERROR(MATCH('Sprint Planning'!$C270,Roadmap!$A$4:$A$15,0),99)*100+'Sprint Planning'!$H270+312/100000,"")</f>
        <v/>
      </c>
    </row>
    <row r="313" customFormat="false" ht="15" hidden="false" customHeight="true" outlineLevel="0" collapsed="false">
      <c r="T313" s="1" t="str">
        <f aca="false">IF(AND('Sprint Planning'!$H271&gt;=10,'Sprint Planning'!$H271&lt;=16),IFERROR(MATCH('Sprint Planning'!$C271,Roadmap!$A$4:$A$15,0),99)*100+'Sprint Planning'!$H271+313/100000,"")</f>
        <v/>
      </c>
    </row>
    <row r="314" customFormat="false" ht="15" hidden="false" customHeight="true" outlineLevel="0" collapsed="false">
      <c r="T314" s="1" t="str">
        <f aca="false">IF(AND('Sprint Planning'!$H272&gt;=10,'Sprint Planning'!$H272&lt;=16),IFERROR(MATCH('Sprint Planning'!$C272,Roadmap!$A$4:$A$15,0),99)*100+'Sprint Planning'!$H272+314/100000,"")</f>
        <v/>
      </c>
    </row>
    <row r="315" customFormat="false" ht="15" hidden="false" customHeight="true" outlineLevel="0" collapsed="false">
      <c r="T315" s="1" t="str">
        <f aca="false">IF(AND('Sprint Planning'!$H273&gt;=10,'Sprint Planning'!$H273&lt;=16),IFERROR(MATCH('Sprint Planning'!$C273,Roadmap!$A$4:$A$15,0),99)*100+'Sprint Planning'!$H273+315/100000,"")</f>
        <v/>
      </c>
    </row>
    <row r="316" customFormat="false" ht="15" hidden="false" customHeight="true" outlineLevel="0" collapsed="false">
      <c r="T316" s="1" t="str">
        <f aca="false">IF(AND('Sprint Planning'!$H274&gt;=10,'Sprint Planning'!$H274&lt;=16),IFERROR(MATCH('Sprint Planning'!$C274,Roadmap!$A$4:$A$15,0),99)*100+'Sprint Planning'!$H274+316/100000,"")</f>
        <v/>
      </c>
    </row>
    <row r="317" customFormat="false" ht="15" hidden="false" customHeight="true" outlineLevel="0" collapsed="false">
      <c r="T317" s="1" t="str">
        <f aca="false">IF(AND('Sprint Planning'!$H275&gt;=10,'Sprint Planning'!$H275&lt;=16),IFERROR(MATCH('Sprint Planning'!$C275,Roadmap!$A$4:$A$15,0),99)*100+'Sprint Planning'!$H275+317/100000,"")</f>
        <v/>
      </c>
    </row>
    <row r="318" customFormat="false" ht="15" hidden="false" customHeight="true" outlineLevel="0" collapsed="false">
      <c r="T318" s="1" t="str">
        <f aca="false">IF(AND('Sprint Planning'!$H276&gt;=10,'Sprint Planning'!$H276&lt;=16),IFERROR(MATCH('Sprint Planning'!$C276,Roadmap!$A$4:$A$15,0),99)*100+'Sprint Planning'!$H276+318/100000,"")</f>
        <v/>
      </c>
    </row>
    <row r="319" customFormat="false" ht="15" hidden="false" customHeight="true" outlineLevel="0" collapsed="false">
      <c r="T319" s="1" t="str">
        <f aca="false">IF(AND('Sprint Planning'!$H277&gt;=10,'Sprint Planning'!$H277&lt;=16),IFERROR(MATCH('Sprint Planning'!$C277,Roadmap!$A$4:$A$15,0),99)*100+'Sprint Planning'!$H277+319/100000,"")</f>
        <v/>
      </c>
    </row>
    <row r="320" customFormat="false" ht="15" hidden="false" customHeight="true" outlineLevel="0" collapsed="false">
      <c r="T320" s="1" t="str">
        <f aca="false">IF(AND('Sprint Planning'!$H278&gt;=10,'Sprint Planning'!$H278&lt;=16),IFERROR(MATCH('Sprint Planning'!$C278,Roadmap!$A$4:$A$15,0),99)*100+'Sprint Planning'!$H278+320/100000,"")</f>
        <v/>
      </c>
    </row>
    <row r="321" customFormat="false" ht="15" hidden="false" customHeight="true" outlineLevel="0" collapsed="false">
      <c r="T321" s="1" t="str">
        <f aca="false">IF(AND('Sprint Planning'!$H279&gt;=10,'Sprint Planning'!$H279&lt;=16),IFERROR(MATCH('Sprint Planning'!$C279,Roadmap!$A$4:$A$15,0),99)*100+'Sprint Planning'!$H279+321/100000,"")</f>
        <v/>
      </c>
    </row>
    <row r="322" customFormat="false" ht="15" hidden="false" customHeight="true" outlineLevel="0" collapsed="false">
      <c r="T322" s="1" t="str">
        <f aca="false">IF(AND('Sprint Planning'!$H280&gt;=10,'Sprint Planning'!$H280&lt;=16),IFERROR(MATCH('Sprint Planning'!$C280,Roadmap!$A$4:$A$15,0),99)*100+'Sprint Planning'!$H280+322/100000,"")</f>
        <v/>
      </c>
    </row>
    <row r="323" customFormat="false" ht="15" hidden="false" customHeight="true" outlineLevel="0" collapsed="false">
      <c r="T323" s="1" t="str">
        <f aca="false">IF(AND('Sprint Planning'!$H281&gt;=10,'Sprint Planning'!$H281&lt;=16),IFERROR(MATCH('Sprint Planning'!$C281,Roadmap!$A$4:$A$15,0),99)*100+'Sprint Planning'!$H281+323/100000,"")</f>
        <v/>
      </c>
    </row>
    <row r="324" customFormat="false" ht="15" hidden="false" customHeight="true" outlineLevel="0" collapsed="false">
      <c r="T324" s="1" t="str">
        <f aca="false">IF(AND('Sprint Planning'!$H282&gt;=10,'Sprint Planning'!$H282&lt;=16),IFERROR(MATCH('Sprint Planning'!$C282,Roadmap!$A$4:$A$15,0),99)*100+'Sprint Planning'!$H282+324/100000,"")</f>
        <v/>
      </c>
    </row>
    <row r="325" customFormat="false" ht="15" hidden="false" customHeight="true" outlineLevel="0" collapsed="false">
      <c r="T325" s="1" t="str">
        <f aca="false">IF(AND('Sprint Planning'!$H283&gt;=10,'Sprint Planning'!$H283&lt;=16),IFERROR(MATCH('Sprint Planning'!$C283,Roadmap!$A$4:$A$15,0),99)*100+'Sprint Planning'!$H283+325/100000,"")</f>
        <v/>
      </c>
    </row>
    <row r="326" customFormat="false" ht="15" hidden="false" customHeight="true" outlineLevel="0" collapsed="false">
      <c r="T326" s="1" t="str">
        <f aca="false">IF(AND('Sprint Planning'!$H284&gt;=10,'Sprint Planning'!$H284&lt;=16),IFERROR(MATCH('Sprint Planning'!$C284,Roadmap!$A$4:$A$15,0),99)*100+'Sprint Planning'!$H284+326/100000,"")</f>
        <v/>
      </c>
    </row>
    <row r="327" customFormat="false" ht="15" hidden="false" customHeight="true" outlineLevel="0" collapsed="false">
      <c r="T327" s="1" t="str">
        <f aca="false">IF(AND('Sprint Planning'!$H285&gt;=10,'Sprint Planning'!$H285&lt;=16),IFERROR(MATCH('Sprint Planning'!$C285,Roadmap!$A$4:$A$15,0),99)*100+'Sprint Planning'!$H285+327/100000,"")</f>
        <v/>
      </c>
    </row>
    <row r="328" customFormat="false" ht="15" hidden="false" customHeight="true" outlineLevel="0" collapsed="false">
      <c r="T328" s="1" t="str">
        <f aca="false">IF(AND('Sprint Planning'!$H286&gt;=10,'Sprint Planning'!$H286&lt;=16),IFERROR(MATCH('Sprint Planning'!$C286,Roadmap!$A$4:$A$15,0),99)*100+'Sprint Planning'!$H286+328/100000,"")</f>
        <v/>
      </c>
    </row>
    <row r="329" customFormat="false" ht="15" hidden="false" customHeight="true" outlineLevel="0" collapsed="false">
      <c r="T329" s="1" t="str">
        <f aca="false">IF(AND('Sprint Planning'!$H287&gt;=10,'Sprint Planning'!$H287&lt;=16),IFERROR(MATCH('Sprint Planning'!$C287,Roadmap!$A$4:$A$15,0),99)*100+'Sprint Planning'!$H287+329/100000,"")</f>
        <v/>
      </c>
    </row>
    <row r="330" customFormat="false" ht="15" hidden="false" customHeight="true" outlineLevel="0" collapsed="false">
      <c r="T330" s="1" t="str">
        <f aca="false">IF(AND('Sprint Planning'!$H288&gt;=10,'Sprint Planning'!$H288&lt;=16),IFERROR(MATCH('Sprint Planning'!$C288,Roadmap!$A$4:$A$15,0),99)*100+'Sprint Planning'!$H288+330/100000,"")</f>
        <v/>
      </c>
    </row>
    <row r="331" customFormat="false" ht="15" hidden="false" customHeight="true" outlineLevel="0" collapsed="false">
      <c r="T331" s="1" t="str">
        <f aca="false">IF(AND('Sprint Planning'!$H289&gt;=10,'Sprint Planning'!$H289&lt;=16),IFERROR(MATCH('Sprint Planning'!$C289,Roadmap!$A$4:$A$15,0),99)*100+'Sprint Planning'!$H289+331/100000,"")</f>
        <v/>
      </c>
    </row>
    <row r="332" customFormat="false" ht="15" hidden="false" customHeight="true" outlineLevel="0" collapsed="false">
      <c r="T332" s="1" t="str">
        <f aca="false">IF(AND('Sprint Planning'!$H290&gt;=10,'Sprint Planning'!$H290&lt;=16),IFERROR(MATCH('Sprint Planning'!$C290,Roadmap!$A$4:$A$15,0),99)*100+'Sprint Planning'!$H290+332/100000,"")</f>
        <v/>
      </c>
    </row>
    <row r="333" customFormat="false" ht="15" hidden="false" customHeight="true" outlineLevel="0" collapsed="false">
      <c r="T333" s="1" t="str">
        <f aca="false">IF(AND('Sprint Planning'!$H291&gt;=10,'Sprint Planning'!$H291&lt;=16),IFERROR(MATCH('Sprint Planning'!$C291,Roadmap!$A$4:$A$15,0),99)*100+'Sprint Planning'!$H291+333/100000,"")</f>
        <v/>
      </c>
    </row>
    <row r="334" customFormat="false" ht="15" hidden="false" customHeight="true" outlineLevel="0" collapsed="false">
      <c r="T334" s="1" t="str">
        <f aca="false">IF(AND('Sprint Planning'!$H292&gt;=10,'Sprint Planning'!$H292&lt;=16),IFERROR(MATCH('Sprint Planning'!$C292,Roadmap!$A$4:$A$15,0),99)*100+'Sprint Planning'!$H292+334/100000,"")</f>
        <v/>
      </c>
    </row>
    <row r="335" customFormat="false" ht="15" hidden="false" customHeight="true" outlineLevel="0" collapsed="false">
      <c r="T335" s="1" t="str">
        <f aca="false">IF(AND('Sprint Planning'!$H293&gt;=10,'Sprint Planning'!$H293&lt;=16),IFERROR(MATCH('Sprint Planning'!$C293,Roadmap!$A$4:$A$15,0),99)*100+'Sprint Planning'!$H293+335/100000,"")</f>
        <v/>
      </c>
    </row>
    <row r="336" customFormat="false" ht="15" hidden="false" customHeight="true" outlineLevel="0" collapsed="false">
      <c r="T336" s="1" t="str">
        <f aca="false">IF(AND('Sprint Planning'!$H294&gt;=10,'Sprint Planning'!$H294&lt;=16),IFERROR(MATCH('Sprint Planning'!$C294,Roadmap!$A$4:$A$15,0),99)*100+'Sprint Planning'!$H294+336/100000,"")</f>
        <v/>
      </c>
    </row>
    <row r="337" customFormat="false" ht="15" hidden="false" customHeight="true" outlineLevel="0" collapsed="false">
      <c r="T337" s="1" t="str">
        <f aca="false">IF(AND('Sprint Planning'!$H295&gt;=10,'Sprint Planning'!$H295&lt;=16),IFERROR(MATCH('Sprint Planning'!$C295,Roadmap!$A$4:$A$15,0),99)*100+'Sprint Planning'!$H295+337/100000,"")</f>
        <v/>
      </c>
    </row>
    <row r="338" customFormat="false" ht="15" hidden="false" customHeight="true" outlineLevel="0" collapsed="false">
      <c r="T338" s="1" t="str">
        <f aca="false">IF(AND('Sprint Planning'!$H296&gt;=10,'Sprint Planning'!$H296&lt;=16),IFERROR(MATCH('Sprint Planning'!$C296,Roadmap!$A$4:$A$15,0),99)*100+'Sprint Planning'!$H296+338/100000,"")</f>
        <v/>
      </c>
    </row>
    <row r="339" customFormat="false" ht="15" hidden="false" customHeight="true" outlineLevel="0" collapsed="false">
      <c r="T339" s="1" t="str">
        <f aca="false">IF(AND('Sprint Planning'!$H297&gt;=10,'Sprint Planning'!$H297&lt;=16),IFERROR(MATCH('Sprint Planning'!$C297,Roadmap!$A$4:$A$15,0),99)*100+'Sprint Planning'!$H297+339/100000,"")</f>
        <v/>
      </c>
    </row>
    <row r="340" customFormat="false" ht="15" hidden="false" customHeight="true" outlineLevel="0" collapsed="false">
      <c r="T340" s="1" t="str">
        <f aca="false">IF(AND('Sprint Planning'!$H298&gt;=10,'Sprint Planning'!$H298&lt;=16),IFERROR(MATCH('Sprint Planning'!$C298,Roadmap!$A$4:$A$15,0),99)*100+'Sprint Planning'!$H298+340/100000,"")</f>
        <v/>
      </c>
    </row>
    <row r="341" customFormat="false" ht="15" hidden="false" customHeight="true" outlineLevel="0" collapsed="false">
      <c r="T341" s="1" t="str">
        <f aca="false">IF(AND('Sprint Planning'!$H299&gt;=10,'Sprint Planning'!$H299&lt;=16),IFERROR(MATCH('Sprint Planning'!$C299,Roadmap!$A$4:$A$15,0),99)*100+'Sprint Planning'!$H299+341/100000,"")</f>
        <v/>
      </c>
    </row>
    <row r="342" customFormat="false" ht="15" hidden="false" customHeight="true" outlineLevel="0" collapsed="false">
      <c r="T342" s="1" t="str">
        <f aca="false">IF(AND('Sprint Planning'!$H300&gt;=10,'Sprint Planning'!$H300&lt;=16),IFERROR(MATCH('Sprint Planning'!$C300,Roadmap!$A$4:$A$15,0),99)*100+'Sprint Planning'!$H300+342/100000,"")</f>
        <v/>
      </c>
    </row>
    <row r="343" customFormat="false" ht="15" hidden="false" customHeight="true" outlineLevel="0" collapsed="false">
      <c r="T343" s="1" t="str">
        <f aca="false">IF(AND('Sprint Planning'!$H301&gt;=10,'Sprint Planning'!$H301&lt;=16),IFERROR(MATCH('Sprint Planning'!$C301,Roadmap!$A$4:$A$15,0),99)*100+'Sprint Planning'!$H301+343/100000,"")</f>
        <v/>
      </c>
    </row>
    <row r="344" customFormat="false" ht="15" hidden="false" customHeight="true" outlineLevel="0" collapsed="false">
      <c r="T344" s="1" t="str">
        <f aca="false">IF(AND('Sprint Planning'!$H302&gt;=10,'Sprint Planning'!$H302&lt;=16),IFERROR(MATCH('Sprint Planning'!$C302,Roadmap!$A$4:$A$15,0),99)*100+'Sprint Planning'!$H302+344/100000,"")</f>
        <v/>
      </c>
    </row>
    <row r="345" customFormat="false" ht="15" hidden="false" customHeight="true" outlineLevel="0" collapsed="false">
      <c r="T345" s="1" t="str">
        <f aca="false">IF(AND('Sprint Planning'!$H303&gt;=10,'Sprint Planning'!$H303&lt;=16),IFERROR(MATCH('Sprint Planning'!$C303,Roadmap!$A$4:$A$15,0),99)*100+'Sprint Planning'!$H303+345/100000,"")</f>
        <v/>
      </c>
    </row>
    <row r="346" customFormat="false" ht="15" hidden="false" customHeight="true" outlineLevel="0" collapsed="false">
      <c r="T346" s="1" t="str">
        <f aca="false">IF(AND('Sprint Planning'!$H304&gt;=10,'Sprint Planning'!$H304&lt;=16),IFERROR(MATCH('Sprint Planning'!$C304,Roadmap!$A$4:$A$15,0),99)*100+'Sprint Planning'!$H304+346/100000,"")</f>
        <v/>
      </c>
    </row>
    <row r="347" customFormat="false" ht="15" hidden="false" customHeight="true" outlineLevel="0" collapsed="false">
      <c r="T347" s="1" t="str">
        <f aca="false">IF(AND('Sprint Planning'!$H305&gt;=10,'Sprint Planning'!$H305&lt;=16),IFERROR(MATCH('Sprint Planning'!$C305,Roadmap!$A$4:$A$15,0),99)*100+'Sprint Planning'!$H305+347/100000,"")</f>
        <v/>
      </c>
    </row>
    <row r="348" customFormat="false" ht="15" hidden="false" customHeight="true" outlineLevel="0" collapsed="false">
      <c r="T348" s="1" t="str">
        <f aca="false">IF(AND('Sprint Planning'!$H306&gt;=10,'Sprint Planning'!$H306&lt;=16),IFERROR(MATCH('Sprint Planning'!$C306,Roadmap!$A$4:$A$15,0),99)*100+'Sprint Planning'!$H306+348/100000,"")</f>
        <v/>
      </c>
    </row>
    <row r="349" customFormat="false" ht="15" hidden="false" customHeight="true" outlineLevel="0" collapsed="false">
      <c r="T349" s="1" t="str">
        <f aca="false">IF(AND('Sprint Planning'!$H307&gt;=10,'Sprint Planning'!$H307&lt;=16),IFERROR(MATCH('Sprint Planning'!$C307,Roadmap!$A$4:$A$15,0),99)*100+'Sprint Planning'!$H307+349/100000,"")</f>
        <v/>
      </c>
    </row>
    <row r="350" customFormat="false" ht="15" hidden="false" customHeight="true" outlineLevel="0" collapsed="false">
      <c r="T350" s="1" t="str">
        <f aca="false">IF(AND('Sprint Planning'!$H308&gt;=10,'Sprint Planning'!$H308&lt;=16),IFERROR(MATCH('Sprint Planning'!$C308,Roadmap!$A$4:$A$15,0),99)*100+'Sprint Planning'!$H308+350/100000,"")</f>
        <v/>
      </c>
    </row>
    <row r="351" customFormat="false" ht="15" hidden="false" customHeight="true" outlineLevel="0" collapsed="false">
      <c r="T351" s="1" t="str">
        <f aca="false">IF(AND('Sprint Planning'!$H309&gt;=10,'Sprint Planning'!$H309&lt;=16),IFERROR(MATCH('Sprint Planning'!$C309,Roadmap!$A$4:$A$15,0),99)*100+'Sprint Planning'!$H309+351/100000,"")</f>
        <v/>
      </c>
    </row>
    <row r="352" customFormat="false" ht="15" hidden="false" customHeight="true" outlineLevel="0" collapsed="false">
      <c r="T352" s="1" t="str">
        <f aca="false">IF(AND('Sprint Planning'!$H310&gt;=10,'Sprint Planning'!$H310&lt;=16),IFERROR(MATCH('Sprint Planning'!$C310,Roadmap!$A$4:$A$15,0),99)*100+'Sprint Planning'!$H310+352/100000,"")</f>
        <v/>
      </c>
    </row>
    <row r="353" customFormat="false" ht="15" hidden="false" customHeight="true" outlineLevel="0" collapsed="false">
      <c r="T353" s="1" t="str">
        <f aca="false">IF(AND('Sprint Planning'!$H311&gt;=10,'Sprint Planning'!$H311&lt;=16),IFERROR(MATCH('Sprint Planning'!$C311,Roadmap!$A$4:$A$15,0),99)*100+'Sprint Planning'!$H311+353/100000,"")</f>
        <v/>
      </c>
    </row>
    <row r="354" customFormat="false" ht="15" hidden="false" customHeight="true" outlineLevel="0" collapsed="false">
      <c r="T354" s="1" t="str">
        <f aca="false">IF(AND('Sprint Planning'!$H312&gt;=10,'Sprint Planning'!$H312&lt;=16),IFERROR(MATCH('Sprint Planning'!$C312,Roadmap!$A$4:$A$15,0),99)*100+'Sprint Planning'!$H312+354/100000,"")</f>
        <v/>
      </c>
    </row>
    <row r="355" customFormat="false" ht="15" hidden="false" customHeight="true" outlineLevel="0" collapsed="false">
      <c r="T355" s="1" t="str">
        <f aca="false">IF(AND('Sprint Planning'!$H313&gt;=10,'Sprint Planning'!$H313&lt;=16),IFERROR(MATCH('Sprint Planning'!$C313,Roadmap!$A$4:$A$15,0),99)*100+'Sprint Planning'!$H313+355/100000,"")</f>
        <v/>
      </c>
    </row>
    <row r="356" customFormat="false" ht="15" hidden="false" customHeight="true" outlineLevel="0" collapsed="false">
      <c r="T356" s="1" t="str">
        <f aca="false">IF(AND('Sprint Planning'!$H314&gt;=10,'Sprint Planning'!$H314&lt;=16),IFERROR(MATCH('Sprint Planning'!$C314,Roadmap!$A$4:$A$15,0),99)*100+'Sprint Planning'!$H314+356/100000,"")</f>
        <v/>
      </c>
    </row>
    <row r="357" customFormat="false" ht="15" hidden="false" customHeight="true" outlineLevel="0" collapsed="false">
      <c r="T357" s="1" t="str">
        <f aca="false">IF(AND('Sprint Planning'!$H315&gt;=10,'Sprint Planning'!$H315&lt;=16),IFERROR(MATCH('Sprint Planning'!$C315,Roadmap!$A$4:$A$15,0),99)*100+'Sprint Planning'!$H315+357/100000,"")</f>
        <v/>
      </c>
    </row>
    <row r="358" customFormat="false" ht="15" hidden="false" customHeight="true" outlineLevel="0" collapsed="false">
      <c r="T358" s="1" t="str">
        <f aca="false">IF(AND('Sprint Planning'!$H316&gt;=10,'Sprint Planning'!$H316&lt;=16),IFERROR(MATCH('Sprint Planning'!$C316,Roadmap!$A$4:$A$15,0),99)*100+'Sprint Planning'!$H316+358/100000,"")</f>
        <v/>
      </c>
    </row>
    <row r="359" customFormat="false" ht="15" hidden="false" customHeight="true" outlineLevel="0" collapsed="false">
      <c r="T359" s="1" t="str">
        <f aca="false">IF(AND('Sprint Planning'!$H317&gt;=10,'Sprint Planning'!$H317&lt;=16),IFERROR(MATCH('Sprint Planning'!$C317,Roadmap!$A$4:$A$15,0),99)*100+'Sprint Planning'!$H317+359/100000,"")</f>
        <v/>
      </c>
    </row>
    <row r="360" customFormat="false" ht="15" hidden="false" customHeight="true" outlineLevel="0" collapsed="false">
      <c r="T360" s="1" t="str">
        <f aca="false">IF(AND('Sprint Planning'!$H318&gt;=10,'Sprint Planning'!$H318&lt;=16),IFERROR(MATCH('Sprint Planning'!$C318,Roadmap!$A$4:$A$15,0),99)*100+'Sprint Planning'!$H318+360/100000,"")</f>
        <v/>
      </c>
    </row>
    <row r="361" customFormat="false" ht="15" hidden="false" customHeight="true" outlineLevel="0" collapsed="false">
      <c r="T361" s="1" t="str">
        <f aca="false">IF(AND('Sprint Planning'!$H319&gt;=10,'Sprint Planning'!$H319&lt;=16),IFERROR(MATCH('Sprint Planning'!$C319,Roadmap!$A$4:$A$15,0),99)*100+'Sprint Planning'!$H319+361/100000,"")</f>
        <v/>
      </c>
    </row>
    <row r="362" customFormat="false" ht="15" hidden="false" customHeight="true" outlineLevel="0" collapsed="false">
      <c r="T362" s="1" t="str">
        <f aca="false">IF(AND('Sprint Planning'!$H320&gt;=10,'Sprint Planning'!$H320&lt;=16),IFERROR(MATCH('Sprint Planning'!$C320,Roadmap!$A$4:$A$15,0),99)*100+'Sprint Planning'!$H320+362/100000,"")</f>
        <v/>
      </c>
    </row>
    <row r="363" customFormat="false" ht="15" hidden="false" customHeight="true" outlineLevel="0" collapsed="false">
      <c r="T363" s="1" t="str">
        <f aca="false">IF(AND('Sprint Planning'!$H321&gt;=10,'Sprint Planning'!$H321&lt;=16),IFERROR(MATCH('Sprint Planning'!$C321,Roadmap!$A$4:$A$15,0),99)*100+'Sprint Planning'!$H321+363/100000,"")</f>
        <v/>
      </c>
    </row>
    <row r="364" customFormat="false" ht="15" hidden="false" customHeight="true" outlineLevel="0" collapsed="false">
      <c r="T364" s="1" t="str">
        <f aca="false">IF(AND('Sprint Planning'!$H322&gt;=10,'Sprint Planning'!$H322&lt;=16),IFERROR(MATCH('Sprint Planning'!$C322,Roadmap!$A$4:$A$15,0),99)*100+'Sprint Planning'!$H322+364/100000,"")</f>
        <v/>
      </c>
    </row>
    <row r="365" customFormat="false" ht="15" hidden="false" customHeight="true" outlineLevel="0" collapsed="false">
      <c r="T365" s="1" t="str">
        <f aca="false">IF(AND('Sprint Planning'!$H323&gt;=10,'Sprint Planning'!$H323&lt;=16),IFERROR(MATCH('Sprint Planning'!$C323,Roadmap!$A$4:$A$15,0),99)*100+'Sprint Planning'!$H323+365/100000,"")</f>
        <v/>
      </c>
    </row>
    <row r="366" customFormat="false" ht="15" hidden="false" customHeight="true" outlineLevel="0" collapsed="false">
      <c r="T366" s="1" t="str">
        <f aca="false">IF(AND('Sprint Planning'!$H324&gt;=10,'Sprint Planning'!$H324&lt;=16),IFERROR(MATCH('Sprint Planning'!$C324,Roadmap!$A$4:$A$15,0),99)*100+'Sprint Planning'!$H324+366/100000,"")</f>
        <v/>
      </c>
    </row>
    <row r="367" customFormat="false" ht="15" hidden="false" customHeight="true" outlineLevel="0" collapsed="false">
      <c r="T367" s="1" t="str">
        <f aca="false">IF(AND('Sprint Planning'!$H325&gt;=10,'Sprint Planning'!$H325&lt;=16),IFERROR(MATCH('Sprint Planning'!$C325,Roadmap!$A$4:$A$15,0),99)*100+'Sprint Planning'!$H325+367/100000,"")</f>
        <v/>
      </c>
    </row>
    <row r="368" customFormat="false" ht="15" hidden="false" customHeight="true" outlineLevel="0" collapsed="false">
      <c r="T368" s="1" t="str">
        <f aca="false">IF(AND('Sprint Planning'!$H326&gt;=10,'Sprint Planning'!$H326&lt;=16),IFERROR(MATCH('Sprint Planning'!$C326,Roadmap!$A$4:$A$15,0),99)*100+'Sprint Planning'!$H326+368/100000,"")</f>
        <v/>
      </c>
    </row>
    <row r="369" customFormat="false" ht="15" hidden="false" customHeight="true" outlineLevel="0" collapsed="false">
      <c r="T369" s="1" t="str">
        <f aca="false">IF(AND('Sprint Planning'!$H327&gt;=10,'Sprint Planning'!$H327&lt;=16),IFERROR(MATCH('Sprint Planning'!$C327,Roadmap!$A$4:$A$15,0),99)*100+'Sprint Planning'!$H327+369/100000,"")</f>
        <v/>
      </c>
    </row>
    <row r="370" customFormat="false" ht="15" hidden="false" customHeight="true" outlineLevel="0" collapsed="false">
      <c r="T370" s="1" t="str">
        <f aca="false">IF(AND('Sprint Planning'!$H328&gt;=10,'Sprint Planning'!$H328&lt;=16),IFERROR(MATCH('Sprint Planning'!$C328,Roadmap!$A$4:$A$15,0),99)*100+'Sprint Planning'!$H328+370/100000,"")</f>
        <v/>
      </c>
    </row>
    <row r="371" customFormat="false" ht="15" hidden="false" customHeight="true" outlineLevel="0" collapsed="false">
      <c r="T371" s="1" t="str">
        <f aca="false">IF(AND('Sprint Planning'!$H329&gt;=10,'Sprint Planning'!$H329&lt;=16),IFERROR(MATCH('Sprint Planning'!$C329,Roadmap!$A$4:$A$15,0),99)*100+'Sprint Planning'!$H329+371/100000,"")</f>
        <v/>
      </c>
    </row>
    <row r="372" customFormat="false" ht="15" hidden="false" customHeight="true" outlineLevel="0" collapsed="false">
      <c r="T372" s="1" t="str">
        <f aca="false">IF(AND('Sprint Planning'!$H330&gt;=10,'Sprint Planning'!$H330&lt;=16),IFERROR(MATCH('Sprint Planning'!$C330,Roadmap!$A$4:$A$15,0),99)*100+'Sprint Planning'!$H330+372/100000,"")</f>
        <v/>
      </c>
    </row>
    <row r="373" customFormat="false" ht="15" hidden="false" customHeight="true" outlineLevel="0" collapsed="false">
      <c r="T373" s="1" t="str">
        <f aca="false">IF(AND('Sprint Planning'!$H331&gt;=10,'Sprint Planning'!$H331&lt;=16),IFERROR(MATCH('Sprint Planning'!$C331,Roadmap!$A$4:$A$15,0),99)*100+'Sprint Planning'!$H331+373/100000,"")</f>
        <v/>
      </c>
    </row>
    <row r="374" customFormat="false" ht="15" hidden="false" customHeight="true" outlineLevel="0" collapsed="false">
      <c r="T374" s="1" t="str">
        <f aca="false">IF(AND('Sprint Planning'!$H332&gt;=10,'Sprint Planning'!$H332&lt;=16),IFERROR(MATCH('Sprint Planning'!$C332,Roadmap!$A$4:$A$15,0),99)*100+'Sprint Planning'!$H332+374/100000,"")</f>
        <v/>
      </c>
    </row>
    <row r="375" customFormat="false" ht="15" hidden="false" customHeight="true" outlineLevel="0" collapsed="false">
      <c r="T375" s="1" t="str">
        <f aca="false">IF(AND('Sprint Planning'!$H333&gt;=10,'Sprint Planning'!$H333&lt;=16),IFERROR(MATCH('Sprint Planning'!$C333,Roadmap!$A$4:$A$15,0),99)*100+'Sprint Planning'!$H333+375/100000,"")</f>
        <v/>
      </c>
    </row>
    <row r="376" customFormat="false" ht="15" hidden="false" customHeight="true" outlineLevel="0" collapsed="false">
      <c r="T376" s="1" t="str">
        <f aca="false">IF(AND('Sprint Planning'!$H334&gt;=10,'Sprint Planning'!$H334&lt;=16),IFERROR(MATCH('Sprint Planning'!$C334,Roadmap!$A$4:$A$15,0),99)*100+'Sprint Planning'!$H334+376/100000,"")</f>
        <v/>
      </c>
    </row>
    <row r="377" customFormat="false" ht="15" hidden="false" customHeight="true" outlineLevel="0" collapsed="false">
      <c r="T377" s="1" t="str">
        <f aca="false">IF(AND('Sprint Planning'!$H335&gt;=10,'Sprint Planning'!$H335&lt;=16),IFERROR(MATCH('Sprint Planning'!$C335,Roadmap!$A$4:$A$15,0),99)*100+'Sprint Planning'!$H335+377/100000,"")</f>
        <v/>
      </c>
    </row>
    <row r="378" customFormat="false" ht="15" hidden="false" customHeight="true" outlineLevel="0" collapsed="false">
      <c r="T378" s="1" t="str">
        <f aca="false">IF(AND('Sprint Planning'!$H336&gt;=10,'Sprint Planning'!$H336&lt;=16),IFERROR(MATCH('Sprint Planning'!$C336,Roadmap!$A$4:$A$15,0),99)*100+'Sprint Planning'!$H336+378/100000,"")</f>
        <v/>
      </c>
    </row>
    <row r="379" customFormat="false" ht="15" hidden="false" customHeight="true" outlineLevel="0" collapsed="false">
      <c r="T379" s="1" t="str">
        <f aca="false">IF(AND('Sprint Planning'!$H337&gt;=10,'Sprint Planning'!$H337&lt;=16),IFERROR(MATCH('Sprint Planning'!$C337,Roadmap!$A$4:$A$15,0),99)*100+'Sprint Planning'!$H337+379/100000,"")</f>
        <v/>
      </c>
    </row>
    <row r="380" customFormat="false" ht="15" hidden="false" customHeight="true" outlineLevel="0" collapsed="false">
      <c r="T380" s="1" t="str">
        <f aca="false">IF(AND('Sprint Planning'!$H338&gt;=10,'Sprint Planning'!$H338&lt;=16),IFERROR(MATCH('Sprint Planning'!$C338,Roadmap!$A$4:$A$15,0),99)*100+'Sprint Planning'!$H338+380/100000,"")</f>
        <v/>
      </c>
    </row>
    <row r="381" customFormat="false" ht="15" hidden="false" customHeight="true" outlineLevel="0" collapsed="false">
      <c r="T381" s="1" t="str">
        <f aca="false">IF(AND('Sprint Planning'!$H339&gt;=10,'Sprint Planning'!$H339&lt;=16),IFERROR(MATCH('Sprint Planning'!$C339,Roadmap!$A$4:$A$15,0),99)*100+'Sprint Planning'!$H339+381/100000,"")</f>
        <v/>
      </c>
    </row>
    <row r="382" customFormat="false" ht="15" hidden="false" customHeight="true" outlineLevel="0" collapsed="false">
      <c r="T382" s="1" t="str">
        <f aca="false">IF(AND('Sprint Planning'!$H340&gt;=10,'Sprint Planning'!$H340&lt;=16),IFERROR(MATCH('Sprint Planning'!$C340,Roadmap!$A$4:$A$15,0),99)*100+'Sprint Planning'!$H340+382/100000,"")</f>
        <v/>
      </c>
    </row>
    <row r="383" customFormat="false" ht="15" hidden="false" customHeight="true" outlineLevel="0" collapsed="false">
      <c r="T383" s="1" t="str">
        <f aca="false">IF(AND('Sprint Planning'!$H341&gt;=10,'Sprint Planning'!$H341&lt;=16),IFERROR(MATCH('Sprint Planning'!$C341,Roadmap!$A$4:$A$15,0),99)*100+'Sprint Planning'!$H341+383/100000,"")</f>
        <v/>
      </c>
    </row>
    <row r="384" customFormat="false" ht="15" hidden="false" customHeight="true" outlineLevel="0" collapsed="false">
      <c r="T384" s="1" t="str">
        <f aca="false">IF(AND('Sprint Planning'!$H342&gt;=10,'Sprint Planning'!$H342&lt;=16),IFERROR(MATCH('Sprint Planning'!$C342,Roadmap!$A$4:$A$15,0),99)*100+'Sprint Planning'!$H342+384/100000,"")</f>
        <v/>
      </c>
    </row>
    <row r="385" customFormat="false" ht="15" hidden="false" customHeight="true" outlineLevel="0" collapsed="false">
      <c r="T385" s="1" t="str">
        <f aca="false">IF(AND('Sprint Planning'!$H343&gt;=10,'Sprint Planning'!$H343&lt;=16),IFERROR(MATCH('Sprint Planning'!$C343,Roadmap!$A$4:$A$15,0),99)*100+'Sprint Planning'!$H343+385/100000,"")</f>
        <v/>
      </c>
    </row>
    <row r="386" customFormat="false" ht="15" hidden="false" customHeight="true" outlineLevel="0" collapsed="false">
      <c r="T386" s="1" t="str">
        <f aca="false">IF(AND('Sprint Planning'!$H344&gt;=10,'Sprint Planning'!$H344&lt;=16),IFERROR(MATCH('Sprint Planning'!$C344,Roadmap!$A$4:$A$15,0),99)*100+'Sprint Planning'!$H344+386/100000,"")</f>
        <v/>
      </c>
    </row>
    <row r="387" customFormat="false" ht="15" hidden="false" customHeight="true" outlineLevel="0" collapsed="false">
      <c r="T387" s="1" t="str">
        <f aca="false">IF(AND('Sprint Planning'!$H345&gt;=10,'Sprint Planning'!$H345&lt;=16),IFERROR(MATCH('Sprint Planning'!$C345,Roadmap!$A$4:$A$15,0),99)*100+'Sprint Planning'!$H345+387/100000,"")</f>
        <v/>
      </c>
    </row>
    <row r="388" customFormat="false" ht="15" hidden="false" customHeight="true" outlineLevel="0" collapsed="false">
      <c r="T388" s="1" t="str">
        <f aca="false">IF(AND('Sprint Planning'!$H346&gt;=10,'Sprint Planning'!$H346&lt;=16),IFERROR(MATCH('Sprint Planning'!$C346,Roadmap!$A$4:$A$15,0),99)*100+'Sprint Planning'!$H346+388/100000,"")</f>
        <v/>
      </c>
    </row>
    <row r="389" customFormat="false" ht="15" hidden="false" customHeight="true" outlineLevel="0" collapsed="false">
      <c r="T389" s="1" t="str">
        <f aca="false">IF(AND('Sprint Planning'!$H347&gt;=10,'Sprint Planning'!$H347&lt;=16),IFERROR(MATCH('Sprint Planning'!$C347,Roadmap!$A$4:$A$15,0),99)*100+'Sprint Planning'!$H347+389/100000,"")</f>
        <v/>
      </c>
    </row>
    <row r="390" customFormat="false" ht="15" hidden="false" customHeight="true" outlineLevel="0" collapsed="false">
      <c r="T390" s="1" t="str">
        <f aca="false">IF(AND('Sprint Planning'!$H348&gt;=10,'Sprint Planning'!$H348&lt;=16),IFERROR(MATCH('Sprint Planning'!$C348,Roadmap!$A$4:$A$15,0),99)*100+'Sprint Planning'!$H348+390/100000,"")</f>
        <v/>
      </c>
    </row>
    <row r="391" customFormat="false" ht="15" hidden="false" customHeight="true" outlineLevel="0" collapsed="false">
      <c r="T391" s="1" t="str">
        <f aca="false">IF(AND('Sprint Planning'!$H349&gt;=10,'Sprint Planning'!$H349&lt;=16),IFERROR(MATCH('Sprint Planning'!$C349,Roadmap!$A$4:$A$15,0),99)*100+'Sprint Planning'!$H349+391/100000,"")</f>
        <v/>
      </c>
    </row>
    <row r="392" customFormat="false" ht="15" hidden="false" customHeight="true" outlineLevel="0" collapsed="false">
      <c r="T392" s="1" t="str">
        <f aca="false">IF(AND('Sprint Planning'!$H350&gt;=10,'Sprint Planning'!$H350&lt;=16),IFERROR(MATCH('Sprint Planning'!$C350,Roadmap!$A$4:$A$15,0),99)*100+'Sprint Planning'!$H350+392/100000,"")</f>
        <v/>
      </c>
    </row>
    <row r="393" customFormat="false" ht="15" hidden="false" customHeight="true" outlineLevel="0" collapsed="false">
      <c r="T393" s="1" t="str">
        <f aca="false">IF(AND('Sprint Planning'!$H351&gt;=10,'Sprint Planning'!$H351&lt;=16),IFERROR(MATCH('Sprint Planning'!$C351,Roadmap!$A$4:$A$15,0),99)*100+'Sprint Planning'!$H351+393/100000,"")</f>
        <v/>
      </c>
    </row>
    <row r="394" customFormat="false" ht="15" hidden="false" customHeight="true" outlineLevel="0" collapsed="false">
      <c r="T394" s="1" t="str">
        <f aca="false">IF(AND('Sprint Planning'!$H352&gt;=10,'Sprint Planning'!$H352&lt;=16),IFERROR(MATCH('Sprint Planning'!$C352,Roadmap!$A$4:$A$15,0),99)*100+'Sprint Planning'!$H352+394/100000,"")</f>
        <v/>
      </c>
    </row>
    <row r="395" customFormat="false" ht="15" hidden="false" customHeight="true" outlineLevel="0" collapsed="false">
      <c r="T395" s="1" t="str">
        <f aca="false">IF(AND('Sprint Planning'!$H353&gt;=10,'Sprint Planning'!$H353&lt;=16),IFERROR(MATCH('Sprint Planning'!$C353,Roadmap!$A$4:$A$15,0),99)*100+'Sprint Planning'!$H353+395/100000,"")</f>
        <v/>
      </c>
    </row>
    <row r="396" customFormat="false" ht="15" hidden="false" customHeight="true" outlineLevel="0" collapsed="false">
      <c r="T396" s="1" t="str">
        <f aca="false">IF(AND('Sprint Planning'!$H354&gt;=10,'Sprint Planning'!$H354&lt;=16),IFERROR(MATCH('Sprint Planning'!$C354,Roadmap!$A$4:$A$15,0),99)*100+'Sprint Planning'!$H354+396/100000,"")</f>
        <v/>
      </c>
    </row>
    <row r="397" customFormat="false" ht="15" hidden="false" customHeight="true" outlineLevel="0" collapsed="false">
      <c r="T397" s="1" t="str">
        <f aca="false">IF(AND('Sprint Planning'!$H355&gt;=10,'Sprint Planning'!$H355&lt;=16),IFERROR(MATCH('Sprint Planning'!$C355,Roadmap!$A$4:$A$15,0),99)*100+'Sprint Planning'!$H355+397/100000,"")</f>
        <v/>
      </c>
    </row>
    <row r="398" customFormat="false" ht="15" hidden="false" customHeight="true" outlineLevel="0" collapsed="false">
      <c r="T398" s="1" t="str">
        <f aca="false">IF(AND('Sprint Planning'!$H356&gt;=10,'Sprint Planning'!$H356&lt;=16),IFERROR(MATCH('Sprint Planning'!$C356,Roadmap!$A$4:$A$15,0),99)*100+'Sprint Planning'!$H356+398/100000,"")</f>
        <v/>
      </c>
    </row>
    <row r="399" customFormat="false" ht="15" hidden="false" customHeight="true" outlineLevel="0" collapsed="false">
      <c r="T399" s="1" t="str">
        <f aca="false">IF(AND('Sprint Planning'!$H357&gt;=10,'Sprint Planning'!$H357&lt;=16),IFERROR(MATCH('Sprint Planning'!$C357,Roadmap!$A$4:$A$15,0),99)*100+'Sprint Planning'!$H357+399/100000,"")</f>
        <v/>
      </c>
    </row>
    <row r="400" customFormat="false" ht="15" hidden="false" customHeight="true" outlineLevel="0" collapsed="false">
      <c r="T400" s="1" t="str">
        <f aca="false">IF(AND('Sprint Planning'!$H358&gt;=10,'Sprint Planning'!$H358&lt;=16),IFERROR(MATCH('Sprint Planning'!$C358,Roadmap!$A$4:$A$15,0),99)*100+'Sprint Planning'!$H358+400/100000,"")</f>
        <v/>
      </c>
    </row>
    <row r="401" customFormat="false" ht="15" hidden="false" customHeight="true" outlineLevel="0" collapsed="false">
      <c r="T401" s="1" t="str">
        <f aca="false">IF(AND('Sprint Planning'!$H359&gt;=10,'Sprint Planning'!$H359&lt;=16),IFERROR(MATCH('Sprint Planning'!$C359,Roadmap!$A$4:$A$15,0),99)*100+'Sprint Planning'!$H359+401/100000,"")</f>
        <v/>
      </c>
    </row>
    <row r="402" customFormat="false" ht="15" hidden="false" customHeight="true" outlineLevel="0" collapsed="false">
      <c r="T402" s="1" t="str">
        <f aca="false">IF(AND('Sprint Planning'!$H360&gt;=10,'Sprint Planning'!$H360&lt;=16),IFERROR(MATCH('Sprint Planning'!$C360,Roadmap!$A$4:$A$15,0),99)*100+'Sprint Planning'!$H360+402/100000,"")</f>
        <v/>
      </c>
    </row>
    <row r="403" customFormat="false" ht="15" hidden="false" customHeight="true" outlineLevel="0" collapsed="false">
      <c r="T403" s="1" t="str">
        <f aca="false">IF(AND('Sprint Planning'!$H361&gt;=10,'Sprint Planning'!$H361&lt;=16),IFERROR(MATCH('Sprint Planning'!$C361,Roadmap!$A$4:$A$15,0),99)*100+'Sprint Planning'!$H361+403/100000,"")</f>
        <v/>
      </c>
    </row>
    <row r="404" customFormat="false" ht="15" hidden="false" customHeight="true" outlineLevel="0" collapsed="false">
      <c r="T404" s="1" t="str">
        <f aca="false">IF(AND('Sprint Planning'!$H362&gt;=10,'Sprint Planning'!$H362&lt;=16),IFERROR(MATCH('Sprint Planning'!$C362,Roadmap!$A$4:$A$15,0),99)*100+'Sprint Planning'!$H362+404/100000,"")</f>
        <v/>
      </c>
    </row>
    <row r="405" customFormat="false" ht="15" hidden="false" customHeight="true" outlineLevel="0" collapsed="false">
      <c r="T405" s="1" t="str">
        <f aca="false">IF(AND('Sprint Planning'!$H363&gt;=10,'Sprint Planning'!$H363&lt;=16),IFERROR(MATCH('Sprint Planning'!$C363,Roadmap!$A$4:$A$15,0),99)*100+'Sprint Planning'!$H363+405/100000,"")</f>
        <v/>
      </c>
    </row>
    <row r="406" customFormat="false" ht="15" hidden="false" customHeight="true" outlineLevel="0" collapsed="false">
      <c r="T406" s="1" t="str">
        <f aca="false">IF(AND('Sprint Planning'!$H364&gt;=10,'Sprint Planning'!$H364&lt;=16),IFERROR(MATCH('Sprint Planning'!$C364,Roadmap!$A$4:$A$15,0),99)*100+'Sprint Planning'!$H364+406/100000,"")</f>
        <v/>
      </c>
    </row>
    <row r="407" customFormat="false" ht="15" hidden="false" customHeight="true" outlineLevel="0" collapsed="false">
      <c r="T407" s="1" t="str">
        <f aca="false">IF(AND('Sprint Planning'!$H365&gt;=10,'Sprint Planning'!$H365&lt;=16),IFERROR(MATCH('Sprint Planning'!$C365,Roadmap!$A$4:$A$15,0),99)*100+'Sprint Planning'!$H365+407/100000,"")</f>
        <v/>
      </c>
    </row>
    <row r="408" customFormat="false" ht="15" hidden="false" customHeight="true" outlineLevel="0" collapsed="false">
      <c r="T408" s="1" t="str">
        <f aca="false">IF(AND('Sprint Planning'!$H366&gt;=10,'Sprint Planning'!$H366&lt;=16),IFERROR(MATCH('Sprint Planning'!$C366,Roadmap!$A$4:$A$15,0),99)*100+'Sprint Planning'!$H366+408/100000,"")</f>
        <v/>
      </c>
    </row>
    <row r="409" customFormat="false" ht="15" hidden="false" customHeight="true" outlineLevel="0" collapsed="false">
      <c r="T409" s="1" t="str">
        <f aca="false">IF(AND('Sprint Planning'!$H367&gt;=10,'Sprint Planning'!$H367&lt;=16),IFERROR(MATCH('Sprint Planning'!$C367,Roadmap!$A$4:$A$15,0),99)*100+'Sprint Planning'!$H367+409/100000,"")</f>
        <v/>
      </c>
    </row>
    <row r="410" customFormat="false" ht="15" hidden="false" customHeight="true" outlineLevel="0" collapsed="false">
      <c r="T410" s="1" t="str">
        <f aca="false">IF(AND('Sprint Planning'!$H368&gt;=10,'Sprint Planning'!$H368&lt;=16),IFERROR(MATCH('Sprint Planning'!$C368,Roadmap!$A$4:$A$15,0),99)*100+'Sprint Planning'!$H368+410/100000,"")</f>
        <v/>
      </c>
    </row>
    <row r="411" customFormat="false" ht="15" hidden="false" customHeight="true" outlineLevel="0" collapsed="false">
      <c r="T411" s="1" t="str">
        <f aca="false">IF(AND('Sprint Planning'!$H369&gt;=10,'Sprint Planning'!$H369&lt;=16),IFERROR(MATCH('Sprint Planning'!$C369,Roadmap!$A$4:$A$15,0),99)*100+'Sprint Planning'!$H369+411/100000,"")</f>
        <v/>
      </c>
    </row>
    <row r="412" customFormat="false" ht="15" hidden="false" customHeight="true" outlineLevel="0" collapsed="false">
      <c r="T412" s="1" t="str">
        <f aca="false">IF(AND('Sprint Planning'!$H370&gt;=10,'Sprint Planning'!$H370&lt;=16),IFERROR(MATCH('Sprint Planning'!$C370,Roadmap!$A$4:$A$15,0),99)*100+'Sprint Planning'!$H370+412/100000,"")</f>
        <v/>
      </c>
    </row>
    <row r="413" customFormat="false" ht="15" hidden="false" customHeight="true" outlineLevel="0" collapsed="false">
      <c r="T413" s="1" t="str">
        <f aca="false">IF(AND('Sprint Planning'!$H371&gt;=10,'Sprint Planning'!$H371&lt;=16),IFERROR(MATCH('Sprint Planning'!$C371,Roadmap!$A$4:$A$15,0),99)*100+'Sprint Planning'!$H371+413/100000,"")</f>
        <v/>
      </c>
    </row>
    <row r="414" customFormat="false" ht="15" hidden="false" customHeight="true" outlineLevel="0" collapsed="false">
      <c r="T414" s="1" t="str">
        <f aca="false">IF(AND('Sprint Planning'!$H372&gt;=10,'Sprint Planning'!$H372&lt;=16),IFERROR(MATCH('Sprint Planning'!$C372,Roadmap!$A$4:$A$15,0),99)*100+'Sprint Planning'!$H372+414/100000,"")</f>
        <v/>
      </c>
    </row>
    <row r="415" customFormat="false" ht="15" hidden="false" customHeight="true" outlineLevel="0" collapsed="false">
      <c r="T415" s="1" t="str">
        <f aca="false">IF(AND('Sprint Planning'!$H373&gt;=10,'Sprint Planning'!$H373&lt;=16),IFERROR(MATCH('Sprint Planning'!$C373,Roadmap!$A$4:$A$15,0),99)*100+'Sprint Planning'!$H373+415/100000,"")</f>
        <v/>
      </c>
    </row>
    <row r="416" customFormat="false" ht="15" hidden="false" customHeight="true" outlineLevel="0" collapsed="false">
      <c r="T416" s="1" t="str">
        <f aca="false">IF(AND('Sprint Planning'!$H374&gt;=10,'Sprint Planning'!$H374&lt;=16),IFERROR(MATCH('Sprint Planning'!$C374,Roadmap!$A$4:$A$15,0),99)*100+'Sprint Planning'!$H374+416/100000,"")</f>
        <v/>
      </c>
    </row>
    <row r="417" customFormat="false" ht="15" hidden="false" customHeight="true" outlineLevel="0" collapsed="false">
      <c r="T417" s="1" t="str">
        <f aca="false">IF(AND('Sprint Planning'!$H375&gt;=10,'Sprint Planning'!$H375&lt;=16),IFERROR(MATCH('Sprint Planning'!$C375,Roadmap!$A$4:$A$15,0),99)*100+'Sprint Planning'!$H375+417/100000,"")</f>
        <v/>
      </c>
    </row>
    <row r="418" customFormat="false" ht="15" hidden="false" customHeight="true" outlineLevel="0" collapsed="false">
      <c r="T418" s="1" t="str">
        <f aca="false">IF(AND('Sprint Planning'!$H376&gt;=10,'Sprint Planning'!$H376&lt;=16),IFERROR(MATCH('Sprint Planning'!$C376,Roadmap!$A$4:$A$15,0),99)*100+'Sprint Planning'!$H376+418/100000,"")</f>
        <v/>
      </c>
    </row>
    <row r="419" customFormat="false" ht="15" hidden="false" customHeight="true" outlineLevel="0" collapsed="false">
      <c r="T419" s="1" t="str">
        <f aca="false">IF(AND('Sprint Planning'!$H377&gt;=10,'Sprint Planning'!$H377&lt;=16),IFERROR(MATCH('Sprint Planning'!$C377,Roadmap!$A$4:$A$15,0),99)*100+'Sprint Planning'!$H377+419/100000,"")</f>
        <v/>
      </c>
    </row>
    <row r="420" customFormat="false" ht="15" hidden="false" customHeight="true" outlineLevel="0" collapsed="false">
      <c r="T420" s="1" t="str">
        <f aca="false">IF(AND('Sprint Planning'!$H378&gt;=10,'Sprint Planning'!$H378&lt;=16),IFERROR(MATCH('Sprint Planning'!$C378,Roadmap!$A$4:$A$15,0),99)*100+'Sprint Planning'!$H378+420/100000,"")</f>
        <v/>
      </c>
    </row>
    <row r="421" customFormat="false" ht="15" hidden="false" customHeight="true" outlineLevel="0" collapsed="false">
      <c r="T421" s="1" t="str">
        <f aca="false">IF(AND('Sprint Planning'!$H379&gt;=10,'Sprint Planning'!$H379&lt;=16),IFERROR(MATCH('Sprint Planning'!$C379,Roadmap!$A$4:$A$15,0),99)*100+'Sprint Planning'!$H379+421/100000,"")</f>
        <v/>
      </c>
    </row>
    <row r="422" customFormat="false" ht="15" hidden="false" customHeight="true" outlineLevel="0" collapsed="false">
      <c r="T422" s="1" t="str">
        <f aca="false">IF(AND('Sprint Planning'!$H380&gt;=10,'Sprint Planning'!$H380&lt;=16),IFERROR(MATCH('Sprint Planning'!$C380,Roadmap!$A$4:$A$15,0),99)*100+'Sprint Planning'!$H380+422/100000,"")</f>
        <v/>
      </c>
    </row>
    <row r="423" customFormat="false" ht="15" hidden="false" customHeight="true" outlineLevel="0" collapsed="false">
      <c r="T423" s="1" t="str">
        <f aca="false">IF(AND('Sprint Planning'!$H381&gt;=10,'Sprint Planning'!$H381&lt;=16),IFERROR(MATCH('Sprint Planning'!$C381,Roadmap!$A$4:$A$15,0),99)*100+'Sprint Planning'!$H381+423/100000,"")</f>
        <v/>
      </c>
    </row>
    <row r="424" customFormat="false" ht="15" hidden="false" customHeight="true" outlineLevel="0" collapsed="false">
      <c r="T424" s="1" t="str">
        <f aca="false">IF(AND('Sprint Planning'!$H382&gt;=10,'Sprint Planning'!$H382&lt;=16),IFERROR(MATCH('Sprint Planning'!$C382,Roadmap!$A$4:$A$15,0),99)*100+'Sprint Planning'!$H382+424/100000,"")</f>
        <v/>
      </c>
    </row>
    <row r="425" customFormat="false" ht="15" hidden="false" customHeight="true" outlineLevel="0" collapsed="false">
      <c r="T425" s="1" t="str">
        <f aca="false">IF(AND('Sprint Planning'!$H383&gt;=10,'Sprint Planning'!$H383&lt;=16),IFERROR(MATCH('Sprint Planning'!$C383,Roadmap!$A$4:$A$15,0),99)*100+'Sprint Planning'!$H383+425/100000,"")</f>
        <v/>
      </c>
    </row>
    <row r="426" customFormat="false" ht="15" hidden="false" customHeight="true" outlineLevel="0" collapsed="false">
      <c r="T426" s="1" t="str">
        <f aca="false">IF(AND('Sprint Planning'!$H384&gt;=10,'Sprint Planning'!$H384&lt;=16),IFERROR(MATCH('Sprint Planning'!$C384,Roadmap!$A$4:$A$15,0),99)*100+'Sprint Planning'!$H384+426/100000,"")</f>
        <v/>
      </c>
    </row>
    <row r="427" customFormat="false" ht="15" hidden="false" customHeight="true" outlineLevel="0" collapsed="false">
      <c r="T427" s="1" t="str">
        <f aca="false">IF(AND('Sprint Planning'!$H385&gt;=10,'Sprint Planning'!$H385&lt;=16),IFERROR(MATCH('Sprint Planning'!$C385,Roadmap!$A$4:$A$15,0),99)*100+'Sprint Planning'!$H385+427/100000,"")</f>
        <v/>
      </c>
    </row>
    <row r="428" customFormat="false" ht="15" hidden="false" customHeight="true" outlineLevel="0" collapsed="false">
      <c r="T428" s="1" t="str">
        <f aca="false">IF(AND('Sprint Planning'!$H386&gt;=10,'Sprint Planning'!$H386&lt;=16),IFERROR(MATCH('Sprint Planning'!$C386,Roadmap!$A$4:$A$15,0),99)*100+'Sprint Planning'!$H386+428/100000,"")</f>
        <v/>
      </c>
    </row>
    <row r="429" customFormat="false" ht="15" hidden="false" customHeight="true" outlineLevel="0" collapsed="false">
      <c r="T429" s="1" t="str">
        <f aca="false">IF(AND('Sprint Planning'!$H387&gt;=10,'Sprint Planning'!$H387&lt;=16),IFERROR(MATCH('Sprint Planning'!$C387,Roadmap!$A$4:$A$15,0),99)*100+'Sprint Planning'!$H387+429/100000,"")</f>
        <v/>
      </c>
    </row>
    <row r="430" customFormat="false" ht="15" hidden="false" customHeight="true" outlineLevel="0" collapsed="false">
      <c r="T430" s="1" t="str">
        <f aca="false">IF(AND('Sprint Planning'!$H388&gt;=10,'Sprint Planning'!$H388&lt;=16),IFERROR(MATCH('Sprint Planning'!$C388,Roadmap!$A$4:$A$15,0),99)*100+'Sprint Planning'!$H388+430/100000,"")</f>
        <v/>
      </c>
    </row>
    <row r="431" customFormat="false" ht="15" hidden="false" customHeight="true" outlineLevel="0" collapsed="false">
      <c r="T431" s="1" t="str">
        <f aca="false">IF(AND('Sprint Planning'!$H389&gt;=10,'Sprint Planning'!$H389&lt;=16),IFERROR(MATCH('Sprint Planning'!$C389,Roadmap!$A$4:$A$15,0),99)*100+'Sprint Planning'!$H389+431/100000,"")</f>
        <v/>
      </c>
    </row>
    <row r="432" customFormat="false" ht="15" hidden="false" customHeight="true" outlineLevel="0" collapsed="false">
      <c r="T432" s="1" t="str">
        <f aca="false">IF(AND('Sprint Planning'!$H390&gt;=10,'Sprint Planning'!$H390&lt;=16),IFERROR(MATCH('Sprint Planning'!$C390,Roadmap!$A$4:$A$15,0),99)*100+'Sprint Planning'!$H390+432/100000,"")</f>
        <v/>
      </c>
    </row>
    <row r="433" customFormat="false" ht="15" hidden="false" customHeight="true" outlineLevel="0" collapsed="false">
      <c r="T433" s="1" t="str">
        <f aca="false">IF(AND('Sprint Planning'!$H391&gt;=10,'Sprint Planning'!$H391&lt;=16),IFERROR(MATCH('Sprint Planning'!$C391,Roadmap!$A$4:$A$15,0),99)*100+'Sprint Planning'!$H391+433/100000,"")</f>
        <v/>
      </c>
    </row>
    <row r="434" customFormat="false" ht="15" hidden="false" customHeight="true" outlineLevel="0" collapsed="false">
      <c r="T434" s="1" t="str">
        <f aca="false">IF(AND('Sprint Planning'!$H392&gt;=10,'Sprint Planning'!$H392&lt;=16),IFERROR(MATCH('Sprint Planning'!$C392,Roadmap!$A$4:$A$15,0),99)*100+'Sprint Planning'!$H392+434/100000,"")</f>
        <v/>
      </c>
    </row>
    <row r="435" customFormat="false" ht="15" hidden="false" customHeight="true" outlineLevel="0" collapsed="false">
      <c r="T435" s="1" t="str">
        <f aca="false">IF(AND('Sprint Planning'!$H393&gt;=10,'Sprint Planning'!$H393&lt;=16),IFERROR(MATCH('Sprint Planning'!$C393,Roadmap!$A$4:$A$15,0),99)*100+'Sprint Planning'!$H393+435/100000,"")</f>
        <v/>
      </c>
    </row>
    <row r="436" customFormat="false" ht="15" hidden="false" customHeight="true" outlineLevel="0" collapsed="false">
      <c r="T436" s="1" t="str">
        <f aca="false">IF(AND('Sprint Planning'!$H394&gt;=10,'Sprint Planning'!$H394&lt;=16),IFERROR(MATCH('Sprint Planning'!$C394,Roadmap!$A$4:$A$15,0),99)*100+'Sprint Planning'!$H394+436/100000,"")</f>
        <v/>
      </c>
    </row>
    <row r="437" customFormat="false" ht="15" hidden="false" customHeight="true" outlineLevel="0" collapsed="false">
      <c r="T437" s="1" t="str">
        <f aca="false">IF(AND('Sprint Planning'!$H395&gt;=10,'Sprint Planning'!$H395&lt;=16),IFERROR(MATCH('Sprint Planning'!$C395,Roadmap!$A$4:$A$15,0),99)*100+'Sprint Planning'!$H395+437/100000,"")</f>
        <v/>
      </c>
    </row>
    <row r="438" customFormat="false" ht="15" hidden="false" customHeight="true" outlineLevel="0" collapsed="false">
      <c r="T438" s="1" t="str">
        <f aca="false">IF(AND('Sprint Planning'!$H396&gt;=10,'Sprint Planning'!$H396&lt;=16),IFERROR(MATCH('Sprint Planning'!$C396,Roadmap!$A$4:$A$15,0),99)*100+'Sprint Planning'!$H396+438/100000,"")</f>
        <v/>
      </c>
    </row>
    <row r="439" customFormat="false" ht="15" hidden="false" customHeight="true" outlineLevel="0" collapsed="false">
      <c r="T439" s="1" t="str">
        <f aca="false">IF(AND('Sprint Planning'!$H397&gt;=10,'Sprint Planning'!$H397&lt;=16),IFERROR(MATCH('Sprint Planning'!$C397,Roadmap!$A$4:$A$15,0),99)*100+'Sprint Planning'!$H397+439/100000,"")</f>
        <v/>
      </c>
    </row>
    <row r="440" customFormat="false" ht="15" hidden="false" customHeight="true" outlineLevel="0" collapsed="false">
      <c r="T440" s="1" t="str">
        <f aca="false">IF(AND('Sprint Planning'!$H398&gt;=10,'Sprint Planning'!$H398&lt;=16),IFERROR(MATCH('Sprint Planning'!$C398,Roadmap!$A$4:$A$15,0),99)*100+'Sprint Planning'!$H398+440/100000,"")</f>
        <v/>
      </c>
    </row>
    <row r="441" customFormat="false" ht="15" hidden="false" customHeight="true" outlineLevel="0" collapsed="false">
      <c r="T441" s="1" t="str">
        <f aca="false">IF(AND('Sprint Planning'!$H399&gt;=10,'Sprint Planning'!$H399&lt;=16),IFERROR(MATCH('Sprint Planning'!$C399,Roadmap!$A$4:$A$15,0),99)*100+'Sprint Planning'!$H399+441/100000,"")</f>
        <v/>
      </c>
    </row>
    <row r="442" customFormat="false" ht="15" hidden="false" customHeight="true" outlineLevel="0" collapsed="false">
      <c r="T442" s="1" t="str">
        <f aca="false">IF(AND('Sprint Planning'!$H400&gt;=10,'Sprint Planning'!$H400&lt;=16),IFERROR(MATCH('Sprint Planning'!$C400,Roadmap!$A$4:$A$15,0),99)*100+'Sprint Planning'!$H400+442/100000,"")</f>
        <v/>
      </c>
    </row>
    <row r="443" customFormat="false" ht="15" hidden="false" customHeight="true" outlineLevel="0" collapsed="false">
      <c r="T443" s="1" t="str">
        <f aca="false">IF(AND('Sprint Planning'!$H401&gt;=10,'Sprint Planning'!$H401&lt;=16),IFERROR(MATCH('Sprint Planning'!$C401,Roadmap!$A$4:$A$15,0),99)*100+'Sprint Planning'!$H401+443/100000,"")</f>
        <v/>
      </c>
    </row>
    <row r="444" customFormat="false" ht="15" hidden="false" customHeight="true" outlineLevel="0" collapsed="false">
      <c r="T444" s="1" t="str">
        <f aca="false">IF(AND('Sprint Planning'!$H402&gt;=10,'Sprint Planning'!$H402&lt;=16),IFERROR(MATCH('Sprint Planning'!$C402,Roadmap!$A$4:$A$15,0),99)*100+'Sprint Planning'!$H402+444/100000,"")</f>
        <v/>
      </c>
    </row>
    <row r="445" customFormat="false" ht="15" hidden="false" customHeight="true" outlineLevel="0" collapsed="false">
      <c r="T445" s="1" t="str">
        <f aca="false">IF(AND('Sprint Planning'!$H403&gt;=10,'Sprint Planning'!$H403&lt;=16),IFERROR(MATCH('Sprint Planning'!$C403,Roadmap!$A$4:$A$15,0),99)*100+'Sprint Planning'!$H403+445/100000,"")</f>
        <v/>
      </c>
    </row>
    <row r="446" customFormat="false" ht="15" hidden="false" customHeight="true" outlineLevel="0" collapsed="false">
      <c r="T446" s="1" t="str">
        <f aca="false">IF(AND('Sprint Planning'!$H404&gt;=10,'Sprint Planning'!$H404&lt;=16),IFERROR(MATCH('Sprint Planning'!$C404,Roadmap!$A$4:$A$15,0),99)*100+'Sprint Planning'!$H404+446/100000,"")</f>
        <v/>
      </c>
    </row>
    <row r="447" customFormat="false" ht="15" hidden="false" customHeight="true" outlineLevel="0" collapsed="false">
      <c r="T447" s="1" t="str">
        <f aca="false">IF(AND('Sprint Planning'!$H405&gt;=10,'Sprint Planning'!$H405&lt;=16),IFERROR(MATCH('Sprint Planning'!$C405,Roadmap!$A$4:$A$15,0),99)*100+'Sprint Planning'!$H405+447/100000,"")</f>
        <v/>
      </c>
    </row>
    <row r="448" customFormat="false" ht="15" hidden="false" customHeight="true" outlineLevel="0" collapsed="false">
      <c r="T448" s="1" t="str">
        <f aca="false">IF(AND('Sprint Planning'!$H406&gt;=10,'Sprint Planning'!$H406&lt;=16),IFERROR(MATCH('Sprint Planning'!$C406,Roadmap!$A$4:$A$15,0),99)*100+'Sprint Planning'!$H406+448/100000,"")</f>
        <v/>
      </c>
    </row>
    <row r="449" customFormat="false" ht="15" hidden="false" customHeight="true" outlineLevel="0" collapsed="false">
      <c r="T449" s="1" t="str">
        <f aca="false">IF(AND('Sprint Planning'!$H407&gt;=10,'Sprint Planning'!$H407&lt;=16),IFERROR(MATCH('Sprint Planning'!$C407,Roadmap!$A$4:$A$15,0),99)*100+'Sprint Planning'!$H407+449/100000,"")</f>
        <v/>
      </c>
    </row>
    <row r="450" customFormat="false" ht="15" hidden="false" customHeight="true" outlineLevel="0" collapsed="false">
      <c r="T450" s="1" t="str">
        <f aca="false">IF(AND('Sprint Planning'!$H408&gt;=10,'Sprint Planning'!$H408&lt;=16),IFERROR(MATCH('Sprint Planning'!$C408,Roadmap!$A$4:$A$15,0),99)*100+'Sprint Planning'!$H408+450/100000,"")</f>
        <v/>
      </c>
    </row>
    <row r="451" customFormat="false" ht="15" hidden="false" customHeight="true" outlineLevel="0" collapsed="false">
      <c r="T451" s="1" t="str">
        <f aca="false">IF(AND('Sprint Planning'!$H409&gt;=10,'Sprint Planning'!$H409&lt;=16),IFERROR(MATCH('Sprint Planning'!$C409,Roadmap!$A$4:$A$15,0),99)*100+'Sprint Planning'!$H409+451/100000,"")</f>
        <v/>
      </c>
    </row>
    <row r="452" customFormat="false" ht="15" hidden="false" customHeight="true" outlineLevel="0" collapsed="false">
      <c r="T452" s="1" t="str">
        <f aca="false">IF(AND('Sprint Planning'!$H410&gt;=10,'Sprint Planning'!$H410&lt;=16),IFERROR(MATCH('Sprint Planning'!$C410,Roadmap!$A$4:$A$15,0),99)*100+'Sprint Planning'!$H410+452/100000,"")</f>
        <v/>
      </c>
    </row>
    <row r="453" customFormat="false" ht="15" hidden="false" customHeight="true" outlineLevel="0" collapsed="false">
      <c r="T453" s="1" t="str">
        <f aca="false">IF(AND('Sprint Planning'!$H411&gt;=10,'Sprint Planning'!$H411&lt;=16),IFERROR(MATCH('Sprint Planning'!$C411,Roadmap!$A$4:$A$15,0),99)*100+'Sprint Planning'!$H411+453/100000,"")</f>
        <v/>
      </c>
    </row>
    <row r="454" customFormat="false" ht="15" hidden="false" customHeight="true" outlineLevel="0" collapsed="false">
      <c r="T454" s="1" t="str">
        <f aca="false">IF(AND('Sprint Planning'!$H412&gt;=10,'Sprint Planning'!$H412&lt;=16),IFERROR(MATCH('Sprint Planning'!$C412,Roadmap!$A$4:$A$15,0),99)*100+'Sprint Planning'!$H412+454/100000,"")</f>
        <v/>
      </c>
    </row>
    <row r="455" customFormat="false" ht="15" hidden="false" customHeight="true" outlineLevel="0" collapsed="false">
      <c r="T455" s="1" t="str">
        <f aca="false">IF(AND('Sprint Planning'!$H413&gt;=10,'Sprint Planning'!$H413&lt;=16),IFERROR(MATCH('Sprint Planning'!$C413,Roadmap!$A$4:$A$15,0),99)*100+'Sprint Planning'!$H413+455/100000,"")</f>
        <v/>
      </c>
    </row>
    <row r="456" customFormat="false" ht="15" hidden="false" customHeight="true" outlineLevel="0" collapsed="false">
      <c r="T456" s="1" t="str">
        <f aca="false">IF(AND('Sprint Planning'!$H414&gt;=10,'Sprint Planning'!$H414&lt;=16),IFERROR(MATCH('Sprint Planning'!$C414,Roadmap!$A$4:$A$15,0),99)*100+'Sprint Planning'!$H414+456/100000,"")</f>
        <v/>
      </c>
    </row>
    <row r="457" customFormat="false" ht="15" hidden="false" customHeight="true" outlineLevel="0" collapsed="false">
      <c r="T457" s="1" t="str">
        <f aca="false">IF(AND('Sprint Planning'!$H415&gt;=10,'Sprint Planning'!$H415&lt;=16),IFERROR(MATCH('Sprint Planning'!$C415,Roadmap!$A$4:$A$15,0),99)*100+'Sprint Planning'!$H415+457/100000,"")</f>
        <v/>
      </c>
    </row>
    <row r="458" customFormat="false" ht="15" hidden="false" customHeight="true" outlineLevel="0" collapsed="false">
      <c r="T458" s="1" t="str">
        <f aca="false">IF(AND('Sprint Planning'!$H416&gt;=10,'Sprint Planning'!$H416&lt;=16),IFERROR(MATCH('Sprint Planning'!$C416,Roadmap!$A$4:$A$15,0),99)*100+'Sprint Planning'!$H416+458/100000,"")</f>
        <v/>
      </c>
    </row>
    <row r="459" customFormat="false" ht="15" hidden="false" customHeight="true" outlineLevel="0" collapsed="false">
      <c r="T459" s="1" t="str">
        <f aca="false">IF(AND('Sprint Planning'!$H417&gt;=10,'Sprint Planning'!$H417&lt;=16),IFERROR(MATCH('Sprint Planning'!$C417,Roadmap!$A$4:$A$15,0),99)*100+'Sprint Planning'!$H417+459/100000,"")</f>
        <v/>
      </c>
    </row>
    <row r="460" customFormat="false" ht="15" hidden="false" customHeight="true" outlineLevel="0" collapsed="false">
      <c r="T460" s="1" t="str">
        <f aca="false">IF(AND('Sprint Planning'!$H418&gt;=10,'Sprint Planning'!$H418&lt;=16),IFERROR(MATCH('Sprint Planning'!$C418,Roadmap!$A$4:$A$15,0),99)*100+'Sprint Planning'!$H418+460/100000,"")</f>
        <v/>
      </c>
    </row>
    <row r="461" customFormat="false" ht="15" hidden="false" customHeight="true" outlineLevel="0" collapsed="false">
      <c r="T461" s="1" t="str">
        <f aca="false">IF(AND('Sprint Planning'!$H419&gt;=10,'Sprint Planning'!$H419&lt;=16),IFERROR(MATCH('Sprint Planning'!$C419,Roadmap!$A$4:$A$15,0),99)*100+'Sprint Planning'!$H419+461/100000,"")</f>
        <v/>
      </c>
    </row>
    <row r="462" customFormat="false" ht="15" hidden="false" customHeight="true" outlineLevel="0" collapsed="false">
      <c r="T462" s="1" t="str">
        <f aca="false">IF(AND('Sprint Planning'!$H420&gt;=10,'Sprint Planning'!$H420&lt;=16),IFERROR(MATCH('Sprint Planning'!$C420,Roadmap!$A$4:$A$15,0),99)*100+'Sprint Planning'!$H420+462/100000,"")</f>
        <v/>
      </c>
    </row>
    <row r="463" customFormat="false" ht="15" hidden="false" customHeight="true" outlineLevel="0" collapsed="false">
      <c r="T463" s="1" t="str">
        <f aca="false">IF(AND('Sprint Planning'!$H421&gt;=10,'Sprint Planning'!$H421&lt;=16),IFERROR(MATCH('Sprint Planning'!$C421,Roadmap!$A$4:$A$15,0),99)*100+'Sprint Planning'!$H421+463/100000,"")</f>
        <v/>
      </c>
    </row>
    <row r="464" customFormat="false" ht="15" hidden="false" customHeight="true" outlineLevel="0" collapsed="false">
      <c r="T464" s="1" t="str">
        <f aca="false">IF(AND('Sprint Planning'!$H422&gt;=10,'Sprint Planning'!$H422&lt;=16),IFERROR(MATCH('Sprint Planning'!$C422,Roadmap!$A$4:$A$15,0),99)*100+'Sprint Planning'!$H422+464/100000,"")</f>
        <v/>
      </c>
    </row>
    <row r="465" customFormat="false" ht="15" hidden="false" customHeight="true" outlineLevel="0" collapsed="false">
      <c r="T465" s="1" t="str">
        <f aca="false">IF(AND('Sprint Planning'!$H423&gt;=10,'Sprint Planning'!$H423&lt;=16),IFERROR(MATCH('Sprint Planning'!$C423,Roadmap!$A$4:$A$15,0),99)*100+'Sprint Planning'!$H423+465/100000,"")</f>
        <v/>
      </c>
    </row>
    <row r="466" customFormat="false" ht="15" hidden="false" customHeight="true" outlineLevel="0" collapsed="false">
      <c r="T466" s="1" t="str">
        <f aca="false">IF(AND('Sprint Planning'!$H424&gt;=10,'Sprint Planning'!$H424&lt;=16),IFERROR(MATCH('Sprint Planning'!$C424,Roadmap!$A$4:$A$15,0),99)*100+'Sprint Planning'!$H424+466/100000,"")</f>
        <v/>
      </c>
    </row>
    <row r="467" customFormat="false" ht="15" hidden="false" customHeight="true" outlineLevel="0" collapsed="false">
      <c r="T467" s="1" t="str">
        <f aca="false">IF(AND('Sprint Planning'!$H425&gt;=10,'Sprint Planning'!$H425&lt;=16),IFERROR(MATCH('Sprint Planning'!$C425,Roadmap!$A$4:$A$15,0),99)*100+'Sprint Planning'!$H425+467/100000,"")</f>
        <v/>
      </c>
    </row>
    <row r="468" customFormat="false" ht="15" hidden="false" customHeight="true" outlineLevel="0" collapsed="false">
      <c r="T468" s="1" t="str">
        <f aca="false">IF(AND('Sprint Planning'!$H426&gt;=10,'Sprint Planning'!$H426&lt;=16),IFERROR(MATCH('Sprint Planning'!$C426,Roadmap!$A$4:$A$15,0),99)*100+'Sprint Planning'!$H426+468/100000,"")</f>
        <v/>
      </c>
    </row>
    <row r="469" customFormat="false" ht="15" hidden="false" customHeight="true" outlineLevel="0" collapsed="false">
      <c r="T469" s="1" t="str">
        <f aca="false">IF(AND('Sprint Planning'!$H427&gt;=10,'Sprint Planning'!$H427&lt;=16),IFERROR(MATCH('Sprint Planning'!$C427,Roadmap!$A$4:$A$15,0),99)*100+'Sprint Planning'!$H427+469/100000,"")</f>
        <v/>
      </c>
    </row>
    <row r="470" customFormat="false" ht="15" hidden="false" customHeight="true" outlineLevel="0" collapsed="false">
      <c r="T470" s="1" t="str">
        <f aca="false">IF(AND('Sprint Planning'!$H428&gt;=10,'Sprint Planning'!$H428&lt;=16),IFERROR(MATCH('Sprint Planning'!$C428,Roadmap!$A$4:$A$15,0),99)*100+'Sprint Planning'!$H428+470/100000,"")</f>
        <v/>
      </c>
    </row>
    <row r="471" customFormat="false" ht="15" hidden="false" customHeight="true" outlineLevel="0" collapsed="false">
      <c r="T471" s="1" t="str">
        <f aca="false">IF(AND('Sprint Planning'!$H429&gt;=10,'Sprint Planning'!$H429&lt;=16),IFERROR(MATCH('Sprint Planning'!$C429,Roadmap!$A$4:$A$15,0),99)*100+'Sprint Planning'!$H429+471/100000,"")</f>
        <v/>
      </c>
    </row>
    <row r="472" customFormat="false" ht="15" hidden="false" customHeight="true" outlineLevel="0" collapsed="false">
      <c r="T472" s="1" t="str">
        <f aca="false">IF(AND('Sprint Planning'!$H430&gt;=10,'Sprint Planning'!$H430&lt;=16),IFERROR(MATCH('Sprint Planning'!$C430,Roadmap!$A$4:$A$15,0),99)*100+'Sprint Planning'!$H430+472/100000,"")</f>
        <v/>
      </c>
    </row>
    <row r="473" customFormat="false" ht="15" hidden="false" customHeight="true" outlineLevel="0" collapsed="false">
      <c r="T473" s="1" t="str">
        <f aca="false">IF(AND('Sprint Planning'!$H431&gt;=10,'Sprint Planning'!$H431&lt;=16),IFERROR(MATCH('Sprint Planning'!$C431,Roadmap!$A$4:$A$15,0),99)*100+'Sprint Planning'!$H431+473/100000,"")</f>
        <v/>
      </c>
    </row>
    <row r="474" customFormat="false" ht="15" hidden="false" customHeight="true" outlineLevel="0" collapsed="false">
      <c r="T474" s="1" t="str">
        <f aca="false">IF(AND('Sprint Planning'!$H432&gt;=10,'Sprint Planning'!$H432&lt;=16),IFERROR(MATCH('Sprint Planning'!$C432,Roadmap!$A$4:$A$15,0),99)*100+'Sprint Planning'!$H432+474/100000,"")</f>
        <v/>
      </c>
    </row>
    <row r="475" customFormat="false" ht="15" hidden="false" customHeight="true" outlineLevel="0" collapsed="false">
      <c r="T475" s="1" t="str">
        <f aca="false">IF(AND('Sprint Planning'!$H433&gt;=10,'Sprint Planning'!$H433&lt;=16),IFERROR(MATCH('Sprint Planning'!$C433,Roadmap!$A$4:$A$15,0),99)*100+'Sprint Planning'!$H433+475/100000,"")</f>
        <v/>
      </c>
    </row>
    <row r="476" customFormat="false" ht="15" hidden="false" customHeight="true" outlineLevel="0" collapsed="false">
      <c r="T476" s="1" t="str">
        <f aca="false">IF(AND('Sprint Planning'!$H434&gt;=10,'Sprint Planning'!$H434&lt;=16),IFERROR(MATCH('Sprint Planning'!$C434,Roadmap!$A$4:$A$15,0),99)*100+'Sprint Planning'!$H434+476/100000,"")</f>
        <v/>
      </c>
    </row>
    <row r="477" customFormat="false" ht="15" hidden="false" customHeight="true" outlineLevel="0" collapsed="false">
      <c r="T477" s="1" t="str">
        <f aca="false">IF(AND('Sprint Planning'!$H435&gt;=10,'Sprint Planning'!$H435&lt;=16),IFERROR(MATCH('Sprint Planning'!$C435,Roadmap!$A$4:$A$15,0),99)*100+'Sprint Planning'!$H435+477/100000,"")</f>
        <v/>
      </c>
    </row>
    <row r="478" customFormat="false" ht="15" hidden="false" customHeight="true" outlineLevel="0" collapsed="false">
      <c r="T478" s="1" t="str">
        <f aca="false">IF(AND('Sprint Planning'!$H436&gt;=10,'Sprint Planning'!$H436&lt;=16),IFERROR(MATCH('Sprint Planning'!$C436,Roadmap!$A$4:$A$15,0),99)*100+'Sprint Planning'!$H436+478/100000,"")</f>
        <v/>
      </c>
    </row>
    <row r="479" customFormat="false" ht="15" hidden="false" customHeight="true" outlineLevel="0" collapsed="false">
      <c r="T479" s="1" t="str">
        <f aca="false">IF(AND('Sprint Planning'!$H437&gt;=10,'Sprint Planning'!$H437&lt;=16),IFERROR(MATCH('Sprint Planning'!$C437,Roadmap!$A$4:$A$15,0),99)*100+'Sprint Planning'!$H437+479/100000,"")</f>
        <v/>
      </c>
    </row>
    <row r="480" customFormat="false" ht="15" hidden="false" customHeight="true" outlineLevel="0" collapsed="false">
      <c r="T480" s="1" t="str">
        <f aca="false">IF(AND('Sprint Planning'!$H438&gt;=10,'Sprint Planning'!$H438&lt;=16),IFERROR(MATCH('Sprint Planning'!$C438,Roadmap!$A$4:$A$15,0),99)*100+'Sprint Planning'!$H438+480/100000,"")</f>
        <v/>
      </c>
    </row>
    <row r="481" customFormat="false" ht="15" hidden="false" customHeight="true" outlineLevel="0" collapsed="false">
      <c r="T481" s="1" t="str">
        <f aca="false">IF(AND('Sprint Planning'!$H439&gt;=10,'Sprint Planning'!$H439&lt;=16),IFERROR(MATCH('Sprint Planning'!$C439,Roadmap!$A$4:$A$15,0),99)*100+'Sprint Planning'!$H439+481/100000,"")</f>
        <v/>
      </c>
    </row>
    <row r="482" customFormat="false" ht="15" hidden="false" customHeight="true" outlineLevel="0" collapsed="false">
      <c r="T482" s="1" t="str">
        <f aca="false">IF(AND('Sprint Planning'!$H440&gt;=10,'Sprint Planning'!$H440&lt;=16),IFERROR(MATCH('Sprint Planning'!$C440,Roadmap!$A$4:$A$15,0),99)*100+'Sprint Planning'!$H440+482/100000,"")</f>
        <v/>
      </c>
    </row>
    <row r="483" customFormat="false" ht="15" hidden="false" customHeight="true" outlineLevel="0" collapsed="false">
      <c r="T483" s="1" t="str">
        <f aca="false">IF(AND('Sprint Planning'!$H441&gt;=10,'Sprint Planning'!$H441&lt;=16),IFERROR(MATCH('Sprint Planning'!$C441,Roadmap!$A$4:$A$15,0),99)*100+'Sprint Planning'!$H441+483/100000,"")</f>
        <v/>
      </c>
    </row>
    <row r="484" customFormat="false" ht="15" hidden="false" customHeight="true" outlineLevel="0" collapsed="false">
      <c r="T484" s="1" t="str">
        <f aca="false">IF(AND('Sprint Planning'!$H442&gt;=10,'Sprint Planning'!$H442&lt;=16),IFERROR(MATCH('Sprint Planning'!$C442,Roadmap!$A$4:$A$15,0),99)*100+'Sprint Planning'!$H442+484/100000,"")</f>
        <v/>
      </c>
    </row>
    <row r="485" customFormat="false" ht="15" hidden="false" customHeight="true" outlineLevel="0" collapsed="false">
      <c r="T485" s="1" t="str">
        <f aca="false">IF(AND('Sprint Planning'!$H443&gt;=10,'Sprint Planning'!$H443&lt;=16),IFERROR(MATCH('Sprint Planning'!$C443,Roadmap!$A$4:$A$15,0),99)*100+'Sprint Planning'!$H443+485/100000,"")</f>
        <v/>
      </c>
    </row>
    <row r="486" customFormat="false" ht="15" hidden="false" customHeight="true" outlineLevel="0" collapsed="false">
      <c r="T486" s="1" t="str">
        <f aca="false">IF(AND('Sprint Planning'!$H444&gt;=10,'Sprint Planning'!$H444&lt;=16),IFERROR(MATCH('Sprint Planning'!$C444,Roadmap!$A$4:$A$15,0),99)*100+'Sprint Planning'!$H444+486/100000,"")</f>
        <v/>
      </c>
    </row>
    <row r="487" customFormat="false" ht="15" hidden="false" customHeight="true" outlineLevel="0" collapsed="false">
      <c r="T487" s="1" t="str">
        <f aca="false">IF(AND('Sprint Planning'!$H445&gt;=10,'Sprint Planning'!$H445&lt;=16),IFERROR(MATCH('Sprint Planning'!$C445,Roadmap!$A$4:$A$15,0),99)*100+'Sprint Planning'!$H445+487/100000,"")</f>
        <v/>
      </c>
    </row>
    <row r="488" customFormat="false" ht="15" hidden="false" customHeight="true" outlineLevel="0" collapsed="false">
      <c r="T488" s="1" t="str">
        <f aca="false">IF(AND('Sprint Planning'!$H446&gt;=10,'Sprint Planning'!$H446&lt;=16),IFERROR(MATCH('Sprint Planning'!$C446,Roadmap!$A$4:$A$15,0),99)*100+'Sprint Planning'!$H446+488/100000,"")</f>
        <v/>
      </c>
    </row>
    <row r="489" customFormat="false" ht="15" hidden="false" customHeight="true" outlineLevel="0" collapsed="false">
      <c r="T489" s="1" t="str">
        <f aca="false">IF(AND('Sprint Planning'!$H447&gt;=10,'Sprint Planning'!$H447&lt;=16),IFERROR(MATCH('Sprint Planning'!$C447,Roadmap!$A$4:$A$15,0),99)*100+'Sprint Planning'!$H447+489/100000,"")</f>
        <v/>
      </c>
    </row>
    <row r="490" customFormat="false" ht="15" hidden="false" customHeight="true" outlineLevel="0" collapsed="false">
      <c r="T490" s="1" t="str">
        <f aca="false">IF(AND('Sprint Planning'!$H448&gt;=10,'Sprint Planning'!$H448&lt;=16),IFERROR(MATCH('Sprint Planning'!$C448,Roadmap!$A$4:$A$15,0),99)*100+'Sprint Planning'!$H448+490/100000,"")</f>
        <v/>
      </c>
    </row>
    <row r="491" customFormat="false" ht="15" hidden="false" customHeight="true" outlineLevel="0" collapsed="false">
      <c r="T491" s="1" t="str">
        <f aca="false">IF(AND('Sprint Planning'!$H449&gt;=10,'Sprint Planning'!$H449&lt;=16),IFERROR(MATCH('Sprint Planning'!$C449,Roadmap!$A$4:$A$15,0),99)*100+'Sprint Planning'!$H449+491/100000,"")</f>
        <v/>
      </c>
    </row>
    <row r="492" customFormat="false" ht="15" hidden="false" customHeight="true" outlineLevel="0" collapsed="false">
      <c r="T492" s="1" t="str">
        <f aca="false">IF(AND('Sprint Planning'!$H450&gt;=10,'Sprint Planning'!$H450&lt;=16),IFERROR(MATCH('Sprint Planning'!$C450,Roadmap!$A$4:$A$15,0),99)*100+'Sprint Planning'!$H450+492/100000,"")</f>
        <v/>
      </c>
    </row>
    <row r="493" customFormat="false" ht="15" hidden="false" customHeight="true" outlineLevel="0" collapsed="false">
      <c r="T493" s="1" t="str">
        <f aca="false">IF(AND('Sprint Planning'!$H451&gt;=10,'Sprint Planning'!$H451&lt;=16),IFERROR(MATCH('Sprint Planning'!$C451,Roadmap!$A$4:$A$15,0),99)*100+'Sprint Planning'!$H451+493/100000,"")</f>
        <v/>
      </c>
    </row>
    <row r="494" customFormat="false" ht="15" hidden="false" customHeight="true" outlineLevel="0" collapsed="false">
      <c r="T494" s="1" t="str">
        <f aca="false">IF(AND('Sprint Planning'!$H452&gt;=10,'Sprint Planning'!$H452&lt;=16),IFERROR(MATCH('Sprint Planning'!$C452,Roadmap!$A$4:$A$15,0),99)*100+'Sprint Planning'!$H452+494/100000,"")</f>
        <v/>
      </c>
    </row>
    <row r="495" customFormat="false" ht="15" hidden="false" customHeight="true" outlineLevel="0" collapsed="false">
      <c r="T495" s="1" t="str">
        <f aca="false">IF(AND('Sprint Planning'!$H453&gt;=10,'Sprint Planning'!$H453&lt;=16),IFERROR(MATCH('Sprint Planning'!$C453,Roadmap!$A$4:$A$15,0),99)*100+'Sprint Planning'!$H453+495/100000,"")</f>
        <v/>
      </c>
    </row>
    <row r="496" customFormat="false" ht="15" hidden="false" customHeight="true" outlineLevel="0" collapsed="false">
      <c r="T496" s="1" t="str">
        <f aca="false">IF(AND('Sprint Planning'!$H454&gt;=10,'Sprint Planning'!$H454&lt;=16),IFERROR(MATCH('Sprint Planning'!$C454,Roadmap!$A$4:$A$15,0),99)*100+'Sprint Planning'!$H454+496/100000,"")</f>
        <v/>
      </c>
    </row>
    <row r="497" customFormat="false" ht="15" hidden="false" customHeight="true" outlineLevel="0" collapsed="false">
      <c r="T497" s="1" t="str">
        <f aca="false">IF(AND('Sprint Planning'!$H455&gt;=10,'Sprint Planning'!$H455&lt;=16),IFERROR(MATCH('Sprint Planning'!$C455,Roadmap!$A$4:$A$15,0),99)*100+'Sprint Planning'!$H455+497/100000,"")</f>
        <v/>
      </c>
    </row>
    <row r="498" customFormat="false" ht="15" hidden="false" customHeight="true" outlineLevel="0" collapsed="false">
      <c r="T498" s="1" t="str">
        <f aca="false">IF(AND('Sprint Planning'!$H456&gt;=10,'Sprint Planning'!$H456&lt;=16),IFERROR(MATCH('Sprint Planning'!$C456,Roadmap!$A$4:$A$15,0),99)*100+'Sprint Planning'!$H456+498/100000,"")</f>
        <v/>
      </c>
    </row>
    <row r="499" customFormat="false" ht="15" hidden="false" customHeight="true" outlineLevel="0" collapsed="false">
      <c r="T499" s="1" t="str">
        <f aca="false">IF(AND('Sprint Planning'!$H457&gt;=10,'Sprint Planning'!$H457&lt;=16),IFERROR(MATCH('Sprint Planning'!$C457,Roadmap!$A$4:$A$15,0),99)*100+'Sprint Planning'!$H457+499/100000,"")</f>
        <v/>
      </c>
    </row>
    <row r="500" customFormat="false" ht="15" hidden="false" customHeight="true" outlineLevel="0" collapsed="false">
      <c r="T500" s="1" t="str">
        <f aca="false">IF(AND('Sprint Planning'!$H458&gt;=10,'Sprint Planning'!$H458&lt;=16),IFERROR(MATCH('Sprint Planning'!$C458,Roadmap!$A$4:$A$15,0),99)*100+'Sprint Planning'!$H458+500/100000,"")</f>
        <v/>
      </c>
    </row>
  </sheetData>
  <mergeCells count="1">
    <mergeCell ref="A1:R1"/>
  </mergeCells>
  <conditionalFormatting sqref="A4:R15">
    <cfRule type="expression" priority="2" aboveAverage="0" equalAverage="0" bottom="0" percent="0" rank="0" text="" dxfId="10">
      <formula>$A4="US"</formula>
    </cfRule>
    <cfRule type="expression" priority="3" aboveAverage="0" equalAverage="0" bottom="0" percent="0" rank="0" text="" dxfId="11">
      <formula>$A4="MyMSC"</formula>
    </cfRule>
    <cfRule type="expression" priority="4" aboveAverage="0" equalAverage="0" bottom="0" percent="0" rank="0" text="" dxfId="12">
      <formula>$A4="Rollout"</formula>
    </cfRule>
    <cfRule type="expression" priority="5" aboveAverage="0" equalAverage="0" bottom="0" percent="0" rank="0" text="" dxfId="12">
      <formula>$A4="MVP Rollout"</formula>
    </cfRule>
    <cfRule type="expression" priority="6" aboveAverage="0" equalAverage="0" bottom="0" percent="0" rank="0" text="" dxfId="13">
      <formula>$A4="Backlog"</formula>
    </cfRule>
    <cfRule type="expression" priority="7" aboveAverage="0" equalAverage="0" bottom="0" percent="0" rank="0" text="" dxfId="13">
      <formula>$A4="Growth"</formula>
    </cfRule>
    <cfRule type="expression" priority="8" aboveAverage="0" equalAverage="0" bottom="0" percent="0" rank="0" text="" dxfId="14">
      <formula>$A4="Tech Enhancements"</formula>
    </cfRule>
    <cfRule type="expression" priority="9" aboveAverage="0" equalAverage="0" bottom="0" percent="0" rank="0" text="" dxfId="15">
      <formula>LEFT($A4,2)="PI"</formula>
    </cfRule>
  </conditionalFormatting>
  <conditionalFormatting sqref="A21:J100">
    <cfRule type="expression" priority="10" aboveAverage="0" equalAverage="0" bottom="0" percent="0" rank="0" text="" dxfId="10">
      <formula>$A21="US"</formula>
    </cfRule>
    <cfRule type="expression" priority="11" aboveAverage="0" equalAverage="0" bottom="0" percent="0" rank="0" text="" dxfId="11">
      <formula>$A21="MyMSC"</formula>
    </cfRule>
    <cfRule type="expression" priority="12" aboveAverage="0" equalAverage="0" bottom="0" percent="0" rank="0" text="" dxfId="12">
      <formula>$A21="Rollout"</formula>
    </cfRule>
    <cfRule type="expression" priority="13" aboveAverage="0" equalAverage="0" bottom="0" percent="0" rank="0" text="" dxfId="12">
      <formula>$A21="MVP Rollout"</formula>
    </cfRule>
    <cfRule type="expression" priority="14" aboveAverage="0" equalAverage="0" bottom="0" percent="0" rank="0" text="" dxfId="13">
      <formula>$A21="Backlog"</formula>
    </cfRule>
    <cfRule type="expression" priority="15" aboveAverage="0" equalAverage="0" bottom="0" percent="0" rank="0" text="" dxfId="13">
      <formula>$A21="Growth"</formula>
    </cfRule>
    <cfRule type="expression" priority="16" aboveAverage="0" equalAverage="0" bottom="0" percent="0" rank="0" text="" dxfId="14">
      <formula>$A21="Tech Enhancements"</formula>
    </cfRule>
    <cfRule type="expression" priority="17" aboveAverage="0" equalAverage="0" bottom="0" percent="0" rank="0" text="" dxfId="15">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8" t="s">
        <v>455</v>
      </c>
      <c r="K1" s="78"/>
      <c r="L1" s="78"/>
      <c r="M1" s="78"/>
      <c r="N1" s="78"/>
      <c r="O1" s="78"/>
      <c r="P1" s="78"/>
    </row>
    <row r="2" customFormat="false" ht="15" hidden="false" customHeight="true" outlineLevel="0" collapsed="false">
      <c r="A2" s="24" t="s">
        <v>456</v>
      </c>
      <c r="B2" s="26" t="s">
        <v>457</v>
      </c>
      <c r="C2" s="26" t="s">
        <v>84</v>
      </c>
      <c r="D2" s="26" t="s">
        <v>413</v>
      </c>
      <c r="E2" s="26" t="s">
        <v>288</v>
      </c>
      <c r="F2" s="26" t="s">
        <v>87</v>
      </c>
      <c r="G2" s="24" t="s">
        <v>458</v>
      </c>
      <c r="H2" s="26" t="n">
        <v>8</v>
      </c>
      <c r="J2" s="79" t="s">
        <v>48</v>
      </c>
      <c r="K2" s="79" t="s">
        <v>459</v>
      </c>
      <c r="L2" s="79" t="s">
        <v>412</v>
      </c>
      <c r="M2" s="80" t="s">
        <v>460</v>
      </c>
      <c r="N2" s="80" t="s">
        <v>461</v>
      </c>
      <c r="O2" s="80" t="s">
        <v>71</v>
      </c>
      <c r="P2" s="80" t="s">
        <v>462</v>
      </c>
    </row>
    <row r="3" customFormat="false" ht="15" hidden="false" customHeight="true" outlineLevel="0" collapsed="false">
      <c r="A3" s="24" t="s">
        <v>463</v>
      </c>
      <c r="B3" s="26" t="s">
        <v>464</v>
      </c>
      <c r="C3" s="26" t="s">
        <v>450</v>
      </c>
      <c r="D3" s="26" t="s">
        <v>413</v>
      </c>
      <c r="E3" s="26" t="s">
        <v>288</v>
      </c>
      <c r="F3" s="26" t="s">
        <v>87</v>
      </c>
      <c r="G3" s="24" t="s">
        <v>465</v>
      </c>
      <c r="H3" s="26" t="n">
        <v>21</v>
      </c>
      <c r="J3" s="54" t="s">
        <v>466</v>
      </c>
      <c r="K3" s="54" t="n">
        <f aca="false">COUNTIFS(Release[Release],J3)</f>
        <v>0</v>
      </c>
      <c r="L3" s="54" t="n">
        <f aca="false">SUMIFS(Release[HLE],Release[Release],J3)</f>
        <v>0</v>
      </c>
      <c r="M3" s="81"/>
      <c r="N3" s="81"/>
      <c r="O3" s="82"/>
      <c r="P3" s="55"/>
    </row>
    <row r="4" customFormat="false" ht="15" hidden="false" customHeight="true" outlineLevel="0" collapsed="false">
      <c r="A4" s="24" t="s">
        <v>467</v>
      </c>
      <c r="B4" s="26" t="s">
        <v>468</v>
      </c>
      <c r="C4" s="26" t="s">
        <v>84</v>
      </c>
      <c r="D4" s="26" t="s">
        <v>413</v>
      </c>
      <c r="E4" s="26" t="s">
        <v>288</v>
      </c>
      <c r="F4" s="26" t="s">
        <v>87</v>
      </c>
      <c r="G4" s="24" t="s">
        <v>469</v>
      </c>
      <c r="H4" s="26" t="n">
        <v>8</v>
      </c>
      <c r="J4" s="54" t="s">
        <v>470</v>
      </c>
      <c r="K4" s="54" t="n">
        <f aca="false">COUNTIFS(Release[Release],J4)</f>
        <v>1</v>
      </c>
      <c r="L4" s="54" t="n">
        <f aca="false">SUMIFS(Release[HLE],Release[Release],J4)</f>
        <v>7</v>
      </c>
      <c r="M4" s="81"/>
      <c r="N4" s="81"/>
      <c r="O4" s="82"/>
      <c r="P4" s="55"/>
    </row>
    <row r="5" customFormat="false" ht="15" hidden="false" customHeight="true" outlineLevel="0" collapsed="false">
      <c r="A5" s="24" t="s">
        <v>471</v>
      </c>
      <c r="B5" s="26" t="s">
        <v>472</v>
      </c>
      <c r="C5" s="26" t="s">
        <v>84</v>
      </c>
      <c r="D5" s="26" t="s">
        <v>413</v>
      </c>
      <c r="E5" s="26" t="s">
        <v>288</v>
      </c>
      <c r="F5" s="26" t="s">
        <v>87</v>
      </c>
      <c r="G5" s="24" t="s">
        <v>469</v>
      </c>
      <c r="H5" s="26" t="n">
        <v>3</v>
      </c>
      <c r="J5" s="54" t="s">
        <v>465</v>
      </c>
      <c r="K5" s="54" t="n">
        <f aca="false">COUNTIFS(Release[Release],J5)</f>
        <v>1</v>
      </c>
      <c r="L5" s="54" t="n">
        <f aca="false">SUMIFS(Release[HLE],Release[Release],J5)</f>
        <v>21</v>
      </c>
      <c r="M5" s="81"/>
      <c r="N5" s="81"/>
      <c r="O5" s="82"/>
      <c r="P5" s="55"/>
    </row>
    <row r="6" customFormat="false" ht="15" hidden="false" customHeight="true" outlineLevel="0" collapsed="false">
      <c r="A6" s="24" t="s">
        <v>473</v>
      </c>
      <c r="B6" s="26" t="s">
        <v>474</v>
      </c>
      <c r="C6" s="26" t="s">
        <v>91</v>
      </c>
      <c r="D6" s="26" t="s">
        <v>413</v>
      </c>
      <c r="E6" s="26" t="s">
        <v>288</v>
      </c>
      <c r="F6" s="26" t="s">
        <v>87</v>
      </c>
      <c r="G6" s="24" t="s">
        <v>470</v>
      </c>
      <c r="H6" s="26" t="n">
        <v>7</v>
      </c>
      <c r="J6" s="54" t="s">
        <v>475</v>
      </c>
      <c r="K6" s="54" t="n">
        <f aca="false">COUNTIFS(Release[Release],J6)</f>
        <v>0</v>
      </c>
      <c r="L6" s="54" t="n">
        <f aca="false">SUMIFS(Release[HLE],Release[Release],J6)</f>
        <v>0</v>
      </c>
      <c r="M6" s="81"/>
      <c r="N6" s="81"/>
      <c r="O6" s="82"/>
      <c r="P6" s="55"/>
    </row>
    <row r="7" customFormat="false" ht="15" hidden="false" customHeight="true" outlineLevel="0" collapsed="false">
      <c r="A7" s="24" t="s">
        <v>476</v>
      </c>
      <c r="B7" s="26" t="s">
        <v>477</v>
      </c>
      <c r="C7" s="26" t="s">
        <v>28</v>
      </c>
      <c r="D7" s="26" t="s">
        <v>413</v>
      </c>
      <c r="E7" s="26" t="s">
        <v>288</v>
      </c>
      <c r="F7" s="26" t="s">
        <v>87</v>
      </c>
      <c r="G7" s="24" t="s">
        <v>478</v>
      </c>
      <c r="H7" s="26" t="n">
        <v>23</v>
      </c>
      <c r="J7" s="54" t="s">
        <v>479</v>
      </c>
      <c r="K7" s="54" t="n">
        <f aca="false">COUNTIFS(Release[Release],J7)</f>
        <v>0</v>
      </c>
      <c r="L7" s="54" t="n">
        <f aca="false">SUMIFS(Release[HLE],Release[Release],J7)</f>
        <v>0</v>
      </c>
      <c r="M7" s="81"/>
      <c r="N7" s="81"/>
      <c r="O7" s="82"/>
      <c r="P7" s="55"/>
    </row>
    <row r="8" customFormat="false" ht="15" hidden="false" customHeight="true" outlineLevel="0" collapsed="false">
      <c r="A8" s="24" t="s">
        <v>480</v>
      </c>
      <c r="B8" s="26" t="s">
        <v>481</v>
      </c>
      <c r="C8" s="26" t="s">
        <v>226</v>
      </c>
      <c r="D8" s="26" t="s">
        <v>413</v>
      </c>
      <c r="E8" s="26" t="s">
        <v>288</v>
      </c>
      <c r="F8" s="26" t="s">
        <v>87</v>
      </c>
      <c r="G8" s="24"/>
      <c r="H8" s="26" t="n">
        <v>16</v>
      </c>
      <c r="J8" s="54" t="s">
        <v>482</v>
      </c>
      <c r="K8" s="54" t="n">
        <f aca="false">COUNTIFS(Release[Release],J8)</f>
        <v>0</v>
      </c>
      <c r="L8" s="54" t="n">
        <f aca="false">SUMIFS(Release[HLE],Release[Release],J8)</f>
        <v>0</v>
      </c>
      <c r="M8" s="81"/>
      <c r="N8" s="81"/>
      <c r="O8" s="82"/>
      <c r="P8" s="55"/>
    </row>
    <row r="9" customFormat="false" ht="15" hidden="false" customHeight="true" outlineLevel="0" collapsed="false">
      <c r="A9" s="24" t="s">
        <v>483</v>
      </c>
      <c r="B9" s="26" t="s">
        <v>484</v>
      </c>
      <c r="C9" s="26" t="s">
        <v>452</v>
      </c>
      <c r="D9" s="26" t="s">
        <v>413</v>
      </c>
      <c r="E9" s="26" t="s">
        <v>288</v>
      </c>
      <c r="F9" s="26" t="s">
        <v>87</v>
      </c>
      <c r="G9" s="24"/>
      <c r="H9" s="26" t="n">
        <v>8</v>
      </c>
      <c r="J9" s="54" t="s">
        <v>478</v>
      </c>
      <c r="K9" s="54" t="n">
        <f aca="false">COUNTIFS(Release[Release],J9)</f>
        <v>1</v>
      </c>
      <c r="L9" s="54" t="n">
        <f aca="false">SUMIFS(Release[HLE],Release[Release],J9)</f>
        <v>23</v>
      </c>
      <c r="M9" s="81"/>
      <c r="N9" s="81"/>
      <c r="O9" s="82"/>
      <c r="P9" s="55"/>
    </row>
    <row r="10" customFormat="false" ht="15" hidden="false" customHeight="true" outlineLevel="0" collapsed="false">
      <c r="A10" s="24" t="s">
        <v>485</v>
      </c>
      <c r="B10" s="26" t="s">
        <v>486</v>
      </c>
      <c r="C10" s="26" t="s">
        <v>452</v>
      </c>
      <c r="D10" s="26" t="s">
        <v>413</v>
      </c>
      <c r="E10" s="26" t="s">
        <v>288</v>
      </c>
      <c r="F10" s="26" t="s">
        <v>87</v>
      </c>
      <c r="G10" s="24"/>
      <c r="H10" s="26" t="n">
        <v>2</v>
      </c>
      <c r="J10" s="54" t="s">
        <v>487</v>
      </c>
      <c r="K10" s="54" t="n">
        <f aca="false">COUNTIFS(Release[Release],J10)</f>
        <v>0</v>
      </c>
      <c r="L10" s="54" t="n">
        <f aca="false">SUMIFS(Release[HLE],Release[Release],J10)</f>
        <v>0</v>
      </c>
      <c r="M10" s="81"/>
      <c r="N10" s="81"/>
      <c r="O10" s="82"/>
      <c r="P10" s="55"/>
    </row>
    <row r="11" customFormat="false" ht="15" hidden="false" customHeight="true" outlineLevel="0" collapsed="false">
      <c r="A11" s="24" t="s">
        <v>488</v>
      </c>
      <c r="B11" s="26" t="s">
        <v>489</v>
      </c>
      <c r="C11" s="26" t="s">
        <v>451</v>
      </c>
      <c r="D11" s="26" t="s">
        <v>413</v>
      </c>
      <c r="E11" s="26" t="s">
        <v>288</v>
      </c>
      <c r="F11" s="26" t="s">
        <v>87</v>
      </c>
      <c r="G11" s="24"/>
      <c r="H11" s="26" t="n">
        <v>8</v>
      </c>
      <c r="J11" s="54" t="s">
        <v>490</v>
      </c>
      <c r="K11" s="54" t="n">
        <f aca="false">COUNTIFS(Release[Release],J11)</f>
        <v>0</v>
      </c>
      <c r="L11" s="54" t="n">
        <f aca="false">SUMIFS(Release[HLE],Release[Release],J11)</f>
        <v>0</v>
      </c>
      <c r="M11" s="81"/>
      <c r="N11" s="81"/>
      <c r="O11" s="82"/>
      <c r="P11" s="55"/>
    </row>
    <row r="12" customFormat="false" ht="15" hidden="false" customHeight="true" outlineLevel="0" collapsed="false">
      <c r="A12" s="24" t="s">
        <v>491</v>
      </c>
      <c r="B12" s="26" t="s">
        <v>492</v>
      </c>
      <c r="C12" s="26" t="s">
        <v>84</v>
      </c>
      <c r="D12" s="26" t="s">
        <v>414</v>
      </c>
      <c r="E12" s="26" t="s">
        <v>288</v>
      </c>
      <c r="F12" s="26" t="s">
        <v>87</v>
      </c>
      <c r="G12" s="24" t="s">
        <v>469</v>
      </c>
      <c r="H12" s="26" t="n">
        <v>2</v>
      </c>
      <c r="J12" s="54" t="s">
        <v>493</v>
      </c>
      <c r="K12" s="54" t="n">
        <f aca="false">COUNTIFS(Release[Release],J12)</f>
        <v>0</v>
      </c>
      <c r="L12" s="54" t="n">
        <f aca="false">SUMIFS(Release[HLE],Release[Release],J12)</f>
        <v>0</v>
      </c>
      <c r="M12" s="81"/>
      <c r="N12" s="81"/>
      <c r="O12" s="82"/>
      <c r="P12" s="55"/>
    </row>
    <row r="13" customFormat="false" ht="15" hidden="false" customHeight="true" outlineLevel="0" collapsed="false">
      <c r="A13" s="24" t="s">
        <v>494</v>
      </c>
      <c r="B13" s="26" t="s">
        <v>495</v>
      </c>
      <c r="C13" s="26" t="s">
        <v>84</v>
      </c>
      <c r="D13" s="26" t="s">
        <v>414</v>
      </c>
      <c r="E13" s="26" t="s">
        <v>288</v>
      </c>
      <c r="F13" s="26" t="s">
        <v>87</v>
      </c>
      <c r="G13" s="24" t="s">
        <v>469</v>
      </c>
      <c r="H13" s="26" t="n">
        <v>3</v>
      </c>
      <c r="J13" s="54" t="s">
        <v>496</v>
      </c>
      <c r="K13" s="54" t="n">
        <f aca="false">COUNTIFS(Release[Release],J13)</f>
        <v>2</v>
      </c>
      <c r="L13" s="54" t="n">
        <f aca="false">SUMIFS(Release[HLE],Release[Release],J13)</f>
        <v>16</v>
      </c>
      <c r="M13" s="81" t="n">
        <v>46119</v>
      </c>
      <c r="N13" s="81"/>
      <c r="O13" s="82" t="s">
        <v>497</v>
      </c>
      <c r="P13" s="55"/>
    </row>
    <row r="14" customFormat="false" ht="15" hidden="false" customHeight="true" outlineLevel="0" collapsed="false">
      <c r="A14" s="24" t="s">
        <v>498</v>
      </c>
      <c r="B14" s="26" t="s">
        <v>499</v>
      </c>
      <c r="C14" s="26" t="s">
        <v>450</v>
      </c>
      <c r="D14" s="26" t="s">
        <v>414</v>
      </c>
      <c r="E14" s="26" t="s">
        <v>288</v>
      </c>
      <c r="F14" s="26" t="s">
        <v>87</v>
      </c>
      <c r="G14" s="24"/>
      <c r="H14" s="26" t="n">
        <v>2</v>
      </c>
      <c r="J14" s="54" t="s">
        <v>500</v>
      </c>
      <c r="K14" s="54" t="n">
        <f aca="false">COUNTIFS(Release[Release],J14)</f>
        <v>1</v>
      </c>
      <c r="L14" s="54" t="n">
        <f aca="false">SUMIFS(Release[HLE],Release[Release],J14)</f>
        <v>5</v>
      </c>
      <c r="M14" s="81" t="n">
        <v>46128</v>
      </c>
      <c r="N14" s="81"/>
      <c r="O14" s="82" t="s">
        <v>497</v>
      </c>
      <c r="P14" s="55"/>
    </row>
    <row r="15" customFormat="false" ht="15" hidden="false" customHeight="true" outlineLevel="0" collapsed="false">
      <c r="A15" s="24" t="s">
        <v>501</v>
      </c>
      <c r="B15" s="26" t="s">
        <v>502</v>
      </c>
      <c r="C15" s="26" t="s">
        <v>84</v>
      </c>
      <c r="D15" s="26" t="s">
        <v>414</v>
      </c>
      <c r="E15" s="26" t="s">
        <v>288</v>
      </c>
      <c r="F15" s="26" t="s">
        <v>87</v>
      </c>
      <c r="G15" s="24" t="s">
        <v>469</v>
      </c>
      <c r="H15" s="26" t="n">
        <v>3</v>
      </c>
      <c r="J15" s="54" t="s">
        <v>503</v>
      </c>
      <c r="K15" s="54" t="n">
        <f aca="false">COUNTIFS(Release[Release],J15)</f>
        <v>0</v>
      </c>
      <c r="L15" s="54" t="n">
        <f aca="false">SUMIFS(Release[HLE],Release[Release],J15)</f>
        <v>0</v>
      </c>
      <c r="M15" s="81"/>
      <c r="N15" s="81"/>
      <c r="O15" s="82"/>
      <c r="P15" s="55"/>
    </row>
    <row r="16" customFormat="false" ht="15" hidden="false" customHeight="true" outlineLevel="0" collapsed="false">
      <c r="A16" s="24" t="s">
        <v>504</v>
      </c>
      <c r="B16" s="47" t="s">
        <v>505</v>
      </c>
      <c r="C16" s="26" t="s">
        <v>84</v>
      </c>
      <c r="D16" s="26" t="s">
        <v>414</v>
      </c>
      <c r="E16" s="26" t="s">
        <v>288</v>
      </c>
      <c r="F16" s="26" t="s">
        <v>87</v>
      </c>
      <c r="G16" s="24" t="s">
        <v>469</v>
      </c>
      <c r="H16" s="26" t="n">
        <v>3</v>
      </c>
      <c r="J16" s="54" t="s">
        <v>506</v>
      </c>
      <c r="K16" s="54" t="n">
        <f aca="false">COUNTIFS(Release[Release],J16)</f>
        <v>0</v>
      </c>
      <c r="L16" s="54" t="n">
        <f aca="false">SUMIFS(Release[HLE],Release[Release],J16)</f>
        <v>0</v>
      </c>
      <c r="M16" s="81"/>
      <c r="N16" s="81"/>
      <c r="O16" s="82"/>
      <c r="P16" s="55"/>
    </row>
    <row r="17" customFormat="false" ht="23.25" hidden="false" customHeight="true" outlineLevel="0" collapsed="false">
      <c r="A17" s="24" t="s">
        <v>507</v>
      </c>
      <c r="B17" s="26" t="s">
        <v>508</v>
      </c>
      <c r="C17" s="26" t="s">
        <v>119</v>
      </c>
      <c r="D17" s="26" t="s">
        <v>414</v>
      </c>
      <c r="E17" s="26" t="s">
        <v>288</v>
      </c>
      <c r="F17" s="26" t="s">
        <v>87</v>
      </c>
      <c r="G17" s="24" t="s">
        <v>509</v>
      </c>
      <c r="H17" s="26" t="n">
        <v>3</v>
      </c>
      <c r="J17" s="54" t="s">
        <v>510</v>
      </c>
      <c r="K17" s="54" t="n">
        <f aca="false">COUNTIFS(Release[Release],J17)</f>
        <v>0</v>
      </c>
      <c r="L17" s="54" t="n">
        <f aca="false">SUMIFS(Release[HLE],Release[Release],J17)</f>
        <v>0</v>
      </c>
      <c r="M17" s="81"/>
      <c r="N17" s="81"/>
      <c r="O17" s="82"/>
      <c r="P17" s="55"/>
    </row>
    <row r="18" customFormat="false" ht="15" hidden="false" customHeight="true" outlineLevel="0" collapsed="false">
      <c r="A18" s="24" t="s">
        <v>511</v>
      </c>
      <c r="B18" s="26" t="s">
        <v>512</v>
      </c>
      <c r="C18" s="26" t="s">
        <v>91</v>
      </c>
      <c r="D18" s="26" t="s">
        <v>414</v>
      </c>
      <c r="E18" s="26" t="s">
        <v>288</v>
      </c>
      <c r="F18" s="26" t="s">
        <v>87</v>
      </c>
      <c r="G18" s="24"/>
      <c r="H18" s="26" t="n">
        <v>8</v>
      </c>
      <c r="J18" s="54" t="s">
        <v>513</v>
      </c>
      <c r="K18" s="54" t="n">
        <f aca="false">COUNTIFS(Release[Release],J18)</f>
        <v>1</v>
      </c>
      <c r="L18" s="54" t="n">
        <f aca="false">SUMIFS(Release[HLE],Release[Release],J18)</f>
        <v>2</v>
      </c>
      <c r="M18" s="81" t="n">
        <v>46156</v>
      </c>
      <c r="N18" s="81"/>
      <c r="O18" s="82" t="s">
        <v>497</v>
      </c>
      <c r="P18" s="55" t="s">
        <v>514</v>
      </c>
    </row>
    <row r="19" customFormat="false" ht="15" hidden="false" customHeight="true" outlineLevel="0" collapsed="false">
      <c r="A19" s="24" t="s">
        <v>515</v>
      </c>
      <c r="B19" s="26" t="s">
        <v>516</v>
      </c>
      <c r="C19" s="26" t="s">
        <v>91</v>
      </c>
      <c r="D19" s="26" t="s">
        <v>414</v>
      </c>
      <c r="E19" s="26" t="s">
        <v>288</v>
      </c>
      <c r="F19" s="26" t="s">
        <v>87</v>
      </c>
      <c r="G19" s="24"/>
      <c r="H19" s="26" t="n">
        <v>3</v>
      </c>
      <c r="J19" s="54" t="s">
        <v>517</v>
      </c>
      <c r="K19" s="54" t="n">
        <f aca="false">COUNTIFS(Release[Release],J19)</f>
        <v>0</v>
      </c>
      <c r="L19" s="54" t="n">
        <f aca="false">SUMIFS(Release[HLE],Release[Release],J19)</f>
        <v>0</v>
      </c>
      <c r="M19" s="81"/>
      <c r="N19" s="81"/>
      <c r="O19" s="82"/>
      <c r="P19" s="55"/>
    </row>
    <row r="20" customFormat="false" ht="15" hidden="false" customHeight="true" outlineLevel="0" collapsed="false">
      <c r="A20" s="24" t="s">
        <v>518</v>
      </c>
      <c r="B20" s="26" t="s">
        <v>519</v>
      </c>
      <c r="C20" s="26" t="s">
        <v>28</v>
      </c>
      <c r="D20" s="26" t="s">
        <v>415</v>
      </c>
      <c r="E20" s="26" t="s">
        <v>288</v>
      </c>
      <c r="F20" s="26" t="s">
        <v>87</v>
      </c>
      <c r="G20" s="24"/>
      <c r="H20" s="26" t="n">
        <v>42</v>
      </c>
      <c r="J20" s="54" t="s">
        <v>509</v>
      </c>
      <c r="K20" s="54" t="n">
        <f aca="false">COUNTIFS(Release[Release],J20)</f>
        <v>10</v>
      </c>
      <c r="L20" s="54" t="n">
        <f aca="false">SUMIFS(Release[HLE],Release[Release],J20)</f>
        <v>73</v>
      </c>
      <c r="M20" s="81" t="n">
        <v>46177</v>
      </c>
      <c r="N20" s="81"/>
      <c r="O20" s="82" t="s">
        <v>497</v>
      </c>
      <c r="P20" s="55" t="s">
        <v>520</v>
      </c>
    </row>
    <row r="21" customFormat="false" ht="15" hidden="false" customHeight="true" outlineLevel="0" collapsed="false">
      <c r="A21" s="24" t="s">
        <v>521</v>
      </c>
      <c r="B21" s="26" t="s">
        <v>522</v>
      </c>
      <c r="C21" s="26" t="s">
        <v>226</v>
      </c>
      <c r="D21" s="26" t="s">
        <v>414</v>
      </c>
      <c r="E21" s="26" t="s">
        <v>288</v>
      </c>
      <c r="F21" s="26" t="s">
        <v>87</v>
      </c>
      <c r="G21" s="24"/>
      <c r="H21" s="26" t="n">
        <v>21</v>
      </c>
      <c r="J21" s="54" t="s">
        <v>523</v>
      </c>
      <c r="K21" s="54" t="n">
        <f aca="false">COUNTIFS(Release[Release],J21)</f>
        <v>12</v>
      </c>
      <c r="L21" s="54" t="n">
        <f aca="false">SUMIFS(Release[HLE],Release[Release],J21)</f>
        <v>70</v>
      </c>
      <c r="M21" s="81"/>
      <c r="N21" s="81"/>
      <c r="O21" s="82" t="s">
        <v>497</v>
      </c>
      <c r="P21" s="55" t="s">
        <v>524</v>
      </c>
    </row>
    <row r="22" customFormat="false" ht="15" hidden="false" customHeight="true" outlineLevel="0" collapsed="false">
      <c r="A22" s="24" t="s">
        <v>525</v>
      </c>
      <c r="B22" s="26" t="s">
        <v>526</v>
      </c>
      <c r="C22" s="26" t="s">
        <v>452</v>
      </c>
      <c r="D22" s="26" t="s">
        <v>423</v>
      </c>
      <c r="E22" s="26" t="s">
        <v>288</v>
      </c>
      <c r="F22" s="26" t="s">
        <v>87</v>
      </c>
      <c r="G22" s="24" t="s">
        <v>527</v>
      </c>
      <c r="H22" s="26"/>
      <c r="J22" s="54" t="s">
        <v>528</v>
      </c>
      <c r="K22" s="54" t="n">
        <f aca="false">COUNTIFS(Release[Release],J22)</f>
        <v>0</v>
      </c>
      <c r="L22" s="54" t="n">
        <f aca="false">SUMIFS(Release[HLE],Release[Release],J22)</f>
        <v>0</v>
      </c>
      <c r="M22" s="81"/>
      <c r="N22" s="81"/>
      <c r="O22" s="82"/>
      <c r="P22" s="55"/>
    </row>
    <row r="23" customFormat="false" ht="15" hidden="false" customHeight="true" outlineLevel="0" collapsed="false">
      <c r="A23" s="24" t="s">
        <v>529</v>
      </c>
      <c r="B23" s="26" t="s">
        <v>530</v>
      </c>
      <c r="C23" s="26" t="s">
        <v>452</v>
      </c>
      <c r="D23" s="26" t="s">
        <v>414</v>
      </c>
      <c r="E23" s="26" t="s">
        <v>288</v>
      </c>
      <c r="F23" s="26" t="s">
        <v>87</v>
      </c>
      <c r="G23" s="24" t="s">
        <v>531</v>
      </c>
      <c r="H23" s="26" t="n">
        <v>8</v>
      </c>
      <c r="J23" s="54" t="s">
        <v>532</v>
      </c>
      <c r="K23" s="54" t="n">
        <f aca="false">COUNTIFS(Release[Release],J23)</f>
        <v>0</v>
      </c>
      <c r="L23" s="54" t="n">
        <f aca="false">SUMIFS(Release[HLE],Release[Release],J23)</f>
        <v>0</v>
      </c>
      <c r="M23" s="81"/>
      <c r="N23" s="81"/>
      <c r="O23" s="82"/>
      <c r="P23" s="55"/>
    </row>
    <row r="24" customFormat="false" ht="15" hidden="false" customHeight="true" outlineLevel="0" collapsed="false">
      <c r="A24" s="24" t="s">
        <v>533</v>
      </c>
      <c r="B24" s="26" t="s">
        <v>534</v>
      </c>
      <c r="C24" s="26" t="s">
        <v>84</v>
      </c>
      <c r="D24" s="26" t="s">
        <v>415</v>
      </c>
      <c r="E24" s="26" t="s">
        <v>288</v>
      </c>
      <c r="F24" s="26" t="s">
        <v>87</v>
      </c>
      <c r="G24" s="24" t="s">
        <v>458</v>
      </c>
      <c r="H24" s="26"/>
      <c r="J24" s="54" t="s">
        <v>535</v>
      </c>
      <c r="K24" s="54" t="n">
        <f aca="false">COUNTIFS(Release[Release],J24)</f>
        <v>0</v>
      </c>
      <c r="L24" s="54" t="n">
        <f aca="false">SUMIFS(Release[HLE],Release[Release],J24)</f>
        <v>0</v>
      </c>
      <c r="M24" s="81"/>
      <c r="N24" s="81"/>
      <c r="O24" s="82"/>
      <c r="P24" s="55"/>
    </row>
    <row r="25" customFormat="false" ht="15" hidden="false" customHeight="true" outlineLevel="0" collapsed="false">
      <c r="A25" s="24" t="s">
        <v>536</v>
      </c>
      <c r="B25" s="26" t="s">
        <v>537</v>
      </c>
      <c r="C25" s="26" t="s">
        <v>119</v>
      </c>
      <c r="D25" s="26" t="s">
        <v>415</v>
      </c>
      <c r="E25" s="26" t="s">
        <v>288</v>
      </c>
      <c r="F25" s="26" t="s">
        <v>87</v>
      </c>
      <c r="G25" s="24" t="s">
        <v>509</v>
      </c>
      <c r="H25" s="26" t="n">
        <v>3</v>
      </c>
      <c r="J25" s="54" t="s">
        <v>538</v>
      </c>
      <c r="K25" s="54" t="n">
        <f aca="false">COUNTIFS(Release[Release],J25)</f>
        <v>0</v>
      </c>
      <c r="L25" s="54" t="n">
        <f aca="false">SUMIFS(Release[HLE],Release[Release],J25)</f>
        <v>0</v>
      </c>
      <c r="M25" s="81"/>
      <c r="N25" s="81"/>
      <c r="O25" s="82"/>
      <c r="P25" s="55"/>
    </row>
    <row r="26" customFormat="false" ht="15" hidden="false" customHeight="true" outlineLevel="0" collapsed="false">
      <c r="A26" s="24" t="s">
        <v>539</v>
      </c>
      <c r="B26" s="26" t="s">
        <v>540</v>
      </c>
      <c r="C26" s="26" t="s">
        <v>84</v>
      </c>
      <c r="D26" s="26" t="s">
        <v>415</v>
      </c>
      <c r="E26" s="26" t="s">
        <v>288</v>
      </c>
      <c r="F26" s="26" t="s">
        <v>87</v>
      </c>
      <c r="G26" s="24" t="s">
        <v>458</v>
      </c>
      <c r="H26" s="26" t="n">
        <v>3</v>
      </c>
      <c r="J26" s="54" t="s">
        <v>541</v>
      </c>
      <c r="K26" s="54" t="n">
        <f aca="false">COUNTIFS(Release[Release],J26)</f>
        <v>0</v>
      </c>
      <c r="L26" s="54" t="n">
        <f aca="false">SUMIFS(Release[HLE],Release[Release],J26)</f>
        <v>0</v>
      </c>
      <c r="M26" s="81"/>
      <c r="N26" s="81"/>
      <c r="O26" s="82"/>
      <c r="P26" s="55"/>
    </row>
    <row r="27" customFormat="false" ht="15" hidden="false" customHeight="true" outlineLevel="0" collapsed="false">
      <c r="A27" s="24" t="s">
        <v>542</v>
      </c>
      <c r="B27" s="26" t="s">
        <v>543</v>
      </c>
      <c r="C27" s="26" t="s">
        <v>119</v>
      </c>
      <c r="D27" s="26" t="s">
        <v>415</v>
      </c>
      <c r="E27" s="26" t="s">
        <v>288</v>
      </c>
      <c r="F27" s="26" t="s">
        <v>87</v>
      </c>
      <c r="G27" s="24"/>
      <c r="H27" s="26" t="n">
        <v>8</v>
      </c>
      <c r="J27" s="54" t="s">
        <v>531</v>
      </c>
      <c r="K27" s="54" t="n">
        <f aca="false">COUNTIFS(Release[Release],J27)</f>
        <v>12</v>
      </c>
      <c r="L27" s="54" t="n">
        <f aca="false">SUMIFS(Release[HLE],Release[Release],J27)</f>
        <v>73</v>
      </c>
      <c r="M27" s="81" t="n">
        <v>46217</v>
      </c>
      <c r="N27" s="81"/>
      <c r="O27" s="82" t="s">
        <v>497</v>
      </c>
      <c r="P27" s="55" t="s">
        <v>544</v>
      </c>
    </row>
    <row r="28" customFormat="false" ht="15" hidden="false" customHeight="true" outlineLevel="0" collapsed="false">
      <c r="A28" s="24" t="s">
        <v>545</v>
      </c>
      <c r="B28" s="26" t="s">
        <v>546</v>
      </c>
      <c r="C28" s="26" t="s">
        <v>119</v>
      </c>
      <c r="D28" s="26" t="s">
        <v>415</v>
      </c>
      <c r="E28" s="26" t="s">
        <v>288</v>
      </c>
      <c r="F28" s="26" t="s">
        <v>87</v>
      </c>
      <c r="G28" s="24"/>
      <c r="H28" s="26" t="n">
        <v>3</v>
      </c>
      <c r="J28" s="54" t="s">
        <v>547</v>
      </c>
      <c r="K28" s="54" t="n">
        <f aca="false">COUNTIFS(Release[Release],J28)</f>
        <v>0</v>
      </c>
      <c r="L28" s="54" t="n">
        <f aca="false">SUMIFS(Release[HLE],Release[Release],J28)</f>
        <v>0</v>
      </c>
      <c r="M28" s="81"/>
      <c r="N28" s="81"/>
      <c r="O28" s="82"/>
      <c r="P28" s="55"/>
    </row>
    <row r="29" customFormat="false" ht="15" hidden="false" customHeight="true" outlineLevel="0" collapsed="false">
      <c r="A29" s="24" t="s">
        <v>548</v>
      </c>
      <c r="B29" s="47" t="s">
        <v>549</v>
      </c>
      <c r="C29" s="26" t="s">
        <v>28</v>
      </c>
      <c r="D29" s="26" t="s">
        <v>415</v>
      </c>
      <c r="E29" s="26" t="s">
        <v>288</v>
      </c>
      <c r="F29" s="26" t="s">
        <v>87</v>
      </c>
      <c r="G29" s="24"/>
      <c r="H29" s="26" t="n">
        <v>4</v>
      </c>
      <c r="J29" s="54" t="s">
        <v>550</v>
      </c>
      <c r="K29" s="54" t="n">
        <f aca="false">COUNTIFS(Release[Release],J29)</f>
        <v>0</v>
      </c>
      <c r="L29" s="54" t="n">
        <f aca="false">SUMIFS(Release[HLE],Release[Release],J29)</f>
        <v>0</v>
      </c>
      <c r="M29" s="81"/>
      <c r="N29" s="81"/>
      <c r="O29" s="82"/>
      <c r="P29" s="55"/>
    </row>
    <row r="30" customFormat="false" ht="15" hidden="false" customHeight="true" outlineLevel="0" collapsed="false">
      <c r="A30" s="24" t="s">
        <v>551</v>
      </c>
      <c r="B30" s="26" t="s">
        <v>552</v>
      </c>
      <c r="C30" s="26" t="s">
        <v>104</v>
      </c>
      <c r="D30" s="26" t="s">
        <v>415</v>
      </c>
      <c r="E30" s="26" t="s">
        <v>288</v>
      </c>
      <c r="F30" s="26" t="s">
        <v>87</v>
      </c>
      <c r="G30" s="24" t="s">
        <v>496</v>
      </c>
      <c r="H30" s="26" t="n">
        <v>13</v>
      </c>
      <c r="J30" s="54" t="s">
        <v>553</v>
      </c>
      <c r="K30" s="54" t="n">
        <f aca="false">COUNTIFS(Release[Release],J30)</f>
        <v>3</v>
      </c>
      <c r="L30" s="54" t="n">
        <f aca="false">SUMIFS(Release[HLE],Release[Release],J30)</f>
        <v>18</v>
      </c>
      <c r="M30" s="81" t="n">
        <v>46219</v>
      </c>
      <c r="N30" s="81"/>
      <c r="O30" s="82" t="s">
        <v>497</v>
      </c>
      <c r="P30" s="55" t="s">
        <v>554</v>
      </c>
    </row>
    <row r="31" customFormat="false" ht="15" hidden="false" customHeight="true" outlineLevel="0" collapsed="false">
      <c r="A31" s="24" t="s">
        <v>555</v>
      </c>
      <c r="B31" s="26" t="s">
        <v>556</v>
      </c>
      <c r="C31" s="26" t="s">
        <v>104</v>
      </c>
      <c r="D31" s="26" t="s">
        <v>415</v>
      </c>
      <c r="E31" s="26" t="s">
        <v>288</v>
      </c>
      <c r="F31" s="26" t="s">
        <v>87</v>
      </c>
      <c r="G31" s="24"/>
      <c r="H31" s="26" t="n">
        <v>5</v>
      </c>
      <c r="J31" s="54" t="s">
        <v>557</v>
      </c>
      <c r="K31" s="54" t="n">
        <f aca="false">COUNTIFS(Release[Release],J31)</f>
        <v>2</v>
      </c>
      <c r="L31" s="54" t="n">
        <f aca="false">SUMIFS(Release[HLE],Release[Release],J31)</f>
        <v>21</v>
      </c>
      <c r="M31" s="81" t="n">
        <v>45861</v>
      </c>
      <c r="N31" s="81"/>
      <c r="O31" s="82" t="s">
        <v>497</v>
      </c>
      <c r="P31" s="55" t="s">
        <v>558</v>
      </c>
    </row>
    <row r="32" customFormat="false" ht="15" hidden="false" customHeight="true" outlineLevel="0" collapsed="false">
      <c r="A32" s="24" t="s">
        <v>559</v>
      </c>
      <c r="B32" s="26" t="s">
        <v>560</v>
      </c>
      <c r="C32" s="26" t="s">
        <v>84</v>
      </c>
      <c r="D32" s="26" t="s">
        <v>416</v>
      </c>
      <c r="E32" s="26" t="s">
        <v>288</v>
      </c>
      <c r="F32" s="26" t="s">
        <v>87</v>
      </c>
      <c r="G32" s="24" t="s">
        <v>469</v>
      </c>
      <c r="H32" s="26" t="n">
        <v>5</v>
      </c>
      <c r="J32" s="54" t="s">
        <v>527</v>
      </c>
      <c r="K32" s="54" t="n">
        <f aca="false">COUNTIFS(Release[Release],J32)</f>
        <v>1</v>
      </c>
      <c r="L32" s="54" t="n">
        <f aca="false">SUMIFS(Release[HLE],Release[Release],J32)</f>
        <v>0</v>
      </c>
      <c r="M32" s="81"/>
      <c r="N32" s="81"/>
      <c r="O32" s="82" t="s">
        <v>561</v>
      </c>
      <c r="P32" s="55" t="s">
        <v>562</v>
      </c>
    </row>
    <row r="33" customFormat="false" ht="15" hidden="false" customHeight="true" outlineLevel="0" collapsed="false">
      <c r="A33" s="24" t="s">
        <v>563</v>
      </c>
      <c r="B33" s="26" t="s">
        <v>564</v>
      </c>
      <c r="C33" s="26" t="s">
        <v>84</v>
      </c>
      <c r="D33" s="26" t="s">
        <v>416</v>
      </c>
      <c r="E33" s="26" t="s">
        <v>288</v>
      </c>
      <c r="F33" s="26" t="s">
        <v>87</v>
      </c>
      <c r="G33" s="24" t="s">
        <v>469</v>
      </c>
      <c r="H33" s="26" t="n">
        <v>2</v>
      </c>
      <c r="J33" s="54" t="s">
        <v>469</v>
      </c>
      <c r="K33" s="54" t="n">
        <f aca="false">COUNTIFS(Release[Release],J34)</f>
        <v>0</v>
      </c>
      <c r="L33" s="54" t="n">
        <f aca="false">SUMIFS(Release[HLE],Release[Release],J34)</f>
        <v>0</v>
      </c>
      <c r="M33" s="81" t="n">
        <v>46266</v>
      </c>
      <c r="N33" s="81"/>
      <c r="O33" s="82" t="s">
        <v>561</v>
      </c>
      <c r="P33" s="55" t="s">
        <v>565</v>
      </c>
    </row>
    <row r="34" customFormat="false" ht="15" hidden="false" customHeight="true" outlineLevel="0" collapsed="false">
      <c r="A34" s="24" t="s">
        <v>566</v>
      </c>
      <c r="B34" s="26" t="s">
        <v>567</v>
      </c>
      <c r="C34" s="26" t="s">
        <v>84</v>
      </c>
      <c r="D34" s="26" t="s">
        <v>416</v>
      </c>
      <c r="E34" s="26" t="s">
        <v>288</v>
      </c>
      <c r="F34" s="26" t="s">
        <v>87</v>
      </c>
      <c r="G34" s="24" t="s">
        <v>469</v>
      </c>
      <c r="H34" s="26" t="n">
        <v>5</v>
      </c>
      <c r="J34" s="54" t="s">
        <v>568</v>
      </c>
      <c r="K34" s="54" t="n">
        <f aca="false">COUNTBLANK(Release[Release])-COUNTIF(Release[Requirement ID],"")</f>
        <v>71</v>
      </c>
      <c r="L34" s="54" t="n">
        <f aca="false">SUMIFS(Release[HLE],Release[Release],"")</f>
        <v>569</v>
      </c>
      <c r="M34" s="55"/>
      <c r="N34" s="55"/>
      <c r="O34" s="82"/>
      <c r="P34" s="55"/>
    </row>
    <row r="35" customFormat="false" ht="23.25" hidden="false" customHeight="true" outlineLevel="0" collapsed="false">
      <c r="A35" s="24" t="s">
        <v>569</v>
      </c>
      <c r="B35" s="26" t="s">
        <v>570</v>
      </c>
      <c r="C35" s="26" t="s">
        <v>84</v>
      </c>
      <c r="D35" s="26" t="s">
        <v>416</v>
      </c>
      <c r="E35" s="26" t="s">
        <v>288</v>
      </c>
      <c r="F35" s="26" t="s">
        <v>87</v>
      </c>
      <c r="G35" s="24" t="s">
        <v>469</v>
      </c>
      <c r="H35" s="26" t="n">
        <v>5</v>
      </c>
      <c r="I35" s="83"/>
      <c r="J35" s="84"/>
    </row>
    <row r="36" customFormat="false" ht="15" hidden="false" customHeight="true" outlineLevel="0" collapsed="false">
      <c r="A36" s="24" t="s">
        <v>571</v>
      </c>
      <c r="B36" s="26" t="s">
        <v>572</v>
      </c>
      <c r="C36" s="26" t="s">
        <v>84</v>
      </c>
      <c r="D36" s="26" t="s">
        <v>416</v>
      </c>
      <c r="E36" s="26" t="s">
        <v>288</v>
      </c>
      <c r="F36" s="26" t="s">
        <v>87</v>
      </c>
      <c r="G36" s="24" t="s">
        <v>469</v>
      </c>
      <c r="H36" s="26" t="n">
        <v>5</v>
      </c>
      <c r="I36" s="83"/>
      <c r="J36" s="84"/>
    </row>
    <row r="37" customFormat="false" ht="15" hidden="false" customHeight="true" outlineLevel="0" collapsed="false">
      <c r="A37" s="24" t="s">
        <v>573</v>
      </c>
      <c r="B37" s="26" t="s">
        <v>574</v>
      </c>
      <c r="C37" s="26" t="s">
        <v>84</v>
      </c>
      <c r="D37" s="26" t="s">
        <v>416</v>
      </c>
      <c r="E37" s="26" t="s">
        <v>288</v>
      </c>
      <c r="F37" s="26" t="s">
        <v>87</v>
      </c>
      <c r="G37" s="24" t="s">
        <v>469</v>
      </c>
      <c r="H37" s="26" t="n">
        <v>13</v>
      </c>
      <c r="I37" s="83"/>
      <c r="J37" s="84"/>
    </row>
    <row r="38" customFormat="false" ht="15" hidden="false" customHeight="true" outlineLevel="0" collapsed="false">
      <c r="A38" s="24" t="s">
        <v>575</v>
      </c>
      <c r="B38" s="26" t="s">
        <v>576</v>
      </c>
      <c r="C38" s="26" t="s">
        <v>84</v>
      </c>
      <c r="D38" s="26" t="s">
        <v>416</v>
      </c>
      <c r="E38" s="26" t="s">
        <v>288</v>
      </c>
      <c r="F38" s="26" t="s">
        <v>87</v>
      </c>
      <c r="G38" s="24" t="s">
        <v>469</v>
      </c>
      <c r="H38" s="26" t="n">
        <v>5</v>
      </c>
      <c r="I38" s="83"/>
      <c r="J38" s="84"/>
    </row>
    <row r="39" customFormat="false" ht="15" hidden="false" customHeight="true" outlineLevel="0" collapsed="false">
      <c r="A39" s="24" t="s">
        <v>577</v>
      </c>
      <c r="B39" s="26" t="s">
        <v>578</v>
      </c>
      <c r="C39" s="26" t="s">
        <v>84</v>
      </c>
      <c r="D39" s="26" t="s">
        <v>416</v>
      </c>
      <c r="E39" s="26" t="s">
        <v>288</v>
      </c>
      <c r="F39" s="26" t="s">
        <v>87</v>
      </c>
      <c r="G39" s="24" t="s">
        <v>458</v>
      </c>
      <c r="H39" s="26" t="n">
        <v>5</v>
      </c>
      <c r="I39" s="83"/>
      <c r="J39" s="84"/>
    </row>
    <row r="40" customFormat="false" ht="15" hidden="false" customHeight="true" outlineLevel="0" collapsed="false">
      <c r="A40" s="24" t="s">
        <v>579</v>
      </c>
      <c r="B40" s="26" t="s">
        <v>580</v>
      </c>
      <c r="C40" s="26" t="s">
        <v>119</v>
      </c>
      <c r="D40" s="26" t="s">
        <v>416</v>
      </c>
      <c r="E40" s="26" t="s">
        <v>288</v>
      </c>
      <c r="F40" s="26" t="s">
        <v>87</v>
      </c>
      <c r="G40" s="24"/>
      <c r="H40" s="26" t="n">
        <v>13</v>
      </c>
      <c r="I40" s="83"/>
      <c r="J40" s="84"/>
    </row>
    <row r="41" customFormat="false" ht="15" hidden="false" customHeight="true" outlineLevel="0" collapsed="false">
      <c r="A41" s="24" t="s">
        <v>581</v>
      </c>
      <c r="B41" s="26" t="s">
        <v>582</v>
      </c>
      <c r="C41" s="26" t="s">
        <v>119</v>
      </c>
      <c r="D41" s="26" t="s">
        <v>416</v>
      </c>
      <c r="E41" s="26" t="s">
        <v>288</v>
      </c>
      <c r="F41" s="26" t="s">
        <v>87</v>
      </c>
      <c r="G41" s="24" t="s">
        <v>509</v>
      </c>
      <c r="H41" s="26" t="n">
        <v>2</v>
      </c>
      <c r="I41" s="83"/>
      <c r="J41" s="84"/>
    </row>
    <row r="42" customFormat="false" ht="15" hidden="false" customHeight="true" outlineLevel="0" collapsed="false">
      <c r="A42" s="24" t="s">
        <v>583</v>
      </c>
      <c r="B42" s="26" t="s">
        <v>584</v>
      </c>
      <c r="C42" s="26" t="s">
        <v>119</v>
      </c>
      <c r="D42" s="26" t="s">
        <v>416</v>
      </c>
      <c r="E42" s="26" t="s">
        <v>288</v>
      </c>
      <c r="F42" s="26" t="s">
        <v>87</v>
      </c>
      <c r="G42" s="24"/>
      <c r="H42" s="26" t="n">
        <v>3</v>
      </c>
      <c r="I42" s="83"/>
      <c r="J42" s="84"/>
    </row>
    <row r="43" customFormat="false" ht="15" hidden="false" customHeight="true" outlineLevel="0" collapsed="false">
      <c r="A43" s="24" t="s">
        <v>585</v>
      </c>
      <c r="B43" s="26" t="s">
        <v>586</v>
      </c>
      <c r="C43" s="26" t="s">
        <v>28</v>
      </c>
      <c r="D43" s="26" t="s">
        <v>416</v>
      </c>
      <c r="E43" s="26" t="s">
        <v>288</v>
      </c>
      <c r="F43" s="26" t="s">
        <v>87</v>
      </c>
      <c r="G43" s="24" t="s">
        <v>500</v>
      </c>
      <c r="H43" s="26" t="n">
        <v>5</v>
      </c>
      <c r="I43" s="83"/>
      <c r="J43" s="84"/>
    </row>
    <row r="44" customFormat="false" ht="15" hidden="false" customHeight="true" outlineLevel="0" collapsed="false">
      <c r="A44" s="24" t="s">
        <v>587</v>
      </c>
      <c r="B44" s="26" t="s">
        <v>588</v>
      </c>
      <c r="C44" s="26" t="s">
        <v>452</v>
      </c>
      <c r="D44" s="26" t="s">
        <v>416</v>
      </c>
      <c r="E44" s="26" t="s">
        <v>288</v>
      </c>
      <c r="F44" s="26" t="s">
        <v>87</v>
      </c>
      <c r="G44" s="24"/>
      <c r="H44" s="26"/>
      <c r="I44" s="83"/>
      <c r="J44" s="84"/>
    </row>
    <row r="45" customFormat="false" ht="15" hidden="false" customHeight="true" outlineLevel="0" collapsed="false">
      <c r="A45" s="24" t="s">
        <v>589</v>
      </c>
      <c r="B45" s="26" t="s">
        <v>590</v>
      </c>
      <c r="C45" s="26" t="s">
        <v>84</v>
      </c>
      <c r="D45" s="26" t="s">
        <v>418</v>
      </c>
      <c r="E45" s="26" t="s">
        <v>288</v>
      </c>
      <c r="F45" s="26" t="s">
        <v>87</v>
      </c>
      <c r="G45" s="24" t="s">
        <v>458</v>
      </c>
      <c r="H45" s="26" t="n">
        <v>5</v>
      </c>
      <c r="I45" s="83"/>
      <c r="J45" s="84"/>
    </row>
    <row r="46" customFormat="false" ht="15" hidden="false" customHeight="true" outlineLevel="0" collapsed="false">
      <c r="A46" s="24" t="s">
        <v>591</v>
      </c>
      <c r="B46" s="26" t="s">
        <v>592</v>
      </c>
      <c r="C46" s="26" t="s">
        <v>84</v>
      </c>
      <c r="D46" s="26" t="s">
        <v>418</v>
      </c>
      <c r="E46" s="26" t="s">
        <v>288</v>
      </c>
      <c r="F46" s="26" t="s">
        <v>87</v>
      </c>
      <c r="G46" s="24" t="s">
        <v>469</v>
      </c>
      <c r="H46" s="26" t="n">
        <v>13</v>
      </c>
      <c r="I46" s="83"/>
      <c r="J46" s="84"/>
    </row>
    <row r="47" customFormat="false" ht="15" hidden="false" customHeight="true" outlineLevel="0" collapsed="false">
      <c r="A47" s="24" t="s">
        <v>593</v>
      </c>
      <c r="B47" s="26" t="s">
        <v>594</v>
      </c>
      <c r="C47" s="26" t="s">
        <v>119</v>
      </c>
      <c r="D47" s="26" t="s">
        <v>418</v>
      </c>
      <c r="E47" s="26" t="s">
        <v>288</v>
      </c>
      <c r="F47" s="26" t="s">
        <v>87</v>
      </c>
      <c r="G47" s="24" t="s">
        <v>509</v>
      </c>
      <c r="H47" s="26" t="n">
        <v>3</v>
      </c>
      <c r="I47" s="83"/>
      <c r="J47" s="84"/>
    </row>
    <row r="48" customFormat="false" ht="15" hidden="false" customHeight="true" outlineLevel="0" collapsed="false">
      <c r="A48" s="24" t="s">
        <v>595</v>
      </c>
      <c r="B48" s="26" t="s">
        <v>596</v>
      </c>
      <c r="C48" s="26" t="s">
        <v>119</v>
      </c>
      <c r="D48" s="26" t="s">
        <v>418</v>
      </c>
      <c r="E48" s="26" t="s">
        <v>288</v>
      </c>
      <c r="F48" s="26" t="s">
        <v>87</v>
      </c>
      <c r="G48" s="24" t="s">
        <v>509</v>
      </c>
      <c r="H48" s="26" t="n">
        <v>2</v>
      </c>
      <c r="I48" s="83"/>
      <c r="J48" s="84"/>
    </row>
    <row r="49" customFormat="false" ht="15" hidden="false" customHeight="true" outlineLevel="0" collapsed="false">
      <c r="A49" s="24" t="s">
        <v>597</v>
      </c>
      <c r="B49" s="26" t="s">
        <v>598</v>
      </c>
      <c r="C49" s="26" t="s">
        <v>119</v>
      </c>
      <c r="D49" s="26" t="s">
        <v>418</v>
      </c>
      <c r="E49" s="26" t="s">
        <v>288</v>
      </c>
      <c r="F49" s="26" t="s">
        <v>87</v>
      </c>
      <c r="G49" s="24" t="s">
        <v>509</v>
      </c>
      <c r="H49" s="26" t="n">
        <v>8</v>
      </c>
      <c r="I49" s="83"/>
      <c r="J49" s="84"/>
    </row>
    <row r="50" customFormat="false" ht="15" hidden="false" customHeight="true" outlineLevel="0" collapsed="false">
      <c r="A50" s="24" t="s">
        <v>599</v>
      </c>
      <c r="B50" s="26" t="s">
        <v>600</v>
      </c>
      <c r="C50" s="26" t="s">
        <v>119</v>
      </c>
      <c r="D50" s="26" t="s">
        <v>418</v>
      </c>
      <c r="E50" s="26" t="s">
        <v>288</v>
      </c>
      <c r="F50" s="26" t="s">
        <v>87</v>
      </c>
      <c r="G50" s="24" t="s">
        <v>509</v>
      </c>
      <c r="H50" s="26" t="n">
        <v>13</v>
      </c>
      <c r="I50" s="83"/>
      <c r="J50" s="84"/>
    </row>
    <row r="51" customFormat="false" ht="15" hidden="false" customHeight="true" outlineLevel="0" collapsed="false">
      <c r="A51" s="24" t="s">
        <v>601</v>
      </c>
      <c r="B51" s="26" t="s">
        <v>602</v>
      </c>
      <c r="C51" s="26" t="s">
        <v>119</v>
      </c>
      <c r="D51" s="26" t="s">
        <v>418</v>
      </c>
      <c r="E51" s="26" t="s">
        <v>288</v>
      </c>
      <c r="F51" s="26" t="s">
        <v>87</v>
      </c>
      <c r="G51" s="24" t="s">
        <v>509</v>
      </c>
      <c r="H51" s="26" t="n">
        <v>5</v>
      </c>
      <c r="I51" s="83"/>
      <c r="J51" s="84"/>
    </row>
    <row r="52" customFormat="false" ht="15" hidden="false" customHeight="true" outlineLevel="0" collapsed="false">
      <c r="A52" s="24" t="s">
        <v>603</v>
      </c>
      <c r="B52" s="26" t="s">
        <v>604</v>
      </c>
      <c r="C52" s="26" t="s">
        <v>119</v>
      </c>
      <c r="D52" s="26" t="s">
        <v>418</v>
      </c>
      <c r="E52" s="26" t="s">
        <v>288</v>
      </c>
      <c r="F52" s="26" t="s">
        <v>87</v>
      </c>
      <c r="G52" s="24" t="s">
        <v>509</v>
      </c>
      <c r="H52" s="26" t="n">
        <v>13</v>
      </c>
      <c r="I52" s="83"/>
      <c r="J52" s="84"/>
    </row>
    <row r="53" customFormat="false" ht="15" hidden="false" customHeight="true" outlineLevel="0" collapsed="false">
      <c r="A53" s="24" t="s">
        <v>605</v>
      </c>
      <c r="B53" s="26" t="s">
        <v>606</v>
      </c>
      <c r="C53" s="26" t="s">
        <v>84</v>
      </c>
      <c r="D53" s="26" t="s">
        <v>418</v>
      </c>
      <c r="E53" s="26" t="s">
        <v>288</v>
      </c>
      <c r="F53" s="26" t="s">
        <v>87</v>
      </c>
      <c r="G53" s="24" t="s">
        <v>469</v>
      </c>
      <c r="H53" s="26" t="n">
        <v>3</v>
      </c>
      <c r="I53" s="83"/>
      <c r="J53" s="84"/>
    </row>
    <row r="54" customFormat="false" ht="15" hidden="false" customHeight="true" outlineLevel="0" collapsed="false">
      <c r="A54" s="24" t="s">
        <v>607</v>
      </c>
      <c r="B54" s="26" t="s">
        <v>608</v>
      </c>
      <c r="C54" s="26" t="s">
        <v>91</v>
      </c>
      <c r="D54" s="26" t="s">
        <v>418</v>
      </c>
      <c r="E54" s="26" t="s">
        <v>288</v>
      </c>
      <c r="F54" s="26" t="s">
        <v>87</v>
      </c>
      <c r="G54" s="24" t="s">
        <v>513</v>
      </c>
      <c r="H54" s="26" t="n">
        <v>2</v>
      </c>
      <c r="I54" s="83"/>
      <c r="J54" s="84"/>
    </row>
    <row r="55" customFormat="false" ht="15" hidden="false" customHeight="true" outlineLevel="0" collapsed="false">
      <c r="A55" s="24" t="s">
        <v>609</v>
      </c>
      <c r="B55" s="26" t="s">
        <v>610</v>
      </c>
      <c r="C55" s="26" t="s">
        <v>28</v>
      </c>
      <c r="D55" s="26" t="s">
        <v>418</v>
      </c>
      <c r="E55" s="26" t="s">
        <v>288</v>
      </c>
      <c r="F55" s="26" t="s">
        <v>105</v>
      </c>
      <c r="G55" s="24"/>
      <c r="H55" s="26" t="n">
        <v>18</v>
      </c>
      <c r="I55" s="83"/>
      <c r="J55" s="84"/>
    </row>
    <row r="56" customFormat="false" ht="15" hidden="false" customHeight="true" outlineLevel="0" collapsed="false">
      <c r="A56" s="24" t="s">
        <v>611</v>
      </c>
      <c r="B56" s="26" t="s">
        <v>612</v>
      </c>
      <c r="C56" s="26" t="s">
        <v>84</v>
      </c>
      <c r="D56" s="26" t="s">
        <v>418</v>
      </c>
      <c r="E56" s="26" t="s">
        <v>288</v>
      </c>
      <c r="F56" s="26" t="s">
        <v>87</v>
      </c>
      <c r="G56" s="24" t="s">
        <v>469</v>
      </c>
      <c r="H56" s="26" t="n">
        <v>21</v>
      </c>
      <c r="I56" s="83"/>
      <c r="J56" s="84"/>
    </row>
    <row r="57" customFormat="false" ht="15" hidden="false" customHeight="true" outlineLevel="0" collapsed="false">
      <c r="A57" s="24" t="s">
        <v>613</v>
      </c>
      <c r="B57" s="26" t="s">
        <v>614</v>
      </c>
      <c r="C57" s="26" t="s">
        <v>119</v>
      </c>
      <c r="D57" s="26" t="s">
        <v>418</v>
      </c>
      <c r="E57" s="26" t="s">
        <v>288</v>
      </c>
      <c r="F57" s="26" t="s">
        <v>87</v>
      </c>
      <c r="G57" s="24"/>
      <c r="H57" s="26" t="n">
        <v>2</v>
      </c>
      <c r="I57" s="83"/>
      <c r="J57" s="84"/>
    </row>
    <row r="58" customFormat="false" ht="15" hidden="false" customHeight="true" outlineLevel="0" collapsed="false">
      <c r="A58" s="24" t="s">
        <v>615</v>
      </c>
      <c r="B58" s="26" t="s">
        <v>616</v>
      </c>
      <c r="C58" s="26" t="s">
        <v>84</v>
      </c>
      <c r="D58" s="26" t="s">
        <v>418</v>
      </c>
      <c r="E58" s="26" t="s">
        <v>288</v>
      </c>
      <c r="F58" s="26" t="s">
        <v>87</v>
      </c>
      <c r="G58" s="24" t="s">
        <v>469</v>
      </c>
      <c r="H58" s="26" t="n">
        <v>8</v>
      </c>
      <c r="I58" s="83"/>
      <c r="J58" s="84"/>
    </row>
    <row r="59" customFormat="false" ht="15" hidden="false" customHeight="true" outlineLevel="0" collapsed="false">
      <c r="A59" s="24" t="s">
        <v>617</v>
      </c>
      <c r="B59" s="26" t="s">
        <v>618</v>
      </c>
      <c r="C59" s="26" t="s">
        <v>119</v>
      </c>
      <c r="D59" s="26" t="s">
        <v>418</v>
      </c>
      <c r="E59" s="26" t="s">
        <v>288</v>
      </c>
      <c r="F59" s="26" t="s">
        <v>87</v>
      </c>
      <c r="G59" s="24"/>
      <c r="H59" s="26" t="n">
        <v>3</v>
      </c>
      <c r="I59" s="83"/>
      <c r="J59" s="84"/>
    </row>
    <row r="60" customFormat="false" ht="15" hidden="false" customHeight="true" outlineLevel="0" collapsed="false">
      <c r="A60" s="24" t="s">
        <v>619</v>
      </c>
      <c r="B60" s="26" t="s">
        <v>620</v>
      </c>
      <c r="C60" s="26" t="s">
        <v>119</v>
      </c>
      <c r="D60" s="26" t="s">
        <v>418</v>
      </c>
      <c r="E60" s="26" t="s">
        <v>288</v>
      </c>
      <c r="F60" s="26" t="s">
        <v>87</v>
      </c>
      <c r="G60" s="24"/>
      <c r="H60" s="26" t="n">
        <v>5</v>
      </c>
      <c r="I60" s="83"/>
      <c r="J60" s="84"/>
    </row>
    <row r="61" customFormat="false" ht="15" hidden="false" customHeight="true" outlineLevel="0" collapsed="false">
      <c r="A61" s="24" t="s">
        <v>621</v>
      </c>
      <c r="B61" s="26" t="s">
        <v>622</v>
      </c>
      <c r="C61" s="26" t="s">
        <v>119</v>
      </c>
      <c r="D61" s="26" t="s">
        <v>418</v>
      </c>
      <c r="E61" s="26" t="s">
        <v>288</v>
      </c>
      <c r="F61" s="26" t="s">
        <v>87</v>
      </c>
      <c r="G61" s="24"/>
      <c r="H61" s="26" t="n">
        <v>5</v>
      </c>
      <c r="I61" s="83"/>
      <c r="J61" s="84"/>
    </row>
    <row r="62" customFormat="false" ht="15" hidden="false" customHeight="true" outlineLevel="0" collapsed="false">
      <c r="A62" s="24" t="s">
        <v>623</v>
      </c>
      <c r="B62" s="26" t="s">
        <v>624</v>
      </c>
      <c r="C62" s="26" t="s">
        <v>119</v>
      </c>
      <c r="D62" s="26" t="s">
        <v>418</v>
      </c>
      <c r="E62" s="26" t="s">
        <v>288</v>
      </c>
      <c r="F62" s="26" t="s">
        <v>87</v>
      </c>
      <c r="G62" s="24"/>
      <c r="H62" s="26" t="n">
        <v>18</v>
      </c>
      <c r="I62" s="83"/>
      <c r="J62" s="84"/>
    </row>
    <row r="63" customFormat="false" ht="15" hidden="false" customHeight="true" outlineLevel="0" collapsed="false">
      <c r="A63" s="24" t="s">
        <v>625</v>
      </c>
      <c r="B63" s="26" t="s">
        <v>626</v>
      </c>
      <c r="C63" s="26" t="s">
        <v>119</v>
      </c>
      <c r="D63" s="26" t="s">
        <v>418</v>
      </c>
      <c r="E63" s="26" t="s">
        <v>288</v>
      </c>
      <c r="F63" s="26" t="s">
        <v>87</v>
      </c>
      <c r="G63" s="24"/>
      <c r="H63" s="26" t="n">
        <v>13</v>
      </c>
      <c r="I63" s="83"/>
      <c r="J63" s="84"/>
    </row>
    <row r="64" customFormat="false" ht="15" hidden="false" customHeight="true" outlineLevel="0" collapsed="false">
      <c r="A64" s="24" t="s">
        <v>627</v>
      </c>
      <c r="B64" s="26" t="s">
        <v>477</v>
      </c>
      <c r="C64" s="26" t="s">
        <v>119</v>
      </c>
      <c r="D64" s="26" t="s">
        <v>418</v>
      </c>
      <c r="E64" s="26" t="s">
        <v>288</v>
      </c>
      <c r="F64" s="26" t="s">
        <v>87</v>
      </c>
      <c r="G64" s="24"/>
      <c r="H64" s="26" t="n">
        <v>13</v>
      </c>
      <c r="I64" s="83"/>
      <c r="J64" s="84"/>
    </row>
    <row r="65" customFormat="false" ht="15" hidden="false" customHeight="true" outlineLevel="0" collapsed="false">
      <c r="A65" s="24" t="s">
        <v>628</v>
      </c>
      <c r="B65" s="26" t="s">
        <v>629</v>
      </c>
      <c r="C65" s="26" t="s">
        <v>119</v>
      </c>
      <c r="D65" s="26" t="s">
        <v>418</v>
      </c>
      <c r="E65" s="26" t="s">
        <v>288</v>
      </c>
      <c r="F65" s="26" t="s">
        <v>87</v>
      </c>
      <c r="G65" s="24" t="s">
        <v>509</v>
      </c>
      <c r="H65" s="26" t="n">
        <v>21</v>
      </c>
      <c r="I65" s="83"/>
      <c r="J65" s="84"/>
    </row>
    <row r="66" customFormat="false" ht="15" hidden="false" customHeight="true" outlineLevel="0" collapsed="false">
      <c r="A66" s="24" t="s">
        <v>630</v>
      </c>
      <c r="B66" s="26" t="s">
        <v>631</v>
      </c>
      <c r="C66" s="26" t="s">
        <v>257</v>
      </c>
      <c r="D66" s="26" t="s">
        <v>418</v>
      </c>
      <c r="E66" s="26" t="s">
        <v>288</v>
      </c>
      <c r="F66" s="26" t="s">
        <v>87</v>
      </c>
      <c r="G66" s="24"/>
      <c r="H66" s="26" t="n">
        <v>8</v>
      </c>
      <c r="I66" s="83"/>
      <c r="J66" s="84"/>
    </row>
    <row r="67" customFormat="false" ht="15" hidden="false" customHeight="true" outlineLevel="0" collapsed="false">
      <c r="A67" s="24" t="s">
        <v>632</v>
      </c>
      <c r="B67" s="26" t="s">
        <v>633</v>
      </c>
      <c r="C67" s="26" t="s">
        <v>84</v>
      </c>
      <c r="D67" s="26" t="s">
        <v>420</v>
      </c>
      <c r="E67" s="26" t="s">
        <v>288</v>
      </c>
      <c r="F67" s="26" t="s">
        <v>87</v>
      </c>
      <c r="G67" s="24" t="s">
        <v>469</v>
      </c>
      <c r="H67" s="26" t="n">
        <v>8</v>
      </c>
      <c r="I67" s="83"/>
      <c r="J67" s="84"/>
    </row>
    <row r="68" customFormat="false" ht="15" hidden="false" customHeight="true" outlineLevel="0" collapsed="false">
      <c r="A68" s="24" t="s">
        <v>634</v>
      </c>
      <c r="B68" s="26" t="s">
        <v>635</v>
      </c>
      <c r="C68" s="26" t="s">
        <v>84</v>
      </c>
      <c r="D68" s="26" t="s">
        <v>420</v>
      </c>
      <c r="E68" s="26" t="s">
        <v>288</v>
      </c>
      <c r="F68" s="26" t="s">
        <v>87</v>
      </c>
      <c r="G68" s="24" t="s">
        <v>469</v>
      </c>
      <c r="H68" s="26" t="n">
        <v>8</v>
      </c>
      <c r="I68" s="83"/>
      <c r="J68" s="84"/>
    </row>
    <row r="69" customFormat="false" ht="15" hidden="false" customHeight="true" outlineLevel="0" collapsed="false">
      <c r="A69" s="24" t="s">
        <v>636</v>
      </c>
      <c r="B69" s="26" t="s">
        <v>637</v>
      </c>
      <c r="C69" s="26" t="s">
        <v>84</v>
      </c>
      <c r="D69" s="26" t="s">
        <v>420</v>
      </c>
      <c r="E69" s="26" t="s">
        <v>288</v>
      </c>
      <c r="F69" s="26" t="s">
        <v>87</v>
      </c>
      <c r="G69" s="24" t="s">
        <v>458</v>
      </c>
      <c r="H69" s="26" t="n">
        <v>5</v>
      </c>
      <c r="I69" s="83"/>
      <c r="J69" s="84"/>
    </row>
    <row r="70" customFormat="false" ht="15" hidden="false" customHeight="true" outlineLevel="0" collapsed="false">
      <c r="A70" s="24" t="s">
        <v>638</v>
      </c>
      <c r="B70" s="26" t="s">
        <v>639</v>
      </c>
      <c r="C70" s="26" t="s">
        <v>84</v>
      </c>
      <c r="D70" s="26" t="s">
        <v>420</v>
      </c>
      <c r="E70" s="26" t="s">
        <v>288</v>
      </c>
      <c r="F70" s="26" t="s">
        <v>87</v>
      </c>
      <c r="G70" s="24" t="s">
        <v>458</v>
      </c>
      <c r="H70" s="26" t="n">
        <v>3</v>
      </c>
      <c r="I70" s="83"/>
      <c r="J70" s="84"/>
    </row>
    <row r="71" customFormat="false" ht="15" hidden="false" customHeight="true" outlineLevel="0" collapsed="false">
      <c r="A71" s="24" t="s">
        <v>640</v>
      </c>
      <c r="B71" s="26" t="s">
        <v>641</v>
      </c>
      <c r="C71" s="26" t="s">
        <v>84</v>
      </c>
      <c r="D71" s="26" t="s">
        <v>420</v>
      </c>
      <c r="E71" s="26" t="s">
        <v>288</v>
      </c>
      <c r="F71" s="26" t="s">
        <v>87</v>
      </c>
      <c r="G71" s="24" t="s">
        <v>458</v>
      </c>
      <c r="H71" s="26" t="n">
        <v>5</v>
      </c>
      <c r="I71" s="83"/>
      <c r="J71" s="84"/>
    </row>
    <row r="72" customFormat="false" ht="15" hidden="false" customHeight="true" outlineLevel="0" collapsed="false">
      <c r="A72" s="24" t="s">
        <v>642</v>
      </c>
      <c r="B72" s="26" t="s">
        <v>643</v>
      </c>
      <c r="C72" s="26" t="s">
        <v>104</v>
      </c>
      <c r="D72" s="26" t="s">
        <v>420</v>
      </c>
      <c r="E72" s="26" t="s">
        <v>288</v>
      </c>
      <c r="F72" s="26" t="s">
        <v>87</v>
      </c>
      <c r="G72" s="24" t="s">
        <v>523</v>
      </c>
      <c r="H72" s="26" t="n">
        <v>5</v>
      </c>
      <c r="I72" s="83"/>
      <c r="J72" s="84"/>
    </row>
    <row r="73" customFormat="false" ht="15" hidden="false" customHeight="true" outlineLevel="0" collapsed="false">
      <c r="A73" s="24" t="s">
        <v>644</v>
      </c>
      <c r="B73" s="26" t="s">
        <v>645</v>
      </c>
      <c r="C73" s="26" t="s">
        <v>104</v>
      </c>
      <c r="D73" s="26" t="s">
        <v>420</v>
      </c>
      <c r="E73" s="26" t="s">
        <v>288</v>
      </c>
      <c r="F73" s="26" t="s">
        <v>87</v>
      </c>
      <c r="G73" s="24" t="s">
        <v>531</v>
      </c>
      <c r="H73" s="26" t="n">
        <v>8</v>
      </c>
      <c r="I73" s="83"/>
      <c r="J73" s="84"/>
    </row>
    <row r="74" customFormat="false" ht="15" hidden="false" customHeight="true" outlineLevel="0" collapsed="false">
      <c r="A74" s="24" t="s">
        <v>646</v>
      </c>
      <c r="B74" s="26" t="s">
        <v>647</v>
      </c>
      <c r="C74" s="26" t="s">
        <v>119</v>
      </c>
      <c r="D74" s="26" t="s">
        <v>420</v>
      </c>
      <c r="E74" s="26" t="s">
        <v>288</v>
      </c>
      <c r="F74" s="26" t="s">
        <v>87</v>
      </c>
      <c r="G74" s="24" t="s">
        <v>523</v>
      </c>
      <c r="H74" s="26" t="n">
        <v>3</v>
      </c>
      <c r="I74" s="83"/>
      <c r="J74" s="84"/>
    </row>
    <row r="75" customFormat="false" ht="15" hidden="false" customHeight="true" outlineLevel="0" collapsed="false">
      <c r="A75" s="24" t="s">
        <v>648</v>
      </c>
      <c r="B75" s="26" t="s">
        <v>649</v>
      </c>
      <c r="C75" s="26" t="s">
        <v>119</v>
      </c>
      <c r="D75" s="26" t="s">
        <v>420</v>
      </c>
      <c r="E75" s="26" t="s">
        <v>288</v>
      </c>
      <c r="F75" s="26" t="s">
        <v>87</v>
      </c>
      <c r="G75" s="24" t="s">
        <v>523</v>
      </c>
      <c r="H75" s="26" t="n">
        <v>8</v>
      </c>
      <c r="I75" s="83"/>
      <c r="J75" s="84"/>
    </row>
    <row r="76" customFormat="false" ht="15" hidden="false" customHeight="true" outlineLevel="0" collapsed="false">
      <c r="A76" s="24" t="s">
        <v>650</v>
      </c>
      <c r="B76" s="26" t="s">
        <v>651</v>
      </c>
      <c r="C76" s="26" t="s">
        <v>119</v>
      </c>
      <c r="D76" s="26" t="s">
        <v>420</v>
      </c>
      <c r="E76" s="26" t="s">
        <v>288</v>
      </c>
      <c r="F76" s="26" t="s">
        <v>87</v>
      </c>
      <c r="G76" s="24" t="s">
        <v>523</v>
      </c>
      <c r="H76" s="26" t="n">
        <v>5</v>
      </c>
      <c r="I76" s="83"/>
      <c r="J76" s="84"/>
    </row>
    <row r="77" customFormat="false" ht="15" hidden="false" customHeight="true" outlineLevel="0" collapsed="false">
      <c r="A77" s="24" t="s">
        <v>652</v>
      </c>
      <c r="B77" s="26" t="s">
        <v>653</v>
      </c>
      <c r="C77" s="26" t="s">
        <v>119</v>
      </c>
      <c r="D77" s="26" t="s">
        <v>420</v>
      </c>
      <c r="E77" s="26" t="s">
        <v>288</v>
      </c>
      <c r="F77" s="26" t="s">
        <v>87</v>
      </c>
      <c r="G77" s="24"/>
      <c r="H77" s="26" t="n">
        <v>3</v>
      </c>
      <c r="I77" s="83"/>
      <c r="J77" s="84"/>
    </row>
    <row r="78" customFormat="false" ht="15" hidden="false" customHeight="true" outlineLevel="0" collapsed="false">
      <c r="A78" s="24" t="s">
        <v>654</v>
      </c>
      <c r="B78" s="26" t="s">
        <v>655</v>
      </c>
      <c r="C78" s="26" t="s">
        <v>84</v>
      </c>
      <c r="D78" s="26" t="s">
        <v>420</v>
      </c>
      <c r="E78" s="26" t="s">
        <v>288</v>
      </c>
      <c r="F78" s="26" t="s">
        <v>87</v>
      </c>
      <c r="G78" s="24" t="s">
        <v>469</v>
      </c>
      <c r="H78" s="26" t="n">
        <v>2</v>
      </c>
      <c r="I78" s="83"/>
      <c r="J78" s="84"/>
    </row>
    <row r="79" customFormat="false" ht="15" hidden="false" customHeight="true" outlineLevel="0" collapsed="false">
      <c r="A79" s="24" t="s">
        <v>656</v>
      </c>
      <c r="B79" s="26" t="s">
        <v>657</v>
      </c>
      <c r="C79" s="26" t="s">
        <v>84</v>
      </c>
      <c r="D79" s="26" t="s">
        <v>420</v>
      </c>
      <c r="E79" s="26" t="s">
        <v>288</v>
      </c>
      <c r="F79" s="26" t="s">
        <v>87</v>
      </c>
      <c r="G79" s="24" t="s">
        <v>458</v>
      </c>
      <c r="H79" s="26" t="n">
        <v>5</v>
      </c>
      <c r="I79" s="83"/>
      <c r="J79" s="84"/>
    </row>
    <row r="80" customFormat="false" ht="15" hidden="false" customHeight="true" outlineLevel="0" collapsed="false">
      <c r="A80" s="24" t="s">
        <v>658</v>
      </c>
      <c r="B80" s="26" t="s">
        <v>659</v>
      </c>
      <c r="C80" s="26" t="s">
        <v>84</v>
      </c>
      <c r="D80" s="26" t="s">
        <v>420</v>
      </c>
      <c r="E80" s="26" t="s">
        <v>288</v>
      </c>
      <c r="F80" s="26" t="s">
        <v>87</v>
      </c>
      <c r="G80" s="24" t="s">
        <v>458</v>
      </c>
      <c r="H80" s="26" t="n">
        <v>5</v>
      </c>
      <c r="I80" s="83"/>
      <c r="J80" s="84"/>
    </row>
    <row r="81" customFormat="false" ht="15" hidden="false" customHeight="true" outlineLevel="0" collapsed="false">
      <c r="A81" s="24" t="s">
        <v>660</v>
      </c>
      <c r="B81" s="26" t="s">
        <v>661</v>
      </c>
      <c r="C81" s="26" t="s">
        <v>84</v>
      </c>
      <c r="D81" s="26" t="s">
        <v>420</v>
      </c>
      <c r="E81" s="26" t="s">
        <v>288</v>
      </c>
      <c r="F81" s="26" t="s">
        <v>87</v>
      </c>
      <c r="G81" s="24" t="s">
        <v>458</v>
      </c>
      <c r="H81" s="26" t="n">
        <v>8</v>
      </c>
      <c r="I81" s="83"/>
      <c r="J81" s="84"/>
    </row>
    <row r="82" customFormat="false" ht="15" hidden="false" customHeight="true" outlineLevel="0" collapsed="false">
      <c r="A82" s="24" t="s">
        <v>662</v>
      </c>
      <c r="B82" s="26" t="s">
        <v>663</v>
      </c>
      <c r="C82" s="26" t="s">
        <v>84</v>
      </c>
      <c r="D82" s="26" t="s">
        <v>420</v>
      </c>
      <c r="E82" s="26" t="s">
        <v>288</v>
      </c>
      <c r="F82" s="26" t="s">
        <v>87</v>
      </c>
      <c r="G82" s="24" t="s">
        <v>458</v>
      </c>
      <c r="H82" s="26" t="n">
        <v>5</v>
      </c>
      <c r="I82" s="83"/>
      <c r="J82" s="84"/>
    </row>
    <row r="83" customFormat="false" ht="15" hidden="false" customHeight="true" outlineLevel="0" collapsed="false">
      <c r="A83" s="24" t="s">
        <v>664</v>
      </c>
      <c r="B83" s="26" t="s">
        <v>665</v>
      </c>
      <c r="C83" s="26" t="s">
        <v>84</v>
      </c>
      <c r="D83" s="26" t="s">
        <v>420</v>
      </c>
      <c r="E83" s="26" t="s">
        <v>288</v>
      </c>
      <c r="F83" s="26" t="s">
        <v>87</v>
      </c>
      <c r="G83" s="24" t="s">
        <v>469</v>
      </c>
      <c r="H83" s="26" t="n">
        <v>5</v>
      </c>
      <c r="I83" s="83"/>
      <c r="J83" s="84"/>
    </row>
    <row r="84" customFormat="false" ht="15" hidden="false" customHeight="true" outlineLevel="0" collapsed="false">
      <c r="A84" s="24" t="s">
        <v>666</v>
      </c>
      <c r="B84" s="26" t="s">
        <v>667</v>
      </c>
      <c r="C84" s="26" t="s">
        <v>119</v>
      </c>
      <c r="D84" s="26" t="s">
        <v>420</v>
      </c>
      <c r="E84" s="26" t="s">
        <v>288</v>
      </c>
      <c r="F84" s="26" t="s">
        <v>87</v>
      </c>
      <c r="G84" s="24" t="s">
        <v>523</v>
      </c>
      <c r="H84" s="26" t="n">
        <v>5</v>
      </c>
      <c r="I84" s="83"/>
      <c r="J84" s="84"/>
    </row>
    <row r="85" customFormat="false" ht="15" hidden="false" customHeight="true" outlineLevel="0" collapsed="false">
      <c r="A85" s="24" t="s">
        <v>668</v>
      </c>
      <c r="B85" s="26" t="s">
        <v>669</v>
      </c>
      <c r="C85" s="26" t="s">
        <v>119</v>
      </c>
      <c r="D85" s="26" t="s">
        <v>420</v>
      </c>
      <c r="E85" s="26" t="s">
        <v>288</v>
      </c>
      <c r="F85" s="26" t="s">
        <v>87</v>
      </c>
      <c r="G85" s="24"/>
      <c r="H85" s="26" t="n">
        <v>5</v>
      </c>
      <c r="I85" s="83"/>
      <c r="J85" s="84"/>
    </row>
    <row r="86" customFormat="false" ht="15" hidden="false" customHeight="true" outlineLevel="0" collapsed="false">
      <c r="A86" s="24" t="s">
        <v>670</v>
      </c>
      <c r="B86" s="26" t="s">
        <v>671</v>
      </c>
      <c r="C86" s="26" t="s">
        <v>119</v>
      </c>
      <c r="D86" s="26" t="s">
        <v>420</v>
      </c>
      <c r="E86" s="26" t="s">
        <v>288</v>
      </c>
      <c r="F86" s="26" t="s">
        <v>87</v>
      </c>
      <c r="G86" s="24"/>
      <c r="H86" s="26" t="n">
        <v>8</v>
      </c>
      <c r="I86" s="83"/>
      <c r="J86" s="84"/>
    </row>
    <row r="87" customFormat="false" ht="15" hidden="false" customHeight="true" outlineLevel="0" collapsed="false">
      <c r="A87" s="24" t="s">
        <v>672</v>
      </c>
      <c r="B87" s="26" t="s">
        <v>673</v>
      </c>
      <c r="C87" s="26" t="s">
        <v>119</v>
      </c>
      <c r="D87" s="26" t="s">
        <v>420</v>
      </c>
      <c r="E87" s="26" t="s">
        <v>288</v>
      </c>
      <c r="F87" s="26" t="s">
        <v>87</v>
      </c>
      <c r="G87" s="24" t="s">
        <v>523</v>
      </c>
      <c r="H87" s="26" t="n">
        <v>3</v>
      </c>
      <c r="I87" s="83"/>
      <c r="J87" s="84"/>
    </row>
    <row r="88" customFormat="false" ht="15" hidden="false" customHeight="true" outlineLevel="0" collapsed="false">
      <c r="A88" s="24" t="s">
        <v>674</v>
      </c>
      <c r="B88" s="26" t="s">
        <v>675</v>
      </c>
      <c r="C88" s="26" t="s">
        <v>119</v>
      </c>
      <c r="D88" s="26" t="s">
        <v>420</v>
      </c>
      <c r="E88" s="26" t="s">
        <v>288</v>
      </c>
      <c r="F88" s="26" t="s">
        <v>87</v>
      </c>
      <c r="G88" s="24" t="s">
        <v>523</v>
      </c>
      <c r="H88" s="26" t="n">
        <v>8</v>
      </c>
      <c r="I88" s="83"/>
      <c r="J88" s="84"/>
    </row>
    <row r="89" customFormat="false" ht="15" hidden="false" customHeight="true" outlineLevel="0" collapsed="false">
      <c r="A89" s="24" t="s">
        <v>676</v>
      </c>
      <c r="B89" s="26" t="s">
        <v>677</v>
      </c>
      <c r="C89" s="26" t="s">
        <v>119</v>
      </c>
      <c r="D89" s="26" t="s">
        <v>420</v>
      </c>
      <c r="E89" s="26" t="s">
        <v>288</v>
      </c>
      <c r="F89" s="26" t="s">
        <v>87</v>
      </c>
      <c r="G89" s="24" t="s">
        <v>523</v>
      </c>
      <c r="H89" s="26" t="n">
        <v>2</v>
      </c>
      <c r="I89" s="83"/>
      <c r="J89" s="84"/>
    </row>
    <row r="90" customFormat="false" ht="15" hidden="false" customHeight="true" outlineLevel="0" collapsed="false">
      <c r="A90" s="24" t="s">
        <v>678</v>
      </c>
      <c r="B90" s="26" t="s">
        <v>679</v>
      </c>
      <c r="C90" s="26" t="s">
        <v>104</v>
      </c>
      <c r="D90" s="26" t="s">
        <v>420</v>
      </c>
      <c r="E90" s="26" t="s">
        <v>288</v>
      </c>
      <c r="F90" s="26" t="s">
        <v>87</v>
      </c>
      <c r="G90" s="24" t="s">
        <v>531</v>
      </c>
      <c r="H90" s="26" t="n">
        <v>5</v>
      </c>
      <c r="I90" s="83"/>
      <c r="J90" s="84"/>
    </row>
    <row r="91" customFormat="false" ht="15" hidden="false" customHeight="true" outlineLevel="0" collapsed="false">
      <c r="A91" s="24" t="s">
        <v>680</v>
      </c>
      <c r="B91" s="26" t="s">
        <v>681</v>
      </c>
      <c r="C91" s="26" t="s">
        <v>104</v>
      </c>
      <c r="D91" s="26" t="s">
        <v>420</v>
      </c>
      <c r="E91" s="26" t="s">
        <v>288</v>
      </c>
      <c r="F91" s="26" t="s">
        <v>87</v>
      </c>
      <c r="G91" s="24" t="s">
        <v>523</v>
      </c>
      <c r="H91" s="26" t="n">
        <v>21</v>
      </c>
      <c r="I91" s="83"/>
      <c r="J91" s="84"/>
    </row>
    <row r="92" customFormat="false" ht="15" hidden="false" customHeight="true" outlineLevel="0" collapsed="false">
      <c r="A92" s="24" t="s">
        <v>682</v>
      </c>
      <c r="B92" s="26" t="s">
        <v>683</v>
      </c>
      <c r="C92" s="26" t="s">
        <v>257</v>
      </c>
      <c r="D92" s="26" t="s">
        <v>420</v>
      </c>
      <c r="E92" s="26" t="s">
        <v>288</v>
      </c>
      <c r="F92" s="26" t="s">
        <v>87</v>
      </c>
      <c r="G92" s="24" t="s">
        <v>523</v>
      </c>
      <c r="H92" s="26" t="n">
        <v>5</v>
      </c>
      <c r="I92" s="83"/>
      <c r="J92" s="84"/>
    </row>
    <row r="93" customFormat="false" ht="15" hidden="false" customHeight="true" outlineLevel="0" collapsed="false">
      <c r="A93" s="24" t="s">
        <v>684</v>
      </c>
      <c r="B93" s="26" t="s">
        <v>685</v>
      </c>
      <c r="C93" s="26" t="s">
        <v>84</v>
      </c>
      <c r="D93" s="26" t="s">
        <v>421</v>
      </c>
      <c r="E93" s="26" t="s">
        <v>288</v>
      </c>
      <c r="F93" s="26" t="s">
        <v>87</v>
      </c>
      <c r="G93" s="24" t="s">
        <v>458</v>
      </c>
      <c r="H93" s="26"/>
      <c r="I93" s="83"/>
      <c r="J93" s="84"/>
    </row>
    <row r="94" customFormat="false" ht="15" hidden="false" customHeight="true" outlineLevel="0" collapsed="false">
      <c r="A94" s="24" t="s">
        <v>686</v>
      </c>
      <c r="B94" s="26" t="s">
        <v>687</v>
      </c>
      <c r="C94" s="26" t="s">
        <v>84</v>
      </c>
      <c r="D94" s="26" t="s">
        <v>421</v>
      </c>
      <c r="E94" s="26" t="s">
        <v>288</v>
      </c>
      <c r="F94" s="26" t="s">
        <v>87</v>
      </c>
      <c r="G94" s="24" t="s">
        <v>458</v>
      </c>
      <c r="H94" s="26"/>
      <c r="I94" s="83"/>
      <c r="J94" s="84"/>
    </row>
    <row r="95" customFormat="false" ht="15" hidden="false" customHeight="true" outlineLevel="0" collapsed="false">
      <c r="A95" s="24" t="s">
        <v>688</v>
      </c>
      <c r="B95" s="26" t="s">
        <v>689</v>
      </c>
      <c r="C95" s="26" t="s">
        <v>84</v>
      </c>
      <c r="D95" s="26" t="s">
        <v>421</v>
      </c>
      <c r="E95" s="26" t="s">
        <v>288</v>
      </c>
      <c r="F95" s="26" t="s">
        <v>87</v>
      </c>
      <c r="G95" s="24" t="s">
        <v>458</v>
      </c>
      <c r="H95" s="26"/>
      <c r="I95" s="83"/>
      <c r="J95" s="84"/>
    </row>
    <row r="96" customFormat="false" ht="15" hidden="false" customHeight="true" outlineLevel="0" collapsed="false">
      <c r="A96" s="24" t="s">
        <v>690</v>
      </c>
      <c r="B96" s="26" t="s">
        <v>691</v>
      </c>
      <c r="C96" s="26" t="s">
        <v>84</v>
      </c>
      <c r="D96" s="26" t="s">
        <v>421</v>
      </c>
      <c r="E96" s="26" t="s">
        <v>288</v>
      </c>
      <c r="F96" s="26" t="s">
        <v>87</v>
      </c>
      <c r="G96" s="24" t="s">
        <v>458</v>
      </c>
      <c r="H96" s="26" t="n">
        <v>3</v>
      </c>
      <c r="I96" s="83"/>
      <c r="J96" s="84"/>
    </row>
    <row r="97" customFormat="false" ht="15" hidden="false" customHeight="true" outlineLevel="0" collapsed="false">
      <c r="A97" s="24" t="s">
        <v>692</v>
      </c>
      <c r="B97" s="26" t="s">
        <v>693</v>
      </c>
      <c r="C97" s="26" t="s">
        <v>84</v>
      </c>
      <c r="D97" s="26" t="s">
        <v>421</v>
      </c>
      <c r="E97" s="26" t="s">
        <v>288</v>
      </c>
      <c r="F97" s="26" t="s">
        <v>87</v>
      </c>
      <c r="G97" s="24" t="s">
        <v>469</v>
      </c>
      <c r="H97" s="26" t="n">
        <v>5</v>
      </c>
      <c r="I97" s="83"/>
      <c r="J97" s="84"/>
    </row>
    <row r="98" customFormat="false" ht="15" hidden="false" customHeight="true" outlineLevel="0" collapsed="false">
      <c r="A98" s="24" t="s">
        <v>694</v>
      </c>
      <c r="B98" s="26" t="s">
        <v>695</v>
      </c>
      <c r="C98" s="26" t="s">
        <v>119</v>
      </c>
      <c r="D98" s="26" t="s">
        <v>421</v>
      </c>
      <c r="E98" s="26" t="s">
        <v>288</v>
      </c>
      <c r="F98" s="26" t="s">
        <v>87</v>
      </c>
      <c r="G98" s="24"/>
      <c r="H98" s="26"/>
      <c r="I98" s="83"/>
      <c r="J98" s="84"/>
    </row>
    <row r="99" customFormat="false" ht="15" hidden="false" customHeight="true" outlineLevel="0" collapsed="false">
      <c r="A99" s="24" t="s">
        <v>696</v>
      </c>
      <c r="B99" s="26" t="s">
        <v>697</v>
      </c>
      <c r="C99" s="26" t="s">
        <v>84</v>
      </c>
      <c r="D99" s="26" t="s">
        <v>421</v>
      </c>
      <c r="E99" s="26" t="s">
        <v>288</v>
      </c>
      <c r="F99" s="26" t="s">
        <v>87</v>
      </c>
      <c r="G99" s="24" t="s">
        <v>458</v>
      </c>
      <c r="H99" s="26" t="n">
        <v>5</v>
      </c>
      <c r="I99" s="83"/>
      <c r="J99" s="84"/>
    </row>
    <row r="100" customFormat="false" ht="15" hidden="false" customHeight="true" outlineLevel="0" collapsed="false">
      <c r="A100" s="24" t="s">
        <v>698</v>
      </c>
      <c r="B100" s="26" t="s">
        <v>699</v>
      </c>
      <c r="C100" s="26" t="s">
        <v>119</v>
      </c>
      <c r="D100" s="26" t="s">
        <v>421</v>
      </c>
      <c r="E100" s="26" t="s">
        <v>288</v>
      </c>
      <c r="F100" s="26" t="s">
        <v>87</v>
      </c>
      <c r="G100" s="24" t="s">
        <v>523</v>
      </c>
      <c r="H100" s="26" t="n">
        <v>3</v>
      </c>
      <c r="I100" s="83"/>
      <c r="J100" s="84"/>
    </row>
    <row r="101" customFormat="false" ht="15" hidden="false" customHeight="true" outlineLevel="0" collapsed="false">
      <c r="A101" s="24" t="s">
        <v>700</v>
      </c>
      <c r="B101" s="26" t="s">
        <v>701</v>
      </c>
      <c r="C101" s="26" t="s">
        <v>702</v>
      </c>
      <c r="D101" s="26" t="s">
        <v>421</v>
      </c>
      <c r="E101" s="26" t="s">
        <v>288</v>
      </c>
      <c r="F101" s="26" t="s">
        <v>87</v>
      </c>
      <c r="G101" s="24" t="s">
        <v>531</v>
      </c>
      <c r="H101" s="26" t="n">
        <v>8</v>
      </c>
      <c r="I101" s="83"/>
      <c r="J101" s="84"/>
    </row>
    <row r="102" customFormat="false" ht="15" hidden="false" customHeight="true" outlineLevel="0" collapsed="false">
      <c r="A102" s="24" t="s">
        <v>703</v>
      </c>
      <c r="B102" s="26" t="s">
        <v>704</v>
      </c>
      <c r="C102" s="26" t="s">
        <v>702</v>
      </c>
      <c r="D102" s="26" t="s">
        <v>421</v>
      </c>
      <c r="E102" s="26" t="s">
        <v>288</v>
      </c>
      <c r="F102" s="26" t="s">
        <v>87</v>
      </c>
      <c r="G102" s="24"/>
      <c r="H102" s="26" t="n">
        <v>5</v>
      </c>
      <c r="I102" s="83"/>
      <c r="J102" s="84"/>
    </row>
    <row r="103" customFormat="false" ht="15" hidden="false" customHeight="true" outlineLevel="0" collapsed="false">
      <c r="A103" s="24" t="s">
        <v>705</v>
      </c>
      <c r="B103" s="26" t="s">
        <v>706</v>
      </c>
      <c r="C103" s="26" t="s">
        <v>84</v>
      </c>
      <c r="D103" s="26" t="s">
        <v>421</v>
      </c>
      <c r="E103" s="26" t="s">
        <v>288</v>
      </c>
      <c r="F103" s="26" t="s">
        <v>87</v>
      </c>
      <c r="G103" s="24" t="s">
        <v>458</v>
      </c>
      <c r="H103" s="26" t="n">
        <v>2</v>
      </c>
      <c r="I103" s="83"/>
      <c r="J103" s="84"/>
    </row>
    <row r="104" customFormat="false" ht="15" hidden="false" customHeight="true" outlineLevel="0" collapsed="false">
      <c r="A104" s="24" t="s">
        <v>707</v>
      </c>
      <c r="B104" s="26" t="s">
        <v>708</v>
      </c>
      <c r="C104" s="26" t="s">
        <v>84</v>
      </c>
      <c r="D104" s="26" t="s">
        <v>421</v>
      </c>
      <c r="E104" s="26" t="s">
        <v>288</v>
      </c>
      <c r="F104" s="26" t="s">
        <v>87</v>
      </c>
      <c r="G104" s="24" t="s">
        <v>458</v>
      </c>
      <c r="H104" s="26" t="n">
        <v>21</v>
      </c>
      <c r="I104" s="83"/>
      <c r="J104" s="84"/>
    </row>
    <row r="105" customFormat="false" ht="15" hidden="false" customHeight="true" outlineLevel="0" collapsed="false">
      <c r="A105" s="24" t="s">
        <v>709</v>
      </c>
      <c r="B105" s="26" t="s">
        <v>710</v>
      </c>
      <c r="C105" s="26" t="s">
        <v>84</v>
      </c>
      <c r="D105" s="26" t="s">
        <v>421</v>
      </c>
      <c r="E105" s="26" t="s">
        <v>288</v>
      </c>
      <c r="F105" s="26" t="s">
        <v>87</v>
      </c>
      <c r="G105" s="24" t="s">
        <v>458</v>
      </c>
      <c r="H105" s="26" t="n">
        <v>8</v>
      </c>
      <c r="I105" s="83"/>
      <c r="J105" s="84"/>
    </row>
    <row r="106" customFormat="false" ht="15" hidden="false" customHeight="true" outlineLevel="0" collapsed="false">
      <c r="A106" s="24" t="s">
        <v>88</v>
      </c>
      <c r="B106" s="26" t="str">
        <f aca="false">IFERROR(IF(ISBLANK(INDEX(Backlog[Requirement Name],MATCH($A106,Backlog[Requirement ID],0))),"",INDEX(Backlog[Requirement Name],MATCH($A106,Backlog[Requirement ID],0))),"")</f>
        <v>Outbound leads - Abandoned Cart - Replacement of Salescycle</v>
      </c>
      <c r="C106" s="26" t="str">
        <f aca="false">IFERROR(IF(ISBLANK(INDEX(Backlog[Stream],MATCH($A106,Backlog[Requirement ID],0))),"",INDEX(Backlog[Stream],MATCH($A106,Backlog[Requirement ID],0))),"")</f>
        <v>US</v>
      </c>
      <c r="D106" s="26" t="str">
        <f aca="false">IFERROR(IF(ISBLANK(INDEX(SprintPlanning[Sprint],MATCH($A106,SprintPlanning[Requirement ID],0))),"",INDEX(SprintPlanning[Sprint],MATCH($A106,SprintPlanning[Requirement ID],0))),"")</f>
        <v>To Plan</v>
      </c>
      <c r="E106" s="26" t="str">
        <f aca="false">IFERROR(IF(ISBLANK(INDEX(Backlog[Status],MATCH($A106,Backlog[Requirement ID],0))),"",INDEX(Backlog[Status],MATCH($A106,Backlog[Requirement ID],0))),"")</f>
        <v>ON HOLD</v>
      </c>
      <c r="F106" s="26" t="str">
        <f aca="false">IFERROR(IF(ISBLANK(INDEX(Backlog[Priority],MATCH($A106,Backlog[Requirement ID],0))),"",INDEX(Backlog[Priority],MATCH($A106,Backlog[Requirement ID],0))),"")</f>
        <v>Medium</v>
      </c>
      <c r="G106" s="24"/>
      <c r="H106" s="26" t="str">
        <f aca="false">IFERROR(IF(ISBLANK(INDEX(Backlog[HLE],MATCH($A106,Backlog[Requirement ID],0))),"",INDEX(Backlog[HLE],MATCH($A106,Backlog[Requirement ID],0))),"")</f>
        <v/>
      </c>
      <c r="I106" s="83"/>
      <c r="J106" s="84"/>
    </row>
    <row r="107" customFormat="false" ht="15" hidden="false" customHeight="true" outlineLevel="0" collapsed="false">
      <c r="A107" s="24" t="s">
        <v>711</v>
      </c>
      <c r="B107" s="26" t="s">
        <v>712</v>
      </c>
      <c r="C107" s="26" t="s">
        <v>84</v>
      </c>
      <c r="D107" s="26" t="s">
        <v>421</v>
      </c>
      <c r="E107" s="26" t="s">
        <v>288</v>
      </c>
      <c r="F107" s="26" t="s">
        <v>87</v>
      </c>
      <c r="G107" s="24" t="s">
        <v>458</v>
      </c>
      <c r="H107" s="26" t="n">
        <v>3</v>
      </c>
      <c r="I107" s="83"/>
      <c r="J107" s="84"/>
    </row>
    <row r="108" customFormat="false" ht="15" hidden="false" customHeight="true" outlineLevel="0" collapsed="false">
      <c r="A108" s="24" t="s">
        <v>713</v>
      </c>
      <c r="B108" s="26" t="s">
        <v>714</v>
      </c>
      <c r="C108" s="26" t="s">
        <v>84</v>
      </c>
      <c r="D108" s="26" t="s">
        <v>421</v>
      </c>
      <c r="E108" s="26" t="s">
        <v>288</v>
      </c>
      <c r="F108" s="26" t="s">
        <v>87</v>
      </c>
      <c r="G108" s="24" t="s">
        <v>458</v>
      </c>
      <c r="H108" s="26" t="n">
        <v>5</v>
      </c>
      <c r="I108" s="83"/>
      <c r="J108" s="84"/>
    </row>
    <row r="109" customFormat="false" ht="15" hidden="false" customHeight="true" outlineLevel="0" collapsed="false">
      <c r="A109" s="24" t="s">
        <v>715</v>
      </c>
      <c r="B109" s="26" t="s">
        <v>716</v>
      </c>
      <c r="C109" s="26" t="s">
        <v>119</v>
      </c>
      <c r="D109" s="26" t="s">
        <v>421</v>
      </c>
      <c r="E109" s="26" t="s">
        <v>288</v>
      </c>
      <c r="F109" s="26" t="s">
        <v>87</v>
      </c>
      <c r="G109" s="24" t="s">
        <v>523</v>
      </c>
      <c r="H109" s="26" t="n">
        <v>2</v>
      </c>
      <c r="I109" s="83"/>
      <c r="J109" s="84"/>
    </row>
    <row r="110" customFormat="false" ht="15" hidden="false" customHeight="true" outlineLevel="0" collapsed="false">
      <c r="A110" s="24" t="s">
        <v>717</v>
      </c>
      <c r="B110" s="26" t="s">
        <v>718</v>
      </c>
      <c r="C110" s="26" t="s">
        <v>119</v>
      </c>
      <c r="D110" s="26" t="s">
        <v>421</v>
      </c>
      <c r="E110" s="26" t="s">
        <v>288</v>
      </c>
      <c r="F110" s="26" t="s">
        <v>87</v>
      </c>
      <c r="G110" s="24"/>
      <c r="H110" s="26" t="n">
        <v>3</v>
      </c>
      <c r="I110" s="83"/>
      <c r="J110" s="84"/>
    </row>
    <row r="111" customFormat="false" ht="15" hidden="false" customHeight="true" outlineLevel="0" collapsed="false">
      <c r="A111" s="24" t="s">
        <v>719</v>
      </c>
      <c r="B111" s="26" t="s">
        <v>720</v>
      </c>
      <c r="C111" s="26" t="s">
        <v>119</v>
      </c>
      <c r="D111" s="26" t="s">
        <v>421</v>
      </c>
      <c r="E111" s="26" t="s">
        <v>288</v>
      </c>
      <c r="F111" s="26" t="s">
        <v>87</v>
      </c>
      <c r="G111" s="24" t="s">
        <v>531</v>
      </c>
      <c r="H111" s="26" t="n">
        <v>2</v>
      </c>
      <c r="I111" s="83"/>
      <c r="J111" s="84"/>
    </row>
    <row r="112" customFormat="false" ht="15" hidden="false" customHeight="true" outlineLevel="0" collapsed="false">
      <c r="A112" s="24" t="s">
        <v>721</v>
      </c>
      <c r="B112" s="26" t="s">
        <v>722</v>
      </c>
      <c r="C112" s="26" t="s">
        <v>257</v>
      </c>
      <c r="D112" s="26" t="s">
        <v>421</v>
      </c>
      <c r="E112" s="26" t="s">
        <v>288</v>
      </c>
      <c r="F112" s="26" t="s">
        <v>87</v>
      </c>
      <c r="G112" s="24" t="s">
        <v>553</v>
      </c>
      <c r="H112" s="26" t="n">
        <v>5</v>
      </c>
      <c r="I112" s="83"/>
      <c r="J112" s="84"/>
    </row>
    <row r="113" customFormat="false" ht="15" hidden="false" customHeight="true" outlineLevel="0" collapsed="false">
      <c r="A113" s="24" t="s">
        <v>723</v>
      </c>
      <c r="B113" s="26" t="s">
        <v>724</v>
      </c>
      <c r="C113" s="26" t="s">
        <v>257</v>
      </c>
      <c r="D113" s="26" t="s">
        <v>421</v>
      </c>
      <c r="E113" s="26" t="s">
        <v>288</v>
      </c>
      <c r="F113" s="26" t="s">
        <v>87</v>
      </c>
      <c r="G113" s="24" t="s">
        <v>553</v>
      </c>
      <c r="H113" s="26" t="n">
        <v>5</v>
      </c>
      <c r="I113" s="83"/>
      <c r="J113" s="84"/>
    </row>
    <row r="114" customFormat="false" ht="15" hidden="false" customHeight="true" outlineLevel="0" collapsed="false">
      <c r="A114" s="24" t="s">
        <v>725</v>
      </c>
      <c r="B114" s="26" t="s">
        <v>726</v>
      </c>
      <c r="C114" s="26" t="s">
        <v>84</v>
      </c>
      <c r="D114" s="26" t="s">
        <v>423</v>
      </c>
      <c r="E114" s="26" t="s">
        <v>288</v>
      </c>
      <c r="F114" s="26" t="s">
        <v>87</v>
      </c>
      <c r="G114" s="24" t="s">
        <v>458</v>
      </c>
      <c r="H114" s="26" t="n">
        <v>5</v>
      </c>
      <c r="I114" s="83"/>
      <c r="J114" s="84"/>
    </row>
    <row r="115" customFormat="false" ht="15" hidden="false" customHeight="true" outlineLevel="0" collapsed="false">
      <c r="A115" s="24" t="s">
        <v>727</v>
      </c>
      <c r="B115" s="26" t="s">
        <v>728</v>
      </c>
      <c r="C115" s="26" t="s">
        <v>84</v>
      </c>
      <c r="D115" s="26" t="s">
        <v>423</v>
      </c>
      <c r="E115" s="26" t="s">
        <v>288</v>
      </c>
      <c r="F115" s="26" t="s">
        <v>87</v>
      </c>
      <c r="G115" s="24" t="s">
        <v>458</v>
      </c>
      <c r="H115" s="26" t="n">
        <v>5</v>
      </c>
      <c r="I115" s="83"/>
      <c r="J115" s="84"/>
    </row>
    <row r="116" customFormat="false" ht="15" hidden="false" customHeight="true" outlineLevel="0" collapsed="false">
      <c r="A116" s="24" t="s">
        <v>729</v>
      </c>
      <c r="B116" s="26" t="s">
        <v>730</v>
      </c>
      <c r="C116" s="26" t="s">
        <v>119</v>
      </c>
      <c r="D116" s="26" t="s">
        <v>423</v>
      </c>
      <c r="E116" s="26" t="s">
        <v>288</v>
      </c>
      <c r="F116" s="26" t="s">
        <v>87</v>
      </c>
      <c r="G116" s="24" t="s">
        <v>531</v>
      </c>
      <c r="H116" s="26" t="n">
        <v>3</v>
      </c>
      <c r="I116" s="83"/>
      <c r="J116" s="84"/>
    </row>
    <row r="117" customFormat="false" ht="15" hidden="false" customHeight="true" outlineLevel="0" collapsed="false">
      <c r="A117" s="24" t="s">
        <v>731</v>
      </c>
      <c r="B117" s="26" t="s">
        <v>732</v>
      </c>
      <c r="C117" s="26" t="s">
        <v>119</v>
      </c>
      <c r="D117" s="26" t="s">
        <v>423</v>
      </c>
      <c r="E117" s="26" t="s">
        <v>288</v>
      </c>
      <c r="F117" s="26" t="s">
        <v>87</v>
      </c>
      <c r="G117" s="24"/>
      <c r="H117" s="26" t="n">
        <v>2</v>
      </c>
      <c r="I117" s="83"/>
      <c r="J117" s="84"/>
    </row>
    <row r="118" customFormat="false" ht="15" hidden="false" customHeight="true" outlineLevel="0" collapsed="false">
      <c r="A118" s="24" t="s">
        <v>733</v>
      </c>
      <c r="B118" s="26" t="s">
        <v>734</v>
      </c>
      <c r="C118" s="26" t="s">
        <v>119</v>
      </c>
      <c r="D118" s="26" t="s">
        <v>423</v>
      </c>
      <c r="E118" s="26" t="s">
        <v>288</v>
      </c>
      <c r="F118" s="26" t="s">
        <v>87</v>
      </c>
      <c r="G118" s="24"/>
      <c r="H118" s="26" t="n">
        <v>3</v>
      </c>
      <c r="I118" s="83"/>
      <c r="J118" s="84"/>
    </row>
    <row r="119" customFormat="false" ht="15" hidden="false" customHeight="true" outlineLevel="0" collapsed="false">
      <c r="A119" s="24" t="s">
        <v>735</v>
      </c>
      <c r="B119" s="26" t="s">
        <v>736</v>
      </c>
      <c r="C119" s="26" t="s">
        <v>84</v>
      </c>
      <c r="D119" s="26" t="s">
        <v>423</v>
      </c>
      <c r="E119" s="26" t="s">
        <v>288</v>
      </c>
      <c r="F119" s="26" t="s">
        <v>87</v>
      </c>
      <c r="G119" s="24" t="s">
        <v>458</v>
      </c>
      <c r="H119" s="26" t="n">
        <v>10</v>
      </c>
      <c r="I119" s="83"/>
      <c r="J119" s="84"/>
    </row>
    <row r="120" customFormat="false" ht="15" hidden="false" customHeight="true" outlineLevel="0" collapsed="false">
      <c r="A120" s="24" t="s">
        <v>737</v>
      </c>
      <c r="B120" s="26" t="s">
        <v>738</v>
      </c>
      <c r="C120" s="26" t="s">
        <v>84</v>
      </c>
      <c r="D120" s="26" t="s">
        <v>423</v>
      </c>
      <c r="E120" s="26" t="s">
        <v>288</v>
      </c>
      <c r="F120" s="26" t="s">
        <v>87</v>
      </c>
      <c r="G120" s="24" t="s">
        <v>458</v>
      </c>
      <c r="H120" s="26" t="n">
        <v>6</v>
      </c>
      <c r="I120" s="83"/>
      <c r="J120" s="84"/>
    </row>
    <row r="121" customFormat="false" ht="15" hidden="false" customHeight="true" outlineLevel="0" collapsed="false">
      <c r="A121" s="24" t="s">
        <v>739</v>
      </c>
      <c r="B121" s="26" t="s">
        <v>740</v>
      </c>
      <c r="C121" s="26" t="s">
        <v>84</v>
      </c>
      <c r="D121" s="26" t="s">
        <v>423</v>
      </c>
      <c r="E121" s="26" t="s">
        <v>288</v>
      </c>
      <c r="F121" s="26" t="s">
        <v>87</v>
      </c>
      <c r="G121" s="24" t="s">
        <v>458</v>
      </c>
      <c r="H121" s="26" t="n">
        <v>5</v>
      </c>
      <c r="I121" s="83"/>
      <c r="J121" s="84"/>
    </row>
    <row r="122" customFormat="false" ht="15" hidden="false" customHeight="true" outlineLevel="0" collapsed="false">
      <c r="A122" s="24" t="s">
        <v>741</v>
      </c>
      <c r="B122" s="26" t="s">
        <v>742</v>
      </c>
      <c r="C122" s="26" t="s">
        <v>119</v>
      </c>
      <c r="D122" s="26" t="s">
        <v>423</v>
      </c>
      <c r="E122" s="26" t="s">
        <v>288</v>
      </c>
      <c r="F122" s="26" t="s">
        <v>87</v>
      </c>
      <c r="G122" s="24"/>
      <c r="H122" s="26" t="n">
        <v>16</v>
      </c>
      <c r="I122" s="83"/>
      <c r="J122" s="84"/>
    </row>
    <row r="123" customFormat="false" ht="15" hidden="false" customHeight="true" outlineLevel="0" collapsed="false">
      <c r="A123" s="24" t="s">
        <v>743</v>
      </c>
      <c r="B123" s="26" t="s">
        <v>744</v>
      </c>
      <c r="C123" s="26" t="s">
        <v>119</v>
      </c>
      <c r="D123" s="26" t="s">
        <v>423</v>
      </c>
      <c r="E123" s="26" t="s">
        <v>288</v>
      </c>
      <c r="F123" s="26" t="s">
        <v>87</v>
      </c>
      <c r="G123" s="24" t="s">
        <v>557</v>
      </c>
      <c r="H123" s="26" t="n">
        <v>8</v>
      </c>
      <c r="I123" s="83"/>
      <c r="J123" s="84"/>
    </row>
    <row r="124" customFormat="false" ht="15" hidden="false" customHeight="true" outlineLevel="0" collapsed="false">
      <c r="A124" s="24" t="s">
        <v>745</v>
      </c>
      <c r="B124" s="26" t="s">
        <v>746</v>
      </c>
      <c r="C124" s="26" t="s">
        <v>119</v>
      </c>
      <c r="D124" s="26" t="s">
        <v>423</v>
      </c>
      <c r="E124" s="26" t="s">
        <v>288</v>
      </c>
      <c r="F124" s="26" t="s">
        <v>87</v>
      </c>
      <c r="G124" s="24" t="s">
        <v>531</v>
      </c>
      <c r="H124" s="26" t="n">
        <v>8</v>
      </c>
      <c r="I124" s="83"/>
      <c r="J124" s="84"/>
    </row>
    <row r="125" customFormat="false" ht="15" hidden="false" customHeight="true" outlineLevel="0" collapsed="false">
      <c r="A125" s="24" t="s">
        <v>747</v>
      </c>
      <c r="B125" s="26" t="s">
        <v>748</v>
      </c>
      <c r="C125" s="26" t="s">
        <v>28</v>
      </c>
      <c r="D125" s="26" t="s">
        <v>423</v>
      </c>
      <c r="E125" s="26" t="s">
        <v>288</v>
      </c>
      <c r="F125" s="26" t="s">
        <v>87</v>
      </c>
      <c r="G125" s="24" t="s">
        <v>553</v>
      </c>
      <c r="H125" s="26" t="n">
        <v>8</v>
      </c>
      <c r="I125" s="83"/>
      <c r="J125" s="84"/>
    </row>
    <row r="126" customFormat="false" ht="15" hidden="false" customHeight="true" outlineLevel="0" collapsed="false">
      <c r="A126" s="24" t="s">
        <v>749</v>
      </c>
      <c r="B126" s="26" t="s">
        <v>750</v>
      </c>
      <c r="C126" s="26" t="s">
        <v>28</v>
      </c>
      <c r="D126" s="26" t="s">
        <v>423</v>
      </c>
      <c r="E126" s="26" t="s">
        <v>288</v>
      </c>
      <c r="F126" s="26" t="s">
        <v>87</v>
      </c>
      <c r="G126" s="24"/>
      <c r="H126" s="26" t="n">
        <v>5</v>
      </c>
      <c r="I126" s="83"/>
      <c r="J126" s="84"/>
    </row>
    <row r="127" customFormat="false" ht="15" hidden="false" customHeight="true" outlineLevel="0" collapsed="false">
      <c r="A127" s="24" t="s">
        <v>751</v>
      </c>
      <c r="B127" s="26" t="s">
        <v>752</v>
      </c>
      <c r="C127" s="26" t="s">
        <v>84</v>
      </c>
      <c r="D127" s="26" t="s">
        <v>424</v>
      </c>
      <c r="E127" s="26" t="s">
        <v>288</v>
      </c>
      <c r="F127" s="26" t="s">
        <v>87</v>
      </c>
      <c r="G127" s="24" t="s">
        <v>458</v>
      </c>
      <c r="H127" s="26" t="n">
        <v>40</v>
      </c>
      <c r="I127" s="83"/>
      <c r="J127" s="84"/>
    </row>
    <row r="128" customFormat="false" ht="15" hidden="false" customHeight="true" outlineLevel="0" collapsed="false">
      <c r="A128" s="24" t="s">
        <v>753</v>
      </c>
      <c r="B128" s="26" t="s">
        <v>754</v>
      </c>
      <c r="C128" s="26" t="s">
        <v>84</v>
      </c>
      <c r="D128" s="26" t="s">
        <v>424</v>
      </c>
      <c r="E128" s="26" t="s">
        <v>288</v>
      </c>
      <c r="F128" s="26" t="s">
        <v>87</v>
      </c>
      <c r="G128" s="24" t="s">
        <v>458</v>
      </c>
      <c r="H128" s="26" t="n">
        <v>8</v>
      </c>
      <c r="I128" s="83"/>
      <c r="J128" s="84"/>
    </row>
    <row r="129" customFormat="false" ht="15" hidden="false" customHeight="true" outlineLevel="0" collapsed="false">
      <c r="A129" s="24" t="s">
        <v>755</v>
      </c>
      <c r="B129" s="26" t="s">
        <v>756</v>
      </c>
      <c r="C129" s="26" t="s">
        <v>84</v>
      </c>
      <c r="D129" s="26" t="s">
        <v>424</v>
      </c>
      <c r="E129" s="26" t="s">
        <v>288</v>
      </c>
      <c r="F129" s="26" t="s">
        <v>87</v>
      </c>
      <c r="G129" s="24" t="s">
        <v>458</v>
      </c>
      <c r="H129" s="26" t="n">
        <v>8</v>
      </c>
      <c r="I129" s="83"/>
      <c r="J129" s="84"/>
    </row>
    <row r="130" customFormat="false" ht="15" hidden="false" customHeight="true" outlineLevel="0" collapsed="false">
      <c r="A130" s="24" t="s">
        <v>757</v>
      </c>
      <c r="B130" s="26" t="s">
        <v>758</v>
      </c>
      <c r="C130" s="26" t="s">
        <v>84</v>
      </c>
      <c r="D130" s="26" t="s">
        <v>424</v>
      </c>
      <c r="E130" s="26" t="s">
        <v>288</v>
      </c>
      <c r="F130" s="26" t="s">
        <v>87</v>
      </c>
      <c r="G130" s="24" t="s">
        <v>458</v>
      </c>
      <c r="H130" s="26" t="n">
        <v>13</v>
      </c>
      <c r="I130" s="83"/>
      <c r="J130" s="84"/>
    </row>
    <row r="131" customFormat="false" ht="15" hidden="false" customHeight="true" outlineLevel="0" collapsed="false">
      <c r="A131" s="24" t="s">
        <v>759</v>
      </c>
      <c r="B131" s="26" t="s">
        <v>760</v>
      </c>
      <c r="C131" s="26" t="s">
        <v>84</v>
      </c>
      <c r="D131" s="26" t="s">
        <v>424</v>
      </c>
      <c r="E131" s="26" t="s">
        <v>288</v>
      </c>
      <c r="F131" s="26" t="s">
        <v>105</v>
      </c>
      <c r="G131" s="24" t="s">
        <v>458</v>
      </c>
      <c r="H131" s="26" t="n">
        <v>5</v>
      </c>
      <c r="I131" s="83"/>
      <c r="J131" s="84"/>
    </row>
    <row r="132" customFormat="false" ht="15" hidden="false" customHeight="true" outlineLevel="0" collapsed="false">
      <c r="A132" s="24" t="s">
        <v>761</v>
      </c>
      <c r="B132" s="26" t="s">
        <v>762</v>
      </c>
      <c r="C132" s="26" t="s">
        <v>119</v>
      </c>
      <c r="D132" s="26" t="s">
        <v>424</v>
      </c>
      <c r="E132" s="26" t="s">
        <v>288</v>
      </c>
      <c r="F132" s="26" t="s">
        <v>87</v>
      </c>
      <c r="G132" s="24" t="s">
        <v>458</v>
      </c>
      <c r="H132" s="26" t="n">
        <v>8</v>
      </c>
      <c r="I132" s="83"/>
      <c r="J132" s="84"/>
    </row>
    <row r="133" customFormat="false" ht="15" hidden="false" customHeight="true" outlineLevel="0" collapsed="false">
      <c r="A133" s="24" t="s">
        <v>763</v>
      </c>
      <c r="B133" s="26" t="s">
        <v>764</v>
      </c>
      <c r="C133" s="26" t="s">
        <v>297</v>
      </c>
      <c r="D133" s="26" t="s">
        <v>424</v>
      </c>
      <c r="E133" s="26" t="s">
        <v>288</v>
      </c>
      <c r="F133" s="26" t="s">
        <v>105</v>
      </c>
      <c r="G133" s="24" t="s">
        <v>458</v>
      </c>
      <c r="H133" s="26" t="n">
        <v>21</v>
      </c>
      <c r="I133" s="83"/>
      <c r="J133" s="84"/>
    </row>
    <row r="134" customFormat="false" ht="15" hidden="false" customHeight="true" outlineLevel="0" collapsed="false">
      <c r="A134" s="24" t="s">
        <v>765</v>
      </c>
      <c r="B134" s="26" t="s">
        <v>766</v>
      </c>
      <c r="C134" s="26" t="s">
        <v>104</v>
      </c>
      <c r="D134" s="26" t="s">
        <v>424</v>
      </c>
      <c r="E134" s="26" t="s">
        <v>288</v>
      </c>
      <c r="F134" s="26" t="s">
        <v>105</v>
      </c>
      <c r="G134" s="24" t="s">
        <v>458</v>
      </c>
      <c r="H134" s="26" t="n">
        <v>5</v>
      </c>
      <c r="I134" s="83"/>
      <c r="J134" s="84"/>
    </row>
    <row r="135" customFormat="false" ht="15" hidden="false" customHeight="true" outlineLevel="0" collapsed="false">
      <c r="A135" s="24" t="s">
        <v>767</v>
      </c>
      <c r="B135" s="26" t="s">
        <v>768</v>
      </c>
      <c r="C135" s="26" t="s">
        <v>257</v>
      </c>
      <c r="D135" s="26" t="s">
        <v>425</v>
      </c>
      <c r="E135" s="26" t="s">
        <v>288</v>
      </c>
      <c r="F135" s="26" t="s">
        <v>87</v>
      </c>
      <c r="G135" s="24"/>
      <c r="H135" s="26" t="n">
        <v>8</v>
      </c>
      <c r="I135" s="83"/>
      <c r="J135" s="84"/>
    </row>
    <row r="136" customFormat="false" ht="15" hidden="false" customHeight="true" outlineLevel="0" collapsed="false">
      <c r="A136" s="24" t="s">
        <v>769</v>
      </c>
      <c r="B136" s="26" t="s">
        <v>770</v>
      </c>
      <c r="C136" s="26" t="s">
        <v>257</v>
      </c>
      <c r="D136" s="26" t="s">
        <v>424</v>
      </c>
      <c r="E136" s="26" t="s">
        <v>288</v>
      </c>
      <c r="F136" s="26" t="s">
        <v>105</v>
      </c>
      <c r="G136" s="24"/>
      <c r="H136" s="26" t="n">
        <v>3</v>
      </c>
      <c r="I136" s="83"/>
      <c r="J136" s="84"/>
    </row>
    <row r="137" customFormat="false" ht="15" hidden="false" customHeight="true" outlineLevel="0" collapsed="false">
      <c r="A137" s="24" t="s">
        <v>771</v>
      </c>
      <c r="B137" s="26" t="s">
        <v>772</v>
      </c>
      <c r="C137" s="26" t="s">
        <v>84</v>
      </c>
      <c r="D137" s="26" t="s">
        <v>425</v>
      </c>
      <c r="E137" s="26" t="s">
        <v>288</v>
      </c>
      <c r="F137" s="26" t="s">
        <v>105</v>
      </c>
      <c r="G137" s="24" t="s">
        <v>469</v>
      </c>
      <c r="H137" s="26" t="n">
        <v>8</v>
      </c>
      <c r="I137" s="83"/>
      <c r="J137" s="84"/>
    </row>
    <row r="138" customFormat="false" ht="15" hidden="false" customHeight="true" outlineLevel="0" collapsed="false">
      <c r="A138" s="24" t="s">
        <v>773</v>
      </c>
      <c r="B138" s="26" t="s">
        <v>774</v>
      </c>
      <c r="C138" s="26" t="s">
        <v>84</v>
      </c>
      <c r="D138" s="26" t="s">
        <v>425</v>
      </c>
      <c r="E138" s="26" t="s">
        <v>288</v>
      </c>
      <c r="F138" s="26" t="s">
        <v>87</v>
      </c>
      <c r="G138" s="24" t="s">
        <v>469</v>
      </c>
      <c r="H138" s="26" t="n">
        <v>5</v>
      </c>
      <c r="I138" s="83"/>
      <c r="J138" s="84"/>
    </row>
    <row r="139" customFormat="false" ht="15" hidden="false" customHeight="true" outlineLevel="0" collapsed="false">
      <c r="A139" s="24" t="s">
        <v>775</v>
      </c>
      <c r="B139" s="26" t="s">
        <v>776</v>
      </c>
      <c r="C139" s="26" t="s">
        <v>84</v>
      </c>
      <c r="D139" s="26" t="s">
        <v>425</v>
      </c>
      <c r="E139" s="26" t="s">
        <v>288</v>
      </c>
      <c r="F139" s="26" t="s">
        <v>105</v>
      </c>
      <c r="G139" s="24" t="s">
        <v>469</v>
      </c>
      <c r="H139" s="26" t="n">
        <v>8</v>
      </c>
      <c r="I139" s="83"/>
      <c r="J139" s="84"/>
    </row>
    <row r="140" customFormat="false" ht="15" hidden="false" customHeight="true" outlineLevel="0" collapsed="false">
      <c r="A140" s="24" t="s">
        <v>777</v>
      </c>
      <c r="B140" s="26" t="s">
        <v>778</v>
      </c>
      <c r="C140" s="26" t="s">
        <v>84</v>
      </c>
      <c r="D140" s="26" t="s">
        <v>425</v>
      </c>
      <c r="E140" s="26" t="s">
        <v>288</v>
      </c>
      <c r="F140" s="26" t="s">
        <v>105</v>
      </c>
      <c r="G140" s="24" t="s">
        <v>469</v>
      </c>
      <c r="H140" s="26" t="n">
        <v>21</v>
      </c>
      <c r="I140" s="83"/>
      <c r="J140" s="84"/>
    </row>
    <row r="141" customFormat="false" ht="15" hidden="false" customHeight="true" outlineLevel="0" collapsed="false">
      <c r="A141" s="24" t="s">
        <v>779</v>
      </c>
      <c r="B141" s="26" t="s">
        <v>780</v>
      </c>
      <c r="C141" s="26" t="s">
        <v>104</v>
      </c>
      <c r="D141" s="26" t="s">
        <v>421</v>
      </c>
      <c r="E141" s="26" t="s">
        <v>288</v>
      </c>
      <c r="F141" s="26" t="s">
        <v>320</v>
      </c>
      <c r="G141" s="24" t="s">
        <v>531</v>
      </c>
      <c r="H141" s="26" t="n">
        <v>5</v>
      </c>
      <c r="I141" s="83"/>
      <c r="J141" s="84"/>
    </row>
    <row r="142" customFormat="false" ht="15" hidden="false" customHeight="true" outlineLevel="0" collapsed="false">
      <c r="A142" s="24" t="s">
        <v>96</v>
      </c>
      <c r="B142" s="26" t="str">
        <f aca="false">IFERROR(IF(ISBLANK(INDEX(Backlog[Requirement Name],MATCH($A142,Backlog[Requirement ID],0))),"",INDEX(Backlog[Requirement Name],MATCH($A142,Backlog[Requirement ID],0))),"")</f>
        <v>ZAF Rollout - Market Configurations in CHAIN1 &amp; CHAIN2 and PROD</v>
      </c>
      <c r="C142" s="26" t="str">
        <f aca="false">IFERROR(IF(ISBLANK(INDEX(Backlog[Stream],MATCH($A142,Backlog[Requirement ID],0))),"",INDEX(Backlog[Stream],MATCH($A142,Backlog[Requirement ID],0))),"")</f>
        <v>MVP Rollout</v>
      </c>
      <c r="D142" s="26" t="str">
        <f aca="false">IFERROR(IF(ISBLANK(INDEX(SprintPlanning[Sprint],MATCH($A142,SprintPlanning[Requirement ID],0))),"",INDEX(SprintPlanning[Sprint],MATCH($A142,SprintPlanning[Requirement ID],0))),"")</f>
        <v>To Plan</v>
      </c>
      <c r="E142" s="26" t="str">
        <f aca="false">IFERROR(IF(ISBLANK(INDEX(Backlog[Status],MATCH($A142,Backlog[Requirement ID],0))),"",INDEX(Backlog[Status],MATCH($A142,Backlog[Requirement ID],0))),"")</f>
        <v>NEW</v>
      </c>
      <c r="F142" s="26" t="str">
        <f aca="false">IFERROR(IF(ISBLANK(INDEX(Backlog[Priority],MATCH($A142,Backlog[Requirement ID],0))),"",INDEX(Backlog[Priority],MATCH($A142,Backlog[Requirement ID],0))),"")</f>
        <v>Medium</v>
      </c>
      <c r="G142" s="24"/>
      <c r="H142" s="26" t="n">
        <f aca="false">IFERROR(IF(ISBLANK(INDEX(Backlog[HLE],MATCH($A142,Backlog[Requirement ID],0))),"",INDEX(Backlog[HLE],MATCH($A142,Backlog[Requirement ID],0))),"")</f>
        <v>8</v>
      </c>
      <c r="I142" s="83"/>
      <c r="J142" s="84"/>
    </row>
    <row r="143" customFormat="false" ht="15" hidden="false" customHeight="true" outlineLevel="0" collapsed="false">
      <c r="A143" s="24" t="s">
        <v>145</v>
      </c>
      <c r="B143" s="26" t="str">
        <f aca="false">IFERROR(IF(ISBLANK(INDEX(Backlog[Requirement Name],MATCH($A143,Backlog[Requirement ID],0))),"",INDEX(Backlog[Requirement Name],MATCH($A143,Backlog[Requirement ID],0))),"")</f>
        <v>PI11-03 [B2C] Flight Enhancement - DTTP25-38915</v>
      </c>
      <c r="C143" s="26" t="str">
        <f aca="false">IFERROR(IF(ISBLANK(INDEX(Backlog[Stream],MATCH($A143,Backlog[Requirement ID],0))),"",INDEX(Backlog[Stream],MATCH($A143,Backlog[Requirement ID],0))),"")</f>
        <v>PI11</v>
      </c>
      <c r="D143" s="26" t="str">
        <f aca="false">IFERROR(IF(ISBLANK(INDEX(SprintPlanning[Sprint],MATCH($A143,SprintPlanning[Requirement ID],0))),"",INDEX(SprintPlanning[Sprint],MATCH($A143,SprintPlanning[Requirement ID],0))),"")</f>
        <v>Sprint 13</v>
      </c>
      <c r="E143" s="26" t="str">
        <f aca="false">IFERROR(IF(ISBLANK(INDEX(Backlog[Status],MATCH($A143,Backlog[Requirement ID],0))),"",INDEX(Backlog[Status],MATCH($A143,Backlog[Requirement ID],0))),"")</f>
        <v>NEW</v>
      </c>
      <c r="F143" s="26" t="str">
        <f aca="false">IFERROR(IF(ISBLANK(INDEX(Backlog[Priority],MATCH($A143,Backlog[Requirement ID],0))),"",INDEX(Backlog[Priority],MATCH($A143,Backlog[Requirement ID],0))),"")</f>
        <v>High</v>
      </c>
      <c r="G143" s="24"/>
      <c r="H143" s="26" t="n">
        <f aca="false">IFERROR(IF(ISBLANK(INDEX(Backlog[HLE],MATCH($A143,Backlog[Requirement ID],0))),"",INDEX(Backlog[HLE],MATCH($A143,Backlog[Requirement ID],0))),"")</f>
        <v>5</v>
      </c>
      <c r="I143" s="83"/>
      <c r="J143" s="84"/>
    </row>
    <row r="144" customFormat="false" ht="15" hidden="false" customHeight="true" outlineLevel="0" collapsed="false">
      <c r="A144" s="24" t="s">
        <v>781</v>
      </c>
      <c r="B144" s="26" t="s">
        <v>782</v>
      </c>
      <c r="C144" s="26" t="s">
        <v>128</v>
      </c>
      <c r="D144" s="26" t="s">
        <v>422</v>
      </c>
      <c r="E144" s="26" t="s">
        <v>288</v>
      </c>
      <c r="F144" s="26" t="s">
        <v>87</v>
      </c>
      <c r="G144" s="24"/>
      <c r="H144" s="26" t="n">
        <v>8</v>
      </c>
      <c r="I144" s="83"/>
      <c r="J144" s="84"/>
    </row>
    <row r="145" customFormat="false" ht="15" hidden="false" customHeight="true" outlineLevel="0" collapsed="false">
      <c r="A145" s="24" t="s">
        <v>174</v>
      </c>
      <c r="B145" s="26" t="str">
        <f aca="false">IFERROR(IF(ISBLANK(INDEX(Backlog[Requirement Name],MATCH($A145,Backlog[Requirement ID],0))),"",INDEX(Backlog[Requirement Name],MATCH($A145,Backlog[Requirement ID],0))),"")</f>
        <v>[EAINT] [CR][INT026][INT133][INT130] Split calls to CMS for excursion/OBS data into chunks</v>
      </c>
      <c r="C145" s="26" t="str">
        <f aca="false">IFERROR(IF(ISBLANK(INDEX(Backlog[Stream],MATCH($A145,Backlog[Requirement ID],0))),"",INDEX(Backlog[Stream],MATCH($A145,Backlog[Requirement ID],0))),"")</f>
        <v>MyMSC</v>
      </c>
      <c r="D145" s="26" t="str">
        <f aca="false">IFERROR(IF(ISBLANK(INDEX(SprintPlanning[Sprint],MATCH($A145,SprintPlanning[Requirement ID],0))),"",INDEX(SprintPlanning[Sprint],MATCH($A145,SprintPlanning[Requirement ID],0))),"")</f>
        <v>To Plan</v>
      </c>
      <c r="E145" s="26" t="str">
        <f aca="false">IFERROR(IF(ISBLANK(INDEX(Backlog[Status],MATCH($A145,Backlog[Requirement ID],0))),"",INDEX(Backlog[Status],MATCH($A145,Backlog[Requirement ID],0))),"")</f>
        <v>NEW</v>
      </c>
      <c r="F145" s="26" t="str">
        <f aca="false">IFERROR(IF(ISBLANK(INDEX(Backlog[Priority],MATCH($A145,Backlog[Requirement ID],0))),"",INDEX(Backlog[Priority],MATCH($A145,Backlog[Requirement ID],0))),"")</f>
        <v>Medium</v>
      </c>
      <c r="G145" s="24"/>
      <c r="H145" s="26" t="n">
        <f aca="false">IFERROR(IF(ISBLANK(INDEX(Backlog[HLE],MATCH($A145,Backlog[Requirement ID],0))),"",INDEX(Backlog[HLE],MATCH($A145,Backlog[Requirement ID],0))),"")</f>
        <v>8</v>
      </c>
      <c r="I145" s="83"/>
      <c r="J145" s="84"/>
    </row>
    <row r="146" customFormat="false" ht="15" hidden="false" customHeight="true" outlineLevel="0" collapsed="false">
      <c r="A146" s="24" t="s">
        <v>783</v>
      </c>
      <c r="B146" s="26" t="s">
        <v>784</v>
      </c>
      <c r="C146" s="26" t="s">
        <v>84</v>
      </c>
      <c r="D146" s="26" t="s">
        <v>425</v>
      </c>
      <c r="E146" s="26" t="s">
        <v>288</v>
      </c>
      <c r="F146" s="26" t="s">
        <v>105</v>
      </c>
      <c r="G146" s="24" t="s">
        <v>469</v>
      </c>
      <c r="H146" s="26" t="n">
        <v>13</v>
      </c>
      <c r="I146" s="83"/>
      <c r="J146" s="84"/>
    </row>
    <row r="147" customFormat="false" ht="15" hidden="false" customHeight="true" outlineLevel="0" collapsed="false">
      <c r="A147" s="24" t="s">
        <v>785</v>
      </c>
      <c r="B147" s="26" t="s">
        <v>786</v>
      </c>
      <c r="C147" s="26" t="s">
        <v>84</v>
      </c>
      <c r="D147" s="26" t="s">
        <v>425</v>
      </c>
      <c r="E147" s="26" t="s">
        <v>288</v>
      </c>
      <c r="F147" s="26" t="s">
        <v>87</v>
      </c>
      <c r="G147" s="24" t="s">
        <v>469</v>
      </c>
      <c r="H147" s="26" t="n">
        <v>5</v>
      </c>
      <c r="I147" s="83"/>
      <c r="J147" s="84"/>
    </row>
    <row r="148" customFormat="false" ht="15" hidden="false" customHeight="true" outlineLevel="0" collapsed="false">
      <c r="A148" s="24" t="s">
        <v>186</v>
      </c>
      <c r="B148" s="26" t="str">
        <f aca="false">IFERROR(IF(ISBLANK(INDEX(Backlog[Requirement Name],MATCH($A148,Backlog[Requirement ID],0))),"",INDEX(Backlog[Requirement Name],MATCH($A148,Backlog[Requirement ID],0))),"")</f>
        <v>Bug fix for cabin logic in INT135.1/135.2</v>
      </c>
      <c r="C148" s="26" t="str">
        <f aca="false">IFERROR(IF(ISBLANK(INDEX(Backlog[Stream],MATCH($A148,Backlog[Requirement ID],0))),"",INDEX(Backlog[Stream],MATCH($A148,Backlog[Requirement ID],0))),"")</f>
        <v>MyMSC</v>
      </c>
      <c r="D148" s="26" t="str">
        <f aca="false">IFERROR(IF(ISBLANK(INDEX(SprintPlanning[Sprint],MATCH($A148,SprintPlanning[Requirement ID],0))),"",INDEX(SprintPlanning[Sprint],MATCH($A148,SprintPlanning[Requirement ID],0))),"")</f>
        <v>To Plan</v>
      </c>
      <c r="E148" s="26" t="str">
        <f aca="false">IFERROR(IF(ISBLANK(INDEX(Backlog[Status],MATCH($A148,Backlog[Requirement ID],0))),"",INDEX(Backlog[Status],MATCH($A148,Backlog[Requirement ID],0))),"")</f>
        <v>NEW</v>
      </c>
      <c r="F148" s="26" t="str">
        <f aca="false">IFERROR(IF(ISBLANK(INDEX(Backlog[Priority],MATCH($A148,Backlog[Requirement ID],0))),"",INDEX(Backlog[Priority],MATCH($A148,Backlog[Requirement ID],0))),"")</f>
        <v>Medium</v>
      </c>
      <c r="G148" s="24"/>
      <c r="H148" s="26" t="n">
        <f aca="false">IFERROR(IF(ISBLANK(INDEX(Backlog[HLE],MATCH($A148,Backlog[Requirement ID],0))),"",INDEX(Backlog[HLE],MATCH($A148,Backlog[Requirement ID],0))),"")</f>
        <v>5</v>
      </c>
      <c r="I148" s="83"/>
      <c r="J148" s="84"/>
    </row>
    <row r="149" customFormat="false" ht="15" hidden="false" customHeight="true" outlineLevel="0" collapsed="false">
      <c r="A149" s="24" t="s">
        <v>787</v>
      </c>
      <c r="B149" s="26" t="s">
        <v>788</v>
      </c>
      <c r="C149" s="26" t="s">
        <v>104</v>
      </c>
      <c r="D149" s="26" t="s">
        <v>425</v>
      </c>
      <c r="E149" s="26" t="s">
        <v>288</v>
      </c>
      <c r="F149" s="26" t="s">
        <v>105</v>
      </c>
      <c r="G149" s="24" t="s">
        <v>469</v>
      </c>
      <c r="H149" s="26" t="n">
        <v>8</v>
      </c>
      <c r="I149" s="83"/>
      <c r="J149" s="84"/>
    </row>
    <row r="150" customFormat="false" ht="15" hidden="false" customHeight="true" outlineLevel="0" collapsed="false">
      <c r="A150" s="24" t="s">
        <v>271</v>
      </c>
      <c r="B150" s="26" t="str">
        <f aca="false">IFERROR(IF(ISBLANK(INDEX(Backlog[Requirement Name],MATCH($A150,Backlog[Requirement ID],0))),"",INDEX(Backlog[Requirement Name],MATCH($A150,Backlog[Requirement ID],0))),"")</f>
        <v>PI11-04 [B2C] Post Cruise Complaint Form Part 2 (Multiple Attachment) - DTTP25-38913</v>
      </c>
      <c r="C150" s="26" t="str">
        <f aca="false">IFERROR(IF(ISBLANK(INDEX(Backlog[Stream],MATCH($A150,Backlog[Requirement ID],0))),"",INDEX(Backlog[Stream],MATCH($A150,Backlog[Requirement ID],0))),"")</f>
        <v>PI11</v>
      </c>
      <c r="D150" s="26" t="str">
        <f aca="false">IFERROR(IF(ISBLANK(INDEX(SprintPlanning[Sprint],MATCH($A150,SprintPlanning[Requirement ID],0))),"",INDEX(SprintPlanning[Sprint],MATCH($A150,SprintPlanning[Requirement ID],0))),"")</f>
        <v>To Plan</v>
      </c>
      <c r="E150" s="26" t="str">
        <f aca="false">IFERROR(IF(ISBLANK(INDEX(Backlog[Status],MATCH($A150,Backlog[Requirement ID],0))),"",INDEX(Backlog[Status],MATCH($A150,Backlog[Requirement ID],0))),"")</f>
        <v>NEW</v>
      </c>
      <c r="F150" s="26" t="str">
        <f aca="false">IFERROR(IF(ISBLANK(INDEX(Backlog[Priority],MATCH($A150,Backlog[Requirement ID],0))),"",INDEX(Backlog[Priority],MATCH($A150,Backlog[Requirement ID],0))),"")</f>
        <v>Medium</v>
      </c>
      <c r="G150" s="24"/>
      <c r="H150" s="26" t="n">
        <f aca="false">IFERROR(IF(ISBLANK(INDEX(Backlog[HLE],MATCH($A150,Backlog[Requirement ID],0))),"",INDEX(Backlog[HLE],MATCH($A150,Backlog[Requirement ID],0))),"")</f>
        <v>21</v>
      </c>
      <c r="I150" s="83"/>
      <c r="J150" s="84"/>
    </row>
    <row r="151" customFormat="false" ht="15" hidden="false" customHeight="true" outlineLevel="0" collapsed="false">
      <c r="A151" s="24" t="s">
        <v>274</v>
      </c>
      <c r="B151" s="26" t="str">
        <f aca="false">IFERROR(IF(ISBLANK(INDEX(Backlog[Requirement Name],MATCH($A151,Backlog[Requirement ID],0))),"",INDEX(Backlog[Requirement Name],MATCH($A151,Backlog[Requirement ID],0))),"")</f>
        <v>PI11-05 [B2C] Accessibility Form - DTTP25-38914</v>
      </c>
      <c r="C151" s="26" t="str">
        <f aca="false">IFERROR(IF(ISBLANK(INDEX(Backlog[Stream],MATCH($A151,Backlog[Requirement ID],0))),"",INDEX(Backlog[Stream],MATCH($A151,Backlog[Requirement ID],0))),"")</f>
        <v>PI11</v>
      </c>
      <c r="D151" s="26" t="str">
        <f aca="false">IFERROR(IF(ISBLANK(INDEX(SprintPlanning[Sprint],MATCH($A151,SprintPlanning[Requirement ID],0))),"",INDEX(SprintPlanning[Sprint],MATCH($A151,SprintPlanning[Requirement ID],0))),"")</f>
        <v>To Plan</v>
      </c>
      <c r="E151" s="26" t="str">
        <f aca="false">IFERROR(IF(ISBLANK(INDEX(Backlog[Status],MATCH($A151,Backlog[Requirement ID],0))),"",INDEX(Backlog[Status],MATCH($A151,Backlog[Requirement ID],0))),"")</f>
        <v>NEW</v>
      </c>
      <c r="F151" s="26" t="str">
        <f aca="false">IFERROR(IF(ISBLANK(INDEX(Backlog[Priority],MATCH($A151,Backlog[Requirement ID],0))),"",INDEX(Backlog[Priority],MATCH($A151,Backlog[Requirement ID],0))),"")</f>
        <v>Medium</v>
      </c>
      <c r="G151" s="24"/>
      <c r="H151" s="26" t="str">
        <f aca="false">IFERROR(IF(ISBLANK(INDEX(Backlog[HLE],MATCH($A151,Backlog[Requirement ID],0))),"",INDEX(Backlog[HLE],MATCH($A151,Backlog[Requirement ID],0))),"")</f>
        <v/>
      </c>
      <c r="I151" s="83"/>
      <c r="J151" s="84"/>
    </row>
    <row r="152" customFormat="false" ht="15" hidden="false" customHeight="true" outlineLevel="0" collapsed="false">
      <c r="A152" s="24" t="s">
        <v>277</v>
      </c>
      <c r="B152" s="26" t="str">
        <f aca="false">IFERROR(IF(ISBLANK(INDEX(Backlog[Requirement Name],MATCH($A152,Backlog[Requirement ID],0))),"",INDEX(Backlog[Requirement Name],MATCH($A152,Backlog[Requirement ID],0))),"")</f>
        <v>PI11-06 [B2C] Cabin Position - DTTP25-40042</v>
      </c>
      <c r="C152" s="26" t="str">
        <f aca="false">IFERROR(IF(ISBLANK(INDEX(Backlog[Stream],MATCH($A152,Backlog[Requirement ID],0))),"",INDEX(Backlog[Stream],MATCH($A152,Backlog[Requirement ID],0))),"")</f>
        <v>PI11</v>
      </c>
      <c r="D152" s="26" t="str">
        <f aca="false">IFERROR(IF(ISBLANK(INDEX(SprintPlanning[Sprint],MATCH($A152,SprintPlanning[Requirement ID],0))),"",INDEX(SprintPlanning[Sprint],MATCH($A152,SprintPlanning[Requirement ID],0))),"")</f>
        <v>Sprint 13</v>
      </c>
      <c r="E152" s="26" t="str">
        <f aca="false">IFERROR(IF(ISBLANK(INDEX(Backlog[Status],MATCH($A152,Backlog[Requirement ID],0))),"",INDEX(Backlog[Status],MATCH($A152,Backlog[Requirement ID],0))),"")</f>
        <v>NEW</v>
      </c>
      <c r="F152" s="26" t="str">
        <f aca="false">IFERROR(IF(ISBLANK(INDEX(Backlog[Priority],MATCH($A152,Backlog[Requirement ID],0))),"",INDEX(Backlog[Priority],MATCH($A152,Backlog[Requirement ID],0))),"")</f>
        <v>High</v>
      </c>
      <c r="G152" s="24"/>
      <c r="H152" s="26" t="n">
        <f aca="false">IFERROR(IF(ISBLANK(INDEX(Backlog[HLE],MATCH($A152,Backlog[Requirement ID],0))),"",INDEX(Backlog[HLE],MATCH($A152,Backlog[Requirement ID],0))),"")</f>
        <v>1</v>
      </c>
      <c r="I152" s="83"/>
      <c r="J152" s="84"/>
    </row>
    <row r="153" customFormat="false" ht="15" hidden="false" customHeight="true" outlineLevel="0" collapsed="false">
      <c r="A153" s="24" t="s">
        <v>789</v>
      </c>
      <c r="B153" s="26" t="s">
        <v>790</v>
      </c>
      <c r="C153" s="26" t="s">
        <v>128</v>
      </c>
      <c r="D153" s="26" t="s">
        <v>422</v>
      </c>
      <c r="E153" s="26" t="s">
        <v>288</v>
      </c>
      <c r="F153" s="26" t="s">
        <v>87</v>
      </c>
      <c r="G153" s="24"/>
      <c r="H153" s="26" t="n">
        <v>13</v>
      </c>
      <c r="I153" s="83"/>
      <c r="J153" s="84"/>
    </row>
    <row r="154" customFormat="false" ht="15" hidden="false" customHeight="true" outlineLevel="0" collapsed="false">
      <c r="A154" s="24" t="s">
        <v>791</v>
      </c>
      <c r="B154" s="26" t="s">
        <v>792</v>
      </c>
      <c r="C154" s="26" t="s">
        <v>128</v>
      </c>
      <c r="D154" s="26" t="s">
        <v>422</v>
      </c>
      <c r="E154" s="26" t="s">
        <v>288</v>
      </c>
      <c r="F154" s="26" t="s">
        <v>87</v>
      </c>
      <c r="G154" s="24"/>
      <c r="H154" s="26" t="n">
        <v>13</v>
      </c>
      <c r="I154" s="83"/>
      <c r="J154" s="84"/>
    </row>
    <row r="155" customFormat="false" ht="15" hidden="false" customHeight="true" outlineLevel="0" collapsed="false">
      <c r="A155" s="24" t="s">
        <v>99</v>
      </c>
      <c r="B155" s="26" t="str">
        <f aca="false">IFERROR(IF(ISBLANK(INDEX(Backlog[Requirement Name],MATCH($A155,Backlog[Requirement ID],0))),"",INDEX(Backlog[Requirement Name],MATCH($A155,Backlog[Requirement ID],0))),"")</f>
        <v>Nordics SWE, DEN, NOR, FIN Rollout - Market Configurations in CHAIN1 &amp; CHAIN2</v>
      </c>
      <c r="C155" s="26" t="str">
        <f aca="false">IFERROR(IF(ISBLANK(INDEX(Backlog[Stream],MATCH($A155,Backlog[Requirement ID],0))),"",INDEX(Backlog[Stream],MATCH($A155,Backlog[Requirement ID],0))),"")</f>
        <v>MVP Rollout</v>
      </c>
      <c r="D155" s="26" t="str">
        <f aca="false">IFERROR(IF(ISBLANK(INDEX(SprintPlanning[Sprint],MATCH($A155,SprintPlanning[Requirement ID],0))),"",INDEX(SprintPlanning[Sprint],MATCH($A155,SprintPlanning[Requirement ID],0))),"")</f>
        <v>To Plan</v>
      </c>
      <c r="E155" s="26" t="str">
        <f aca="false">IFERROR(IF(ISBLANK(INDEX(Backlog[Status],MATCH($A155,Backlog[Requirement ID],0))),"",INDEX(Backlog[Status],MATCH($A155,Backlog[Requirement ID],0))),"")</f>
        <v>NEW</v>
      </c>
      <c r="F155" s="26" t="str">
        <f aca="false">IFERROR(IF(ISBLANK(INDEX(Backlog[Priority],MATCH($A155,Backlog[Requirement ID],0))),"",INDEX(Backlog[Priority],MATCH($A155,Backlog[Requirement ID],0))),"")</f>
        <v>Medium</v>
      </c>
      <c r="G155" s="24"/>
      <c r="H155" s="26" t="n">
        <f aca="false">IFERROR(IF(ISBLANK(INDEX(Backlog[HLE],MATCH($A155,Backlog[Requirement ID],0))),"",INDEX(Backlog[HLE],MATCH($A155,Backlog[Requirement ID],0))),"")</f>
        <v>8</v>
      </c>
      <c r="I155" s="83"/>
      <c r="J155" s="84"/>
    </row>
    <row r="156" customFormat="false" ht="15" hidden="false" customHeight="true" outlineLevel="0" collapsed="false">
      <c r="A156" s="24" t="s">
        <v>101</v>
      </c>
      <c r="B156" s="26" t="str">
        <f aca="false">IFERROR(IF(ISBLANK(INDEX(Backlog[Requirement Name],MATCH($A156,Backlog[Requirement ID],0))),"",INDEX(Backlog[Requirement Name],MATCH($A156,Backlog[Requirement ID],0))),"")</f>
        <v>Nordics SWE, DEN, NOR, FIN Rollout - Market Configurations in Production</v>
      </c>
      <c r="C156" s="26" t="str">
        <f aca="false">IFERROR(IF(ISBLANK(INDEX(Backlog[Stream],MATCH($A156,Backlog[Requirement ID],0))),"",INDEX(Backlog[Stream],MATCH($A156,Backlog[Requirement ID],0))),"")</f>
        <v>MVP Rollout</v>
      </c>
      <c r="D156" s="26" t="str">
        <f aca="false">IFERROR(IF(ISBLANK(INDEX(SprintPlanning[Sprint],MATCH($A156,SprintPlanning[Requirement ID],0))),"",INDEX(SprintPlanning[Sprint],MATCH($A156,SprintPlanning[Requirement ID],0))),"")</f>
        <v>To Plan</v>
      </c>
      <c r="E156" s="26" t="str">
        <f aca="false">IFERROR(IF(ISBLANK(INDEX(Backlog[Status],MATCH($A156,Backlog[Requirement ID],0))),"",INDEX(Backlog[Status],MATCH($A156,Backlog[Requirement ID],0))),"")</f>
        <v>NEW</v>
      </c>
      <c r="F156" s="26" t="str">
        <f aca="false">IFERROR(IF(ISBLANK(INDEX(Backlog[Priority],MATCH($A156,Backlog[Requirement ID],0))),"",INDEX(Backlog[Priority],MATCH($A156,Backlog[Requirement ID],0))),"")</f>
        <v>Medium</v>
      </c>
      <c r="G156" s="24"/>
      <c r="H156" s="26" t="n">
        <f aca="false">IFERROR(IF(ISBLANK(INDEX(Backlog[HLE],MATCH($A156,Backlog[Requirement ID],0))),"",INDEX(Backlog[HLE],MATCH($A156,Backlog[Requirement ID],0))),"")</f>
        <v>8</v>
      </c>
      <c r="I156" s="83"/>
      <c r="J156" s="84"/>
    </row>
    <row r="157" customFormat="false" ht="15" hidden="false" customHeight="true" outlineLevel="0" collapsed="false">
      <c r="A157" s="24" t="s">
        <v>182</v>
      </c>
      <c r="B157" s="26" t="str">
        <f aca="false">IFERROR(IF(ISBLANK(INDEX(Backlog[Requirement Name],MATCH($A157,Backlog[Requirement ID],0))),"",INDEX(Backlog[Requirement Name],MATCH($A157,Backlog[Requirement ID],0))),"")</f>
        <v>Remove of login endpoints from MyMSC EAPI</v>
      </c>
      <c r="C157" s="26" t="str">
        <f aca="false">IFERROR(IF(ISBLANK(INDEX(Backlog[Stream],MATCH($A157,Backlog[Requirement ID],0))),"",INDEX(Backlog[Stream],MATCH($A157,Backlog[Requirement ID],0))),"")</f>
        <v>MyMSC</v>
      </c>
      <c r="D157" s="26" t="str">
        <f aca="false">IFERROR(IF(ISBLANK(INDEX(SprintPlanning[Sprint],MATCH($A157,SprintPlanning[Requirement ID],0))),"",INDEX(SprintPlanning[Sprint],MATCH($A157,SprintPlanning[Requirement ID],0))),"")</f>
        <v>To Plan</v>
      </c>
      <c r="E157" s="26" t="str">
        <f aca="false">IFERROR(IF(ISBLANK(INDEX(Backlog[Status],MATCH($A157,Backlog[Requirement ID],0))),"",INDEX(Backlog[Status],MATCH($A157,Backlog[Requirement ID],0))),"")</f>
        <v>NEW</v>
      </c>
      <c r="F157" s="26" t="str">
        <f aca="false">IFERROR(IF(ISBLANK(INDEX(Backlog[Priority],MATCH($A157,Backlog[Requirement ID],0))),"",INDEX(Backlog[Priority],MATCH($A157,Backlog[Requirement ID],0))),"")</f>
        <v>Medium</v>
      </c>
      <c r="G157" s="24"/>
      <c r="H157" s="26" t="n">
        <f aca="false">IFERROR(IF(ISBLANK(INDEX(Backlog[HLE],MATCH($A157,Backlog[Requirement ID],0))),"",INDEX(Backlog[HLE],MATCH($A157,Backlog[Requirement ID],0))),"")</f>
        <v>8</v>
      </c>
      <c r="I157" s="83"/>
      <c r="J157" s="84"/>
    </row>
    <row r="158" customFormat="false" ht="15" hidden="false" customHeight="true" outlineLevel="0" collapsed="false">
      <c r="A158" s="24" t="s">
        <v>126</v>
      </c>
      <c r="B158" s="26" t="str">
        <f aca="false">IFERROR(IF(ISBLANK(INDEX(Backlog[Requirement Name],MATCH($A158,Backlog[Requirement ID],0))),"",INDEX(Backlog[Requirement Name],MATCH($A158,Backlog[Requirement ID],0))),"")</f>
        <v>Hypercare</v>
      </c>
      <c r="C158" s="26" t="str">
        <f aca="false">IFERROR(IF(ISBLANK(INDEX(Backlog[Stream],MATCH($A158,Backlog[Requirement ID],0))),"",INDEX(Backlog[Stream],MATCH($A158,Backlog[Requirement ID],0))),"")</f>
        <v>US</v>
      </c>
      <c r="D158" s="26" t="str">
        <f aca="false">IFERROR(IF(ISBLANK(INDEX(SprintPlanning[Sprint],MATCH($A158,SprintPlanning[Requirement ID],0))),"",INDEX(SprintPlanning[Sprint],MATCH($A158,SprintPlanning[Requirement ID],0))),"")</f>
        <v>Sprint 12</v>
      </c>
      <c r="E158" s="26" t="str">
        <f aca="false">IFERROR(IF(ISBLANK(INDEX(Backlog[Status],MATCH($A158,Backlog[Requirement ID],0))),"",INDEX(Backlog[Status],MATCH($A158,Backlog[Requirement ID],0))),"")</f>
        <v>IN PROGRESS</v>
      </c>
      <c r="F158" s="26" t="str">
        <f aca="false">IFERROR(IF(ISBLANK(INDEX(Backlog[Priority],MATCH($A158,Backlog[Requirement ID],0))),"",INDEX(Backlog[Priority],MATCH($A158,Backlog[Requirement ID],0))),"")</f>
        <v>High</v>
      </c>
      <c r="G158" s="24"/>
      <c r="H158" s="26" t="n">
        <f aca="false">IFERROR(IF(ISBLANK(INDEX(Backlog[HLE],MATCH($A158,Backlog[Requirement ID],0))),"",INDEX(Backlog[HLE],MATCH($A158,Backlog[Requirement ID],0))),"")</f>
        <v>13</v>
      </c>
      <c r="I158" s="83"/>
      <c r="J158" s="84"/>
    </row>
    <row r="159" customFormat="false" ht="15" hidden="false" customHeight="true" outlineLevel="0" collapsed="false">
      <c r="A159" s="24" t="s">
        <v>268</v>
      </c>
      <c r="B159" s="26" t="str">
        <f aca="false">IFERROR(IF(ISBLANK(INDEX(Backlog[Requirement Name],MATCH($A159,Backlog[Requirement ID],0))),"",INDEX(Backlog[Requirement Name],MATCH($A159,Backlog[Requirement ID],0))),"")</f>
        <v>PI11-07 [B2C] Hold Option (Placeholder - MuleSoft should not be involved)</v>
      </c>
      <c r="C159" s="26" t="str">
        <f aca="false">IFERROR(IF(ISBLANK(INDEX(Backlog[Stream],MATCH($A159,Backlog[Requirement ID],0))),"",INDEX(Backlog[Stream],MATCH($A159,Backlog[Requirement ID],0))),"")</f>
        <v>PI11</v>
      </c>
      <c r="D159" s="26" t="str">
        <f aca="false">IFERROR(IF(ISBLANK(INDEX(SprintPlanning[Sprint],MATCH($A159,SprintPlanning[Requirement ID],0))),"",INDEX(SprintPlanning[Sprint],MATCH($A159,SprintPlanning[Requirement ID],0))),"")</f>
        <v>To Plan</v>
      </c>
      <c r="E159" s="26" t="str">
        <f aca="false">IFERROR(IF(ISBLANK(INDEX(Backlog[Status],MATCH($A159,Backlog[Requirement ID],0))),"",INDEX(Backlog[Status],MATCH($A159,Backlog[Requirement ID],0))),"")</f>
        <v>NEW</v>
      </c>
      <c r="F159" s="26" t="str">
        <f aca="false">IFERROR(IF(ISBLANK(INDEX(Backlog[Priority],MATCH($A159,Backlog[Requirement ID],0))),"",INDEX(Backlog[Priority],MATCH($A159,Backlog[Requirement ID],0))),"")</f>
        <v>Medium</v>
      </c>
      <c r="G159" s="24"/>
      <c r="H159" s="26" t="str">
        <f aca="false">IFERROR(IF(ISBLANK(INDEX(Backlog[HLE],MATCH($A159,Backlog[Requirement ID],0))),"",INDEX(Backlog[HLE],MATCH($A159,Backlog[Requirement ID],0))),"")</f>
        <v/>
      </c>
      <c r="I159" s="83"/>
      <c r="J159" s="84"/>
    </row>
    <row r="160" customFormat="false" ht="15" hidden="false" customHeight="true" outlineLevel="0" collapsed="false">
      <c r="A160" s="24" t="s">
        <v>130</v>
      </c>
      <c r="B160" s="26" t="str">
        <f aca="false">IFERROR(IF(ISBLANK(INDEX(Backlog[Requirement Name],MATCH($A160,Backlog[Requirement ID],0))),"",INDEX(Backlog[Requirement Name],MATCH($A160,Backlog[Requirement ID],0))),"")</f>
        <v>PI11-08 [CDP] [INTP-21] Lead Management - Option event creation in CDP</v>
      </c>
      <c r="C160" s="26" t="str">
        <f aca="false">IFERROR(IF(ISBLANK(INDEX(Backlog[Stream],MATCH($A160,Backlog[Requirement ID],0))),"",INDEX(Backlog[Stream],MATCH($A160,Backlog[Requirement ID],0))),"")</f>
        <v>PI11</v>
      </c>
      <c r="D160" s="26" t="str">
        <f aca="false">IFERROR(IF(ISBLANK(INDEX(SprintPlanning[Sprint],MATCH($A160,SprintPlanning[Requirement ID],0))),"",INDEX(SprintPlanning[Sprint],MATCH($A160,SprintPlanning[Requirement ID],0))),"")</f>
        <v>To Plan</v>
      </c>
      <c r="E160" s="26" t="str">
        <f aca="false">IFERROR(IF(ISBLANK(INDEX(Backlog[Status],MATCH($A160,Backlog[Requirement ID],0))),"",INDEX(Backlog[Status],MATCH($A160,Backlog[Requirement ID],0))),"")</f>
        <v>NEW</v>
      </c>
      <c r="F160" s="26" t="str">
        <f aca="false">IFERROR(IF(ISBLANK(INDEX(Backlog[Priority],MATCH($A160,Backlog[Requirement ID],0))),"",INDEX(Backlog[Priority],MATCH($A160,Backlog[Requirement ID],0))),"")</f>
        <v>Medium</v>
      </c>
      <c r="G160" s="24"/>
      <c r="H160" s="26" t="n">
        <f aca="false">IFERROR(IF(ISBLANK(INDEX(Backlog[HLE],MATCH($A160,Backlog[Requirement ID],0))),"",INDEX(Backlog[HLE],MATCH($A160,Backlog[Requirement ID],0))),"")</f>
        <v>5</v>
      </c>
      <c r="I160" s="83"/>
      <c r="J160" s="84"/>
    </row>
    <row r="161" customFormat="false" ht="15" hidden="false" customHeight="true" outlineLevel="0" collapsed="false">
      <c r="A161" s="24" t="s">
        <v>134</v>
      </c>
      <c r="B161" s="26" t="str">
        <f aca="false">IFERROR(IF(ISBLANK(INDEX(Backlog[Requirement Name],MATCH($A161,Backlog[Requirement ID],0))),"",INDEX(Backlog[Requirement Name],MATCH($A161,Backlog[Requirement ID],0))),"")</f>
        <v>PI11-11 [CRM] [EA-1008] DTTP - Lead Management - FCC new outbound sources</v>
      </c>
      <c r="C161" s="26" t="str">
        <f aca="false">IFERROR(IF(ISBLANK(INDEX(Backlog[Stream],MATCH($A161,Backlog[Requirement ID],0))),"",INDEX(Backlog[Stream],MATCH($A161,Backlog[Requirement ID],0))),"")</f>
        <v>PI11</v>
      </c>
      <c r="D161" s="26" t="str">
        <f aca="false">IFERROR(IF(ISBLANK(INDEX(SprintPlanning[Sprint],MATCH($A161,SprintPlanning[Requirement ID],0))),"",INDEX(SprintPlanning[Sprint],MATCH($A161,SprintPlanning[Requirement ID],0))),"")</f>
        <v>To Plan</v>
      </c>
      <c r="E161" s="26" t="str">
        <f aca="false">IFERROR(IF(ISBLANK(INDEX(Backlog[Status],MATCH($A161,Backlog[Requirement ID],0))),"",INDEX(Backlog[Status],MATCH($A161,Backlog[Requirement ID],0))),"")</f>
        <v>NA</v>
      </c>
      <c r="F161" s="26" t="str">
        <f aca="false">IFERROR(IF(ISBLANK(INDEX(Backlog[Priority],MATCH($A161,Backlog[Requirement ID],0))),"",INDEX(Backlog[Priority],MATCH($A161,Backlog[Requirement ID],0))),"")</f>
        <v>Medium</v>
      </c>
      <c r="G161" s="24"/>
      <c r="H161" s="26" t="n">
        <f aca="false">IFERROR(IF(ISBLANK(INDEX(Backlog[HLE],MATCH($A161,Backlog[Requirement ID],0))),"",INDEX(Backlog[HLE],MATCH($A161,Backlog[Requirement ID],0))),"")</f>
        <v>8</v>
      </c>
      <c r="I161" s="83"/>
      <c r="J161" s="84"/>
    </row>
    <row r="162" customFormat="false" ht="15" hidden="false" customHeight="true" outlineLevel="0" collapsed="false">
      <c r="A162" s="24" t="s">
        <v>138</v>
      </c>
      <c r="B162" s="26" t="str">
        <f aca="false">IFERROR(IF(ISBLANK(INDEX(Backlog[Requirement Name],MATCH($A162,Backlog[Requirement ID],0))),"",INDEX(Backlog[Requirement Name],MATCH($A162,Backlog[Requirement ID],0))),"")</f>
        <v>PI11-12 [CDP/CRM] CRM2-11097 / [INTP-20] Lead Management - IRL Outbound Sources Activation &amp; Form Creation</v>
      </c>
      <c r="C162" s="26" t="str">
        <f aca="false">IFERROR(IF(ISBLANK(INDEX(Backlog[Stream],MATCH($A162,Backlog[Requirement ID],0))),"",INDEX(Backlog[Stream],MATCH($A162,Backlog[Requirement ID],0))),"")</f>
        <v>PI11</v>
      </c>
      <c r="D162" s="26" t="str">
        <f aca="false">IFERROR(IF(ISBLANK(INDEX(SprintPlanning[Sprint],MATCH($A162,SprintPlanning[Requirement ID],0))),"",INDEX(SprintPlanning[Sprint],MATCH($A162,SprintPlanning[Requirement ID],0))),"")</f>
        <v>To Plan</v>
      </c>
      <c r="E162" s="26" t="str">
        <f aca="false">IFERROR(IF(ISBLANK(INDEX(Backlog[Status],MATCH($A162,Backlog[Requirement ID],0))),"",INDEX(Backlog[Status],MATCH($A162,Backlog[Requirement ID],0))),"")</f>
        <v>NEW</v>
      </c>
      <c r="F162" s="26" t="str">
        <f aca="false">IFERROR(IF(ISBLANK(INDEX(Backlog[Priority],MATCH($A162,Backlog[Requirement ID],0))),"",INDEX(Backlog[Priority],MATCH($A162,Backlog[Requirement ID],0))),"")</f>
        <v>Medium</v>
      </c>
      <c r="G162" s="24"/>
      <c r="H162" s="26" t="n">
        <f aca="false">IFERROR(IF(ISBLANK(INDEX(Backlog[HLE],MATCH($A162,Backlog[Requirement ID],0))),"",INDEX(Backlog[HLE],MATCH($A162,Backlog[Requirement ID],0))),"")</f>
        <v>5</v>
      </c>
      <c r="I162" s="83"/>
      <c r="J162" s="84"/>
    </row>
    <row r="163" customFormat="false" ht="15" hidden="false" customHeight="true" outlineLevel="0" collapsed="false">
      <c r="A163" s="24" t="s">
        <v>112</v>
      </c>
      <c r="B163" s="26" t="str">
        <f aca="false">IFERROR(IF(ISBLANK(INDEX(Backlog[Requirement Name],MATCH($A163,Backlog[Requirement ID],0))),"",INDEX(Backlog[Requirement Name],MATCH($A163,Backlog[Requirement ID],0))),"")</f>
        <v>Whatsapp Subscription (Phase 1)</v>
      </c>
      <c r="C163" s="26" t="str">
        <f aca="false">IFERROR(IF(ISBLANK(INDEX(Backlog[Stream],MATCH($A163,Backlog[Requirement ID],0))),"",INDEX(Backlog[Stream],MATCH($A163,Backlog[Requirement ID],0))),"")</f>
        <v>Backlog</v>
      </c>
      <c r="D163" s="26" t="str">
        <f aca="false">IFERROR(IF(ISBLANK(INDEX(SprintPlanning[Sprint],MATCH($A163,SprintPlanning[Requirement ID],0))),"",INDEX(SprintPlanning[Sprint],MATCH($A163,SprintPlanning[Requirement ID],0))),"")</f>
        <v>Sprint 14</v>
      </c>
      <c r="E163" s="26" t="str">
        <f aca="false">IFERROR(IF(ISBLANK(INDEX(Backlog[Status],MATCH($A163,Backlog[Requirement ID],0))),"",INDEX(Backlog[Status],MATCH($A163,Backlog[Requirement ID],0))),"")</f>
        <v>NEW</v>
      </c>
      <c r="F163" s="26" t="str">
        <f aca="false">IFERROR(IF(ISBLANK(INDEX(Backlog[Priority],MATCH($A163,Backlog[Requirement ID],0))),"",INDEX(Backlog[Priority],MATCH($A163,Backlog[Requirement ID],0))),"")</f>
        <v>Medium</v>
      </c>
      <c r="G163" s="24"/>
      <c r="H163" s="26" t="n">
        <f aca="false">IFERROR(IF(ISBLANK(INDEX(Backlog[HLE],MATCH($A163,Backlog[Requirement ID],0))),"",INDEX(Backlog[HLE],MATCH($A163,Backlog[Requirement ID],0))),"")</f>
        <v>13</v>
      </c>
      <c r="I163" s="83"/>
      <c r="J163" s="84"/>
    </row>
    <row r="164" customFormat="false" ht="15" hidden="false" customHeight="true" outlineLevel="0" collapsed="false">
      <c r="A164" s="24" t="s">
        <v>117</v>
      </c>
      <c r="B164" s="26" t="str">
        <f aca="false">IFERROR(IF(ISBLANK(INDEX(Backlog[Requirement Name],MATCH($A164,Backlog[Requirement ID],0))),"",INDEX(Backlog[Requirement Name],MATCH($A164,Backlog[Requirement ID],0))),"")</f>
        <v>Friends and Family INT 157</v>
      </c>
      <c r="C164" s="26" t="str">
        <f aca="false">IFERROR(IF(ISBLANK(INDEX(Backlog[Stream],MATCH($A164,Backlog[Requirement ID],0))),"",INDEX(Backlog[Stream],MATCH($A164,Backlog[Requirement ID],0))),"")</f>
        <v>Backlog</v>
      </c>
      <c r="D164" s="26" t="str">
        <f aca="false">IFERROR(IF(ISBLANK(INDEX(SprintPlanning[Sprint],MATCH($A164,SprintPlanning[Requirement ID],0))),"",INDEX(SprintPlanning[Sprint],MATCH($A164,SprintPlanning[Requirement ID],0))),"")</f>
        <v>Sprint 13</v>
      </c>
      <c r="E164" s="26" t="str">
        <f aca="false">IFERROR(IF(ISBLANK(INDEX(Backlog[Status],MATCH($A164,Backlog[Requirement ID],0))),"",INDEX(Backlog[Status],MATCH($A164,Backlog[Requirement ID],0))),"")</f>
        <v>NEW</v>
      </c>
      <c r="F164" s="26" t="str">
        <f aca="false">IFERROR(IF(ISBLANK(INDEX(Backlog[Priority],MATCH($A164,Backlog[Requirement ID],0))),"",INDEX(Backlog[Priority],MATCH($A164,Backlog[Requirement ID],0))),"")</f>
        <v>High</v>
      </c>
      <c r="G164" s="24"/>
      <c r="H164" s="26" t="n">
        <f aca="false">IFERROR(IF(ISBLANK(INDEX(Backlog[HLE],MATCH($A164,Backlog[Requirement ID],0))),"",INDEX(Backlog[HLE],MATCH($A164,Backlog[Requirement ID],0))),"")</f>
        <v>21</v>
      </c>
      <c r="I164" s="83"/>
      <c r="J164" s="84"/>
    </row>
    <row r="165" customFormat="false" ht="15" hidden="false" customHeight="true" outlineLevel="0" collapsed="false">
      <c r="A165" s="24" t="s">
        <v>793</v>
      </c>
      <c r="B165" s="26" t="s">
        <v>794</v>
      </c>
      <c r="C165" s="26" t="s">
        <v>119</v>
      </c>
      <c r="D165" s="26" t="s">
        <v>426</v>
      </c>
      <c r="E165" s="26" t="s">
        <v>288</v>
      </c>
      <c r="F165" s="26" t="s">
        <v>87</v>
      </c>
      <c r="G165" s="24"/>
      <c r="H165" s="26" t="n">
        <v>23</v>
      </c>
      <c r="I165" s="83"/>
      <c r="J165" s="84"/>
    </row>
    <row r="166" customFormat="false" ht="15" hidden="false" customHeight="true" outlineLevel="0" collapsed="false">
      <c r="A166" s="24" t="s">
        <v>121</v>
      </c>
      <c r="B166" s="26" t="str">
        <f aca="false">IFERROR(IF(ISBLANK(INDEX(Backlog[Requirement Name],MATCH($A166,Backlog[Requirement ID],0))),"",INDEX(Backlog[Requirement Name],MATCH($A166,Backlog[Requirement ID],0))),"")</f>
        <v>Handling of additional errors INT 139/ INT 140</v>
      </c>
      <c r="C166" s="26" t="str">
        <f aca="false">IFERROR(IF(ISBLANK(INDEX(Backlog[Stream],MATCH($A166,Backlog[Requirement ID],0))),"",INDEX(Backlog[Stream],MATCH($A166,Backlog[Requirement ID],0))),"")</f>
        <v>MyMSC</v>
      </c>
      <c r="D166" s="26" t="str">
        <f aca="false">IFERROR(IF(ISBLANK(INDEX(SprintPlanning[Sprint],MATCH($A166,SprintPlanning[Requirement ID],0))),"",INDEX(SprintPlanning[Sprint],MATCH($A166,SprintPlanning[Requirement ID],0))),"")</f>
        <v>To Plan</v>
      </c>
      <c r="E166" s="26" t="str">
        <f aca="false">IFERROR(IF(ISBLANK(INDEX(Backlog[Status],MATCH($A166,Backlog[Requirement ID],0))),"",INDEX(Backlog[Status],MATCH($A166,Backlog[Requirement ID],0))),"")</f>
        <v>ON HOLD</v>
      </c>
      <c r="F166" s="26" t="str">
        <f aca="false">IFERROR(IF(ISBLANK(INDEX(Backlog[Priority],MATCH($A166,Backlog[Requirement ID],0))),"",INDEX(Backlog[Priority],MATCH($A166,Backlog[Requirement ID],0))),"")</f>
        <v>Medium</v>
      </c>
      <c r="G166" s="24"/>
      <c r="H166" s="26" t="n">
        <f aca="false">IFERROR(IF(ISBLANK(INDEX(Backlog[HLE],MATCH($A166,Backlog[Requirement ID],0))),"",INDEX(Backlog[HLE],MATCH($A166,Backlog[Requirement ID],0))),"")</f>
        <v>8</v>
      </c>
      <c r="I166" s="83"/>
      <c r="J166" s="84"/>
    </row>
    <row r="167" customFormat="false" ht="15" hidden="false" customHeight="true" outlineLevel="0" collapsed="false">
      <c r="A167" s="24" t="s">
        <v>795</v>
      </c>
      <c r="B167" s="26" t="s">
        <v>796</v>
      </c>
      <c r="C167" s="26" t="s">
        <v>119</v>
      </c>
      <c r="D167" s="26" t="s">
        <v>424</v>
      </c>
      <c r="E167" s="26" t="s">
        <v>288</v>
      </c>
      <c r="F167" s="26" t="s">
        <v>87</v>
      </c>
      <c r="G167" s="24"/>
      <c r="H167" s="26" t="n">
        <v>8</v>
      </c>
      <c r="I167" s="83"/>
      <c r="J167" s="84"/>
    </row>
    <row r="168" customFormat="false" ht="15" hidden="false" customHeight="true" outlineLevel="0" collapsed="false">
      <c r="A168" s="1" t="s">
        <v>797</v>
      </c>
      <c r="B168" s="1" t="s">
        <v>798</v>
      </c>
      <c r="C168" s="1" t="s">
        <v>119</v>
      </c>
      <c r="D168" s="1" t="s">
        <v>424</v>
      </c>
      <c r="E168" s="1" t="s">
        <v>288</v>
      </c>
      <c r="F168" s="1" t="s">
        <v>87</v>
      </c>
      <c r="G168" s="23" t="s">
        <v>458</v>
      </c>
      <c r="H168" s="1" t="n">
        <v>5</v>
      </c>
      <c r="I168" s="83"/>
      <c r="J168" s="84"/>
    </row>
    <row r="169" customFormat="false" ht="15" hidden="false" customHeight="true" outlineLevel="0" collapsed="false">
      <c r="A169" s="1" t="s">
        <v>799</v>
      </c>
      <c r="B169" s="1" t="s">
        <v>800</v>
      </c>
      <c r="C169" s="1" t="s">
        <v>91</v>
      </c>
      <c r="D169" s="1" t="s">
        <v>423</v>
      </c>
      <c r="E169" s="1" t="s">
        <v>288</v>
      </c>
      <c r="F169" s="1" t="s">
        <v>87</v>
      </c>
      <c r="G169" s="23" t="s">
        <v>458</v>
      </c>
      <c r="H169" s="1" t="n">
        <v>8</v>
      </c>
      <c r="I169" s="83"/>
      <c r="J169" s="84"/>
    </row>
    <row r="170" customFormat="false" ht="15" hidden="false" customHeight="true" outlineLevel="0" collapsed="false">
      <c r="A170" s="1" t="s">
        <v>801</v>
      </c>
      <c r="B170" s="1" t="s">
        <v>802</v>
      </c>
      <c r="C170" s="1" t="s">
        <v>119</v>
      </c>
      <c r="D170" s="1" t="s">
        <v>423</v>
      </c>
      <c r="E170" s="1" t="s">
        <v>288</v>
      </c>
      <c r="F170" s="1" t="s">
        <v>87</v>
      </c>
      <c r="G170" s="23" t="s">
        <v>557</v>
      </c>
      <c r="H170" s="1" t="n">
        <v>13</v>
      </c>
      <c r="I170" s="83"/>
      <c r="J170" s="84"/>
    </row>
    <row r="171" customFormat="false" ht="15" hidden="false" customHeight="true" outlineLevel="0" collapsed="false">
      <c r="A171" s="1" t="s">
        <v>803</v>
      </c>
      <c r="B171" s="1" t="s">
        <v>804</v>
      </c>
      <c r="C171" s="1" t="s">
        <v>104</v>
      </c>
      <c r="D171" s="1" t="s">
        <v>415</v>
      </c>
      <c r="E171" s="1" t="s">
        <v>288</v>
      </c>
      <c r="F171" s="1" t="s">
        <v>87</v>
      </c>
      <c r="G171" s="23" t="s">
        <v>531</v>
      </c>
      <c r="I171" s="83"/>
      <c r="J171" s="84"/>
    </row>
    <row r="172" customFormat="false" ht="15" hidden="false" customHeight="true" outlineLevel="0" collapsed="false">
      <c r="A172" s="1" t="s">
        <v>805</v>
      </c>
      <c r="B172" s="1" t="s">
        <v>806</v>
      </c>
      <c r="C172" s="1" t="s">
        <v>104</v>
      </c>
      <c r="D172" s="1" t="s">
        <v>421</v>
      </c>
      <c r="E172" s="1" t="s">
        <v>288</v>
      </c>
      <c r="F172" s="1" t="s">
        <v>320</v>
      </c>
      <c r="G172" s="23" t="s">
        <v>531</v>
      </c>
      <c r="H172" s="1" t="n">
        <v>13</v>
      </c>
      <c r="I172" s="83"/>
      <c r="J172" s="84"/>
    </row>
    <row r="173" customFormat="false" ht="15" hidden="false" customHeight="true" outlineLevel="0" collapsed="false">
      <c r="A173" s="1" t="s">
        <v>807</v>
      </c>
      <c r="B173" s="1" t="s">
        <v>808</v>
      </c>
      <c r="C173" s="1" t="s">
        <v>104</v>
      </c>
      <c r="D173" s="1" t="s">
        <v>421</v>
      </c>
      <c r="E173" s="1" t="s">
        <v>288</v>
      </c>
      <c r="F173" s="1" t="s">
        <v>320</v>
      </c>
      <c r="G173" s="23" t="s">
        <v>531</v>
      </c>
      <c r="H173" s="1" t="n">
        <v>5</v>
      </c>
      <c r="I173" s="83"/>
      <c r="J173" s="84"/>
    </row>
    <row r="174" customFormat="false" ht="15" hidden="false" customHeight="true" outlineLevel="0" collapsed="false">
      <c r="A174" s="1" t="s">
        <v>809</v>
      </c>
      <c r="B174" s="1" t="s">
        <v>810</v>
      </c>
      <c r="C174" s="1" t="s">
        <v>91</v>
      </c>
      <c r="D174" s="1" t="s">
        <v>421</v>
      </c>
      <c r="E174" s="1" t="s">
        <v>288</v>
      </c>
      <c r="F174" s="1" t="s">
        <v>87</v>
      </c>
      <c r="G174" s="23" t="s">
        <v>531</v>
      </c>
      <c r="H174" s="1" t="n">
        <v>8</v>
      </c>
      <c r="I174" s="83"/>
      <c r="J174" s="84"/>
    </row>
    <row r="175" customFormat="false" ht="15" hidden="false" customHeight="true" outlineLevel="0" collapsed="false">
      <c r="A175" s="1" t="s">
        <v>811</v>
      </c>
      <c r="B175" s="1" t="s">
        <v>812</v>
      </c>
      <c r="C175" s="1" t="s">
        <v>104</v>
      </c>
      <c r="D175" s="1" t="s">
        <v>415</v>
      </c>
      <c r="E175" s="1" t="s">
        <v>288</v>
      </c>
      <c r="F175" s="1" t="s">
        <v>87</v>
      </c>
      <c r="G175" s="23" t="s">
        <v>496</v>
      </c>
      <c r="H175" s="1" t="n">
        <v>3</v>
      </c>
      <c r="I175" s="83"/>
      <c r="J175" s="84"/>
    </row>
    <row r="176" customFormat="false" ht="15" hidden="false" customHeight="true" outlineLevel="0" collapsed="false">
      <c r="A176" s="1" t="s">
        <v>813</v>
      </c>
      <c r="B176" s="1" t="s">
        <v>814</v>
      </c>
      <c r="C176" s="1" t="s">
        <v>104</v>
      </c>
      <c r="D176" s="1" t="s">
        <v>425</v>
      </c>
      <c r="E176" s="1" t="s">
        <v>288</v>
      </c>
      <c r="F176" s="1" t="s">
        <v>105</v>
      </c>
      <c r="G176" s="23" t="s">
        <v>815</v>
      </c>
      <c r="H176" s="1" t="n">
        <v>5</v>
      </c>
      <c r="I176" s="83"/>
      <c r="J176" s="84"/>
    </row>
    <row r="177" customFormat="false" ht="15" hidden="false" customHeight="true" outlineLevel="0" collapsed="false">
      <c r="A177" s="1" t="s">
        <v>816</v>
      </c>
      <c r="B177" s="1" t="s">
        <v>817</v>
      </c>
      <c r="C177" s="1" t="s">
        <v>104</v>
      </c>
      <c r="D177" s="1" t="s">
        <v>426</v>
      </c>
      <c r="E177" s="1" t="s">
        <v>288</v>
      </c>
      <c r="F177" s="1" t="s">
        <v>105</v>
      </c>
      <c r="G177" s="23" t="s">
        <v>815</v>
      </c>
      <c r="H177" s="1" t="n">
        <v>13</v>
      </c>
      <c r="I177" s="83"/>
      <c r="J177" s="84"/>
    </row>
    <row r="178" customFormat="false" ht="15" hidden="false" customHeight="true" outlineLevel="0" collapsed="false">
      <c r="A178" s="1" t="s">
        <v>108</v>
      </c>
      <c r="B178" s="1" t="str">
        <f aca="false">IFERROR(IF(ISBLANK(INDEX(Backlog[Requirement Name],MATCH($A178,Backlog[Requirement ID],0))),"",INDEX(Backlog[Requirement Name],MATCH($A178,Backlog[Requirement ID],0))),"")</f>
        <v>US Growth - M4M Payment billing data/ US Release AVS Check (Adding the fields in M4M transaction init)</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To Plan</v>
      </c>
      <c r="E178" s="1" t="str">
        <f aca="false">IFERROR(IF(ISBLANK(INDEX(Backlog[Status],MATCH($A178,Backlog[Requirement ID],0))),"",INDEX(Backlog[Status],MATCH($A178,Backlog[Requirement ID],0))),"")</f>
        <v>ON HOLD</v>
      </c>
      <c r="F178" s="1" t="str">
        <f aca="false">IFERROR(IF(ISBLANK(INDEX(Backlog[Priority],MATCH($A178,Backlog[Requirement ID],0))),"",INDEX(Backlog[Priority],MATCH($A178,Backlog[Requirement ID],0))),"")</f>
        <v>High</v>
      </c>
      <c r="G178" s="23"/>
      <c r="H178" s="1" t="n">
        <f aca="false">IFERROR(IF(ISBLANK(INDEX(Backlog[HLE],MATCH($A178,Backlog[Requirement ID],0))),"",INDEX(Backlog[HLE],MATCH($A178,Backlog[Requirement ID],0))),"")</f>
        <v>8</v>
      </c>
      <c r="I178" s="83"/>
      <c r="J178" s="84"/>
    </row>
    <row r="179" customFormat="false" ht="15" hidden="false" customHeight="true" outlineLevel="0" collapsed="false">
      <c r="A179" s="1" t="s">
        <v>818</v>
      </c>
      <c r="B179" s="1" t="s">
        <v>819</v>
      </c>
      <c r="C179" s="1" t="s">
        <v>84</v>
      </c>
      <c r="D179" s="1" t="s">
        <v>425</v>
      </c>
      <c r="E179" s="1" t="s">
        <v>288</v>
      </c>
      <c r="F179" s="1" t="s">
        <v>105</v>
      </c>
      <c r="G179" s="23"/>
      <c r="H179" s="1" t="n">
        <v>21</v>
      </c>
      <c r="I179" s="83"/>
      <c r="J179" s="84"/>
    </row>
    <row r="180" customFormat="false" ht="15" hidden="false" customHeight="true" outlineLevel="0" collapsed="false">
      <c r="A180" s="1" t="s">
        <v>820</v>
      </c>
      <c r="B180" s="1" t="s">
        <v>821</v>
      </c>
      <c r="C180" s="1" t="s">
        <v>297</v>
      </c>
      <c r="D180" s="1" t="s">
        <v>425</v>
      </c>
      <c r="E180" s="1" t="s">
        <v>288</v>
      </c>
      <c r="F180" s="1" t="s">
        <v>105</v>
      </c>
      <c r="G180" s="23"/>
      <c r="H180" s="1" t="n">
        <v>13</v>
      </c>
      <c r="I180" s="83"/>
      <c r="J180" s="84"/>
    </row>
    <row r="181" customFormat="false" ht="15" hidden="false" customHeight="true" outlineLevel="0" collapsed="false">
      <c r="A181" s="1" t="s">
        <v>822</v>
      </c>
      <c r="B181" s="1" t="s">
        <v>823</v>
      </c>
      <c r="C181" s="1" t="s">
        <v>28</v>
      </c>
      <c r="D181" s="1" t="s">
        <v>415</v>
      </c>
      <c r="E181" s="1" t="s">
        <v>288</v>
      </c>
      <c r="F181" s="1" t="s">
        <v>87</v>
      </c>
      <c r="G181" s="23"/>
      <c r="I181" s="83"/>
      <c r="J181" s="84"/>
    </row>
    <row r="182" customFormat="false" ht="15" hidden="false" customHeight="true" outlineLevel="0" collapsed="false">
      <c r="A182" s="1" t="s">
        <v>824</v>
      </c>
      <c r="B182" s="1" t="s">
        <v>825</v>
      </c>
      <c r="C182" s="1" t="s">
        <v>28</v>
      </c>
      <c r="D182" s="1" t="s">
        <v>415</v>
      </c>
      <c r="E182" s="1" t="s">
        <v>288</v>
      </c>
      <c r="F182" s="1" t="s">
        <v>87</v>
      </c>
      <c r="G182" s="23"/>
      <c r="I182" s="83"/>
      <c r="J182" s="84"/>
    </row>
    <row r="183" customFormat="false" ht="15" hidden="false" customHeight="true" outlineLevel="0" collapsed="false">
      <c r="A183" s="1" t="s">
        <v>826</v>
      </c>
      <c r="B183" s="1" t="s">
        <v>827</v>
      </c>
      <c r="C183" s="1" t="s">
        <v>257</v>
      </c>
      <c r="D183" s="1" t="s">
        <v>424</v>
      </c>
      <c r="E183" s="1" t="s">
        <v>288</v>
      </c>
      <c r="F183" s="1" t="s">
        <v>105</v>
      </c>
      <c r="G183" s="23"/>
      <c r="H183" s="1" t="n">
        <v>3</v>
      </c>
      <c r="I183" s="83"/>
      <c r="J183" s="84"/>
    </row>
    <row r="184" customFormat="false" ht="15" hidden="false" customHeight="true" outlineLevel="0" collapsed="false">
      <c r="A184" s="1" t="s">
        <v>828</v>
      </c>
      <c r="B184" s="1" t="s">
        <v>829</v>
      </c>
      <c r="C184" s="1" t="s">
        <v>257</v>
      </c>
      <c r="D184" s="1" t="s">
        <v>424</v>
      </c>
      <c r="E184" s="1" t="s">
        <v>288</v>
      </c>
      <c r="F184" s="1" t="s">
        <v>105</v>
      </c>
      <c r="G184" s="23"/>
      <c r="H184" s="1" t="n">
        <v>3</v>
      </c>
      <c r="I184" s="83"/>
      <c r="J184" s="84"/>
    </row>
    <row r="185" customFormat="false" ht="15" hidden="false" customHeight="true" outlineLevel="0" collapsed="false">
      <c r="A185" s="1" t="s">
        <v>830</v>
      </c>
      <c r="B185" s="1" t="s">
        <v>831</v>
      </c>
      <c r="C185" s="1" t="s">
        <v>257</v>
      </c>
      <c r="D185" s="1" t="s">
        <v>424</v>
      </c>
      <c r="E185" s="1" t="s">
        <v>288</v>
      </c>
      <c r="F185" s="1" t="s">
        <v>105</v>
      </c>
      <c r="G185" s="23"/>
      <c r="H185" s="1" t="n">
        <v>3</v>
      </c>
    </row>
    <row r="186" customFormat="false" ht="15" hidden="false" customHeight="true" outlineLevel="0" collapsed="false">
      <c r="A186" s="1" t="s">
        <v>142</v>
      </c>
      <c r="B186" s="1" t="str">
        <f aca="false">IFERROR(IF(ISBLANK(INDEX(Backlog[Requirement Name],MATCH($A186,Backlog[Requirement ID],0))),"",INDEX(Backlog[Requirement Name],MATCH($A186,Backlog[Requirement ID],0))),"")</f>
        <v>INT139 / INT140 / INT187 / INT188 / INT163 - speciality restaurants CR to handle dining inventory errors</v>
      </c>
      <c r="C186" s="1" t="str">
        <f aca="false">IFERROR(IF(ISBLANK(INDEX(Backlog[Stream],MATCH($A186,Backlog[Requirement ID],0))),"",INDEX(Backlog[Stream],MATCH($A186,Backlog[Requirement ID],0))),"")</f>
        <v>MyMSC</v>
      </c>
      <c r="D186" s="1" t="str">
        <f aca="false">IFERROR(IF(ISBLANK(INDEX(SprintPlanning[Sprint],MATCH($A186,SprintPlanning[Requirement ID],0))),"",INDEX(SprintPlanning[Sprint],MATCH($A186,SprintPlanning[Requirement ID],0))),"")</f>
        <v>Sprint 15</v>
      </c>
      <c r="E186" s="1" t="str">
        <f aca="false">IFERROR(IF(ISBLANK(INDEX(Backlog[Status],MATCH($A186,Backlog[Requirement ID],0))),"",INDEX(Backlog[Status],MATCH($A186,Backlog[Requirement ID],0))),"")</f>
        <v>ON HOLD</v>
      </c>
      <c r="F186" s="1" t="str">
        <f aca="false">IFERROR(IF(ISBLANK(INDEX(Backlog[Priority],MATCH($A186,Backlog[Requirement ID],0))),"",INDEX(Backlog[Priority],MATCH($A186,Backlog[Requirement ID],0))),"")</f>
        <v>Medium</v>
      </c>
      <c r="G186" s="23"/>
      <c r="H186" s="1" t="n">
        <f aca="false">IFERROR(IF(ISBLANK(INDEX(Backlog[HLE],MATCH($A186,Backlog[Requirement ID],0))),"",INDEX(Backlog[HLE],MATCH($A186,Backlog[Requirement ID],0))),"")</f>
        <v>8</v>
      </c>
    </row>
    <row r="187" customFormat="false" ht="15" hidden="false" customHeight="true" outlineLevel="0" collapsed="false">
      <c r="A187" s="1" t="s">
        <v>832</v>
      </c>
      <c r="B187" s="1" t="s">
        <v>833</v>
      </c>
      <c r="C187" s="1" t="s">
        <v>119</v>
      </c>
      <c r="D187" s="1" t="s">
        <v>424</v>
      </c>
      <c r="E187" s="1" t="s">
        <v>288</v>
      </c>
      <c r="F187" s="1" t="s">
        <v>87</v>
      </c>
      <c r="G187" s="23"/>
      <c r="H187" s="1" t="n">
        <v>8</v>
      </c>
    </row>
    <row r="188" customFormat="false" ht="15" hidden="false" customHeight="true" outlineLevel="0" collapsed="false">
      <c r="G188" s="23"/>
    </row>
    <row r="189" customFormat="false" ht="15" hidden="false" customHeight="true" outlineLevel="0" collapsed="false">
      <c r="G189" s="23"/>
    </row>
    <row r="190" customFormat="false" ht="15" hidden="false" customHeight="true" outlineLevel="0" collapsed="false">
      <c r="G190" s="23"/>
    </row>
    <row r="191" customFormat="false" ht="15" hidden="false" customHeight="true" outlineLevel="0" collapsed="false">
      <c r="G191" s="23"/>
    </row>
    <row r="192" customFormat="false" ht="15" hidden="false" customHeight="true" outlineLevel="0" collapsed="false">
      <c r="G192" s="23"/>
    </row>
    <row r="193" customFormat="false" ht="15" hidden="false" customHeight="true" outlineLevel="0" collapsed="false">
      <c r="G193" s="23"/>
    </row>
    <row r="194" customFormat="false" ht="15" hidden="false" customHeight="true" outlineLevel="0" collapsed="false">
      <c r="G194" s="23"/>
    </row>
    <row r="195" customFormat="false" ht="15" hidden="false" customHeight="true" outlineLevel="0" collapsed="false">
      <c r="G195" s="23"/>
    </row>
    <row r="196" customFormat="false" ht="15" hidden="false" customHeight="true" outlineLevel="0" collapsed="false">
      <c r="G196" s="23"/>
    </row>
    <row r="197" customFormat="false" ht="15" hidden="false" customHeight="true" outlineLevel="0" collapsed="false">
      <c r="G197" s="23"/>
    </row>
    <row r="198" customFormat="false" ht="15" hidden="false" customHeight="true" outlineLevel="0" collapsed="false">
      <c r="G198" s="23"/>
    </row>
    <row r="199" customFormat="false" ht="15" hidden="false" customHeight="true" outlineLevel="0" collapsed="false">
      <c r="G199" s="23"/>
    </row>
    <row r="200" customFormat="false" ht="15" hidden="false" customHeight="true" outlineLevel="0" collapsed="false">
      <c r="G200" s="23"/>
    </row>
    <row r="201" customFormat="false" ht="15" hidden="false" customHeight="true" outlineLevel="0" collapsed="false">
      <c r="G201" s="23"/>
    </row>
    <row r="202" customFormat="false" ht="15" hidden="false" customHeight="true" outlineLevel="0" collapsed="false">
      <c r="G202" s="23"/>
    </row>
    <row r="203" customFormat="false" ht="15" hidden="false" customHeight="true" outlineLevel="0" collapsed="false">
      <c r="G203" s="23"/>
    </row>
    <row r="204" customFormat="false" ht="15" hidden="false" customHeight="true" outlineLevel="0" collapsed="false">
      <c r="G204" s="23"/>
    </row>
    <row r="205" customFormat="false" ht="15" hidden="false" customHeight="true" outlineLevel="0" collapsed="false">
      <c r="G205" s="23"/>
    </row>
    <row r="206" customFormat="false" ht="15" hidden="false" customHeight="true" outlineLevel="0" collapsed="false">
      <c r="G206" s="23"/>
    </row>
    <row r="207" customFormat="false" ht="15" hidden="false" customHeight="true" outlineLevel="0" collapsed="false">
      <c r="G207" s="23"/>
    </row>
    <row r="208" customFormat="false" ht="15" hidden="false" customHeight="true" outlineLevel="0" collapsed="false">
      <c r="G208" s="23"/>
    </row>
    <row r="209" customFormat="false" ht="15" hidden="false" customHeight="true" outlineLevel="0" collapsed="false">
      <c r="G209" s="23"/>
    </row>
    <row r="210" customFormat="false" ht="15" hidden="false" customHeight="true" outlineLevel="0" collapsed="false">
      <c r="G210" s="23"/>
    </row>
    <row r="211" customFormat="false" ht="15" hidden="false" customHeight="true" outlineLevel="0" collapsed="false">
      <c r="G211" s="23"/>
    </row>
    <row r="212" customFormat="false" ht="15" hidden="false" customHeight="true" outlineLevel="0" collapsed="false">
      <c r="G212" s="23"/>
    </row>
    <row r="213" customFormat="false" ht="15" hidden="false" customHeight="true" outlineLevel="0" collapsed="false">
      <c r="G213" s="23"/>
    </row>
    <row r="214" customFormat="false" ht="15" hidden="false" customHeight="true" outlineLevel="0" collapsed="false">
      <c r="G214" s="23"/>
    </row>
    <row r="215" customFormat="false" ht="15" hidden="false" customHeight="true" outlineLevel="0" collapsed="false">
      <c r="G215" s="23"/>
    </row>
    <row r="216" customFormat="false" ht="15" hidden="false" customHeight="true" outlineLevel="0" collapsed="false">
      <c r="G216" s="23"/>
    </row>
    <row r="217" customFormat="false" ht="15" hidden="false" customHeight="true" outlineLevel="0" collapsed="false">
      <c r="G217" s="23"/>
    </row>
    <row r="218" customFormat="false" ht="15" hidden="false" customHeight="true" outlineLevel="0" collapsed="false">
      <c r="G218" s="23"/>
    </row>
    <row r="219" customFormat="false" ht="15" hidden="false" customHeight="true" outlineLevel="0" collapsed="false">
      <c r="G219" s="23"/>
    </row>
    <row r="220" customFormat="false" ht="15" hidden="false" customHeight="true" outlineLevel="0" collapsed="false">
      <c r="G220" s="23"/>
    </row>
    <row r="221" customFormat="false" ht="15" hidden="false" customHeight="true" outlineLevel="0" collapsed="false">
      <c r="G221" s="23"/>
    </row>
    <row r="222" customFormat="false" ht="15" hidden="false" customHeight="true" outlineLevel="0" collapsed="false">
      <c r="G222" s="23"/>
    </row>
    <row r="223" customFormat="false" ht="15" hidden="false" customHeight="true" outlineLevel="0" collapsed="false">
      <c r="G223" s="23"/>
    </row>
    <row r="224" customFormat="false" ht="15" hidden="false" customHeight="true" outlineLevel="0" collapsed="false">
      <c r="G224" s="23"/>
    </row>
    <row r="225" customFormat="false" ht="15" hidden="false" customHeight="true" outlineLevel="0" collapsed="false">
      <c r="G225" s="23"/>
    </row>
    <row r="226" customFormat="false" ht="15" hidden="false" customHeight="true" outlineLevel="0" collapsed="false">
      <c r="G226" s="23"/>
    </row>
    <row r="227" customFormat="false" ht="15" hidden="false" customHeight="true" outlineLevel="0" collapsed="false">
      <c r="G227" s="23"/>
    </row>
    <row r="228" customFormat="false" ht="15" hidden="false" customHeight="true" outlineLevel="0" collapsed="false">
      <c r="G228" s="23"/>
    </row>
    <row r="229" customFormat="false" ht="15" hidden="false" customHeight="true" outlineLevel="0" collapsed="false">
      <c r="G229" s="23"/>
    </row>
    <row r="230" customFormat="false" ht="15" hidden="false" customHeight="true" outlineLevel="0" collapsed="false">
      <c r="G230" s="23"/>
    </row>
    <row r="231" customFormat="false" ht="15" hidden="false" customHeight="true" outlineLevel="0" collapsed="false">
      <c r="G231" s="23"/>
    </row>
    <row r="232" customFormat="false" ht="15" hidden="false" customHeight="true" outlineLevel="0" collapsed="false">
      <c r="G232" s="23"/>
    </row>
    <row r="233" customFormat="false" ht="15" hidden="false" customHeight="true" outlineLevel="0" collapsed="false">
      <c r="G233" s="23"/>
    </row>
    <row r="234" customFormat="false" ht="15" hidden="false" customHeight="true" outlineLevel="0" collapsed="false">
      <c r="G234" s="23"/>
    </row>
    <row r="235" customFormat="false" ht="15" hidden="false" customHeight="true" outlineLevel="0" collapsed="false">
      <c r="G235" s="23"/>
    </row>
    <row r="236" customFormat="false" ht="15" hidden="false" customHeight="true" outlineLevel="0" collapsed="false">
      <c r="G236" s="23"/>
    </row>
    <row r="237" customFormat="false" ht="15" hidden="false" customHeight="true" outlineLevel="0" collapsed="false">
      <c r="G237" s="23"/>
    </row>
    <row r="238" customFormat="false" ht="15" hidden="false" customHeight="true" outlineLevel="0" collapsed="false">
      <c r="G238" s="23"/>
    </row>
    <row r="239" customFormat="false" ht="15" hidden="false" customHeight="true" outlineLevel="0" collapsed="false">
      <c r="G239" s="23"/>
    </row>
    <row r="240" customFormat="false" ht="15" hidden="false" customHeight="true" outlineLevel="0" collapsed="false">
      <c r="G240" s="23"/>
    </row>
    <row r="241" customFormat="false" ht="15" hidden="false" customHeight="true" outlineLevel="0" collapsed="false">
      <c r="G241" s="23"/>
    </row>
    <row r="242" customFormat="false" ht="15" hidden="false" customHeight="true" outlineLevel="0" collapsed="false">
      <c r="G242" s="23"/>
    </row>
    <row r="243" customFormat="false" ht="15" hidden="false" customHeight="true" outlineLevel="0" collapsed="false">
      <c r="G243" s="23"/>
    </row>
    <row r="244" customFormat="false" ht="15" hidden="false" customHeight="true" outlineLevel="0" collapsed="false">
      <c r="G244" s="23"/>
    </row>
    <row r="245" customFormat="false" ht="15" hidden="false" customHeight="true" outlineLevel="0" collapsed="false">
      <c r="G245" s="23"/>
    </row>
    <row r="246" customFormat="false" ht="15" hidden="false" customHeight="true" outlineLevel="0" collapsed="false">
      <c r="G246" s="23"/>
    </row>
    <row r="247" customFormat="false" ht="15" hidden="false" customHeight="true" outlineLevel="0" collapsed="false">
      <c r="G247" s="23"/>
    </row>
    <row r="248" customFormat="false" ht="15" hidden="false" customHeight="true" outlineLevel="0" collapsed="false">
      <c r="G248" s="23"/>
    </row>
    <row r="249" customFormat="false" ht="15" hidden="false" customHeight="true" outlineLevel="0" collapsed="false">
      <c r="G249" s="23"/>
    </row>
    <row r="250" customFormat="false" ht="15" hidden="false" customHeight="true" outlineLevel="0" collapsed="false">
      <c r="G250" s="23"/>
    </row>
    <row r="251" customFormat="false" ht="15" hidden="false" customHeight="true" outlineLevel="0" collapsed="false">
      <c r="G251" s="23"/>
    </row>
    <row r="252" customFormat="false" ht="15" hidden="false" customHeight="true" outlineLevel="0" collapsed="false">
      <c r="G252" s="23"/>
    </row>
    <row r="253" customFormat="false" ht="15" hidden="false" customHeight="true" outlineLevel="0" collapsed="false">
      <c r="G253" s="23"/>
    </row>
    <row r="254" customFormat="false" ht="15" hidden="false" customHeight="true" outlineLevel="0" collapsed="false">
      <c r="G254" s="23"/>
    </row>
    <row r="255" customFormat="false" ht="15" hidden="false" customHeight="true" outlineLevel="0" collapsed="false">
      <c r="G255" s="23"/>
    </row>
    <row r="256" customFormat="false" ht="15" hidden="false" customHeight="true" outlineLevel="0" collapsed="false">
      <c r="G256" s="23"/>
    </row>
    <row r="257" customFormat="false" ht="15" hidden="false" customHeight="true" outlineLevel="0" collapsed="false">
      <c r="G257" s="23"/>
    </row>
    <row r="258" customFormat="false" ht="15" hidden="false" customHeight="true" outlineLevel="0" collapsed="false">
      <c r="G258" s="23"/>
    </row>
    <row r="259" customFormat="false" ht="15" hidden="false" customHeight="true" outlineLevel="0" collapsed="false">
      <c r="G259" s="23"/>
    </row>
    <row r="260" customFormat="false" ht="15" hidden="false" customHeight="true" outlineLevel="0" collapsed="false">
      <c r="G260" s="23"/>
    </row>
    <row r="261" customFormat="false" ht="15" hidden="false" customHeight="true" outlineLevel="0" collapsed="false">
      <c r="G261" s="23"/>
    </row>
    <row r="262" customFormat="false" ht="15" hidden="false" customHeight="true" outlineLevel="0" collapsed="false">
      <c r="G262" s="23"/>
    </row>
    <row r="263" customFormat="false" ht="15" hidden="false" customHeight="true" outlineLevel="0" collapsed="false">
      <c r="G263" s="23"/>
    </row>
    <row r="264" customFormat="false" ht="15" hidden="false" customHeight="true" outlineLevel="0" collapsed="false">
      <c r="G264" s="23"/>
    </row>
    <row r="265" customFormat="false" ht="15" hidden="false" customHeight="true" outlineLevel="0" collapsed="false">
      <c r="G265" s="23"/>
    </row>
    <row r="266" customFormat="false" ht="15" hidden="false" customHeight="true" outlineLevel="0" collapsed="false">
      <c r="G266" s="23"/>
    </row>
    <row r="267" customFormat="false" ht="15" hidden="false" customHeight="true" outlineLevel="0" collapsed="false">
      <c r="G267" s="23"/>
    </row>
    <row r="268" customFormat="false" ht="15" hidden="false" customHeight="true" outlineLevel="0" collapsed="false">
      <c r="G268" s="23"/>
    </row>
    <row r="269" customFormat="false" ht="15" hidden="false" customHeight="true" outlineLevel="0" collapsed="false">
      <c r="G269" s="23"/>
    </row>
    <row r="270" customFormat="false" ht="15" hidden="false" customHeight="true" outlineLevel="0" collapsed="false">
      <c r="G270" s="23"/>
    </row>
    <row r="271" customFormat="false" ht="15" hidden="false" customHeight="true" outlineLevel="0" collapsed="false">
      <c r="G271" s="23"/>
    </row>
    <row r="272" customFormat="false" ht="15" hidden="false" customHeight="true" outlineLevel="0" collapsed="false">
      <c r="G272" s="23"/>
    </row>
    <row r="273" customFormat="false" ht="15" hidden="false" customHeight="true" outlineLevel="0" collapsed="false">
      <c r="G273" s="23"/>
    </row>
    <row r="274" customFormat="false" ht="15" hidden="false" customHeight="true" outlineLevel="0" collapsed="false">
      <c r="G274" s="23"/>
    </row>
    <row r="275" customFormat="false" ht="15" hidden="false" customHeight="true" outlineLevel="0" collapsed="false">
      <c r="G275" s="23"/>
    </row>
    <row r="276" customFormat="false" ht="15" hidden="false" customHeight="true" outlineLevel="0" collapsed="false">
      <c r="G276" s="23"/>
    </row>
    <row r="277" customFormat="false" ht="15" hidden="false" customHeight="true" outlineLevel="0" collapsed="false">
      <c r="G277" s="23"/>
    </row>
    <row r="278" customFormat="false" ht="15" hidden="false" customHeight="true" outlineLevel="0" collapsed="false">
      <c r="G278" s="23"/>
    </row>
    <row r="279" customFormat="false" ht="15" hidden="false" customHeight="true" outlineLevel="0" collapsed="false">
      <c r="G279" s="23"/>
    </row>
    <row r="280" customFormat="false" ht="15" hidden="false" customHeight="true" outlineLevel="0" collapsed="false">
      <c r="G280" s="23"/>
    </row>
    <row r="281" customFormat="false" ht="15" hidden="false" customHeight="true" outlineLevel="0" collapsed="false">
      <c r="G281" s="23"/>
    </row>
    <row r="282" customFormat="false" ht="15" hidden="false" customHeight="true" outlineLevel="0" collapsed="false">
      <c r="G282" s="23"/>
    </row>
    <row r="283" customFormat="false" ht="15" hidden="false" customHeight="true" outlineLevel="0" collapsed="false">
      <c r="G283" s="23"/>
    </row>
    <row r="284" customFormat="false" ht="15" hidden="false" customHeight="true" outlineLevel="0" collapsed="false">
      <c r="G284" s="23"/>
    </row>
    <row r="285" customFormat="false" ht="15" hidden="false" customHeight="true" outlineLevel="0" collapsed="false">
      <c r="G285" s="23"/>
    </row>
    <row r="286" customFormat="false" ht="15" hidden="false" customHeight="true" outlineLevel="0" collapsed="false">
      <c r="G286" s="23"/>
    </row>
    <row r="287" customFormat="false" ht="15" hidden="false" customHeight="true" outlineLevel="0" collapsed="false">
      <c r="G287" s="23"/>
    </row>
    <row r="288" customFormat="false" ht="15" hidden="false" customHeight="true" outlineLevel="0" collapsed="false">
      <c r="G288" s="23"/>
    </row>
    <row r="289" customFormat="false" ht="15" hidden="false" customHeight="true" outlineLevel="0" collapsed="false">
      <c r="G289" s="23"/>
    </row>
    <row r="290" customFormat="false" ht="15" hidden="false" customHeight="true" outlineLevel="0" collapsed="false">
      <c r="G290" s="23"/>
    </row>
    <row r="291" customFormat="false" ht="15" hidden="false" customHeight="true" outlineLevel="0" collapsed="false">
      <c r="G291" s="23"/>
    </row>
    <row r="292" customFormat="false" ht="15" hidden="false" customHeight="true" outlineLevel="0" collapsed="false">
      <c r="G292" s="23"/>
    </row>
    <row r="293" customFormat="false" ht="15" hidden="false" customHeight="true" outlineLevel="0" collapsed="false">
      <c r="G293" s="23"/>
    </row>
    <row r="294" customFormat="false" ht="15" hidden="false" customHeight="true" outlineLevel="0" collapsed="false">
      <c r="G294" s="23"/>
    </row>
    <row r="295" customFormat="false" ht="15" hidden="false" customHeight="true" outlineLevel="0" collapsed="false">
      <c r="G295" s="23"/>
    </row>
    <row r="296" customFormat="false" ht="15" hidden="false" customHeight="true" outlineLevel="0" collapsed="false">
      <c r="G296" s="23"/>
    </row>
    <row r="297" customFormat="false" ht="15" hidden="false" customHeight="true" outlineLevel="0" collapsed="false">
      <c r="G297" s="23"/>
    </row>
    <row r="298" customFormat="false" ht="15" hidden="false" customHeight="true" outlineLevel="0" collapsed="false">
      <c r="G298" s="23"/>
    </row>
    <row r="299" customFormat="false" ht="15" hidden="false" customHeight="true" outlineLevel="0" collapsed="false">
      <c r="G299" s="23"/>
    </row>
    <row r="300" customFormat="false" ht="15" hidden="false" customHeight="true" outlineLevel="0" collapsed="false">
      <c r="G300" s="23"/>
    </row>
    <row r="301" customFormat="false" ht="15" hidden="false" customHeight="true" outlineLevel="0" collapsed="false">
      <c r="G301" s="23"/>
    </row>
    <row r="302" customFormat="false" ht="15" hidden="false" customHeight="true" outlineLevel="0" collapsed="false">
      <c r="G302" s="23"/>
    </row>
    <row r="303" customFormat="false" ht="15" hidden="false" customHeight="true" outlineLevel="0" collapsed="false">
      <c r="G303" s="23"/>
    </row>
    <row r="304" customFormat="false" ht="15" hidden="false" customHeight="true" outlineLevel="0" collapsed="false">
      <c r="G304" s="23"/>
    </row>
    <row r="305" customFormat="false" ht="15" hidden="false" customHeight="true" outlineLevel="0" collapsed="false">
      <c r="G305" s="23"/>
    </row>
    <row r="306" customFormat="false" ht="15" hidden="false" customHeight="true" outlineLevel="0" collapsed="false">
      <c r="G306" s="23"/>
    </row>
    <row r="307" customFormat="false" ht="15" hidden="false" customHeight="true" outlineLevel="0" collapsed="false">
      <c r="G307" s="23"/>
    </row>
    <row r="308" customFormat="false" ht="15" hidden="false" customHeight="true" outlineLevel="0" collapsed="false">
      <c r="G308" s="23"/>
    </row>
    <row r="309" customFormat="false" ht="15" hidden="false" customHeight="true" outlineLevel="0" collapsed="false">
      <c r="G309" s="23"/>
    </row>
    <row r="310" customFormat="false" ht="15" hidden="false" customHeight="true" outlineLevel="0" collapsed="false">
      <c r="G310" s="23"/>
    </row>
    <row r="311" customFormat="false" ht="15" hidden="false" customHeight="true" outlineLevel="0" collapsed="false">
      <c r="G311" s="23"/>
    </row>
    <row r="312" customFormat="false" ht="15" hidden="false" customHeight="true" outlineLevel="0" collapsed="false">
      <c r="G312" s="23"/>
    </row>
    <row r="313" customFormat="false" ht="15" hidden="false" customHeight="true" outlineLevel="0" collapsed="false">
      <c r="G313" s="23"/>
    </row>
    <row r="314" customFormat="false" ht="15" hidden="false" customHeight="true" outlineLevel="0" collapsed="false">
      <c r="G314" s="23"/>
    </row>
    <row r="315" customFormat="false" ht="15" hidden="false" customHeight="true" outlineLevel="0" collapsed="false">
      <c r="G315" s="23"/>
    </row>
    <row r="316" customFormat="false" ht="15" hidden="false" customHeight="true" outlineLevel="0" collapsed="false">
      <c r="G316" s="23"/>
    </row>
    <row r="317" customFormat="false" ht="15" hidden="false" customHeight="true" outlineLevel="0" collapsed="false">
      <c r="G317" s="23"/>
    </row>
    <row r="318" customFormat="false" ht="15" hidden="false" customHeight="true" outlineLevel="0" collapsed="false">
      <c r="G318" s="23"/>
    </row>
    <row r="319" customFormat="false" ht="15" hidden="false" customHeight="true" outlineLevel="0" collapsed="false">
      <c r="G319" s="23"/>
    </row>
    <row r="320" customFormat="false" ht="15" hidden="false" customHeight="true" outlineLevel="0" collapsed="false">
      <c r="G320" s="23"/>
    </row>
    <row r="321" customFormat="false" ht="15" hidden="false" customHeight="true" outlineLevel="0" collapsed="false">
      <c r="G321" s="23"/>
    </row>
    <row r="322" customFormat="false" ht="15" hidden="false" customHeight="true" outlineLevel="0" collapsed="false">
      <c r="G322" s="23"/>
    </row>
    <row r="323" customFormat="false" ht="15" hidden="false" customHeight="true" outlineLevel="0" collapsed="false">
      <c r="G323" s="23"/>
    </row>
    <row r="324" customFormat="false" ht="15" hidden="false" customHeight="true" outlineLevel="0" collapsed="false">
      <c r="G324" s="23"/>
    </row>
    <row r="325" customFormat="false" ht="15" hidden="false" customHeight="true" outlineLevel="0" collapsed="false">
      <c r="G325" s="23"/>
    </row>
    <row r="326" customFormat="false" ht="15" hidden="false" customHeight="true" outlineLevel="0" collapsed="false">
      <c r="G326" s="23"/>
    </row>
    <row r="327" customFormat="false" ht="15" hidden="false" customHeight="true" outlineLevel="0" collapsed="false">
      <c r="G327" s="23"/>
    </row>
    <row r="328" customFormat="false" ht="15" hidden="false" customHeight="true" outlineLevel="0" collapsed="false">
      <c r="G328" s="23"/>
    </row>
    <row r="329" customFormat="false" ht="15" hidden="false" customHeight="true" outlineLevel="0" collapsed="false">
      <c r="G329" s="23"/>
    </row>
    <row r="330" customFormat="false" ht="15" hidden="false" customHeight="true" outlineLevel="0" collapsed="false">
      <c r="G330" s="23"/>
    </row>
    <row r="331" customFormat="false" ht="15" hidden="false" customHeight="true" outlineLevel="0" collapsed="false">
      <c r="G331" s="23"/>
    </row>
    <row r="332" customFormat="false" ht="15" hidden="false" customHeight="true" outlineLevel="0" collapsed="false">
      <c r="G332" s="23"/>
    </row>
    <row r="333" customFormat="false" ht="15" hidden="false" customHeight="true" outlineLevel="0" collapsed="false">
      <c r="G333" s="23"/>
    </row>
    <row r="334" customFormat="false" ht="15" hidden="false" customHeight="true" outlineLevel="0" collapsed="false">
      <c r="G334" s="23"/>
    </row>
    <row r="335" customFormat="false" ht="15" hidden="false" customHeight="true" outlineLevel="0" collapsed="false">
      <c r="G335" s="23"/>
    </row>
    <row r="336" customFormat="false" ht="15" hidden="false" customHeight="true" outlineLevel="0" collapsed="false">
      <c r="G336" s="23"/>
    </row>
    <row r="337" customFormat="false" ht="15" hidden="false" customHeight="true" outlineLevel="0" collapsed="false">
      <c r="G337" s="23"/>
    </row>
    <row r="338" customFormat="false" ht="15" hidden="false" customHeight="true" outlineLevel="0" collapsed="false">
      <c r="G338" s="23"/>
    </row>
    <row r="339" customFormat="false" ht="15" hidden="false" customHeight="true" outlineLevel="0" collapsed="false">
      <c r="G339" s="23"/>
    </row>
    <row r="340" customFormat="false" ht="15" hidden="false" customHeight="true" outlineLevel="0" collapsed="false">
      <c r="G340" s="23"/>
    </row>
    <row r="341" customFormat="false" ht="15" hidden="false" customHeight="true" outlineLevel="0" collapsed="false">
      <c r="G341" s="23"/>
    </row>
    <row r="342" customFormat="false" ht="15" hidden="false" customHeight="true" outlineLevel="0" collapsed="false">
      <c r="G342" s="23"/>
    </row>
    <row r="343" customFormat="false" ht="15" hidden="false" customHeight="true" outlineLevel="0" collapsed="false">
      <c r="G343" s="23"/>
    </row>
    <row r="344" customFormat="false" ht="15" hidden="false" customHeight="true" outlineLevel="0" collapsed="false">
      <c r="G344" s="23"/>
    </row>
    <row r="345" customFormat="false" ht="15" hidden="false" customHeight="true" outlineLevel="0" collapsed="false">
      <c r="G345" s="23"/>
    </row>
    <row r="346" customFormat="false" ht="15" hidden="false" customHeight="true" outlineLevel="0" collapsed="false">
      <c r="G346" s="23"/>
    </row>
    <row r="347" customFormat="false" ht="15" hidden="false" customHeight="true" outlineLevel="0" collapsed="false">
      <c r="G347" s="23"/>
    </row>
    <row r="348" customFormat="false" ht="15" hidden="false" customHeight="true" outlineLevel="0" collapsed="false">
      <c r="G348" s="23"/>
    </row>
    <row r="349" customFormat="false" ht="15" hidden="false" customHeight="true" outlineLevel="0" collapsed="false">
      <c r="G349" s="23"/>
    </row>
    <row r="350" customFormat="false" ht="15" hidden="false" customHeight="true" outlineLevel="0" collapsed="false">
      <c r="G350" s="23"/>
    </row>
    <row r="351" customFormat="false" ht="15" hidden="false" customHeight="true" outlineLevel="0" collapsed="false">
      <c r="G351" s="23"/>
    </row>
    <row r="352" customFormat="false" ht="15" hidden="false" customHeight="true" outlineLevel="0" collapsed="false">
      <c r="G352" s="23"/>
    </row>
    <row r="353" customFormat="false" ht="15" hidden="false" customHeight="true" outlineLevel="0" collapsed="false">
      <c r="G353" s="23"/>
    </row>
    <row r="354" customFormat="false" ht="15" hidden="false" customHeight="true" outlineLevel="0" collapsed="false">
      <c r="G354" s="23"/>
    </row>
    <row r="355" customFormat="false" ht="15" hidden="false" customHeight="true" outlineLevel="0" collapsed="false">
      <c r="G355" s="23"/>
    </row>
    <row r="356" customFormat="false" ht="15" hidden="false" customHeight="true" outlineLevel="0" collapsed="false">
      <c r="G356" s="23"/>
    </row>
    <row r="357" customFormat="false" ht="15" hidden="false" customHeight="true" outlineLevel="0" collapsed="false">
      <c r="G357" s="23"/>
    </row>
    <row r="358" customFormat="false" ht="15" hidden="false" customHeight="true" outlineLevel="0" collapsed="false">
      <c r="G358" s="23"/>
    </row>
    <row r="359" customFormat="false" ht="15" hidden="false" customHeight="true" outlineLevel="0" collapsed="false">
      <c r="G359" s="23"/>
    </row>
    <row r="360" customFormat="false" ht="15" hidden="false" customHeight="true" outlineLevel="0" collapsed="false">
      <c r="G360" s="23"/>
    </row>
    <row r="361" customFormat="false" ht="15" hidden="false" customHeight="true" outlineLevel="0" collapsed="false">
      <c r="G361" s="23"/>
    </row>
    <row r="362" customFormat="false" ht="15" hidden="false" customHeight="true" outlineLevel="0" collapsed="false">
      <c r="G362" s="23"/>
    </row>
    <row r="363" customFormat="false" ht="15" hidden="false" customHeight="true" outlineLevel="0" collapsed="false">
      <c r="G363" s="23"/>
    </row>
    <row r="364" customFormat="false" ht="15" hidden="false" customHeight="true" outlineLevel="0" collapsed="false">
      <c r="G364" s="23"/>
    </row>
    <row r="365" customFormat="false" ht="15" hidden="false" customHeight="true" outlineLevel="0" collapsed="false">
      <c r="G365" s="23"/>
    </row>
    <row r="366" customFormat="false" ht="15" hidden="false" customHeight="true" outlineLevel="0" collapsed="false">
      <c r="G366" s="23"/>
    </row>
    <row r="367" customFormat="false" ht="15" hidden="false" customHeight="true" outlineLevel="0" collapsed="false">
      <c r="G367" s="23"/>
    </row>
    <row r="368" customFormat="false" ht="15" hidden="false" customHeight="true" outlineLevel="0" collapsed="false">
      <c r="G368" s="23"/>
    </row>
    <row r="369" customFormat="false" ht="15" hidden="false" customHeight="true" outlineLevel="0" collapsed="false">
      <c r="G369" s="23"/>
    </row>
    <row r="370" customFormat="false" ht="15" hidden="false" customHeight="true" outlineLevel="0" collapsed="false">
      <c r="G370" s="23"/>
    </row>
    <row r="371" customFormat="false" ht="15" hidden="false" customHeight="true" outlineLevel="0" collapsed="false">
      <c r="G371" s="23"/>
    </row>
    <row r="372" customFormat="false" ht="15" hidden="false" customHeight="true" outlineLevel="0" collapsed="false">
      <c r="G372" s="23"/>
    </row>
    <row r="373" customFormat="false" ht="15" hidden="false" customHeight="true" outlineLevel="0" collapsed="false">
      <c r="G373" s="23"/>
    </row>
    <row r="374" customFormat="false" ht="15" hidden="false" customHeight="true" outlineLevel="0" collapsed="false">
      <c r="G374" s="23"/>
    </row>
    <row r="375" customFormat="false" ht="15" hidden="false" customHeight="true" outlineLevel="0" collapsed="false">
      <c r="G375" s="23"/>
    </row>
    <row r="376" customFormat="false" ht="15" hidden="false" customHeight="true" outlineLevel="0" collapsed="false">
      <c r="G376" s="23"/>
    </row>
    <row r="377" customFormat="false" ht="15" hidden="false" customHeight="true" outlineLevel="0" collapsed="false">
      <c r="G377" s="23"/>
    </row>
    <row r="378" customFormat="false" ht="15" hidden="false" customHeight="true" outlineLevel="0" collapsed="false">
      <c r="G378" s="23"/>
    </row>
    <row r="379" customFormat="false" ht="15" hidden="false" customHeight="true" outlineLevel="0" collapsed="false">
      <c r="G379" s="23"/>
    </row>
    <row r="380" customFormat="false" ht="15" hidden="false" customHeight="true" outlineLevel="0" collapsed="false">
      <c r="G380" s="23"/>
    </row>
    <row r="381" customFormat="false" ht="15" hidden="false" customHeight="true" outlineLevel="0" collapsed="false">
      <c r="G381" s="23"/>
    </row>
    <row r="382" customFormat="false" ht="15" hidden="false" customHeight="true" outlineLevel="0" collapsed="false">
      <c r="G382" s="23"/>
    </row>
    <row r="383" customFormat="false" ht="15" hidden="false" customHeight="true" outlineLevel="0" collapsed="false">
      <c r="G383" s="23"/>
    </row>
    <row r="384" customFormat="false" ht="15" hidden="false" customHeight="true" outlineLevel="0" collapsed="false">
      <c r="G384" s="23"/>
    </row>
    <row r="385" customFormat="false" ht="15" hidden="false" customHeight="true" outlineLevel="0" collapsed="false">
      <c r="G385" s="23"/>
    </row>
    <row r="386" customFormat="false" ht="15" hidden="false" customHeight="true" outlineLevel="0" collapsed="false">
      <c r="G386" s="23"/>
    </row>
    <row r="387" customFormat="false" ht="15" hidden="false" customHeight="true" outlineLevel="0" collapsed="false">
      <c r="G387" s="23"/>
    </row>
    <row r="388" customFormat="false" ht="15" hidden="false" customHeight="true" outlineLevel="0" collapsed="false">
      <c r="G388" s="23"/>
    </row>
    <row r="389" customFormat="false" ht="15" hidden="false" customHeight="true" outlineLevel="0" collapsed="false">
      <c r="G389" s="23"/>
    </row>
    <row r="390" customFormat="false" ht="15" hidden="false" customHeight="true" outlineLevel="0" collapsed="false">
      <c r="G390" s="23"/>
    </row>
    <row r="391" customFormat="false" ht="15" hidden="false" customHeight="true" outlineLevel="0" collapsed="false">
      <c r="G391" s="23"/>
    </row>
    <row r="392" customFormat="false" ht="15" hidden="false" customHeight="true" outlineLevel="0" collapsed="false">
      <c r="G392" s="23"/>
    </row>
    <row r="393" customFormat="false" ht="15" hidden="false" customHeight="true" outlineLevel="0" collapsed="false">
      <c r="G393" s="23"/>
    </row>
    <row r="394" customFormat="false" ht="15" hidden="false" customHeight="true" outlineLevel="0" collapsed="false">
      <c r="G394" s="23"/>
    </row>
    <row r="395" customFormat="false" ht="15" hidden="false" customHeight="true" outlineLevel="0" collapsed="false">
      <c r="G395" s="23"/>
    </row>
    <row r="396" customFormat="false" ht="15" hidden="false" customHeight="true" outlineLevel="0" collapsed="false">
      <c r="G396" s="23"/>
    </row>
    <row r="397" customFormat="false" ht="15" hidden="false" customHeight="true" outlineLevel="0" collapsed="false">
      <c r="G397" s="23"/>
    </row>
    <row r="398" customFormat="false" ht="15" hidden="false" customHeight="true" outlineLevel="0" collapsed="false">
      <c r="G398" s="23"/>
    </row>
    <row r="399" customFormat="false" ht="15" hidden="false" customHeight="true" outlineLevel="0" collapsed="false">
      <c r="G399" s="23"/>
    </row>
    <row r="400" customFormat="false" ht="15" hidden="false" customHeight="true" outlineLevel="0" collapsed="false">
      <c r="G400" s="23"/>
    </row>
    <row r="401" customFormat="false" ht="15" hidden="false" customHeight="true" outlineLevel="0" collapsed="false">
      <c r="G401" s="23"/>
    </row>
    <row r="402" customFormat="false" ht="15" hidden="false" customHeight="true" outlineLevel="0" collapsed="false">
      <c r="G402" s="23"/>
    </row>
    <row r="403" customFormat="false" ht="15" hidden="false" customHeight="true" outlineLevel="0" collapsed="false">
      <c r="G403" s="23"/>
    </row>
    <row r="404" customFormat="false" ht="15" hidden="false" customHeight="true" outlineLevel="0" collapsed="false">
      <c r="G404" s="23"/>
    </row>
    <row r="405" customFormat="false" ht="15" hidden="false" customHeight="true" outlineLevel="0" collapsed="false">
      <c r="G405" s="23"/>
    </row>
    <row r="406" customFormat="false" ht="15" hidden="false" customHeight="true" outlineLevel="0" collapsed="false">
      <c r="G406" s="23"/>
    </row>
    <row r="407" customFormat="false" ht="15" hidden="false" customHeight="true" outlineLevel="0" collapsed="false">
      <c r="G407" s="23"/>
    </row>
    <row r="408" customFormat="false" ht="15" hidden="false" customHeight="true" outlineLevel="0" collapsed="false">
      <c r="G408" s="23"/>
    </row>
    <row r="409" customFormat="false" ht="15" hidden="false" customHeight="true" outlineLevel="0" collapsed="false">
      <c r="G409" s="23"/>
    </row>
    <row r="410" customFormat="false" ht="15" hidden="false" customHeight="true" outlineLevel="0" collapsed="false">
      <c r="G410" s="23"/>
    </row>
    <row r="411" customFormat="false" ht="15" hidden="false" customHeight="true" outlineLevel="0" collapsed="false">
      <c r="G411" s="23"/>
    </row>
    <row r="412" customFormat="false" ht="15" hidden="false" customHeight="true" outlineLevel="0" collapsed="false">
      <c r="G412" s="23"/>
    </row>
    <row r="413" customFormat="false" ht="15" hidden="false" customHeight="true" outlineLevel="0" collapsed="false">
      <c r="G413" s="23"/>
    </row>
    <row r="414" customFormat="false" ht="15" hidden="false" customHeight="true" outlineLevel="0" collapsed="false">
      <c r="G414" s="23"/>
    </row>
    <row r="415" customFormat="false" ht="15" hidden="false" customHeight="true" outlineLevel="0" collapsed="false">
      <c r="G415" s="23"/>
    </row>
    <row r="416" customFormat="false" ht="15" hidden="false" customHeight="true" outlineLevel="0" collapsed="false">
      <c r="G416" s="23"/>
    </row>
    <row r="417" customFormat="false" ht="15" hidden="false" customHeight="true" outlineLevel="0" collapsed="false">
      <c r="G417" s="23"/>
    </row>
    <row r="418" customFormat="false" ht="15" hidden="false" customHeight="true" outlineLevel="0" collapsed="false">
      <c r="G418" s="23"/>
    </row>
    <row r="419" customFormat="false" ht="15" hidden="false" customHeight="true" outlineLevel="0" collapsed="false">
      <c r="G419" s="23"/>
    </row>
    <row r="420" customFormat="false" ht="15" hidden="false" customHeight="true" outlineLevel="0" collapsed="false">
      <c r="G420" s="23"/>
    </row>
    <row r="421" customFormat="false" ht="15" hidden="false" customHeight="true" outlineLevel="0" collapsed="false">
      <c r="G421" s="23"/>
    </row>
    <row r="422" customFormat="false" ht="15" hidden="false" customHeight="true" outlineLevel="0" collapsed="false">
      <c r="G422" s="23"/>
    </row>
    <row r="423" customFormat="false" ht="15" hidden="false" customHeight="true" outlineLevel="0" collapsed="false">
      <c r="G423" s="23"/>
    </row>
    <row r="424" customFormat="false" ht="15" hidden="false" customHeight="true" outlineLevel="0" collapsed="false">
      <c r="G424" s="23"/>
    </row>
    <row r="425" customFormat="false" ht="15" hidden="false" customHeight="true" outlineLevel="0" collapsed="false">
      <c r="G425" s="23"/>
    </row>
    <row r="426" customFormat="false" ht="15" hidden="false" customHeight="true" outlineLevel="0" collapsed="false">
      <c r="G426" s="23"/>
    </row>
    <row r="427" customFormat="false" ht="15" hidden="false" customHeight="true" outlineLevel="0" collapsed="false">
      <c r="G427" s="23"/>
    </row>
    <row r="428" customFormat="false" ht="15" hidden="false" customHeight="true" outlineLevel="0" collapsed="false">
      <c r="G428" s="23"/>
    </row>
    <row r="429" customFormat="false" ht="15" hidden="false" customHeight="true" outlineLevel="0" collapsed="false">
      <c r="G429" s="23"/>
    </row>
    <row r="430" customFormat="false" ht="15" hidden="false" customHeight="true" outlineLevel="0" collapsed="false">
      <c r="G430" s="23"/>
    </row>
    <row r="431" customFormat="false" ht="15" hidden="false" customHeight="true" outlineLevel="0" collapsed="false">
      <c r="G431" s="23"/>
    </row>
    <row r="432" customFormat="false" ht="15" hidden="false" customHeight="true" outlineLevel="0" collapsed="false">
      <c r="G432" s="23"/>
    </row>
    <row r="433" customFormat="false" ht="15" hidden="false" customHeight="true" outlineLevel="0" collapsed="false">
      <c r="G433" s="23"/>
    </row>
    <row r="434" customFormat="false" ht="15" hidden="false" customHeight="true" outlineLevel="0" collapsed="false">
      <c r="G434" s="23"/>
    </row>
    <row r="435" customFormat="false" ht="15" hidden="false" customHeight="true" outlineLevel="0" collapsed="false">
      <c r="G435" s="23"/>
    </row>
    <row r="436" customFormat="false" ht="15" hidden="false" customHeight="true" outlineLevel="0" collapsed="false">
      <c r="G436" s="23"/>
    </row>
    <row r="437" customFormat="false" ht="15" hidden="false" customHeight="true" outlineLevel="0" collapsed="false">
      <c r="G437" s="23"/>
    </row>
    <row r="438" customFormat="false" ht="15" hidden="false" customHeight="true" outlineLevel="0" collapsed="false">
      <c r="G438" s="23"/>
    </row>
    <row r="439" customFormat="false" ht="15" hidden="false" customHeight="true" outlineLevel="0" collapsed="false">
      <c r="G439" s="23"/>
    </row>
    <row r="440" customFormat="false" ht="15" hidden="false" customHeight="true" outlineLevel="0" collapsed="false">
      <c r="G440" s="23"/>
    </row>
    <row r="441" customFormat="false" ht="15" hidden="false" customHeight="true" outlineLevel="0" collapsed="false">
      <c r="G441" s="23"/>
    </row>
    <row r="442" customFormat="false" ht="15" hidden="false" customHeight="true" outlineLevel="0" collapsed="false">
      <c r="G442" s="23"/>
    </row>
    <row r="443" customFormat="false" ht="15" hidden="false" customHeight="true" outlineLevel="0" collapsed="false">
      <c r="G443" s="23"/>
    </row>
    <row r="444" customFormat="false" ht="15" hidden="false" customHeight="true" outlineLevel="0" collapsed="false">
      <c r="G444" s="23"/>
    </row>
    <row r="445" customFormat="false" ht="15" hidden="false" customHeight="true" outlineLevel="0" collapsed="false">
      <c r="G445" s="23"/>
    </row>
    <row r="446" customFormat="false" ht="15" hidden="false" customHeight="true" outlineLevel="0" collapsed="false">
      <c r="G446" s="23"/>
    </row>
    <row r="447" customFormat="false" ht="15" hidden="false" customHeight="true" outlineLevel="0" collapsed="false">
      <c r="G447" s="23"/>
    </row>
    <row r="448" customFormat="false" ht="15" hidden="false" customHeight="true" outlineLevel="0" collapsed="false">
      <c r="G448" s="23"/>
    </row>
    <row r="449" customFormat="false" ht="15" hidden="false" customHeight="true" outlineLevel="0" collapsed="false">
      <c r="G449" s="23"/>
    </row>
    <row r="450" customFormat="false" ht="15" hidden="false" customHeight="true" outlineLevel="0" collapsed="false">
      <c r="G450" s="23"/>
    </row>
    <row r="451" customFormat="false" ht="15" hidden="false" customHeight="true" outlineLevel="0" collapsed="false">
      <c r="G451" s="23"/>
    </row>
    <row r="452" customFormat="false" ht="15" hidden="false" customHeight="true" outlineLevel="0" collapsed="false">
      <c r="G452" s="23"/>
    </row>
    <row r="453" customFormat="false" ht="15" hidden="false" customHeight="true" outlineLevel="0" collapsed="false">
      <c r="G453" s="23"/>
    </row>
    <row r="454" customFormat="false" ht="15" hidden="false" customHeight="true" outlineLevel="0" collapsed="false">
      <c r="G454" s="23"/>
    </row>
    <row r="455" customFormat="false" ht="15" hidden="false" customHeight="true" outlineLevel="0" collapsed="false">
      <c r="G455" s="23"/>
    </row>
    <row r="456" customFormat="false" ht="15" hidden="false" customHeight="true" outlineLevel="0" collapsed="false">
      <c r="G456" s="23"/>
    </row>
    <row r="457" customFormat="false" ht="15" hidden="false" customHeight="true" outlineLevel="0" collapsed="false">
      <c r="G457" s="23"/>
    </row>
    <row r="458" customFormat="false" ht="15" hidden="false" customHeight="true" outlineLevel="0" collapsed="false">
      <c r="G458" s="23"/>
    </row>
    <row r="459" customFormat="false" ht="15" hidden="false" customHeight="true" outlineLevel="0" collapsed="false">
      <c r="G459" s="23"/>
    </row>
    <row r="460" customFormat="false" ht="15" hidden="false" customHeight="true" outlineLevel="0" collapsed="false">
      <c r="G460" s="23"/>
    </row>
    <row r="461" customFormat="false" ht="15" hidden="false" customHeight="true" outlineLevel="0" collapsed="false">
      <c r="G461" s="23"/>
    </row>
    <row r="462" customFormat="false" ht="15" hidden="false" customHeight="true" outlineLevel="0" collapsed="false">
      <c r="G462" s="23"/>
    </row>
    <row r="463" customFormat="false" ht="15" hidden="false" customHeight="true" outlineLevel="0" collapsed="false">
      <c r="G463" s="23"/>
    </row>
    <row r="464" customFormat="false" ht="15" hidden="false" customHeight="true" outlineLevel="0" collapsed="false">
      <c r="G464" s="23"/>
    </row>
    <row r="465" customFormat="false" ht="15" hidden="false" customHeight="true" outlineLevel="0" collapsed="false">
      <c r="G465" s="23"/>
    </row>
    <row r="466" customFormat="false" ht="15" hidden="false" customHeight="true" outlineLevel="0" collapsed="false">
      <c r="G466" s="23"/>
    </row>
    <row r="467" customFormat="false" ht="15" hidden="false" customHeight="true" outlineLevel="0" collapsed="false">
      <c r="G467" s="23"/>
    </row>
    <row r="468" customFormat="false" ht="15" hidden="false" customHeight="true" outlineLevel="0" collapsed="false">
      <c r="G468" s="23"/>
    </row>
    <row r="469" customFormat="false" ht="15" hidden="false" customHeight="true" outlineLevel="0" collapsed="false">
      <c r="G469" s="23"/>
    </row>
    <row r="470" customFormat="false" ht="15" hidden="false" customHeight="true" outlineLevel="0" collapsed="false">
      <c r="G470" s="23"/>
    </row>
    <row r="471" customFormat="false" ht="15" hidden="false" customHeight="true" outlineLevel="0" collapsed="false">
      <c r="G471" s="23"/>
    </row>
    <row r="472" customFormat="false" ht="15" hidden="false" customHeight="true" outlineLevel="0" collapsed="false">
      <c r="G472" s="23"/>
    </row>
    <row r="473" customFormat="false" ht="15" hidden="false" customHeight="true" outlineLevel="0" collapsed="false">
      <c r="G473" s="23"/>
    </row>
    <row r="474" customFormat="false" ht="15" hidden="false" customHeight="true" outlineLevel="0" collapsed="false">
      <c r="G474" s="23"/>
    </row>
    <row r="475" customFormat="false" ht="15" hidden="false" customHeight="true" outlineLevel="0" collapsed="false">
      <c r="G475" s="23"/>
    </row>
    <row r="476" customFormat="false" ht="15" hidden="false" customHeight="true" outlineLevel="0" collapsed="false">
      <c r="G476" s="23"/>
    </row>
    <row r="477" customFormat="false" ht="15" hidden="false" customHeight="true" outlineLevel="0" collapsed="false">
      <c r="G477" s="23"/>
    </row>
    <row r="478" customFormat="false" ht="15" hidden="false" customHeight="true" outlineLevel="0" collapsed="false">
      <c r="G478" s="23"/>
    </row>
    <row r="479" customFormat="false" ht="15" hidden="false" customHeight="true" outlineLevel="0" collapsed="false">
      <c r="G479" s="23"/>
    </row>
    <row r="480" customFormat="false" ht="15" hidden="false" customHeight="true" outlineLevel="0" collapsed="false">
      <c r="G480" s="23"/>
    </row>
    <row r="481" customFormat="false" ht="15" hidden="false" customHeight="true" outlineLevel="0" collapsed="false">
      <c r="G481" s="23"/>
    </row>
    <row r="482" customFormat="false" ht="15" hidden="false" customHeight="true" outlineLevel="0" collapsed="false">
      <c r="G482" s="23"/>
    </row>
    <row r="483" customFormat="false" ht="15" hidden="false" customHeight="true" outlineLevel="0" collapsed="false">
      <c r="G483" s="23"/>
    </row>
    <row r="484" customFormat="false" ht="15" hidden="false" customHeight="true" outlineLevel="0" collapsed="false">
      <c r="G484" s="23"/>
    </row>
    <row r="485" customFormat="false" ht="15" hidden="false" customHeight="true" outlineLevel="0" collapsed="false">
      <c r="G485" s="23"/>
    </row>
    <row r="486" customFormat="false" ht="15" hidden="false" customHeight="true" outlineLevel="0" collapsed="false">
      <c r="G486" s="23"/>
    </row>
    <row r="487" customFormat="false" ht="15" hidden="false" customHeight="true" outlineLevel="0" collapsed="false">
      <c r="G487" s="23"/>
    </row>
    <row r="488" customFormat="false" ht="15" hidden="false" customHeight="true" outlineLevel="0" collapsed="false">
      <c r="G488" s="23"/>
    </row>
    <row r="489" customFormat="false" ht="15" hidden="false" customHeight="true" outlineLevel="0" collapsed="false">
      <c r="G489" s="23"/>
    </row>
    <row r="490" customFormat="false" ht="15" hidden="false" customHeight="true" outlineLevel="0" collapsed="false">
      <c r="G490" s="23"/>
    </row>
    <row r="491" customFormat="false" ht="15" hidden="false" customHeight="true" outlineLevel="0" collapsed="false">
      <c r="G491" s="23"/>
    </row>
    <row r="492" customFormat="false" ht="15" hidden="false" customHeight="true" outlineLevel="0" collapsed="false">
      <c r="G492" s="23"/>
    </row>
    <row r="493" customFormat="false" ht="15" hidden="false" customHeight="true" outlineLevel="0" collapsed="false">
      <c r="G493" s="23"/>
    </row>
    <row r="494" customFormat="false" ht="15" hidden="false" customHeight="true" outlineLevel="0" collapsed="false">
      <c r="G494" s="23"/>
    </row>
    <row r="495" customFormat="false" ht="15" hidden="false" customHeight="true" outlineLevel="0" collapsed="false">
      <c r="G495" s="23"/>
    </row>
    <row r="496" customFormat="false" ht="15" hidden="false" customHeight="true" outlineLevel="0" collapsed="false">
      <c r="G496" s="23"/>
    </row>
    <row r="497" customFormat="false" ht="15" hidden="false" customHeight="true" outlineLevel="0" collapsed="false">
      <c r="G497" s="23"/>
    </row>
    <row r="498" customFormat="false" ht="15" hidden="false" customHeight="true" outlineLevel="0" collapsed="false">
      <c r="G498" s="23"/>
    </row>
    <row r="499" customFormat="false" ht="15" hidden="false" customHeight="true" outlineLevel="0" collapsed="false">
      <c r="G499" s="23"/>
    </row>
    <row r="500" customFormat="false" ht="15" hidden="false" customHeight="true" outlineLevel="0" collapsed="false"/>
  </sheetData>
  <mergeCells count="1">
    <mergeCell ref="J1:P1"/>
  </mergeCells>
  <conditionalFormatting sqref="A2:H999">
    <cfRule type="expression" priority="2" aboveAverage="0" equalAverage="0" bottom="0" percent="0" rank="0" text="" dxfId="10">
      <formula>$C2="US"</formula>
    </cfRule>
    <cfRule type="expression" priority="3" aboveAverage="0" equalAverage="0" bottom="0" percent="0" rank="0" text="" dxfId="11">
      <formula>$C2="MyMSC"</formula>
    </cfRule>
    <cfRule type="expression" priority="4" aboveAverage="0" equalAverage="0" bottom="0" percent="0" rank="0" text="" dxfId="12">
      <formula>$C2="Rollout"</formula>
    </cfRule>
    <cfRule type="expression" priority="5" aboveAverage="0" equalAverage="0" bottom="0" percent="0" rank="0" text="" dxfId="12">
      <formula>$C2="MVP Rollout"</formula>
    </cfRule>
    <cfRule type="expression" priority="6" aboveAverage="0" equalAverage="0" bottom="0" percent="0" rank="0" text="" dxfId="13">
      <formula>$C2="Backlog"</formula>
    </cfRule>
    <cfRule type="expression" priority="7" aboveAverage="0" equalAverage="0" bottom="0" percent="0" rank="0" text="" dxfId="13">
      <formula>$C2="Growth"</formula>
    </cfRule>
    <cfRule type="expression" priority="8" aboveAverage="0" equalAverage="0" bottom="0" percent="0" rank="0" text="" dxfId="14">
      <formula>$C2="Tech Enhancements"</formula>
    </cfRule>
    <cfRule type="expression" priority="9" aboveAverage="0" equalAverage="0" bottom="0" percent="0" rank="0" text="" dxfId="15">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499"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true" outlineLevel="0" max="10" min="10" style="5" width="34.85"/>
    <col collapsed="false" customWidth="true" hidden="false" outlineLevel="0" max="11" min="11" style="5" width="34.29"/>
    <col collapsed="false" customWidth="true" hidden="false" outlineLevel="0" max="12" min="12" style="5" width="36.86"/>
    <col collapsed="false" customWidth="false" hidden="false" outlineLevel="0" max="16384" min="13" style="5" width="8.71"/>
  </cols>
  <sheetData>
    <row r="1" customFormat="false" ht="15" hidden="false" customHeight="true" outlineLevel="0" collapsed="false">
      <c r="A1" s="85" t="s">
        <v>834</v>
      </c>
      <c r="B1" s="85" t="s">
        <v>69</v>
      </c>
      <c r="C1" s="85" t="s">
        <v>70</v>
      </c>
      <c r="D1" s="85" t="s">
        <v>74</v>
      </c>
      <c r="E1" s="85" t="s">
        <v>78</v>
      </c>
      <c r="F1" s="85" t="s">
        <v>835</v>
      </c>
      <c r="G1" s="85" t="s">
        <v>71</v>
      </c>
      <c r="H1" s="85" t="s">
        <v>75</v>
      </c>
      <c r="I1" s="85" t="s">
        <v>836</v>
      </c>
      <c r="J1" s="85" t="s">
        <v>837</v>
      </c>
      <c r="K1" s="85" t="s">
        <v>838</v>
      </c>
      <c r="L1" s="86" t="s">
        <v>839</v>
      </c>
    </row>
    <row r="2" customFormat="false" ht="111.75" hidden="false" customHeight="true" outlineLevel="0" collapsed="false">
      <c r="A2" s="5" t="s">
        <v>767</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2026'!$I:$I,MATCH($A2,'Q1 Backlog Report 2026'!$A:$A,0)),IFERROR(INDEX('Q2 Backlog Report 2026'!$I:$I,MATCH($A2,'Q2 Backlog Report 2026'!$A:$A,0)),IFERROR(INDEX('Q3 Backlog Report 2026'!$I:$I,MATCH($A2,'Q3 Backlog Report 2026'!$A:$A,0)),IFERROR(INDEX('Q4 Backlog Report 2026'!$I:$I,MATCH($A2,'Q4 Backlog Report 2026'!$A:$A,0)),"")))))</f>
        <v>Sprint 10</v>
      </c>
      <c r="E2" s="5" t="str">
        <f aca="false">IFERROR(INDEX(Backlog[Jira Link],MATCH($A2,Backlog[Requirement ID],0)),IFERROR(INDEX('Q1 Backlog Report 2026'!$G:$G,MATCH($A2,'Q1 Backlog Report 2026'!$A:$A,0)),IFERROR(INDEX('Q2 Backlog Report 2026'!$G:$G,MATCH($A2,'Q2 Backlog Report 2026'!$A:$A,0)),IFERROR(INDEX('Q3 Backlog Report 2026'!$G:$G,MATCH($A2,'Q3 Backlog Report 2026'!$A:$A,0)),IFERROR(INDEX('Q4 Backlog Report 2026'!$G:$G,MATCH($A2,'Q4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DONE</v>
      </c>
      <c r="H2" s="5" t="n">
        <f aca="false">IFERROR(INDEX(Backlog[HLE],MATCH($A2,Backlog[Requirement ID],0)),IFERROR(INDEX('Q1 Backlog Report 2026'!$K:$K,MATCH($A2,'Q1 Backlog Report 2026'!$A:$A,0)),IFERROR(INDEX('Q2 Backlog Report 2026'!$K:$K,MATCH($A2,'Q2 Backlog Report 2026'!$A:$A,0)),IFERROR(INDEX('Q3 Backlog Report 2026'!$K:$K,MATCH($A2,'Q3 Backlog Report 2026'!$A:$A,0)),IFERROR(INDEX('Q4 Backlog Report 2026'!$K:$K,MATCH($A2,'Q4 Backlog Report 2026'!$A:$A,0)),"")))))</f>
        <v>8</v>
      </c>
      <c r="I2" s="87" t="s">
        <v>840</v>
      </c>
      <c r="J2" s="87" t="s">
        <v>841</v>
      </c>
      <c r="K2" s="87" t="s">
        <v>842</v>
      </c>
      <c r="L2" s="87" t="s">
        <v>843</v>
      </c>
    </row>
    <row r="3" customFormat="false" ht="63.75" hidden="false" customHeight="true" outlineLevel="0" collapsed="false">
      <c r="A3" s="5" t="s">
        <v>789</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2026'!$I:$I,MATCH($A3,'Q1 Backlog Report 2026'!$A:$A,0)),IFERROR(INDEX('Q2 Backlog Report 2026'!$I:$I,MATCH($A3,'Q2 Backlog Report 2026'!$A:$A,0)),IFERROR(INDEX('Q3 Backlog Report 2026'!$I:$I,MATCH($A3,'Q3 Backlog Report 2026'!$A:$A,0)),IFERROR(INDEX('Q4 Backlog Report 2026'!$I:$I,MATCH($A3,'Q4 Backlog Report 2026'!$A:$A,0)),"")))))</f>
        <v>Sprint 12</v>
      </c>
      <c r="E3" s="5" t="str">
        <f aca="false">IFERROR(INDEX(Backlog[Jira Link],MATCH($A3,Backlog[Requirement ID],0)),IFERROR(INDEX('Q1 Backlog Report 2026'!$G:$G,MATCH($A3,'Q1 Backlog Report 2026'!$A:$A,0)),IFERROR(INDEX('Q2 Backlog Report 2026'!$G:$G,MATCH($A3,'Q2 Backlog Report 2026'!$A:$A,0)),IFERROR(INDEX('Q3 Backlog Report 2026'!$G:$G,MATCH($A3,'Q3 Backlog Report 2026'!$A:$A,0)),IFERROR(INDEX('Q4 Backlog Report 2026'!$G:$G,MATCH($A3,'Q4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DONE</v>
      </c>
      <c r="H3" s="5" t="n">
        <f aca="false">IFERROR(INDEX(Backlog[HLE],MATCH($A3,Backlog[Requirement ID],0)),IFERROR(INDEX('Q1 Backlog Report 2026'!$K:$K,MATCH($A3,'Q1 Backlog Report 2026'!$A:$A,0)),IFERROR(INDEX('Q2 Backlog Report 2026'!$K:$K,MATCH($A3,'Q2 Backlog Report 2026'!$A:$A,0)),IFERROR(INDEX('Q3 Backlog Report 2026'!$K:$K,MATCH($A3,'Q3 Backlog Report 2026'!$A:$A,0)),IFERROR(INDEX('Q4 Backlog Report 2026'!$K:$K,MATCH($A3,'Q4 Backlog Report 2026'!$A:$A,0)),"")))))</f>
        <v>13</v>
      </c>
      <c r="I3" s="87" t="s">
        <v>844</v>
      </c>
      <c r="J3" s="87" t="s">
        <v>845</v>
      </c>
      <c r="K3" s="87" t="s">
        <v>846</v>
      </c>
      <c r="L3" s="5" t="s">
        <v>847</v>
      </c>
    </row>
    <row r="4" customFormat="false" ht="52.5" hidden="false" customHeight="true" outlineLevel="0" collapsed="false">
      <c r="A4" s="5" t="s">
        <v>791</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2026'!$I:$I,MATCH($A4,'Q1 Backlog Report 2026'!$A:$A,0)),IFERROR(INDEX('Q2 Backlog Report 2026'!$I:$I,MATCH($A4,'Q2 Backlog Report 2026'!$A:$A,0)),IFERROR(INDEX('Q3 Backlog Report 2026'!$I:$I,MATCH($A4,'Q3 Backlog Report 2026'!$A:$A,0)),IFERROR(INDEX('Q4 Backlog Report 2026'!$I:$I,MATCH($A4,'Q4 Backlog Report 2026'!$A:$A,0)),"")))))</f>
        <v>Sprint 12</v>
      </c>
      <c r="E4" s="5" t="str">
        <f aca="false">IFERROR(INDEX(Backlog[Jira Link],MATCH($A4,Backlog[Requirement ID],0)),IFERROR(INDEX('Q1 Backlog Report 2026'!$G:$G,MATCH($A4,'Q1 Backlog Report 2026'!$A:$A,0)),IFERROR(INDEX('Q2 Backlog Report 2026'!$G:$G,MATCH($A4,'Q2 Backlog Report 2026'!$A:$A,0)),IFERROR(INDEX('Q3 Backlog Report 2026'!$G:$G,MATCH($A4,'Q3 Backlog Report 2026'!$A:$A,0)),IFERROR(INDEX('Q4 Backlog Report 2026'!$G:$G,MATCH($A4,'Q4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[EINT] [CR] [INT006] PI11-15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DONE</v>
      </c>
      <c r="H4" s="5" t="n">
        <f aca="false">IFERROR(INDEX(Backlog[HLE],MATCH($A4,Backlog[Requirement ID],0)),IFERROR(INDEX('Q1 Backlog Report 2026'!$K:$K,MATCH($A4,'Q1 Backlog Report 2026'!$A:$A,0)),IFERROR(INDEX('Q2 Backlog Report 2026'!$K:$K,MATCH($A4,'Q2 Backlog Report 2026'!$A:$A,0)),IFERROR(INDEX('Q3 Backlog Report 2026'!$K:$K,MATCH($A4,'Q3 Backlog Report 2026'!$A:$A,0)),IFERROR(INDEX('Q4 Backlog Report 2026'!$K:$K,MATCH($A4,'Q4 Backlog Report 2026'!$A:$A,0)),"")))))</f>
        <v>13</v>
      </c>
      <c r="I4" s="87" t="s">
        <v>848</v>
      </c>
      <c r="J4" s="87" t="s">
        <v>849</v>
      </c>
      <c r="K4" s="87" t="s">
        <v>850</v>
      </c>
      <c r="L4" s="5" t="s">
        <v>851</v>
      </c>
    </row>
    <row r="5" customFormat="false" ht="72" hidden="false" customHeight="true" outlineLevel="0" collapsed="false">
      <c r="A5" s="5" t="s">
        <v>130</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2026'!$I:$I,MATCH($A5,'Q1 Backlog Report 2026'!$A:$A,0)),IFERROR(INDEX('Q2 Backlog Report 2026'!$I:$I,MATCH($A5,'Q2 Backlog Report 2026'!$A:$A,0)),IFERROR(INDEX('Q3 Backlog Report 2026'!$I:$I,MATCH($A5,'Q3 Backlog Report 2026'!$A:$A,0)),IFERROR(INDEX('Q4 Backlog Report 2026'!$I:$I,MATCH($A5,'Q4 Backlog Report 2026'!$A:$A,0)),"")))))</f>
        <v>To Plan</v>
      </c>
      <c r="E5" s="5" t="str">
        <f aca="false">IFERROR(INDEX(Backlog[Jira Link],MATCH($A5,Backlog[Requirement ID],0)),IFERROR(INDEX('Q1 Backlog Report 2026'!$G:$G,MATCH($A5,'Q1 Backlog Report 2026'!$A:$A,0)),IFERROR(INDEX('Q2 Backlog Report 2026'!$G:$G,MATCH($A5,'Q2 Backlog Report 2026'!$A:$A,0)),IFERROR(INDEX('Q3 Backlog Report 2026'!$G:$G,MATCH($A5,'Q3 Backlog Report 2026'!$A:$A,0)),IFERROR(INDEX('Q4 Backlog Report 2026'!$G:$G,MATCH($A5,'Q4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2026'!$K:$K,MATCH($A5,'Q1 Backlog Report 2026'!$A:$A,0)),IFERROR(INDEX('Q2 Backlog Report 2026'!$K:$K,MATCH($A5,'Q2 Backlog Report 2026'!$A:$A,0)),IFERROR(INDEX('Q3 Backlog Report 2026'!$K:$K,MATCH($A5,'Q3 Backlog Report 2026'!$A:$A,0)),IFERROR(INDEX('Q4 Backlog Report 2026'!$K:$K,MATCH($A5,'Q4 Backlog Report 2026'!$A:$A,0)),"")))))</f>
        <v>5</v>
      </c>
      <c r="I5" s="87" t="s">
        <v>852</v>
      </c>
      <c r="J5" s="87" t="s">
        <v>853</v>
      </c>
      <c r="K5" s="87" t="s">
        <v>854</v>
      </c>
      <c r="L5" s="5" t="s">
        <v>855</v>
      </c>
    </row>
    <row r="6" customFormat="false" ht="34.5" hidden="false" customHeight="true" outlineLevel="0" collapsed="false">
      <c r="A6" s="5" t="s">
        <v>134</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2026'!$I:$I,MATCH($A6,'Q1 Backlog Report 2026'!$A:$A,0)),IFERROR(INDEX('Q2 Backlog Report 2026'!$I:$I,MATCH($A6,'Q2 Backlog Report 2026'!$A:$A,0)),IFERROR(INDEX('Q3 Backlog Report 2026'!$I:$I,MATCH($A6,'Q3 Backlog Report 2026'!$A:$A,0)),IFERROR(INDEX('Q4 Backlog Report 2026'!$I:$I,MATCH($A6,'Q4 Backlog Report 2026'!$A:$A,0)),"")))))</f>
        <v>To Plan</v>
      </c>
      <c r="E6" s="5" t="s">
        <v>856</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NA</v>
      </c>
      <c r="H6" s="5" t="n">
        <f aca="false">IFERROR(INDEX(Backlog[HLE],MATCH($A6,Backlog[Requirement ID],0)),IFERROR(INDEX('Q1 Backlog Report 2026'!$K:$K,MATCH($A6,'Q1 Backlog Report 2026'!$A:$A,0)),IFERROR(INDEX('Q2 Backlog Report 2026'!$K:$K,MATCH($A6,'Q2 Backlog Report 2026'!$A:$A,0)),IFERROR(INDEX('Q3 Backlog Report 2026'!$K:$K,MATCH($A6,'Q3 Backlog Report 2026'!$A:$A,0)),IFERROR(INDEX('Q4 Backlog Report 2026'!$K:$K,MATCH($A6,'Q4 Backlog Report 2026'!$A:$A,0)),"")))))</f>
        <v>8</v>
      </c>
      <c r="I6" s="87" t="s">
        <v>857</v>
      </c>
      <c r="J6" s="87" t="s">
        <v>857</v>
      </c>
      <c r="K6" s="5" t="s">
        <v>858</v>
      </c>
      <c r="L6" s="5" t="s">
        <v>859</v>
      </c>
    </row>
    <row r="7" customFormat="false" ht="68.25" hidden="false" customHeight="true" outlineLevel="0" collapsed="false">
      <c r="A7" s="5" t="s">
        <v>138</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2026'!$I:$I,MATCH($A7,'Q1 Backlog Report 2026'!$A:$A,0)),IFERROR(INDEX('Q2 Backlog Report 2026'!$I:$I,MATCH($A7,'Q2 Backlog Report 2026'!$A:$A,0)),IFERROR(INDEX('Q3 Backlog Report 2026'!$I:$I,MATCH($A7,'Q3 Backlog Report 2026'!$A:$A,0)),IFERROR(INDEX('Q4 Backlog Report 2026'!$I:$I,MATCH($A7,'Q4 Backlog Report 2026'!$A:$A,0)),"")))))</f>
        <v>To Plan</v>
      </c>
      <c r="E7" s="5" t="str">
        <f aca="false">IFERROR(INDEX(Backlog[Jira Link],MATCH($A7,Backlog[Requirement ID],0)),IFERROR(INDEX('Q1 Backlog Report 2026'!$G:$G,MATCH($A7,'Q1 Backlog Report 2026'!$A:$A,0)),IFERROR(INDEX('Q2 Backlog Report 2026'!$G:$G,MATCH($A7,'Q2 Backlog Report 2026'!$A:$A,0)),IFERROR(INDEX('Q3 Backlog Report 2026'!$G:$G,MATCH($A7,'Q3 Backlog Report 2026'!$A:$A,0)),IFERROR(INDEX('Q4 Backlog Report 2026'!$G:$G,MATCH($A7,'Q4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2026'!$K:$K,MATCH($A7,'Q1 Backlog Report 2026'!$A:$A,0)),IFERROR(INDEX('Q2 Backlog Report 2026'!$K:$K,MATCH($A7,'Q2 Backlog Report 2026'!$A:$A,0)),IFERROR(INDEX('Q3 Backlog Report 2026'!$K:$K,MATCH($A7,'Q3 Backlog Report 2026'!$A:$A,0)),IFERROR(INDEX('Q4 Backlog Report 2026'!$K:$K,MATCH($A7,'Q4 Backlog Report 2026'!$A:$A,0)),"")))))</f>
        <v>5</v>
      </c>
      <c r="I7" s="87" t="s">
        <v>860</v>
      </c>
      <c r="J7" s="87" t="s">
        <v>860</v>
      </c>
      <c r="K7" s="87" t="s">
        <v>861</v>
      </c>
    </row>
    <row r="8" customFormat="false" ht="15" hidden="false" customHeight="true" outlineLevel="0" collapsed="false">
      <c r="A8" s="5" t="s">
        <v>145</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2026'!$I:$I,MATCH($A8,'Q1 Backlog Report 2026'!$A:$A,0)),IFERROR(INDEX('Q2 Backlog Report 2026'!$I:$I,MATCH($A8,'Q2 Backlog Report 2026'!$A:$A,0)),IFERROR(INDEX('Q3 Backlog Report 2026'!$I:$I,MATCH($A8,'Q3 Backlog Report 2026'!$A:$A,0)),IFERROR(INDEX('Q4 Backlog Report 2026'!$I:$I,MATCH($A8,'Q4 Backlog Report 2026'!$A:$A,0)),"")))))</f>
        <v>Sprint 13</v>
      </c>
      <c r="E8" s="5" t="str">
        <f aca="false">IFERROR(INDEX(Backlog[Jira Link],MATCH($A8,Backlog[Requirement ID],0)),IFERROR(INDEX('Q1 Backlog Report 2026'!$G:$G,MATCH($A8,'Q1 Backlog Report 2026'!$A:$A,0)),IFERROR(INDEX('Q2 Backlog Report 2026'!$G:$G,MATCH($A8,'Q2 Backlog Report 2026'!$A:$A,0)),IFERROR(INDEX('Q3 Backlog Report 2026'!$G:$G,MATCH($A8,'Q3 Backlog Report 2026'!$A:$A,0)),IFERROR(INDEX('Q4 Backlog Report 2026'!$G:$G,MATCH($A8,'Q4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2026'!$K:$K,MATCH($A8,'Q1 Backlog Report 2026'!$A:$A,0)),IFERROR(INDEX('Q2 Backlog Report 2026'!$K:$K,MATCH($A8,'Q2 Backlog Report 2026'!$A:$A,0)),IFERROR(INDEX('Q3 Backlog Report 2026'!$K:$K,MATCH($A8,'Q3 Backlog Report 2026'!$A:$A,0)),IFERROR(INDEX('Q4 Backlog Report 2026'!$K:$K,MATCH($A8,'Q4 Backlog Report 2026'!$A:$A,0)),"")))))</f>
        <v>5</v>
      </c>
      <c r="I8" s="87" t="s">
        <v>862</v>
      </c>
      <c r="J8" s="87" t="s">
        <v>863</v>
      </c>
      <c r="K8" s="87" t="s">
        <v>864</v>
      </c>
    </row>
    <row r="9" customFormat="false" ht="15" hidden="false" customHeight="true" outlineLevel="0" collapsed="false">
      <c r="A9" s="5" t="s">
        <v>781</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2026'!$I:$I,MATCH($A9,'Q1 Backlog Report 2026'!$A:$A,0)),IFERROR(INDEX('Q2 Backlog Report 2026'!$I:$I,MATCH($A9,'Q2 Backlog Report 2026'!$A:$A,0)),IFERROR(INDEX('Q3 Backlog Report 2026'!$I:$I,MATCH($A9,'Q3 Backlog Report 2026'!$A:$A,0)),IFERROR(INDEX('Q4 Backlog Report 2026'!$I:$I,MATCH($A9,'Q4 Backlog Report 2026'!$A:$A,0)),"")))))</f>
        <v>Sprint 12</v>
      </c>
      <c r="E9" s="5" t="str">
        <f aca="false">IFERROR(INDEX(Backlog[Jira Link],MATCH($A9,Backlog[Requirement ID],0)),IFERROR(INDEX('Q1 Backlog Report 2026'!$G:$G,MATCH($A9,'Q1 Backlog Report 2026'!$A:$A,0)),IFERROR(INDEX('Q2 Backlog Report 2026'!$G:$G,MATCH($A9,'Q2 Backlog Report 2026'!$A:$A,0)),IFERROR(INDEX('Q3 Backlog Report 2026'!$G:$G,MATCH($A9,'Q3 Backlog Report 2026'!$A:$A,0)),IFERROR(INDEX('Q4 Backlog Report 2026'!$G:$G,MATCH($A9,'Q4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DONE</v>
      </c>
      <c r="H9" s="5" t="n">
        <f aca="false">IFERROR(INDEX(Backlog[HLE],MATCH($A9,Backlog[Requirement ID],0)),IFERROR(INDEX('Q1 Backlog Report 2026'!$K:$K,MATCH($A9,'Q1 Backlog Report 2026'!$A:$A,0)),IFERROR(INDEX('Q2 Backlog Report 2026'!$K:$K,MATCH($A9,'Q2 Backlog Report 2026'!$A:$A,0)),IFERROR(INDEX('Q3 Backlog Report 2026'!$K:$K,MATCH($A9,'Q3 Backlog Report 2026'!$A:$A,0)),IFERROR(INDEX('Q4 Backlog Report 2026'!$K:$K,MATCH($A9,'Q4 Backlog Report 2026'!$A:$A,0)),"")))))</f>
        <v>8</v>
      </c>
      <c r="I9" s="87" t="s">
        <v>865</v>
      </c>
      <c r="J9" s="87" t="s">
        <v>866</v>
      </c>
      <c r="K9" s="87" t="s">
        <v>860</v>
      </c>
    </row>
    <row r="10" customFormat="false" ht="15" hidden="false" customHeight="true" outlineLevel="0" collapsed="false">
      <c r="A10" s="5" t="s">
        <v>867</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5" t="str">
        <f aca="false">IFERROR(INDEX(Backlog[Sprint],MATCH($A10,Backlog[Requirement ID],0)),IFERROR(INDEX('Q1 Backlog Report 2026'!$I:$I,MATCH($A10,'Q1 Backlog Report 2026'!$A:$A,0)),IFERROR(INDEX('Q2 Backlog Report 2026'!$I:$I,MATCH($A10,'Q2 Backlog Report 2026'!$A:$A,0)),IFERROR(INDEX('Q3 Backlog Report 2026'!$I:$I,MATCH($A10,'Q3 Backlog Report 2026'!$A:$A,0)),IFERROR(INDEX('Q4 Backlog Report 2026'!$I:$I,MATCH($A10,'Q4 Backlog Report 2026'!$A:$A,0)),"")))))</f>
        <v/>
      </c>
      <c r="E10" s="5" t="str">
        <f aca="false">IFERROR(INDEX(Backlog[Jira Link],MATCH($A10,Backlog[Requirement ID],0)),IFERROR(INDEX('Q1 Backlog Report 2026'!$G:$G,MATCH($A10,'Q1 Backlog Report 2026'!$A:$A,0)),IFERROR(INDEX('Q2 Backlog Report 2026'!$G:$G,MATCH($A10,'Q2 Backlog Report 2026'!$A:$A,0)),IFERROR(INDEX('Q3 Backlog Report 2026'!$G:$G,MATCH($A10,'Q3 Backlog Report 2026'!$A:$A,0)),IFERROR(INDEX('Q4 Backlog Report 2026'!$G:$G,MATCH($A10,'Q4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5" t="str">
        <f aca="false">IFERROR(INDEX(Backlog[HLE],MATCH($A10,Backlog[Requirement ID],0)),IFERROR(INDEX('Q1 Backlog Report 2026'!$K:$K,MATCH($A10,'Q1 Backlog Report 2026'!$A:$A,0)),IFERROR(INDEX('Q2 Backlog Report 2026'!$K:$K,MATCH($A10,'Q2 Backlog Report 2026'!$A:$A,0)),IFERROR(INDEX('Q3 Backlog Report 2026'!$K:$K,MATCH($A10,'Q3 Backlog Report 2026'!$A:$A,0)),IFERROR(INDEX('Q4 Backlog Report 2026'!$K:$K,MATCH($A10,'Q4 Backlog Report 2026'!$A:$A,0)),"")))))</f>
        <v/>
      </c>
    </row>
    <row r="11" customFormat="false" ht="15" hidden="false" customHeight="true" outlineLevel="0" collapsed="false">
      <c r="A11" s="5" t="s">
        <v>260</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2026'!$I:$I,MATCH($A11,'Q1 Backlog Report 2026'!$A:$A,0)),IFERROR(INDEX('Q2 Backlog Report 2026'!$I:$I,MATCH($A11,'Q2 Backlog Report 2026'!$A:$A,0)),IFERROR(INDEX('Q3 Backlog Report 2026'!$I:$I,MATCH($A11,'Q3 Backlog Report 2026'!$A:$A,0)),IFERROR(INDEX('Q4 Backlog Report 2026'!$I:$I,MATCH($A11,'Q4 Backlog Report 2026'!$A:$A,0)),"")))))</f>
        <v>To Plan</v>
      </c>
      <c r="E11" s="5" t="str">
        <f aca="false">IFERROR(INDEX(Backlog[Jira Link],MATCH($A11,Backlog[Requirement ID],0)),IFERROR(INDEX('Q1 Backlog Report 2026'!$G:$G,MATCH($A11,'Q1 Backlog Report 2026'!$A:$A,0)),IFERROR(INDEX('Q2 Backlog Report 2026'!$G:$G,MATCH($A11,'Q2 Backlog Report 2026'!$A:$A,0)),IFERROR(INDEX('Q3 Backlog Report 2026'!$G:$G,MATCH($A11,'Q3 Backlog Report 2026'!$A:$A,0)),IFERROR(INDEX('Q4 Backlog Report 2026'!$G:$G,MATCH($A11,'Q4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2026'!$K:$K,MATCH($A11,'Q1 Backlog Report 2026'!$A:$A,0)),IFERROR(INDEX('Q2 Backlog Report 2026'!$K:$K,MATCH($A11,'Q2 Backlog Report 2026'!$A:$A,0)),IFERROR(INDEX('Q3 Backlog Report 2026'!$K:$K,MATCH($A11,'Q3 Backlog Report 2026'!$A:$A,0)),IFERROR(INDEX('Q4 Backlog Report 2026'!$K:$K,MATCH($A11,'Q4 Backlog Report 2026'!$A:$A,0)),"")))))</f>
        <v>3</v>
      </c>
    </row>
    <row r="12" customFormat="false" ht="15" hidden="false" customHeight="true" outlineLevel="0" collapsed="false">
      <c r="A12" s="5" t="s">
        <v>263</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2026'!$I:$I,MATCH($A12,'Q1 Backlog Report 2026'!$A:$A,0)),IFERROR(INDEX('Q2 Backlog Report 2026'!$I:$I,MATCH($A12,'Q2 Backlog Report 2026'!$A:$A,0)),IFERROR(INDEX('Q3 Backlog Report 2026'!$I:$I,MATCH($A12,'Q3 Backlog Report 2026'!$A:$A,0)),IFERROR(INDEX('Q4 Backlog Report 2026'!$I:$I,MATCH($A12,'Q4 Backlog Report 2026'!$A:$A,0)),"")))))</f>
        <v>To Plan</v>
      </c>
      <c r="E12" s="5" t="str">
        <f aca="false">IFERROR(INDEX(Backlog[Jira Link],MATCH($A12,Backlog[Requirement ID],0)),IFERROR(INDEX('Q1 Backlog Report 2026'!$G:$G,MATCH($A12,'Q1 Backlog Report 2026'!$A:$A,0)),IFERROR(INDEX('Q2 Backlog Report 2026'!$G:$G,MATCH($A12,'Q2 Backlog Report 2026'!$A:$A,0)),IFERROR(INDEX('Q3 Backlog Report 2026'!$G:$G,MATCH($A12,'Q3 Backlog Report 2026'!$A:$A,0)),IFERROR(INDEX('Q4 Backlog Report 2026'!$G:$G,MATCH($A12,'Q4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2026'!$K:$K,MATCH($A12,'Q1 Backlog Report 2026'!$A:$A,0)),IFERROR(INDEX('Q2 Backlog Report 2026'!$K:$K,MATCH($A12,'Q2 Backlog Report 2026'!$A:$A,0)),IFERROR(INDEX('Q3 Backlog Report 2026'!$K:$K,MATCH($A12,'Q3 Backlog Report 2026'!$A:$A,0)),IFERROR(INDEX('Q4 Backlog Report 2026'!$K:$K,MATCH($A12,'Q4 Backlog Report 2026'!$A:$A,0)),"")))))</f>
        <v>5</v>
      </c>
    </row>
    <row r="13" customFormat="false" ht="15" hidden="false" customHeight="true" outlineLevel="0" collapsed="false">
      <c r="A13" s="5" t="s">
        <v>266</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2026'!$I:$I,MATCH($A13,'Q1 Backlog Report 2026'!$A:$A,0)),IFERROR(INDEX('Q2 Backlog Report 2026'!$I:$I,MATCH($A13,'Q2 Backlog Report 2026'!$A:$A,0)),IFERROR(INDEX('Q3 Backlog Report 2026'!$I:$I,MATCH($A13,'Q3 Backlog Report 2026'!$A:$A,0)),IFERROR(INDEX('Q4 Backlog Report 2026'!$I:$I,MATCH($A13,'Q4 Backlog Report 2026'!$A:$A,0)),"")))))</f>
        <v>To Plan</v>
      </c>
      <c r="E13" s="5" t="str">
        <f aca="false">IFERROR(INDEX(Backlog[Jira Link],MATCH($A13,Backlog[Requirement ID],0)),IFERROR(INDEX('Q1 Backlog Report 2026'!$G:$G,MATCH($A13,'Q1 Backlog Report 2026'!$A:$A,0)),IFERROR(INDEX('Q2 Backlog Report 2026'!$G:$G,MATCH($A13,'Q2 Backlog Report 2026'!$A:$A,0)),IFERROR(INDEX('Q3 Backlog Report 2026'!$G:$G,MATCH($A13,'Q3 Backlog Report 2026'!$A:$A,0)),IFERROR(INDEX('Q4 Backlog Report 2026'!$G:$G,MATCH($A13,'Q4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2026'!$K:$K,MATCH($A13,'Q1 Backlog Report 2026'!$A:$A,0)),IFERROR(INDEX('Q2 Backlog Report 2026'!$K:$K,MATCH($A13,'Q2 Backlog Report 2026'!$A:$A,0)),IFERROR(INDEX('Q3 Backlog Report 2026'!$K:$K,MATCH($A13,'Q3 Backlog Report 2026'!$A:$A,0)),IFERROR(INDEX('Q4 Backlog Report 2026'!$K:$K,MATCH($A13,'Q4 Backlog Report 2026'!$A:$A,0)),"")))))</f>
        <v>5</v>
      </c>
    </row>
    <row r="14" customFormat="false" ht="15" hidden="false" customHeight="true" outlineLevel="0" collapsed="false">
      <c r="A14" s="5" t="s">
        <v>268</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2026'!$I:$I,MATCH($A14,'Q1 Backlog Report 2026'!$A:$A,0)),IFERROR(INDEX('Q2 Backlog Report 2026'!$I:$I,MATCH($A14,'Q2 Backlog Report 2026'!$A:$A,0)),IFERROR(INDEX('Q3 Backlog Report 2026'!$I:$I,MATCH($A14,'Q3 Backlog Report 2026'!$A:$A,0)),IFERROR(INDEX('Q4 Backlog Report 2026'!$I:$I,MATCH($A14,'Q4 Backlog Report 2026'!$A:$A,0)),"")))))</f>
        <v>To Plan</v>
      </c>
      <c r="E14" s="5" t="n">
        <f aca="false">IFERROR(INDEX(Backlog[Jira Link],MATCH($A14,Backlog[Requirement ID],0)),IFERROR(INDEX('Q1 Backlog Report 2026'!$G:$G,MATCH($A14,'Q1 Backlog Report 2026'!$A:$A,0)),IFERROR(INDEX('Q2 Backlog Report 2026'!$G:$G,MATCH($A14,'Q2 Backlog Report 2026'!$A:$A,0)),IFERROR(INDEX('Q3 Backlog Report 2026'!$G:$G,MATCH($A14,'Q3 Backlog Report 2026'!$A:$A,0)),IFERROR(INDEX('Q4 Backlog Report 2026'!$G:$G,MATCH($A14,'Q4 Backlog Report 2026'!$A:$A,0)),"")))))</f>
        <v>0</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2026'!$K:$K,MATCH($A14,'Q1 Backlog Report 2026'!$A:$A,0)),IFERROR(INDEX('Q2 Backlog Report 2026'!$K:$K,MATCH($A14,'Q2 Backlog Report 2026'!$A:$A,0)),IFERROR(INDEX('Q3 Backlog Report 2026'!$K:$K,MATCH($A14,'Q3 Backlog Report 2026'!$A:$A,0)),IFERROR(INDEX('Q4 Backlog Report 2026'!$K:$K,MATCH($A14,'Q4 Backlog Report 2026'!$A:$A,0)),"")))))</f>
        <v>0</v>
      </c>
      <c r="I14" s="87" t="s">
        <v>868</v>
      </c>
      <c r="J14" s="87" t="s">
        <v>868</v>
      </c>
      <c r="K14" s="87" t="s">
        <v>869</v>
      </c>
    </row>
    <row r="15" customFormat="false" ht="15" hidden="false" customHeight="true" outlineLevel="0" collapsed="false">
      <c r="A15" s="5" t="s">
        <v>271</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2026'!$I:$I,MATCH($A15,'Q1 Backlog Report 2026'!$A:$A,0)),IFERROR(INDEX('Q2 Backlog Report 2026'!$I:$I,MATCH($A15,'Q2 Backlog Report 2026'!$A:$A,0)),IFERROR(INDEX('Q3 Backlog Report 2026'!$I:$I,MATCH($A15,'Q3 Backlog Report 2026'!$A:$A,0)),IFERROR(INDEX('Q4 Backlog Report 2026'!$I:$I,MATCH($A15,'Q4 Backlog Report 2026'!$A:$A,0)),"")))))</f>
        <v>To Plan</v>
      </c>
      <c r="E15" s="5" t="str">
        <f aca="false">IFERROR(INDEX(Backlog[Jira Link],MATCH($A15,Backlog[Requirement ID],0)),IFERROR(INDEX('Q1 Backlog Report 2026'!$G:$G,MATCH($A15,'Q1 Backlog Report 2026'!$A:$A,0)),IFERROR(INDEX('Q2 Backlog Report 2026'!$G:$G,MATCH($A15,'Q2 Backlog Report 2026'!$A:$A,0)),IFERROR(INDEX('Q3 Backlog Report 2026'!$G:$G,MATCH($A15,'Q3 Backlog Report 2026'!$A:$A,0)),IFERROR(INDEX('Q4 Backlog Report 2026'!$G:$G,MATCH($A15,'Q4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2026'!$K:$K,MATCH($A15,'Q1 Backlog Report 2026'!$A:$A,0)),IFERROR(INDEX('Q2 Backlog Report 2026'!$K:$K,MATCH($A15,'Q2 Backlog Report 2026'!$A:$A,0)),IFERROR(INDEX('Q3 Backlog Report 2026'!$K:$K,MATCH($A15,'Q3 Backlog Report 2026'!$A:$A,0)),IFERROR(INDEX('Q4 Backlog Report 2026'!$K:$K,MATCH($A15,'Q4 Backlog Report 2026'!$A:$A,0)),"")))))</f>
        <v>21</v>
      </c>
      <c r="I15" s="87" t="s">
        <v>870</v>
      </c>
      <c r="J15" s="87" t="s">
        <v>871</v>
      </c>
      <c r="K15" s="87" t="s">
        <v>872</v>
      </c>
    </row>
    <row r="16" customFormat="false" ht="15" hidden="false" customHeight="true" outlineLevel="0" collapsed="false">
      <c r="A16" s="5" t="s">
        <v>274</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2026'!$I:$I,MATCH($A16,'Q1 Backlog Report 2026'!$A:$A,0)),IFERROR(INDEX('Q2 Backlog Report 2026'!$I:$I,MATCH($A16,'Q2 Backlog Report 2026'!$A:$A,0)),IFERROR(INDEX('Q3 Backlog Report 2026'!$I:$I,MATCH($A16,'Q3 Backlog Report 2026'!$A:$A,0)),IFERROR(INDEX('Q4 Backlog Report 2026'!$I:$I,MATCH($A16,'Q4 Backlog Report 2026'!$A:$A,0)),"")))))</f>
        <v>To Plan</v>
      </c>
      <c r="E16" s="5" t="str">
        <f aca="false">IFERROR(INDEX(Backlog[Jira Link],MATCH($A16,Backlog[Requirement ID],0)),IFERROR(INDEX('Q1 Backlog Report 2026'!$G:$G,MATCH($A16,'Q1 Backlog Report 2026'!$A:$A,0)),IFERROR(INDEX('Q2 Backlog Report 2026'!$G:$G,MATCH($A16,'Q2 Backlog Report 2026'!$A:$A,0)),IFERROR(INDEX('Q3 Backlog Report 2026'!$G:$G,MATCH($A16,'Q3 Backlog Report 2026'!$A:$A,0)),IFERROR(INDEX('Q4 Backlog Report 2026'!$G:$G,MATCH($A16,'Q4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2026'!$K:$K,MATCH($A16,'Q1 Backlog Report 2026'!$A:$A,0)),IFERROR(INDEX('Q2 Backlog Report 2026'!$K:$K,MATCH($A16,'Q2 Backlog Report 2026'!$A:$A,0)),IFERROR(INDEX('Q3 Backlog Report 2026'!$K:$K,MATCH($A16,'Q3 Backlog Report 2026'!$A:$A,0)),IFERROR(INDEX('Q4 Backlog Report 2026'!$K:$K,MATCH($A16,'Q4 Backlog Report 2026'!$A:$A,0)),"")))))</f>
        <v>0</v>
      </c>
      <c r="I16" s="87" t="s">
        <v>873</v>
      </c>
      <c r="J16" s="87" t="s">
        <v>873</v>
      </c>
      <c r="K16" s="87" t="s">
        <v>874</v>
      </c>
    </row>
    <row r="17" customFormat="false" ht="15" hidden="false" customHeight="true" outlineLevel="0" collapsed="false">
      <c r="A17" s="5" t="s">
        <v>277</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2026'!$I:$I,MATCH($A17,'Q1 Backlog Report 2026'!$A:$A,0)),IFERROR(INDEX('Q2 Backlog Report 2026'!$I:$I,MATCH($A17,'Q2 Backlog Report 2026'!$A:$A,0)),IFERROR(INDEX('Q3 Backlog Report 2026'!$I:$I,MATCH($A17,'Q3 Backlog Report 2026'!$A:$A,0)),IFERROR(INDEX('Q4 Backlog Report 2026'!$I:$I,MATCH($A17,'Q4 Backlog Report 2026'!$A:$A,0)),"")))))</f>
        <v>Sprint 13</v>
      </c>
      <c r="E17" s="5" t="str">
        <f aca="false">IFERROR(INDEX(Backlog[Jira Link],MATCH($A17,Backlog[Requirement ID],0)),IFERROR(INDEX('Q1 Backlog Report 2026'!$G:$G,MATCH($A17,'Q1 Backlog Report 2026'!$A:$A,0)),IFERROR(INDEX('Q2 Backlog Report 2026'!$G:$G,MATCH($A17,'Q2 Backlog Report 2026'!$A:$A,0)),IFERROR(INDEX('Q3 Backlog Report 2026'!$G:$G,MATCH($A17,'Q3 Backlog Report 2026'!$A:$A,0)),IFERROR(INDEX('Q4 Backlog Report 2026'!$G:$G,MATCH($A17,'Q4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2026'!$K:$K,MATCH($A17,'Q1 Backlog Report 2026'!$A:$A,0)),IFERROR(INDEX('Q2 Backlog Report 2026'!$K:$K,MATCH($A17,'Q2 Backlog Report 2026'!$A:$A,0)),IFERROR(INDEX('Q3 Backlog Report 2026'!$K:$K,MATCH($A17,'Q3 Backlog Report 2026'!$A:$A,0)),IFERROR(INDEX('Q4 Backlog Report 2026'!$K:$K,MATCH($A17,'Q4 Backlog Report 2026'!$A:$A,0)),"")))))</f>
        <v>1</v>
      </c>
      <c r="I17" s="87" t="s">
        <v>875</v>
      </c>
      <c r="J17" s="87" t="s">
        <v>875</v>
      </c>
      <c r="K17" s="87" t="s">
        <v>876</v>
      </c>
    </row>
    <row r="18" customFormat="false" ht="15" hidden="true" customHeight="true" outlineLevel="0" collapsed="false">
      <c r="A18" s="5" t="s">
        <v>587</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2026'!$I:$I,MATCH($A18,'Q1 Backlog Report 2026'!$A:$A,0)),IFERROR(INDEX('Q2 Backlog Report 2026'!$I:$I,MATCH($A18,'Q2 Backlog Report 2026'!$A:$A,0)),IFERROR(INDEX('Q3 Backlog Report 2026'!$I:$I,MATCH($A18,'Q3 Backlog Report 2026'!$A:$A,0)),IFERROR(INDEX('Q4 Backlog Report 2026'!$I:$I,MATCH($A18,'Q4 Backlog Report 2026'!$A:$A,0)),"")))))</f>
        <v>Sprint 4</v>
      </c>
      <c r="E18" s="5" t="str">
        <f aca="false">IFERROR(INDEX(Backlog[Jira Link],MATCH($A18,Backlog[Requirement ID],0)),IFERROR(INDEX('Q1 Backlog Report 2026'!$G:$G,MATCH($A18,'Q1 Backlog Report 2026'!$A:$A,0)),IFERROR(INDEX('Q2 Backlog Report 2026'!$G:$G,MATCH($A18,'Q2 Backlog Report 2026'!$A:$A,0)),IFERROR(INDEX('Q3 Backlog Report 2026'!$G:$G,MATCH($A18,'Q3 Backlog Report 2026'!$A:$A,0)),IFERROR(INDEX('Q4 Backlog Report 2026'!$G:$G,MATCH($A18,'Q4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2026'!$K:$K,MATCH($A18,'Q1 Backlog Report 2026'!$A:$A,0)),IFERROR(INDEX('Q2 Backlog Report 2026'!$K:$K,MATCH($A18,'Q2 Backlog Report 2026'!$A:$A,0)),IFERROR(INDEX('Q3 Backlog Report 2026'!$K:$K,MATCH($A18,'Q3 Backlog Report 2026'!$A:$A,0)),IFERROR(INDEX('Q4 Backlog Report 2026'!$K:$K,MATCH($A18,'Q4 Backlog Report 2026'!$A:$A,0)),"")))))</f>
        <v>0</v>
      </c>
    </row>
    <row r="19" customFormat="false" ht="15" hidden="true" customHeight="true" outlineLevel="0" collapsed="false">
      <c r="A19" s="5" t="s">
        <v>529</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2026'!$I:$I,MATCH($A19,'Q1 Backlog Report 2026'!$A:$A,0)),IFERROR(INDEX('Q2 Backlog Report 2026'!$I:$I,MATCH($A19,'Q2 Backlog Report 2026'!$A:$A,0)),IFERROR(INDEX('Q3 Backlog Report 2026'!$I:$I,MATCH($A19,'Q3 Backlog Report 2026'!$A:$A,0)),IFERROR(INDEX('Q4 Backlog Report 2026'!$I:$I,MATCH($A19,'Q4 Backlog Report 2026'!$A:$A,0)),"")))))</f>
        <v>Sprint 2</v>
      </c>
      <c r="E19" s="5" t="str">
        <f aca="false">IFERROR(INDEX(Backlog[Jira Link],MATCH($A19,Backlog[Requirement ID],0)),IFERROR(INDEX('Q1 Backlog Report 2026'!$G:$G,MATCH($A19,'Q1 Backlog Report 2026'!$A:$A,0)),IFERROR(INDEX('Q2 Backlog Report 2026'!$G:$G,MATCH($A19,'Q2 Backlog Report 2026'!$A:$A,0)),IFERROR(INDEX('Q3 Backlog Report 2026'!$G:$G,MATCH($A19,'Q3 Backlog Report 2026'!$A:$A,0)),IFERROR(INDEX('Q4 Backlog Report 2026'!$G:$G,MATCH($A19,'Q4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2026'!$K:$K,MATCH($A19,'Q1 Backlog Report 2026'!$A:$A,0)),IFERROR(INDEX('Q2 Backlog Report 2026'!$K:$K,MATCH($A19,'Q2 Backlog Report 2026'!$A:$A,0)),IFERROR(INDEX('Q3 Backlog Report 2026'!$K:$K,MATCH($A19,'Q3 Backlog Report 2026'!$A:$A,0)),IFERROR(INDEX('Q4 Backlog Report 2026'!$K:$K,MATCH($A19,'Q4 Backlog Report 2026'!$A:$A,0)),"")))))</f>
        <v>8</v>
      </c>
    </row>
    <row r="20" customFormat="false" ht="15" hidden="true" customHeight="true" outlineLevel="0" collapsed="false">
      <c r="A20" s="5" t="s">
        <v>483</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2026'!$I:$I,MATCH($A20,'Q1 Backlog Report 2026'!$A:$A,0)),IFERROR(INDEX('Q2 Backlog Report 2026'!$I:$I,MATCH($A20,'Q2 Backlog Report 2026'!$A:$A,0)),IFERROR(INDEX('Q3 Backlog Report 2026'!$I:$I,MATCH($A20,'Q3 Backlog Report 2026'!$A:$A,0)),IFERROR(INDEX('Q4 Backlog Report 2026'!$I:$I,MATCH($A20,'Q4 Backlog Report 2026'!$A:$A,0)),"")))))</f>
        <v>Sprint 1</v>
      </c>
      <c r="E20" s="5" t="str">
        <f aca="false">IFERROR(INDEX(Backlog[Jira Link],MATCH($A20,Backlog[Requirement ID],0)),IFERROR(INDEX('Q1 Backlog Report 2026'!$G:$G,MATCH($A20,'Q1 Backlog Report 2026'!$A:$A,0)),IFERROR(INDEX('Q2 Backlog Report 2026'!$G:$G,MATCH($A20,'Q2 Backlog Report 2026'!$A:$A,0)),IFERROR(INDEX('Q3 Backlog Report 2026'!$G:$G,MATCH($A20,'Q3 Backlog Report 2026'!$A:$A,0)),IFERROR(INDEX('Q4 Backlog Report 2026'!$G:$G,MATCH($A20,'Q4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2026'!$K:$K,MATCH($A20,'Q1 Backlog Report 2026'!$A:$A,0)),IFERROR(INDEX('Q2 Backlog Report 2026'!$K:$K,MATCH($A20,'Q2 Backlog Report 2026'!$A:$A,0)),IFERROR(INDEX('Q3 Backlog Report 2026'!$K:$K,MATCH($A20,'Q3 Backlog Report 2026'!$A:$A,0)),IFERROR(INDEX('Q4 Backlog Report 2026'!$K:$K,MATCH($A20,'Q4 Backlog Report 2026'!$A:$A,0)),"")))))</f>
        <v>8</v>
      </c>
    </row>
    <row r="21" customFormat="false" ht="15" hidden="true" customHeight="true" outlineLevel="0" collapsed="false">
      <c r="A21" s="5" t="s">
        <v>485</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2026'!$I:$I,MATCH($A21,'Q1 Backlog Report 2026'!$A:$A,0)),IFERROR(INDEX('Q2 Backlog Report 2026'!$I:$I,MATCH($A21,'Q2 Backlog Report 2026'!$A:$A,0)),IFERROR(INDEX('Q3 Backlog Report 2026'!$I:$I,MATCH($A21,'Q3 Backlog Report 2026'!$A:$A,0)),IFERROR(INDEX('Q4 Backlog Report 2026'!$I:$I,MATCH($A21,'Q4 Backlog Report 2026'!$A:$A,0)),"")))))</f>
        <v>Sprint 1</v>
      </c>
      <c r="E21" s="5" t="str">
        <f aca="false">IFERROR(INDEX(Backlog[Jira Link],MATCH($A21,Backlog[Requirement ID],0)),IFERROR(INDEX('Q1 Backlog Report 2026'!$G:$G,MATCH($A21,'Q1 Backlog Report 2026'!$A:$A,0)),IFERROR(INDEX('Q2 Backlog Report 2026'!$G:$G,MATCH($A21,'Q2 Backlog Report 2026'!$A:$A,0)),IFERROR(INDEX('Q3 Backlog Report 2026'!$G:$G,MATCH($A21,'Q3 Backlog Report 2026'!$A:$A,0)),IFERROR(INDEX('Q4 Backlog Report 2026'!$G:$G,MATCH($A21,'Q4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2026'!$K:$K,MATCH($A21,'Q1 Backlog Report 2026'!$A:$A,0)),IFERROR(INDEX('Q2 Backlog Report 2026'!$K:$K,MATCH($A21,'Q2 Backlog Report 2026'!$A:$A,0)),IFERROR(INDEX('Q3 Backlog Report 2026'!$K:$K,MATCH($A21,'Q3 Backlog Report 2026'!$A:$A,0)),IFERROR(INDEX('Q4 Backlog Report 2026'!$K:$K,MATCH($A21,'Q4 Backlog Report 2026'!$A:$A,0)),"")))))</f>
        <v>2</v>
      </c>
    </row>
    <row r="22" customFormat="false" ht="15" hidden="true" customHeight="true" outlineLevel="0" collapsed="false">
      <c r="A22" s="5" t="s">
        <v>525</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2026'!$I:$I,MATCH($A22,'Q1 Backlog Report 2026'!$A:$A,0)),IFERROR(INDEX('Q2 Backlog Report 2026'!$I:$I,MATCH($A22,'Q2 Backlog Report 2026'!$A:$A,0)),IFERROR(INDEX('Q3 Backlog Report 2026'!$I:$I,MATCH($A22,'Q3 Backlog Report 2026'!$A:$A,0)),IFERROR(INDEX('Q4 Backlog Report 2026'!$I:$I,MATCH($A22,'Q4 Backlog Report 2026'!$A:$A,0)),"")))))</f>
        <v>Sprint 8</v>
      </c>
      <c r="E22" s="5" t="str">
        <f aca="false">IFERROR(INDEX(Backlog[Jira Link],MATCH($A22,Backlog[Requirement ID],0)),IFERROR(INDEX('Q1 Backlog Report 2026'!$G:$G,MATCH($A22,'Q1 Backlog Report 2026'!$A:$A,0)),IFERROR(INDEX('Q2 Backlog Report 2026'!$G:$G,MATCH($A22,'Q2 Backlog Report 2026'!$A:$A,0)),IFERROR(INDEX('Q3 Backlog Report 2026'!$G:$G,MATCH($A22,'Q3 Backlog Report 2026'!$A:$A,0)),IFERROR(INDEX('Q4 Backlog Report 2026'!$G:$G,MATCH($A22,'Q4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2026'!$K:$K,MATCH($A22,'Q1 Backlog Report 2026'!$A:$A,0)),IFERROR(INDEX('Q2 Backlog Report 2026'!$K:$K,MATCH($A22,'Q2 Backlog Report 2026'!$A:$A,0)),IFERROR(INDEX('Q3 Backlog Report 2026'!$K:$K,MATCH($A22,'Q3 Backlog Report 2026'!$A:$A,0)),IFERROR(INDEX('Q4 Backlog Report 2026'!$K:$K,MATCH($A22,'Q4 Backlog Report 2026'!$A:$A,0)),"")))))</f>
        <v>0</v>
      </c>
    </row>
    <row r="23" customFormat="false" ht="15" hidden="false" customHeight="true" outlineLevel="0" collapsed="false">
      <c r="A23" s="5" t="s">
        <v>721</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2026'!$I:$I,MATCH($A23,'Q1 Backlog Report 2026'!$A:$A,0)),IFERROR(INDEX('Q2 Backlog Report 2026'!$I:$I,MATCH($A23,'Q2 Backlog Report 2026'!$A:$A,0)),IFERROR(INDEX('Q3 Backlog Report 2026'!$I:$I,MATCH($A23,'Q3 Backlog Report 2026'!$A:$A,0)),IFERROR(INDEX('Q4 Backlog Report 2026'!$I:$I,MATCH($A23,'Q4 Backlog Report 2026'!$A:$A,0)),"")))))</f>
        <v>Sprint 7</v>
      </c>
      <c r="E23" s="5" t="str">
        <f aca="false">IFERROR(INDEX(Backlog[Jira Link],MATCH($A23,Backlog[Requirement ID],0)),IFERROR(INDEX('Q1 Backlog Report 2026'!$G:$G,MATCH($A23,'Q1 Backlog Report 2026'!$A:$A,0)),IFERROR(INDEX('Q2 Backlog Report 2026'!$G:$G,MATCH($A23,'Q2 Backlog Report 2026'!$A:$A,0)),IFERROR(INDEX('Q3 Backlog Report 2026'!$G:$G,MATCH($A23,'Q3 Backlog Report 2026'!$A:$A,0)),IFERROR(INDEX('Q4 Backlog Report 2026'!$G:$G,MATCH($A23,'Q4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2026'!$K:$K,MATCH($A23,'Q1 Backlog Report 2026'!$A:$A,0)),IFERROR(INDEX('Q2 Backlog Report 2026'!$K:$K,MATCH($A23,'Q2 Backlog Report 2026'!$A:$A,0)),IFERROR(INDEX('Q3 Backlog Report 2026'!$K:$K,MATCH($A23,'Q3 Backlog Report 2026'!$A:$A,0)),IFERROR(INDEX('Q4 Backlog Report 2026'!$K:$K,MATCH($A23,'Q4 Backlog Report 2026'!$A:$A,0)),"")))))</f>
        <v>5</v>
      </c>
      <c r="I23" s="87" t="s">
        <v>877</v>
      </c>
      <c r="J23" s="87" t="s">
        <v>877</v>
      </c>
      <c r="K23" s="87" t="s">
        <v>878</v>
      </c>
    </row>
    <row r="24" customFormat="false" ht="15" hidden="false" customHeight="true" outlineLevel="0" collapsed="false">
      <c r="A24" s="5" t="s">
        <v>682</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2026'!$I:$I,MATCH($A24,'Q1 Backlog Report 2026'!$A:$A,0)),IFERROR(INDEX('Q2 Backlog Report 2026'!$I:$I,MATCH($A24,'Q2 Backlog Report 2026'!$A:$A,0)),IFERROR(INDEX('Q3 Backlog Report 2026'!$I:$I,MATCH($A24,'Q3 Backlog Report 2026'!$A:$A,0)),IFERROR(INDEX('Q4 Backlog Report 2026'!$I:$I,MATCH($A24,'Q4 Backlog Report 2026'!$A:$A,0)),"")))))</f>
        <v>Sprint 6</v>
      </c>
      <c r="E24" s="5" t="str">
        <f aca="false">IFERROR(INDEX(Backlog[Jira Link],MATCH($A24,Backlog[Requirement ID],0)),IFERROR(INDEX('Q1 Backlog Report 2026'!$G:$G,MATCH($A24,'Q1 Backlog Report 2026'!$A:$A,0)),IFERROR(INDEX('Q2 Backlog Report 2026'!$G:$G,MATCH($A24,'Q2 Backlog Report 2026'!$A:$A,0)),IFERROR(INDEX('Q3 Backlog Report 2026'!$G:$G,MATCH($A24,'Q3 Backlog Report 2026'!$A:$A,0)),IFERROR(INDEX('Q4 Backlog Report 2026'!$G:$G,MATCH($A24,'Q4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2026'!$K:$K,MATCH($A24,'Q1 Backlog Report 2026'!$A:$A,0)),IFERROR(INDEX('Q2 Backlog Report 2026'!$K:$K,MATCH($A24,'Q2 Backlog Report 2026'!$A:$A,0)),IFERROR(INDEX('Q3 Backlog Report 2026'!$K:$K,MATCH($A24,'Q3 Backlog Report 2026'!$A:$A,0)),IFERROR(INDEX('Q4 Backlog Report 2026'!$K:$K,MATCH($A24,'Q4 Backlog Report 2026'!$A:$A,0)),"")))))</f>
        <v>5</v>
      </c>
    </row>
    <row r="25" customFormat="false" ht="15" hidden="false" customHeight="true" outlineLevel="0" collapsed="false">
      <c r="A25" s="5" t="s">
        <v>630</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2026'!$I:$I,MATCH($A25,'Q1 Backlog Report 2026'!$A:$A,0)),IFERROR(INDEX('Q2 Backlog Report 2026'!$I:$I,MATCH($A25,'Q2 Backlog Report 2026'!$A:$A,0)),IFERROR(INDEX('Q3 Backlog Report 2026'!$I:$I,MATCH($A25,'Q3 Backlog Report 2026'!$A:$A,0)),IFERROR(INDEX('Q4 Backlog Report 2026'!$I:$I,MATCH($A25,'Q4 Backlog Report 2026'!$A:$A,0)),"")))))</f>
        <v>Sprint 5</v>
      </c>
      <c r="E25" s="5" t="str">
        <f aca="false">IFERROR(INDEX(Backlog[Jira Link],MATCH($A25,Backlog[Requirement ID],0)),IFERROR(INDEX('Q1 Backlog Report 2026'!$G:$G,MATCH($A25,'Q1 Backlog Report 2026'!$A:$A,0)),IFERROR(INDEX('Q2 Backlog Report 2026'!$G:$G,MATCH($A25,'Q2 Backlog Report 2026'!$A:$A,0)),IFERROR(INDEX('Q3 Backlog Report 2026'!$G:$G,MATCH($A25,'Q3 Backlog Report 2026'!$A:$A,0)),IFERROR(INDEX('Q4 Backlog Report 2026'!$G:$G,MATCH($A25,'Q4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2026'!$K:$K,MATCH($A25,'Q1 Backlog Report 2026'!$A:$A,0)),IFERROR(INDEX('Q2 Backlog Report 2026'!$K:$K,MATCH($A25,'Q2 Backlog Report 2026'!$A:$A,0)),IFERROR(INDEX('Q3 Backlog Report 2026'!$K:$K,MATCH($A25,'Q3 Backlog Report 2026'!$A:$A,0)),IFERROR(INDEX('Q4 Backlog Report 2026'!$K:$K,MATCH($A25,'Q4 Backlog Report 2026'!$A:$A,0)),"")))))</f>
        <v>8</v>
      </c>
    </row>
    <row r="26" customFormat="false" ht="15" hidden="false" customHeight="true" outlineLevel="0" collapsed="false">
      <c r="A26" s="5" t="s">
        <v>723</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2026'!$I:$I,MATCH($A26,'Q1 Backlog Report 2026'!$A:$A,0)),IFERROR(INDEX('Q2 Backlog Report 2026'!$I:$I,MATCH($A26,'Q2 Backlog Report 2026'!$A:$A,0)),IFERROR(INDEX('Q3 Backlog Report 2026'!$I:$I,MATCH($A26,'Q3 Backlog Report 2026'!$A:$A,0)),IFERROR(INDEX('Q4 Backlog Report 2026'!$I:$I,MATCH($A26,'Q4 Backlog Report 2026'!$A:$A,0)),"")))))</f>
        <v>Sprint 7</v>
      </c>
      <c r="E26" s="5" t="str">
        <f aca="false">IFERROR(INDEX(Backlog[Jira Link],MATCH($A26,Backlog[Requirement ID],0)),IFERROR(INDEX('Q1 Backlog Report 2026'!$G:$G,MATCH($A26,'Q1 Backlog Report 2026'!$A:$A,0)),IFERROR(INDEX('Q2 Backlog Report 2026'!$G:$G,MATCH($A26,'Q2 Backlog Report 2026'!$A:$A,0)),IFERROR(INDEX('Q3 Backlog Report 2026'!$G:$G,MATCH($A26,'Q3 Backlog Report 2026'!$A:$A,0)),IFERROR(INDEX('Q4 Backlog Report 2026'!$G:$G,MATCH($A26,'Q4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2026'!$K:$K,MATCH($A26,'Q1 Backlog Report 2026'!$A:$A,0)),IFERROR(INDEX('Q2 Backlog Report 2026'!$K:$K,MATCH($A26,'Q2 Backlog Report 2026'!$A:$A,0)),IFERROR(INDEX('Q3 Backlog Report 2026'!$K:$K,MATCH($A26,'Q3 Backlog Report 2026'!$A:$A,0)),IFERROR(INDEX('Q4 Backlog Report 2026'!$K:$K,MATCH($A26,'Q4 Backlog Report 2026'!$A:$A,0)),"")))))</f>
        <v>5</v>
      </c>
      <c r="I26" s="87" t="s">
        <v>877</v>
      </c>
      <c r="J26" s="87" t="s">
        <v>877</v>
      </c>
      <c r="K26" s="87" t="s">
        <v>879</v>
      </c>
    </row>
    <row r="27" customFormat="false" ht="15" hidden="false" customHeight="true" outlineLevel="0" collapsed="false">
      <c r="A27" s="5" t="s">
        <v>769</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2026'!$I:$I,MATCH($A27,'Q1 Backlog Report 2026'!$A:$A,0)),IFERROR(INDEX('Q2 Backlog Report 2026'!$I:$I,MATCH($A27,'Q2 Backlog Report 2026'!$A:$A,0)),IFERROR(INDEX('Q3 Backlog Report 2026'!$I:$I,MATCH($A27,'Q3 Backlog Report 2026'!$A:$A,0)),IFERROR(INDEX('Q4 Backlog Report 2026'!$I:$I,MATCH($A27,'Q4 Backlog Report 2026'!$A:$A,0)),"")))))</f>
        <v>Sprint 9</v>
      </c>
      <c r="E27" s="5" t="str">
        <f aca="false">IFERROR(INDEX(Backlog[Jira Link],MATCH($A27,Backlog[Requirement ID],0)),IFERROR(INDEX('Q1 Backlog Report 2026'!$G:$G,MATCH($A27,'Q1 Backlog Report 2026'!$A:$A,0)),IFERROR(INDEX('Q2 Backlog Report 2026'!$G:$G,MATCH($A27,'Q2 Backlog Report 2026'!$A:$A,0)),IFERROR(INDEX('Q3 Backlog Report 2026'!$G:$G,MATCH($A27,'Q3 Backlog Report 2026'!$A:$A,0)),IFERROR(INDEX('Q4 Backlog Report 2026'!$G:$G,MATCH($A27,'Q4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2026'!$K:$K,MATCH($A27,'Q1 Backlog Report 2026'!$A:$A,0)),IFERROR(INDEX('Q2 Backlog Report 2026'!$K:$K,MATCH($A27,'Q2 Backlog Report 2026'!$A:$A,0)),IFERROR(INDEX('Q3 Backlog Report 2026'!$K:$K,MATCH($A27,'Q3 Backlog Report 2026'!$A:$A,0)),IFERROR(INDEX('Q4 Backlog Report 2026'!$K:$K,MATCH($A27,'Q4 Backlog Report 2026'!$A:$A,0)),"")))))</f>
        <v>3</v>
      </c>
      <c r="I27" s="87" t="s">
        <v>880</v>
      </c>
      <c r="J27" s="87" t="s">
        <v>881</v>
      </c>
      <c r="K27" s="87" t="s">
        <v>882</v>
      </c>
    </row>
    <row r="28" customFormat="false" ht="15" hidden="false" customHeight="true" outlineLevel="0" collapsed="false">
      <c r="A28" s="5" t="s">
        <v>826</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2026'!$I:$I,MATCH($A28,'Q1 Backlog Report 2026'!$A:$A,0)),IFERROR(INDEX('Q2 Backlog Report 2026'!$I:$I,MATCH($A28,'Q2 Backlog Report 2026'!$A:$A,0)),IFERROR(INDEX('Q3 Backlog Report 2026'!$I:$I,MATCH($A28,'Q3 Backlog Report 2026'!$A:$A,0)),IFERROR(INDEX('Q4 Backlog Report 2026'!$I:$I,MATCH($A28,'Q4 Backlog Report 2026'!$A:$A,0)),"")))))</f>
        <v>Sprint 9</v>
      </c>
      <c r="E28" s="5" t="str">
        <f aca="false">IFERROR(INDEX(Backlog[Jira Link],MATCH($A28,Backlog[Requirement ID],0)),IFERROR(INDEX('Q1 Backlog Report 2026'!$G:$G,MATCH($A28,'Q1 Backlog Report 2026'!$A:$A,0)),IFERROR(INDEX('Q2 Backlog Report 2026'!$G:$G,MATCH($A28,'Q2 Backlog Report 2026'!$A:$A,0)),IFERROR(INDEX('Q3 Backlog Report 2026'!$G:$G,MATCH($A28,'Q3 Backlog Report 2026'!$A:$A,0)),IFERROR(INDEX('Q4 Backlog Report 2026'!$G:$G,MATCH($A28,'Q4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2026'!$K:$K,MATCH($A28,'Q1 Backlog Report 2026'!$A:$A,0)),IFERROR(INDEX('Q2 Backlog Report 2026'!$K:$K,MATCH($A28,'Q2 Backlog Report 2026'!$A:$A,0)),IFERROR(INDEX('Q3 Backlog Report 2026'!$K:$K,MATCH($A28,'Q3 Backlog Report 2026'!$A:$A,0)),IFERROR(INDEX('Q4 Backlog Report 2026'!$K:$K,MATCH($A28,'Q4 Backlog Report 2026'!$A:$A,0)),"")))))</f>
        <v>3</v>
      </c>
      <c r="I28" s="87" t="s">
        <v>880</v>
      </c>
      <c r="J28" s="87" t="s">
        <v>881</v>
      </c>
      <c r="K28" s="87" t="s">
        <v>882</v>
      </c>
    </row>
    <row r="29" customFormat="false" ht="15" hidden="false" customHeight="true" outlineLevel="0" collapsed="false">
      <c r="A29" s="5" t="s">
        <v>828</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2026'!$I:$I,MATCH($A29,'Q1 Backlog Report 2026'!$A:$A,0)),IFERROR(INDEX('Q2 Backlog Report 2026'!$I:$I,MATCH($A29,'Q2 Backlog Report 2026'!$A:$A,0)),IFERROR(INDEX('Q3 Backlog Report 2026'!$I:$I,MATCH($A29,'Q3 Backlog Report 2026'!$A:$A,0)),IFERROR(INDEX('Q4 Backlog Report 2026'!$I:$I,MATCH($A29,'Q4 Backlog Report 2026'!$A:$A,0)),"")))))</f>
        <v>Sprint 9</v>
      </c>
      <c r="E29" s="5" t="str">
        <f aca="false">IFERROR(INDEX(Backlog[Jira Link],MATCH($A29,Backlog[Requirement ID],0)),IFERROR(INDEX('Q1 Backlog Report 2026'!$G:$G,MATCH($A29,'Q1 Backlog Report 2026'!$A:$A,0)),IFERROR(INDEX('Q2 Backlog Report 2026'!$G:$G,MATCH($A29,'Q2 Backlog Report 2026'!$A:$A,0)),IFERROR(INDEX('Q3 Backlog Report 2026'!$G:$G,MATCH($A29,'Q3 Backlog Report 2026'!$A:$A,0)),IFERROR(INDEX('Q4 Backlog Report 2026'!$G:$G,MATCH($A29,'Q4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2026'!$K:$K,MATCH($A29,'Q1 Backlog Report 2026'!$A:$A,0)),IFERROR(INDEX('Q2 Backlog Report 2026'!$K:$K,MATCH($A29,'Q2 Backlog Report 2026'!$A:$A,0)),IFERROR(INDEX('Q3 Backlog Report 2026'!$K:$K,MATCH($A29,'Q3 Backlog Report 2026'!$A:$A,0)),IFERROR(INDEX('Q4 Backlog Report 2026'!$K:$K,MATCH($A29,'Q4 Backlog Report 2026'!$A:$A,0)),"")))))</f>
        <v>3</v>
      </c>
      <c r="I29" s="87" t="s">
        <v>880</v>
      </c>
      <c r="J29" s="87" t="s">
        <v>881</v>
      </c>
      <c r="K29" s="87" t="s">
        <v>882</v>
      </c>
    </row>
    <row r="30" customFormat="false" ht="15" hidden="false" customHeight="true" outlineLevel="0" collapsed="false">
      <c r="A30" s="5" t="s">
        <v>830</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2026'!$I:$I,MATCH($A30,'Q1 Backlog Report 2026'!$A:$A,0)),IFERROR(INDEX('Q2 Backlog Report 2026'!$I:$I,MATCH($A30,'Q2 Backlog Report 2026'!$A:$A,0)),IFERROR(INDEX('Q3 Backlog Report 2026'!$I:$I,MATCH($A30,'Q3 Backlog Report 2026'!$A:$A,0)),IFERROR(INDEX('Q4 Backlog Report 2026'!$I:$I,MATCH($A30,'Q4 Backlog Report 2026'!$A:$A,0)),"")))))</f>
        <v>Sprint 9</v>
      </c>
      <c r="E30" s="5" t="str">
        <f aca="false">IFERROR(INDEX(Backlog[Jira Link],MATCH($A30,Backlog[Requirement ID],0)),IFERROR(INDEX('Q1 Backlog Report 2026'!$G:$G,MATCH($A30,'Q1 Backlog Report 2026'!$A:$A,0)),IFERROR(INDEX('Q2 Backlog Report 2026'!$G:$G,MATCH($A30,'Q2 Backlog Report 2026'!$A:$A,0)),IFERROR(INDEX('Q3 Backlog Report 2026'!$G:$G,MATCH($A30,'Q3 Backlog Report 2026'!$A:$A,0)),IFERROR(INDEX('Q4 Backlog Report 2026'!$G:$G,MATCH($A30,'Q4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2026'!$K:$K,MATCH($A30,'Q1 Backlog Report 2026'!$A:$A,0)),IFERROR(INDEX('Q2 Backlog Report 2026'!$K:$K,MATCH($A30,'Q2 Backlog Report 2026'!$A:$A,0)),IFERROR(INDEX('Q3 Backlog Report 2026'!$K:$K,MATCH($A30,'Q3 Backlog Report 2026'!$A:$A,0)),IFERROR(INDEX('Q4 Backlog Report 2026'!$K:$K,MATCH($A30,'Q4 Backlog Report 2026'!$A:$A,0)),"")))))</f>
        <v>3</v>
      </c>
      <c r="I30" s="87" t="s">
        <v>880</v>
      </c>
      <c r="J30" s="87" t="s">
        <v>881</v>
      </c>
      <c r="K30" s="87" t="s">
        <v>882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559</v>
      </c>
      <c r="B2" s="26" t="s">
        <v>560</v>
      </c>
      <c r="C2" s="26" t="s">
        <v>103</v>
      </c>
      <c r="D2" s="26" t="s">
        <v>84</v>
      </c>
      <c r="E2" s="26" t="s">
        <v>92</v>
      </c>
      <c r="F2" s="26" t="s">
        <v>288</v>
      </c>
      <c r="G2" s="26" t="s">
        <v>883</v>
      </c>
      <c r="H2" s="26" t="s">
        <v>87</v>
      </c>
      <c r="I2" s="26" t="s">
        <v>416</v>
      </c>
      <c r="J2" s="26" t="s">
        <v>469</v>
      </c>
      <c r="K2" s="26" t="n">
        <v>5</v>
      </c>
      <c r="L2" s="26"/>
      <c r="M2" s="26"/>
      <c r="N2" s="26"/>
      <c r="O2" s="26"/>
      <c r="P2" s="26"/>
      <c r="Q2" s="26"/>
    </row>
    <row r="3" customFormat="false" ht="15" hidden="false" customHeight="true" outlineLevel="0" collapsed="false">
      <c r="A3" s="1" t="s">
        <v>563</v>
      </c>
      <c r="B3" s="1" t="s">
        <v>564</v>
      </c>
      <c r="C3" s="1" t="s">
        <v>103</v>
      </c>
      <c r="D3" s="1" t="s">
        <v>84</v>
      </c>
      <c r="E3" s="1" t="s">
        <v>92</v>
      </c>
      <c r="F3" s="1" t="s">
        <v>288</v>
      </c>
      <c r="G3" s="1" t="s">
        <v>884</v>
      </c>
      <c r="H3" s="1" t="s">
        <v>87</v>
      </c>
      <c r="I3" s="1" t="s">
        <v>416</v>
      </c>
      <c r="J3" s="1" t="s">
        <v>469</v>
      </c>
      <c r="K3" s="1" t="n">
        <v>2</v>
      </c>
    </row>
    <row r="4" customFormat="false" ht="15" hidden="false" customHeight="true" outlineLevel="0" collapsed="false">
      <c r="A4" s="1" t="s">
        <v>566</v>
      </c>
      <c r="B4" s="1" t="s">
        <v>567</v>
      </c>
      <c r="C4" s="1" t="s">
        <v>103</v>
      </c>
      <c r="D4" s="1" t="s">
        <v>84</v>
      </c>
      <c r="E4" s="1" t="s">
        <v>92</v>
      </c>
      <c r="F4" s="1" t="s">
        <v>288</v>
      </c>
      <c r="G4" s="1" t="s">
        <v>885</v>
      </c>
      <c r="H4" s="1" t="s">
        <v>87</v>
      </c>
      <c r="I4" s="1" t="s">
        <v>416</v>
      </c>
      <c r="J4" s="1" t="s">
        <v>469</v>
      </c>
      <c r="K4" s="1" t="n">
        <v>5</v>
      </c>
    </row>
    <row r="5" customFormat="false" ht="15" hidden="false" customHeight="true" outlineLevel="0" collapsed="false">
      <c r="A5" s="1" t="s">
        <v>569</v>
      </c>
      <c r="B5" s="1" t="s">
        <v>570</v>
      </c>
      <c r="C5" s="1" t="s">
        <v>103</v>
      </c>
      <c r="D5" s="1" t="s">
        <v>84</v>
      </c>
      <c r="E5" s="1" t="s">
        <v>92</v>
      </c>
      <c r="F5" s="1" t="s">
        <v>288</v>
      </c>
      <c r="G5" s="1" t="s">
        <v>886</v>
      </c>
      <c r="H5" s="1" t="s">
        <v>87</v>
      </c>
      <c r="I5" s="1" t="s">
        <v>416</v>
      </c>
      <c r="J5" s="1" t="s">
        <v>469</v>
      </c>
      <c r="K5" s="1" t="n">
        <v>5</v>
      </c>
    </row>
    <row r="6" customFormat="false" ht="15" hidden="false" customHeight="true" outlineLevel="0" collapsed="false">
      <c r="A6" s="1" t="s">
        <v>571</v>
      </c>
      <c r="B6" s="1" t="s">
        <v>572</v>
      </c>
      <c r="C6" s="1" t="s">
        <v>103</v>
      </c>
      <c r="D6" s="1" t="s">
        <v>84</v>
      </c>
      <c r="E6" s="1" t="s">
        <v>92</v>
      </c>
      <c r="F6" s="1" t="s">
        <v>288</v>
      </c>
      <c r="G6" s="1" t="s">
        <v>887</v>
      </c>
      <c r="H6" s="1" t="s">
        <v>87</v>
      </c>
      <c r="I6" s="1" t="s">
        <v>416</v>
      </c>
      <c r="J6" s="1" t="s">
        <v>469</v>
      </c>
      <c r="K6" s="1" t="n">
        <v>5</v>
      </c>
    </row>
    <row r="7" customFormat="false" ht="15" hidden="false" customHeight="true" outlineLevel="0" collapsed="false">
      <c r="A7" s="1" t="s">
        <v>573</v>
      </c>
      <c r="B7" s="1" t="s">
        <v>574</v>
      </c>
      <c r="C7" s="1" t="s">
        <v>103</v>
      </c>
      <c r="D7" s="1" t="s">
        <v>84</v>
      </c>
      <c r="E7" s="1" t="s">
        <v>92</v>
      </c>
      <c r="F7" s="1" t="s">
        <v>288</v>
      </c>
      <c r="G7" s="1" t="s">
        <v>888</v>
      </c>
      <c r="H7" s="1" t="s">
        <v>87</v>
      </c>
      <c r="I7" s="1" t="s">
        <v>416</v>
      </c>
      <c r="J7" s="1" t="s">
        <v>469</v>
      </c>
      <c r="K7" s="1" t="n">
        <v>13</v>
      </c>
    </row>
    <row r="8" customFormat="false" ht="15" hidden="false" customHeight="true" outlineLevel="0" collapsed="false">
      <c r="A8" s="1" t="s">
        <v>575</v>
      </c>
      <c r="B8" s="1" t="s">
        <v>576</v>
      </c>
      <c r="C8" s="1" t="s">
        <v>103</v>
      </c>
      <c r="D8" s="1" t="s">
        <v>84</v>
      </c>
      <c r="E8" s="1" t="s">
        <v>92</v>
      </c>
      <c r="F8" s="1" t="s">
        <v>288</v>
      </c>
      <c r="G8" s="1" t="s">
        <v>889</v>
      </c>
      <c r="H8" s="1" t="s">
        <v>87</v>
      </c>
      <c r="I8" s="1" t="s">
        <v>416</v>
      </c>
      <c r="J8" s="1" t="s">
        <v>469</v>
      </c>
      <c r="K8" s="1" t="n">
        <v>5</v>
      </c>
    </row>
    <row r="9" customFormat="false" ht="15" hidden="false" customHeight="true" outlineLevel="0" collapsed="false">
      <c r="A9" s="1" t="s">
        <v>577</v>
      </c>
      <c r="B9" s="1" t="s">
        <v>578</v>
      </c>
      <c r="C9" s="1" t="s">
        <v>103</v>
      </c>
      <c r="D9" s="1" t="s">
        <v>84</v>
      </c>
      <c r="E9" s="1" t="s">
        <v>92</v>
      </c>
      <c r="F9" s="1" t="s">
        <v>288</v>
      </c>
      <c r="G9" s="1" t="s">
        <v>890</v>
      </c>
      <c r="H9" s="1" t="s">
        <v>87</v>
      </c>
      <c r="I9" s="1" t="s">
        <v>416</v>
      </c>
      <c r="J9" s="1" t="s">
        <v>458</v>
      </c>
      <c r="K9" s="1" t="n">
        <v>5</v>
      </c>
    </row>
    <row r="10" customFormat="false" ht="15" hidden="false" customHeight="true" outlineLevel="0" collapsed="false">
      <c r="A10" s="1" t="s">
        <v>579</v>
      </c>
      <c r="B10" s="1" t="s">
        <v>580</v>
      </c>
      <c r="C10" s="1" t="s">
        <v>103</v>
      </c>
      <c r="D10" s="1" t="s">
        <v>119</v>
      </c>
      <c r="E10" s="1" t="s">
        <v>92</v>
      </c>
      <c r="F10" s="1" t="s">
        <v>288</v>
      </c>
      <c r="G10" s="1" t="s">
        <v>891</v>
      </c>
      <c r="H10" s="1" t="s">
        <v>87</v>
      </c>
      <c r="I10" s="1" t="s">
        <v>416</v>
      </c>
      <c r="K10" s="1" t="n">
        <v>13</v>
      </c>
    </row>
    <row r="11" customFormat="false" ht="15" hidden="false" customHeight="true" outlineLevel="0" collapsed="false">
      <c r="A11" s="1" t="s">
        <v>581</v>
      </c>
      <c r="B11" s="1" t="s">
        <v>582</v>
      </c>
      <c r="C11" s="1" t="s">
        <v>103</v>
      </c>
      <c r="D11" s="1" t="s">
        <v>119</v>
      </c>
      <c r="E11" s="1" t="s">
        <v>92</v>
      </c>
      <c r="F11" s="1" t="s">
        <v>288</v>
      </c>
      <c r="G11" s="1" t="s">
        <v>892</v>
      </c>
      <c r="H11" s="1" t="s">
        <v>87</v>
      </c>
      <c r="I11" s="1" t="s">
        <v>416</v>
      </c>
      <c r="J11" s="1" t="s">
        <v>509</v>
      </c>
      <c r="K11" s="1" t="n">
        <v>2</v>
      </c>
    </row>
    <row r="12" customFormat="false" ht="15" hidden="false" customHeight="true" outlineLevel="0" collapsed="false">
      <c r="A12" s="1" t="s">
        <v>583</v>
      </c>
      <c r="B12" s="1" t="s">
        <v>584</v>
      </c>
      <c r="C12" s="1" t="s">
        <v>103</v>
      </c>
      <c r="D12" s="1" t="s">
        <v>119</v>
      </c>
      <c r="E12" s="1" t="s">
        <v>92</v>
      </c>
      <c r="F12" s="1" t="s">
        <v>288</v>
      </c>
      <c r="G12" s="1" t="s">
        <v>893</v>
      </c>
      <c r="H12" s="1" t="s">
        <v>87</v>
      </c>
      <c r="I12" s="1" t="s">
        <v>416</v>
      </c>
      <c r="K12" s="1" t="n">
        <v>3</v>
      </c>
    </row>
    <row r="13" customFormat="false" ht="15" hidden="false" customHeight="true" outlineLevel="0" collapsed="false">
      <c r="A13" s="1" t="s">
        <v>585</v>
      </c>
      <c r="B13" s="1" t="s">
        <v>586</v>
      </c>
      <c r="C13" s="1" t="s">
        <v>103</v>
      </c>
      <c r="D13" s="1" t="s">
        <v>28</v>
      </c>
      <c r="E13" s="1" t="s">
        <v>85</v>
      </c>
      <c r="F13" s="1" t="s">
        <v>288</v>
      </c>
      <c r="G13" s="1" t="s">
        <v>894</v>
      </c>
      <c r="H13" s="1" t="s">
        <v>87</v>
      </c>
      <c r="I13" s="1" t="s">
        <v>416</v>
      </c>
      <c r="J13" s="1" t="s">
        <v>500</v>
      </c>
      <c r="K13" s="1" t="n">
        <v>5</v>
      </c>
    </row>
    <row r="14" customFormat="false" ht="15" hidden="false" customHeight="true" outlineLevel="0" collapsed="false">
      <c r="A14" s="1" t="s">
        <v>587</v>
      </c>
      <c r="B14" s="1" t="s">
        <v>588</v>
      </c>
      <c r="C14" s="1" t="s">
        <v>103</v>
      </c>
      <c r="D14" s="1" t="s">
        <v>452</v>
      </c>
      <c r="E14" s="1" t="s">
        <v>85</v>
      </c>
      <c r="F14" s="1" t="s">
        <v>288</v>
      </c>
      <c r="G14" s="1" t="s">
        <v>895</v>
      </c>
      <c r="H14" s="1" t="s">
        <v>87</v>
      </c>
      <c r="I14" s="1" t="s">
        <v>416</v>
      </c>
    </row>
    <row r="15" customFormat="false" ht="15" hidden="false" customHeight="true" outlineLevel="0" collapsed="false">
      <c r="A15" s="1" t="s">
        <v>533</v>
      </c>
      <c r="B15" s="1" t="s">
        <v>534</v>
      </c>
      <c r="C15" s="1" t="s">
        <v>103</v>
      </c>
      <c r="D15" s="1" t="s">
        <v>84</v>
      </c>
      <c r="E15" s="1" t="s">
        <v>114</v>
      </c>
      <c r="F15" s="1" t="s">
        <v>288</v>
      </c>
      <c r="G15" s="1" t="s">
        <v>896</v>
      </c>
      <c r="H15" s="1" t="s">
        <v>87</v>
      </c>
      <c r="I15" s="1" t="s">
        <v>415</v>
      </c>
      <c r="J15" s="1" t="s">
        <v>458</v>
      </c>
    </row>
    <row r="16" customFormat="false" ht="15" hidden="false" customHeight="true" outlineLevel="0" collapsed="false">
      <c r="A16" s="1" t="s">
        <v>536</v>
      </c>
      <c r="B16" s="1" t="s">
        <v>537</v>
      </c>
      <c r="C16" s="1" t="s">
        <v>103</v>
      </c>
      <c r="D16" s="1" t="s">
        <v>119</v>
      </c>
      <c r="E16" s="1" t="s">
        <v>92</v>
      </c>
      <c r="F16" s="1" t="s">
        <v>288</v>
      </c>
      <c r="G16" s="1" t="s">
        <v>897</v>
      </c>
      <c r="H16" s="1" t="s">
        <v>87</v>
      </c>
      <c r="I16" s="1" t="s">
        <v>415</v>
      </c>
      <c r="J16" s="1" t="s">
        <v>509</v>
      </c>
      <c r="K16" s="1" t="n">
        <v>3</v>
      </c>
    </row>
    <row r="17" customFormat="false" ht="15" hidden="false" customHeight="true" outlineLevel="0" collapsed="false">
      <c r="A17" s="1" t="s">
        <v>539</v>
      </c>
      <c r="B17" s="1" t="s">
        <v>540</v>
      </c>
      <c r="C17" s="1" t="s">
        <v>90</v>
      </c>
      <c r="D17" s="1" t="s">
        <v>84</v>
      </c>
      <c r="E17" s="1" t="s">
        <v>85</v>
      </c>
      <c r="F17" s="1" t="s">
        <v>288</v>
      </c>
      <c r="G17" s="1" t="s">
        <v>898</v>
      </c>
      <c r="H17" s="1" t="s">
        <v>87</v>
      </c>
      <c r="I17" s="1" t="s">
        <v>415</v>
      </c>
      <c r="J17" s="1" t="s">
        <v>458</v>
      </c>
      <c r="K17" s="1" t="n">
        <v>3</v>
      </c>
    </row>
    <row r="18" customFormat="false" ht="15" hidden="false" customHeight="true" outlineLevel="0" collapsed="false">
      <c r="A18" s="1" t="s">
        <v>542</v>
      </c>
      <c r="B18" s="1" t="s">
        <v>543</v>
      </c>
      <c r="C18" s="1" t="s">
        <v>103</v>
      </c>
      <c r="D18" s="1" t="s">
        <v>119</v>
      </c>
      <c r="E18" s="1" t="s">
        <v>92</v>
      </c>
      <c r="F18" s="1" t="s">
        <v>288</v>
      </c>
      <c r="G18" s="1" t="s">
        <v>899</v>
      </c>
      <c r="H18" s="1" t="s">
        <v>87</v>
      </c>
      <c r="I18" s="1" t="s">
        <v>415</v>
      </c>
      <c r="K18" s="1" t="n">
        <v>8</v>
      </c>
    </row>
    <row r="19" customFormat="false" ht="15" hidden="false" customHeight="true" outlineLevel="0" collapsed="false">
      <c r="A19" s="1" t="s">
        <v>545</v>
      </c>
      <c r="B19" s="1" t="s">
        <v>546</v>
      </c>
      <c r="C19" s="1" t="s">
        <v>103</v>
      </c>
      <c r="D19" s="1" t="s">
        <v>119</v>
      </c>
      <c r="E19" s="1" t="s">
        <v>92</v>
      </c>
      <c r="F19" s="1" t="s">
        <v>288</v>
      </c>
      <c r="G19" s="1" t="s">
        <v>897</v>
      </c>
      <c r="H19" s="1" t="s">
        <v>87</v>
      </c>
      <c r="I19" s="1" t="s">
        <v>415</v>
      </c>
      <c r="K19" s="1" t="n">
        <v>3</v>
      </c>
    </row>
    <row r="20" customFormat="false" ht="15" hidden="false" customHeight="true" outlineLevel="0" collapsed="false">
      <c r="A20" s="1" t="s">
        <v>518</v>
      </c>
      <c r="B20" s="1" t="s">
        <v>519</v>
      </c>
      <c r="C20" s="1" t="s">
        <v>103</v>
      </c>
      <c r="D20" s="1" t="s">
        <v>28</v>
      </c>
      <c r="E20" s="1" t="s">
        <v>85</v>
      </c>
      <c r="F20" s="1" t="s">
        <v>288</v>
      </c>
      <c r="G20" s="1" t="s">
        <v>900</v>
      </c>
      <c r="H20" s="1" t="s">
        <v>87</v>
      </c>
      <c r="I20" s="1" t="s">
        <v>415</v>
      </c>
      <c r="K20" s="1" t="n">
        <v>42</v>
      </c>
    </row>
    <row r="21" customFormat="false" ht="15" hidden="false" customHeight="true" outlineLevel="0" collapsed="false">
      <c r="A21" s="1" t="s">
        <v>548</v>
      </c>
      <c r="B21" s="49" t="s">
        <v>549</v>
      </c>
      <c r="C21" s="1" t="s">
        <v>123</v>
      </c>
      <c r="D21" s="1" t="s">
        <v>28</v>
      </c>
      <c r="E21" s="1" t="s">
        <v>124</v>
      </c>
      <c r="F21" s="1" t="s">
        <v>288</v>
      </c>
      <c r="G21" s="1" t="s">
        <v>901</v>
      </c>
      <c r="H21" s="1" t="s">
        <v>87</v>
      </c>
      <c r="I21" s="1" t="s">
        <v>415</v>
      </c>
      <c r="K21" s="1" t="n">
        <v>4</v>
      </c>
    </row>
    <row r="22" customFormat="false" ht="15" hidden="false" customHeight="true" outlineLevel="0" collapsed="false">
      <c r="A22" s="1" t="s">
        <v>551</v>
      </c>
      <c r="B22" s="1" t="s">
        <v>552</v>
      </c>
      <c r="C22" s="1" t="s">
        <v>103</v>
      </c>
      <c r="D22" s="1" t="s">
        <v>104</v>
      </c>
      <c r="E22" s="1" t="s">
        <v>92</v>
      </c>
      <c r="F22" s="1" t="s">
        <v>288</v>
      </c>
      <c r="G22" s="1" t="s">
        <v>902</v>
      </c>
      <c r="H22" s="1" t="s">
        <v>87</v>
      </c>
      <c r="I22" s="1" t="s">
        <v>415</v>
      </c>
      <c r="J22" s="1" t="s">
        <v>496</v>
      </c>
      <c r="K22" s="1" t="n">
        <v>13</v>
      </c>
    </row>
    <row r="23" customFormat="false" ht="15" hidden="false" customHeight="true" outlineLevel="0" collapsed="false">
      <c r="A23" s="1" t="s">
        <v>555</v>
      </c>
      <c r="B23" s="1" t="s">
        <v>556</v>
      </c>
      <c r="C23" s="1" t="s">
        <v>103</v>
      </c>
      <c r="D23" s="1" t="s">
        <v>104</v>
      </c>
      <c r="E23" s="1" t="s">
        <v>92</v>
      </c>
      <c r="F23" s="1" t="s">
        <v>288</v>
      </c>
      <c r="G23" s="1" t="s">
        <v>903</v>
      </c>
      <c r="H23" s="1" t="s">
        <v>87</v>
      </c>
      <c r="I23" s="1" t="s">
        <v>415</v>
      </c>
      <c r="K23" s="1" t="n">
        <v>5</v>
      </c>
    </row>
    <row r="24" customFormat="false" ht="15" hidden="false" customHeight="true" outlineLevel="0" collapsed="false">
      <c r="A24" s="1" t="s">
        <v>803</v>
      </c>
      <c r="B24" s="1" t="s">
        <v>804</v>
      </c>
      <c r="C24" s="1" t="s">
        <v>110</v>
      </c>
      <c r="D24" s="1" t="s">
        <v>104</v>
      </c>
      <c r="E24" s="1" t="s">
        <v>92</v>
      </c>
      <c r="F24" s="1" t="s">
        <v>288</v>
      </c>
      <c r="G24" s="1" t="s">
        <v>904</v>
      </c>
      <c r="H24" s="1" t="s">
        <v>87</v>
      </c>
      <c r="I24" s="1" t="s">
        <v>415</v>
      </c>
      <c r="J24" s="1" t="s">
        <v>531</v>
      </c>
    </row>
    <row r="25" customFormat="false" ht="15" hidden="false" customHeight="true" outlineLevel="0" collapsed="false">
      <c r="A25" s="1" t="s">
        <v>811</v>
      </c>
      <c r="B25" s="1" t="s">
        <v>812</v>
      </c>
      <c r="C25" s="1" t="s">
        <v>103</v>
      </c>
      <c r="D25" s="1" t="s">
        <v>104</v>
      </c>
      <c r="E25" s="1" t="s">
        <v>92</v>
      </c>
      <c r="F25" s="1" t="s">
        <v>288</v>
      </c>
      <c r="G25" s="1" t="s">
        <v>905</v>
      </c>
      <c r="H25" s="1" t="s">
        <v>87</v>
      </c>
      <c r="I25" s="1" t="s">
        <v>415</v>
      </c>
      <c r="J25" s="1" t="s">
        <v>496</v>
      </c>
      <c r="K25" s="1" t="n">
        <v>3</v>
      </c>
    </row>
    <row r="26" customFormat="false" ht="15" hidden="false" customHeight="true" outlineLevel="0" collapsed="false">
      <c r="A26" s="1" t="s">
        <v>822</v>
      </c>
      <c r="B26" s="1" t="s">
        <v>823</v>
      </c>
      <c r="C26" s="1" t="s">
        <v>110</v>
      </c>
      <c r="D26" s="1" t="s">
        <v>28</v>
      </c>
      <c r="E26" s="1" t="s">
        <v>85</v>
      </c>
      <c r="F26" s="1" t="s">
        <v>288</v>
      </c>
      <c r="G26" s="1" t="s">
        <v>906</v>
      </c>
      <c r="H26" s="1" t="s">
        <v>87</v>
      </c>
      <c r="I26" s="1" t="s">
        <v>415</v>
      </c>
    </row>
    <row r="27" customFormat="false" ht="15" hidden="false" customHeight="true" outlineLevel="0" collapsed="false">
      <c r="A27" s="1" t="s">
        <v>824</v>
      </c>
      <c r="B27" s="1" t="s">
        <v>825</v>
      </c>
      <c r="C27" s="1" t="s">
        <v>110</v>
      </c>
      <c r="D27" s="1" t="s">
        <v>28</v>
      </c>
      <c r="E27" s="1" t="s">
        <v>85</v>
      </c>
      <c r="F27" s="1" t="s">
        <v>288</v>
      </c>
      <c r="G27" s="1" t="s">
        <v>907</v>
      </c>
      <c r="H27" s="1" t="s">
        <v>87</v>
      </c>
      <c r="I27" s="1" t="s">
        <v>415</v>
      </c>
    </row>
    <row r="28" customFormat="false" ht="15" hidden="false" customHeight="true" outlineLevel="0" collapsed="false">
      <c r="A28" s="1" t="s">
        <v>491</v>
      </c>
      <c r="B28" s="1" t="s">
        <v>492</v>
      </c>
      <c r="C28" s="1" t="s">
        <v>103</v>
      </c>
      <c r="D28" s="1" t="s">
        <v>84</v>
      </c>
      <c r="E28" s="1" t="s">
        <v>85</v>
      </c>
      <c r="F28" s="1" t="s">
        <v>288</v>
      </c>
      <c r="G28" s="1" t="s">
        <v>908</v>
      </c>
      <c r="H28" s="1" t="s">
        <v>87</v>
      </c>
      <c r="I28" s="1" t="s">
        <v>414</v>
      </c>
      <c r="J28" s="1" t="s">
        <v>469</v>
      </c>
      <c r="K28" s="1" t="n">
        <v>2</v>
      </c>
    </row>
    <row r="29" customFormat="false" ht="15" hidden="false" customHeight="true" outlineLevel="0" collapsed="false">
      <c r="A29" s="1" t="s">
        <v>494</v>
      </c>
      <c r="B29" s="1" t="s">
        <v>495</v>
      </c>
      <c r="C29" s="1" t="s">
        <v>103</v>
      </c>
      <c r="D29" s="1" t="s">
        <v>84</v>
      </c>
      <c r="E29" s="1" t="s">
        <v>85</v>
      </c>
      <c r="F29" s="1" t="s">
        <v>288</v>
      </c>
      <c r="G29" s="1" t="s">
        <v>909</v>
      </c>
      <c r="H29" s="1" t="s">
        <v>87</v>
      </c>
      <c r="I29" s="1" t="s">
        <v>414</v>
      </c>
      <c r="J29" s="1" t="s">
        <v>469</v>
      </c>
      <c r="K29" s="1" t="n">
        <v>3</v>
      </c>
    </row>
    <row r="30" customFormat="false" ht="15" hidden="false" customHeight="true" outlineLevel="0" collapsed="false">
      <c r="A30" s="1" t="s">
        <v>498</v>
      </c>
      <c r="B30" s="1" t="s">
        <v>499</v>
      </c>
      <c r="C30" s="1" t="s">
        <v>103</v>
      </c>
      <c r="D30" s="1" t="s">
        <v>450</v>
      </c>
      <c r="E30" s="1" t="s">
        <v>92</v>
      </c>
      <c r="F30" s="1" t="s">
        <v>288</v>
      </c>
      <c r="G30" s="1" t="s">
        <v>910</v>
      </c>
      <c r="H30" s="1" t="s">
        <v>87</v>
      </c>
      <c r="I30" s="1" t="s">
        <v>414</v>
      </c>
      <c r="K30" s="1" t="n">
        <v>2</v>
      </c>
    </row>
    <row r="31" customFormat="false" ht="15" hidden="false" customHeight="true" outlineLevel="0" collapsed="false">
      <c r="A31" s="1" t="s">
        <v>501</v>
      </c>
      <c r="B31" s="1" t="s">
        <v>502</v>
      </c>
      <c r="C31" s="1" t="s">
        <v>103</v>
      </c>
      <c r="D31" s="1" t="s">
        <v>84</v>
      </c>
      <c r="E31" s="1" t="s">
        <v>114</v>
      </c>
      <c r="F31" s="1" t="s">
        <v>288</v>
      </c>
      <c r="G31" s="1" t="s">
        <v>911</v>
      </c>
      <c r="H31" s="1" t="s">
        <v>87</v>
      </c>
      <c r="I31" s="1" t="s">
        <v>414</v>
      </c>
      <c r="J31" s="1" t="s">
        <v>469</v>
      </c>
      <c r="K31" s="1" t="n">
        <v>3</v>
      </c>
    </row>
    <row r="32" customFormat="false" ht="15" hidden="false" customHeight="true" outlineLevel="0" collapsed="false">
      <c r="A32" s="1" t="s">
        <v>504</v>
      </c>
      <c r="B32" s="1" t="s">
        <v>505</v>
      </c>
      <c r="C32" s="1" t="s">
        <v>103</v>
      </c>
      <c r="D32" s="1" t="s">
        <v>84</v>
      </c>
      <c r="E32" s="1" t="s">
        <v>114</v>
      </c>
      <c r="F32" s="1" t="s">
        <v>288</v>
      </c>
      <c r="G32" s="1" t="s">
        <v>896</v>
      </c>
      <c r="H32" s="1" t="s">
        <v>87</v>
      </c>
      <c r="I32" s="1" t="s">
        <v>414</v>
      </c>
      <c r="J32" s="1" t="s">
        <v>469</v>
      </c>
      <c r="K32" s="1" t="n">
        <v>3</v>
      </c>
    </row>
    <row r="33" customFormat="false" ht="15" hidden="false" customHeight="true" outlineLevel="0" collapsed="false">
      <c r="A33" s="1" t="s">
        <v>507</v>
      </c>
      <c r="B33" s="1" t="s">
        <v>508</v>
      </c>
      <c r="C33" s="1" t="s">
        <v>103</v>
      </c>
      <c r="D33" s="1" t="s">
        <v>119</v>
      </c>
      <c r="E33" s="1" t="s">
        <v>92</v>
      </c>
      <c r="F33" s="1" t="s">
        <v>288</v>
      </c>
      <c r="G33" s="1" t="s">
        <v>912</v>
      </c>
      <c r="H33" s="1" t="s">
        <v>87</v>
      </c>
      <c r="I33" s="1" t="s">
        <v>414</v>
      </c>
      <c r="J33" s="1" t="s">
        <v>509</v>
      </c>
      <c r="K33" s="1" t="n">
        <v>3</v>
      </c>
    </row>
    <row r="34" customFormat="false" ht="15" hidden="false" customHeight="true" outlineLevel="0" collapsed="false">
      <c r="A34" s="1" t="s">
        <v>511</v>
      </c>
      <c r="B34" s="1" t="s">
        <v>512</v>
      </c>
      <c r="C34" s="1" t="s">
        <v>90</v>
      </c>
      <c r="D34" s="1" t="s">
        <v>91</v>
      </c>
      <c r="E34" s="1" t="s">
        <v>92</v>
      </c>
      <c r="F34" s="1" t="s">
        <v>288</v>
      </c>
      <c r="G34" s="1" t="s">
        <v>913</v>
      </c>
      <c r="H34" s="1" t="s">
        <v>87</v>
      </c>
      <c r="I34" s="1" t="s">
        <v>414</v>
      </c>
      <c r="K34" s="1" t="n">
        <v>8</v>
      </c>
    </row>
    <row r="35" customFormat="false" ht="15" hidden="false" customHeight="true" outlineLevel="0" collapsed="false">
      <c r="A35" s="1" t="s">
        <v>515</v>
      </c>
      <c r="B35" s="1" t="s">
        <v>516</v>
      </c>
      <c r="C35" s="1" t="s">
        <v>103</v>
      </c>
      <c r="D35" s="1" t="s">
        <v>91</v>
      </c>
      <c r="E35" s="1" t="s">
        <v>92</v>
      </c>
      <c r="F35" s="1" t="s">
        <v>288</v>
      </c>
      <c r="G35" s="1" t="s">
        <v>914</v>
      </c>
      <c r="H35" s="1" t="s">
        <v>87</v>
      </c>
      <c r="I35" s="1" t="s">
        <v>414</v>
      </c>
      <c r="K35" s="1" t="n">
        <v>3</v>
      </c>
    </row>
    <row r="36" customFormat="false" ht="15" hidden="false" customHeight="true" outlineLevel="0" collapsed="false">
      <c r="A36" s="1" t="s">
        <v>521</v>
      </c>
      <c r="B36" s="1" t="s">
        <v>522</v>
      </c>
      <c r="C36" s="1" t="s">
        <v>123</v>
      </c>
      <c r="D36" s="1" t="s">
        <v>226</v>
      </c>
      <c r="E36" s="1" t="s">
        <v>124</v>
      </c>
      <c r="F36" s="1" t="s">
        <v>288</v>
      </c>
      <c r="G36" s="1" t="s">
        <v>915</v>
      </c>
      <c r="H36" s="1" t="s">
        <v>87</v>
      </c>
      <c r="I36" s="1" t="s">
        <v>414</v>
      </c>
      <c r="K36" s="1" t="n">
        <v>21</v>
      </c>
    </row>
    <row r="37" customFormat="false" ht="15" hidden="false" customHeight="true" outlineLevel="0" collapsed="false">
      <c r="A37" s="1" t="s">
        <v>529</v>
      </c>
      <c r="B37" s="1" t="s">
        <v>530</v>
      </c>
      <c r="C37" s="1" t="s">
        <v>103</v>
      </c>
      <c r="D37" s="1" t="s">
        <v>452</v>
      </c>
      <c r="E37" s="1" t="s">
        <v>85</v>
      </c>
      <c r="F37" s="1" t="s">
        <v>288</v>
      </c>
      <c r="G37" s="1" t="s">
        <v>916</v>
      </c>
      <c r="H37" s="1" t="s">
        <v>87</v>
      </c>
      <c r="I37" s="1" t="s">
        <v>414</v>
      </c>
      <c r="J37" s="1" t="s">
        <v>531</v>
      </c>
      <c r="K37" s="1" t="n">
        <v>8</v>
      </c>
    </row>
    <row r="38" customFormat="false" ht="15" hidden="false" customHeight="true" outlineLevel="0" collapsed="false">
      <c r="A38" s="1" t="s">
        <v>456</v>
      </c>
      <c r="B38" s="1" t="s">
        <v>457</v>
      </c>
      <c r="C38" s="1" t="s">
        <v>90</v>
      </c>
      <c r="D38" s="1" t="s">
        <v>84</v>
      </c>
      <c r="E38" s="1" t="s">
        <v>124</v>
      </c>
      <c r="F38" s="1" t="s">
        <v>288</v>
      </c>
      <c r="G38" s="1" t="s">
        <v>917</v>
      </c>
      <c r="H38" s="1" t="s">
        <v>87</v>
      </c>
      <c r="I38" s="1" t="s">
        <v>413</v>
      </c>
      <c r="J38" s="1" t="s">
        <v>458</v>
      </c>
      <c r="K38" s="1" t="n">
        <v>8</v>
      </c>
    </row>
    <row r="39" customFormat="false" ht="15" hidden="false" customHeight="true" outlineLevel="0" collapsed="false">
      <c r="A39" s="1" t="s">
        <v>463</v>
      </c>
      <c r="B39" s="1" t="s">
        <v>464</v>
      </c>
      <c r="C39" s="1" t="s">
        <v>103</v>
      </c>
      <c r="D39" s="1" t="s">
        <v>450</v>
      </c>
      <c r="E39" s="1" t="s">
        <v>92</v>
      </c>
      <c r="F39" s="1" t="s">
        <v>288</v>
      </c>
      <c r="G39" s="1" t="s">
        <v>918</v>
      </c>
      <c r="H39" s="1" t="s">
        <v>87</v>
      </c>
      <c r="I39" s="1" t="s">
        <v>413</v>
      </c>
      <c r="J39" s="1" t="s">
        <v>465</v>
      </c>
      <c r="K39" s="1" t="n">
        <v>21</v>
      </c>
    </row>
    <row r="40" customFormat="false" ht="15" hidden="false" customHeight="true" outlineLevel="0" collapsed="false">
      <c r="A40" s="1" t="s">
        <v>467</v>
      </c>
      <c r="B40" s="1" t="s">
        <v>468</v>
      </c>
      <c r="C40" s="1" t="s">
        <v>90</v>
      </c>
      <c r="D40" s="1" t="s">
        <v>84</v>
      </c>
      <c r="E40" s="1" t="s">
        <v>92</v>
      </c>
      <c r="F40" s="1" t="s">
        <v>288</v>
      </c>
      <c r="G40" s="1" t="s">
        <v>917</v>
      </c>
      <c r="H40" s="1" t="s">
        <v>87</v>
      </c>
      <c r="I40" s="1" t="s">
        <v>413</v>
      </c>
      <c r="J40" s="1" t="s">
        <v>469</v>
      </c>
      <c r="K40" s="1" t="n">
        <v>8</v>
      </c>
    </row>
    <row r="41" customFormat="false" ht="15" hidden="false" customHeight="true" outlineLevel="0" collapsed="false">
      <c r="A41" s="1" t="s">
        <v>471</v>
      </c>
      <c r="B41" s="1" t="s">
        <v>472</v>
      </c>
      <c r="C41" s="1" t="s">
        <v>90</v>
      </c>
      <c r="D41" s="1" t="s">
        <v>84</v>
      </c>
      <c r="E41" s="1" t="s">
        <v>85</v>
      </c>
      <c r="F41" s="1" t="s">
        <v>288</v>
      </c>
      <c r="G41" s="1" t="s">
        <v>919</v>
      </c>
      <c r="H41" s="1" t="s">
        <v>87</v>
      </c>
      <c r="I41" s="1" t="s">
        <v>413</v>
      </c>
      <c r="J41" s="1" t="s">
        <v>469</v>
      </c>
      <c r="K41" s="1" t="n">
        <v>3</v>
      </c>
    </row>
    <row r="42" customFormat="false" ht="15" hidden="false" customHeight="true" outlineLevel="0" collapsed="false">
      <c r="A42" s="1" t="s">
        <v>473</v>
      </c>
      <c r="B42" s="1" t="s">
        <v>474</v>
      </c>
      <c r="C42" s="1" t="s">
        <v>90</v>
      </c>
      <c r="D42" s="1" t="s">
        <v>91</v>
      </c>
      <c r="E42" s="1" t="s">
        <v>92</v>
      </c>
      <c r="F42" s="1" t="s">
        <v>288</v>
      </c>
      <c r="G42" s="1" t="s">
        <v>920</v>
      </c>
      <c r="H42" s="1" t="s">
        <v>87</v>
      </c>
      <c r="I42" s="1" t="s">
        <v>413</v>
      </c>
      <c r="J42" s="1" t="s">
        <v>470</v>
      </c>
      <c r="K42" s="1" t="n">
        <v>7</v>
      </c>
    </row>
    <row r="43" customFormat="false" ht="15" hidden="false" customHeight="true" outlineLevel="0" collapsed="false">
      <c r="A43" s="1" t="s">
        <v>476</v>
      </c>
      <c r="B43" s="1" t="s">
        <v>477</v>
      </c>
      <c r="C43" s="1" t="s">
        <v>103</v>
      </c>
      <c r="D43" s="1" t="s">
        <v>28</v>
      </c>
      <c r="E43" s="1" t="s">
        <v>92</v>
      </c>
      <c r="F43" s="1" t="s">
        <v>288</v>
      </c>
      <c r="G43" s="1" t="s">
        <v>921</v>
      </c>
      <c r="H43" s="1" t="s">
        <v>87</v>
      </c>
      <c r="I43" s="1" t="s">
        <v>413</v>
      </c>
      <c r="J43" s="1" t="s">
        <v>478</v>
      </c>
      <c r="K43" s="1" t="n">
        <v>23</v>
      </c>
    </row>
    <row r="44" customFormat="false" ht="15" hidden="false" customHeight="true" outlineLevel="0" collapsed="false">
      <c r="A44" s="1" t="s">
        <v>480</v>
      </c>
      <c r="B44" s="1" t="s">
        <v>481</v>
      </c>
      <c r="C44" s="1" t="s">
        <v>123</v>
      </c>
      <c r="D44" s="1" t="s">
        <v>226</v>
      </c>
      <c r="E44" s="1" t="s">
        <v>124</v>
      </c>
      <c r="F44" s="1" t="s">
        <v>288</v>
      </c>
      <c r="G44" s="1" t="s">
        <v>922</v>
      </c>
      <c r="H44" s="1" t="s">
        <v>87</v>
      </c>
      <c r="I44" s="1" t="s">
        <v>413</v>
      </c>
      <c r="K44" s="1" t="n">
        <v>16</v>
      </c>
    </row>
    <row r="45" customFormat="false" ht="15" hidden="false" customHeight="true" outlineLevel="0" collapsed="false">
      <c r="A45" s="1" t="s">
        <v>483</v>
      </c>
      <c r="B45" s="1" t="s">
        <v>484</v>
      </c>
      <c r="C45" s="1" t="s">
        <v>103</v>
      </c>
      <c r="D45" s="1" t="s">
        <v>452</v>
      </c>
      <c r="E45" s="1" t="s">
        <v>85</v>
      </c>
      <c r="F45" s="1" t="s">
        <v>288</v>
      </c>
      <c r="G45" s="1" t="s">
        <v>923</v>
      </c>
      <c r="H45" s="1" t="s">
        <v>87</v>
      </c>
      <c r="I45" s="1" t="s">
        <v>413</v>
      </c>
      <c r="K45" s="1" t="n">
        <v>8</v>
      </c>
    </row>
    <row r="46" customFormat="false" ht="15" hidden="false" customHeight="true" outlineLevel="0" collapsed="false">
      <c r="A46" s="1" t="s">
        <v>485</v>
      </c>
      <c r="B46" s="1" t="s">
        <v>486</v>
      </c>
      <c r="C46" s="1" t="s">
        <v>103</v>
      </c>
      <c r="D46" s="1" t="s">
        <v>452</v>
      </c>
      <c r="E46" s="1" t="s">
        <v>92</v>
      </c>
      <c r="F46" s="1" t="s">
        <v>288</v>
      </c>
      <c r="G46" s="1" t="s">
        <v>924</v>
      </c>
      <c r="H46" s="1" t="s">
        <v>87</v>
      </c>
      <c r="I46" s="1" t="s">
        <v>413</v>
      </c>
      <c r="K46" s="1" t="n">
        <v>2</v>
      </c>
    </row>
    <row r="47" customFormat="false" ht="15" hidden="false" customHeight="true" outlineLevel="0" collapsed="false">
      <c r="A47" s="1" t="s">
        <v>488</v>
      </c>
      <c r="B47" s="1" t="s">
        <v>489</v>
      </c>
      <c r="C47" s="1" t="s">
        <v>110</v>
      </c>
      <c r="D47" s="1" t="s">
        <v>451</v>
      </c>
      <c r="E47" s="1" t="s">
        <v>124</v>
      </c>
      <c r="F47" s="1" t="s">
        <v>288</v>
      </c>
      <c r="G47" s="1" t="s">
        <v>925</v>
      </c>
      <c r="H47" s="1" t="s">
        <v>87</v>
      </c>
      <c r="I47" s="1" t="s">
        <v>413</v>
      </c>
      <c r="K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c r="K50" s="1" t="n">
        <f aca="false">SUM(K2:K47)</f>
        <v>312</v>
      </c>
    </row>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 activePane="bottomLeft" state="frozen"/>
      <selection pane="topLeft" activeCell="A1" activeCellId="0" sqref="A1"/>
      <selection pane="bottomLeft" activeCell="A2" activeCellId="0" sqref="A2"/>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725</v>
      </c>
      <c r="B2" s="26" t="s">
        <v>726</v>
      </c>
      <c r="C2" s="26" t="s">
        <v>103</v>
      </c>
      <c r="D2" s="26" t="s">
        <v>84</v>
      </c>
      <c r="E2" s="26" t="s">
        <v>114</v>
      </c>
      <c r="F2" s="26" t="s">
        <v>288</v>
      </c>
      <c r="G2" s="26" t="s">
        <v>926</v>
      </c>
      <c r="H2" s="26" t="s">
        <v>87</v>
      </c>
      <c r="I2" s="26" t="s">
        <v>423</v>
      </c>
      <c r="J2" s="26" t="s">
        <v>458</v>
      </c>
      <c r="K2" s="26" t="n">
        <v>5</v>
      </c>
      <c r="L2" s="26"/>
      <c r="M2" s="26"/>
      <c r="N2" s="26"/>
      <c r="O2" s="26"/>
      <c r="P2" s="26"/>
      <c r="Q2" s="26"/>
    </row>
    <row r="3" customFormat="false" ht="15" hidden="false" customHeight="true" outlineLevel="0" collapsed="false">
      <c r="A3" s="1" t="s">
        <v>727</v>
      </c>
      <c r="B3" s="1" t="s">
        <v>728</v>
      </c>
      <c r="C3" s="1" t="s">
        <v>103</v>
      </c>
      <c r="D3" s="1" t="s">
        <v>84</v>
      </c>
      <c r="E3" s="1" t="s">
        <v>92</v>
      </c>
      <c r="F3" s="1" t="s">
        <v>288</v>
      </c>
      <c r="G3" s="1" t="s">
        <v>927</v>
      </c>
      <c r="H3" s="1" t="s">
        <v>87</v>
      </c>
      <c r="I3" s="1" t="s">
        <v>423</v>
      </c>
      <c r="J3" s="1" t="s">
        <v>458</v>
      </c>
      <c r="K3" s="1" t="n">
        <v>5</v>
      </c>
    </row>
    <row r="4" customFormat="false" ht="15" hidden="false" customHeight="true" outlineLevel="0" collapsed="false">
      <c r="A4" s="1" t="s">
        <v>731</v>
      </c>
      <c r="B4" s="1" t="s">
        <v>732</v>
      </c>
      <c r="C4" s="1" t="s">
        <v>103</v>
      </c>
      <c r="D4" s="1" t="s">
        <v>119</v>
      </c>
      <c r="E4" s="1" t="s">
        <v>92</v>
      </c>
      <c r="F4" s="1" t="s">
        <v>288</v>
      </c>
      <c r="G4" s="1" t="s">
        <v>928</v>
      </c>
      <c r="H4" s="1" t="s">
        <v>87</v>
      </c>
      <c r="I4" s="1" t="s">
        <v>423</v>
      </c>
      <c r="K4" s="1" t="n">
        <v>2</v>
      </c>
    </row>
    <row r="5" customFormat="false" ht="15" hidden="false" customHeight="true" outlineLevel="0" collapsed="false">
      <c r="A5" s="1" t="s">
        <v>733</v>
      </c>
      <c r="B5" s="1" t="s">
        <v>734</v>
      </c>
      <c r="C5" s="1" t="s">
        <v>103</v>
      </c>
      <c r="D5" s="1" t="s">
        <v>119</v>
      </c>
      <c r="E5" s="1" t="s">
        <v>92</v>
      </c>
      <c r="F5" s="1" t="s">
        <v>288</v>
      </c>
      <c r="G5" s="1" t="s">
        <v>929</v>
      </c>
      <c r="H5" s="1" t="s">
        <v>87</v>
      </c>
      <c r="I5" s="1" t="s">
        <v>423</v>
      </c>
      <c r="K5" s="1" t="n">
        <v>3</v>
      </c>
    </row>
    <row r="6" customFormat="false" ht="15" hidden="false" customHeight="true" outlineLevel="0" collapsed="false">
      <c r="A6" s="1" t="s">
        <v>735</v>
      </c>
      <c r="B6" s="1" t="s">
        <v>736</v>
      </c>
      <c r="C6" s="1" t="s">
        <v>103</v>
      </c>
      <c r="D6" s="1" t="s">
        <v>84</v>
      </c>
      <c r="E6" s="1" t="s">
        <v>92</v>
      </c>
      <c r="F6" s="1" t="s">
        <v>288</v>
      </c>
      <c r="G6" s="1" t="s">
        <v>930</v>
      </c>
      <c r="H6" s="1" t="s">
        <v>87</v>
      </c>
      <c r="I6" s="1" t="s">
        <v>423</v>
      </c>
      <c r="J6" s="1" t="s">
        <v>458</v>
      </c>
      <c r="K6" s="1" t="n">
        <v>10</v>
      </c>
    </row>
    <row r="7" customFormat="false" ht="15" hidden="false" customHeight="true" outlineLevel="0" collapsed="false">
      <c r="A7" s="1" t="s">
        <v>737</v>
      </c>
      <c r="B7" s="1" t="s">
        <v>738</v>
      </c>
      <c r="C7" s="1" t="s">
        <v>103</v>
      </c>
      <c r="D7" s="1" t="s">
        <v>84</v>
      </c>
      <c r="E7" s="1" t="s">
        <v>85</v>
      </c>
      <c r="F7" s="1" t="s">
        <v>288</v>
      </c>
      <c r="G7" s="1" t="s">
        <v>926</v>
      </c>
      <c r="H7" s="1" t="s">
        <v>87</v>
      </c>
      <c r="I7" s="1" t="s">
        <v>423</v>
      </c>
      <c r="J7" s="1" t="s">
        <v>458</v>
      </c>
      <c r="K7" s="1" t="n">
        <v>6</v>
      </c>
    </row>
    <row r="8" customFormat="false" ht="15" hidden="false" customHeight="true" outlineLevel="0" collapsed="false">
      <c r="A8" s="1" t="s">
        <v>741</v>
      </c>
      <c r="B8" s="1" t="s">
        <v>742</v>
      </c>
      <c r="C8" s="1" t="s">
        <v>103</v>
      </c>
      <c r="D8" s="1" t="s">
        <v>119</v>
      </c>
      <c r="E8" s="1" t="s">
        <v>92</v>
      </c>
      <c r="F8" s="1" t="s">
        <v>288</v>
      </c>
      <c r="G8" s="1" t="s">
        <v>931</v>
      </c>
      <c r="H8" s="1" t="s">
        <v>87</v>
      </c>
      <c r="I8" s="1" t="s">
        <v>423</v>
      </c>
      <c r="K8" s="1" t="n">
        <v>16</v>
      </c>
    </row>
    <row r="9" customFormat="false" ht="15" hidden="false" customHeight="true" outlineLevel="0" collapsed="false">
      <c r="A9" s="1" t="s">
        <v>743</v>
      </c>
      <c r="B9" s="1" t="s">
        <v>744</v>
      </c>
      <c r="C9" s="1" t="s">
        <v>103</v>
      </c>
      <c r="D9" s="1" t="s">
        <v>119</v>
      </c>
      <c r="E9" s="1" t="s">
        <v>92</v>
      </c>
      <c r="F9" s="1" t="s">
        <v>288</v>
      </c>
      <c r="G9" s="1" t="s">
        <v>932</v>
      </c>
      <c r="H9" s="1" t="s">
        <v>87</v>
      </c>
      <c r="I9" s="1" t="s">
        <v>423</v>
      </c>
      <c r="J9" s="1" t="s">
        <v>557</v>
      </c>
      <c r="K9" s="1" t="n">
        <v>8</v>
      </c>
    </row>
    <row r="10" customFormat="false" ht="15" hidden="false" customHeight="true" outlineLevel="0" collapsed="false">
      <c r="A10" s="1" t="s">
        <v>745</v>
      </c>
      <c r="B10" s="1" t="s">
        <v>746</v>
      </c>
      <c r="C10" s="1" t="s">
        <v>103</v>
      </c>
      <c r="D10" s="1" t="s">
        <v>119</v>
      </c>
      <c r="E10" s="1" t="s">
        <v>92</v>
      </c>
      <c r="F10" s="1" t="s">
        <v>288</v>
      </c>
      <c r="G10" s="1" t="s">
        <v>933</v>
      </c>
      <c r="H10" s="1" t="s">
        <v>87</v>
      </c>
      <c r="I10" s="1" t="s">
        <v>423</v>
      </c>
      <c r="J10" s="1" t="s">
        <v>531</v>
      </c>
      <c r="K10" s="1" t="n">
        <v>8</v>
      </c>
    </row>
    <row r="11" customFormat="false" ht="15" hidden="false" customHeight="true" outlineLevel="0" collapsed="false">
      <c r="A11" s="1" t="s">
        <v>747</v>
      </c>
      <c r="B11" s="1" t="s">
        <v>748</v>
      </c>
      <c r="C11" s="1" t="s">
        <v>103</v>
      </c>
      <c r="D11" s="1" t="s">
        <v>28</v>
      </c>
      <c r="E11" s="1" t="s">
        <v>85</v>
      </c>
      <c r="F11" s="1" t="s">
        <v>288</v>
      </c>
      <c r="G11" s="1" t="s">
        <v>934</v>
      </c>
      <c r="H11" s="1" t="s">
        <v>87</v>
      </c>
      <c r="I11" s="1" t="s">
        <v>423</v>
      </c>
      <c r="J11" s="1" t="s">
        <v>553</v>
      </c>
      <c r="K11" s="1" t="n">
        <v>8</v>
      </c>
    </row>
    <row r="12" customFormat="false" ht="15" hidden="false" customHeight="true" outlineLevel="0" collapsed="false">
      <c r="A12" s="1" t="s">
        <v>749</v>
      </c>
      <c r="B12" s="1" t="s">
        <v>750</v>
      </c>
      <c r="C12" s="1" t="s">
        <v>103</v>
      </c>
      <c r="D12" s="1" t="s">
        <v>28</v>
      </c>
      <c r="E12" s="1" t="s">
        <v>85</v>
      </c>
      <c r="F12" s="1" t="s">
        <v>288</v>
      </c>
      <c r="G12" s="1" t="s">
        <v>935</v>
      </c>
      <c r="H12" s="1" t="s">
        <v>87</v>
      </c>
      <c r="I12" s="1" t="s">
        <v>423</v>
      </c>
      <c r="K12" s="1" t="n">
        <v>5</v>
      </c>
    </row>
    <row r="13" customFormat="false" ht="15" hidden="false" customHeight="true" outlineLevel="0" collapsed="false">
      <c r="A13" s="1" t="s">
        <v>525</v>
      </c>
      <c r="B13" s="1" t="s">
        <v>526</v>
      </c>
      <c r="C13" s="1" t="s">
        <v>110</v>
      </c>
      <c r="D13" s="1" t="s">
        <v>452</v>
      </c>
      <c r="E13" s="1" t="s">
        <v>258</v>
      </c>
      <c r="F13" s="1" t="s">
        <v>288</v>
      </c>
      <c r="G13" s="1" t="s">
        <v>936</v>
      </c>
      <c r="H13" s="1" t="s">
        <v>87</v>
      </c>
      <c r="I13" s="1" t="s">
        <v>423</v>
      </c>
      <c r="J13" s="1" t="s">
        <v>527</v>
      </c>
    </row>
    <row r="14" customFormat="false" ht="15" hidden="false" customHeight="true" outlineLevel="0" collapsed="false">
      <c r="A14" s="1" t="s">
        <v>729</v>
      </c>
      <c r="B14" s="1" t="s">
        <v>730</v>
      </c>
      <c r="C14" s="1" t="s">
        <v>103</v>
      </c>
      <c r="D14" s="1" t="s">
        <v>119</v>
      </c>
      <c r="E14" s="1" t="s">
        <v>92</v>
      </c>
      <c r="F14" s="1" t="s">
        <v>288</v>
      </c>
      <c r="G14" s="1" t="s">
        <v>937</v>
      </c>
      <c r="H14" s="1" t="s">
        <v>87</v>
      </c>
      <c r="I14" s="1" t="s">
        <v>423</v>
      </c>
      <c r="J14" s="1" t="s">
        <v>531</v>
      </c>
      <c r="K14" s="1" t="n">
        <v>3</v>
      </c>
    </row>
    <row r="15" customFormat="false" ht="15" hidden="false" customHeight="true" outlineLevel="0" collapsed="false">
      <c r="A15" s="1" t="s">
        <v>799</v>
      </c>
      <c r="B15" s="1" t="s">
        <v>800</v>
      </c>
      <c r="C15" s="1" t="s">
        <v>90</v>
      </c>
      <c r="D15" s="1" t="s">
        <v>91</v>
      </c>
      <c r="E15" s="1" t="s">
        <v>92</v>
      </c>
      <c r="F15" s="1" t="s">
        <v>288</v>
      </c>
      <c r="G15" s="1" t="s">
        <v>938</v>
      </c>
      <c r="H15" s="1" t="s">
        <v>87</v>
      </c>
      <c r="I15" s="1" t="s">
        <v>423</v>
      </c>
      <c r="J15" s="1" t="s">
        <v>458</v>
      </c>
      <c r="K15" s="1" t="n">
        <v>8</v>
      </c>
    </row>
    <row r="16" customFormat="false" ht="15" hidden="false" customHeight="true" outlineLevel="0" collapsed="false">
      <c r="A16" s="1" t="s">
        <v>801</v>
      </c>
      <c r="B16" s="1" t="s">
        <v>802</v>
      </c>
      <c r="C16" s="1" t="s">
        <v>103</v>
      </c>
      <c r="D16" s="1" t="s">
        <v>119</v>
      </c>
      <c r="E16" s="1" t="s">
        <v>92</v>
      </c>
      <c r="F16" s="1" t="s">
        <v>288</v>
      </c>
      <c r="G16" s="1" t="s">
        <v>939</v>
      </c>
      <c r="H16" s="1" t="s">
        <v>87</v>
      </c>
      <c r="I16" s="1" t="s">
        <v>423</v>
      </c>
      <c r="J16" s="1" t="s">
        <v>557</v>
      </c>
      <c r="K16" s="1" t="n">
        <v>13</v>
      </c>
    </row>
    <row r="17" customFormat="false" ht="15" hidden="false" customHeight="true" outlineLevel="0" collapsed="false">
      <c r="A17" s="1" t="s">
        <v>779</v>
      </c>
      <c r="B17" s="1" t="s">
        <v>780</v>
      </c>
      <c r="C17" s="1" t="s">
        <v>103</v>
      </c>
      <c r="D17" s="1" t="s">
        <v>104</v>
      </c>
      <c r="E17" s="1" t="s">
        <v>92</v>
      </c>
      <c r="F17" s="1" t="s">
        <v>288</v>
      </c>
      <c r="G17" s="1" t="s">
        <v>940</v>
      </c>
      <c r="H17" s="1" t="s">
        <v>320</v>
      </c>
      <c r="I17" s="1" t="s">
        <v>421</v>
      </c>
      <c r="J17" s="1" t="s">
        <v>531</v>
      </c>
      <c r="K17" s="1" t="n">
        <v>5</v>
      </c>
    </row>
    <row r="18" customFormat="false" ht="15" hidden="false" customHeight="true" outlineLevel="0" collapsed="false">
      <c r="A18" s="1" t="s">
        <v>684</v>
      </c>
      <c r="B18" s="1" t="s">
        <v>685</v>
      </c>
      <c r="C18" s="1" t="s">
        <v>103</v>
      </c>
      <c r="D18" s="1" t="s">
        <v>84</v>
      </c>
      <c r="E18" s="1" t="s">
        <v>114</v>
      </c>
      <c r="F18" s="1" t="s">
        <v>288</v>
      </c>
      <c r="G18" s="1" t="s">
        <v>935</v>
      </c>
      <c r="H18" s="1" t="s">
        <v>87</v>
      </c>
      <c r="I18" s="1" t="s">
        <v>421</v>
      </c>
      <c r="J18" s="1" t="s">
        <v>458</v>
      </c>
    </row>
    <row r="19" customFormat="false" ht="15" hidden="false" customHeight="true" outlineLevel="0" collapsed="false">
      <c r="A19" s="1" t="s">
        <v>686</v>
      </c>
      <c r="B19" s="1" t="s">
        <v>687</v>
      </c>
      <c r="C19" s="1" t="s">
        <v>103</v>
      </c>
      <c r="D19" s="1" t="s">
        <v>84</v>
      </c>
      <c r="E19" s="1" t="s">
        <v>114</v>
      </c>
      <c r="F19" s="1" t="s">
        <v>288</v>
      </c>
      <c r="G19" s="1" t="s">
        <v>941</v>
      </c>
      <c r="H19" s="1" t="s">
        <v>87</v>
      </c>
      <c r="I19" s="1" t="s">
        <v>421</v>
      </c>
      <c r="J19" s="1" t="s">
        <v>458</v>
      </c>
    </row>
    <row r="20" customFormat="false" ht="15" hidden="false" customHeight="true" outlineLevel="0" collapsed="false">
      <c r="A20" s="1" t="s">
        <v>688</v>
      </c>
      <c r="B20" s="1" t="s">
        <v>689</v>
      </c>
      <c r="C20" s="1" t="s">
        <v>103</v>
      </c>
      <c r="D20" s="1" t="s">
        <v>84</v>
      </c>
      <c r="E20" s="1" t="s">
        <v>114</v>
      </c>
      <c r="F20" s="1" t="s">
        <v>288</v>
      </c>
      <c r="G20" s="1" t="s">
        <v>942</v>
      </c>
      <c r="H20" s="1" t="s">
        <v>87</v>
      </c>
      <c r="I20" s="1" t="s">
        <v>421</v>
      </c>
      <c r="J20" s="1" t="s">
        <v>458</v>
      </c>
    </row>
    <row r="21" customFormat="false" ht="15" hidden="false" customHeight="true" outlineLevel="0" collapsed="false">
      <c r="A21" s="1" t="s">
        <v>690</v>
      </c>
      <c r="B21" s="1" t="s">
        <v>691</v>
      </c>
      <c r="C21" s="1" t="s">
        <v>103</v>
      </c>
      <c r="D21" s="1" t="s">
        <v>84</v>
      </c>
      <c r="E21" s="1" t="s">
        <v>114</v>
      </c>
      <c r="F21" s="1" t="s">
        <v>288</v>
      </c>
      <c r="G21" s="1" t="s">
        <v>943</v>
      </c>
      <c r="H21" s="1" t="s">
        <v>87</v>
      </c>
      <c r="I21" s="1" t="s">
        <v>421</v>
      </c>
      <c r="J21" s="1" t="s">
        <v>458</v>
      </c>
      <c r="K21" s="1" t="n">
        <v>3</v>
      </c>
    </row>
    <row r="22" customFormat="false" ht="15" hidden="false" customHeight="true" outlineLevel="0" collapsed="false">
      <c r="A22" s="1" t="s">
        <v>692</v>
      </c>
      <c r="B22" s="1" t="s">
        <v>693</v>
      </c>
      <c r="C22" s="1" t="s">
        <v>110</v>
      </c>
      <c r="D22" s="1" t="s">
        <v>84</v>
      </c>
      <c r="E22" s="1" t="s">
        <v>114</v>
      </c>
      <c r="F22" s="1" t="s">
        <v>288</v>
      </c>
      <c r="G22" s="1" t="s">
        <v>944</v>
      </c>
      <c r="H22" s="1" t="s">
        <v>87</v>
      </c>
      <c r="I22" s="1" t="s">
        <v>421</v>
      </c>
      <c r="J22" s="1" t="s">
        <v>469</v>
      </c>
      <c r="K22" s="1" t="n">
        <v>5</v>
      </c>
    </row>
    <row r="23" customFormat="false" ht="15" hidden="false" customHeight="true" outlineLevel="0" collapsed="false">
      <c r="A23" s="1" t="s">
        <v>694</v>
      </c>
      <c r="B23" s="1" t="s">
        <v>695</v>
      </c>
      <c r="C23" s="1" t="s">
        <v>103</v>
      </c>
      <c r="D23" s="1" t="s">
        <v>119</v>
      </c>
      <c r="E23" s="1" t="s">
        <v>92</v>
      </c>
      <c r="F23" s="1" t="s">
        <v>288</v>
      </c>
      <c r="G23" s="1" t="s">
        <v>945</v>
      </c>
      <c r="H23" s="1" t="s">
        <v>87</v>
      </c>
      <c r="I23" s="1" t="s">
        <v>421</v>
      </c>
    </row>
    <row r="24" customFormat="false" ht="15" hidden="false" customHeight="true" outlineLevel="0" collapsed="false">
      <c r="A24" s="1" t="s">
        <v>696</v>
      </c>
      <c r="B24" s="1" t="s">
        <v>697</v>
      </c>
      <c r="C24" s="1" t="s">
        <v>103</v>
      </c>
      <c r="D24" s="1" t="s">
        <v>84</v>
      </c>
      <c r="E24" s="1" t="s">
        <v>114</v>
      </c>
      <c r="F24" s="1" t="s">
        <v>288</v>
      </c>
      <c r="G24" s="1" t="s">
        <v>946</v>
      </c>
      <c r="H24" s="1" t="s">
        <v>87</v>
      </c>
      <c r="I24" s="1" t="s">
        <v>421</v>
      </c>
      <c r="J24" s="1" t="s">
        <v>458</v>
      </c>
      <c r="K24" s="1" t="n">
        <v>5</v>
      </c>
    </row>
    <row r="25" customFormat="false" ht="15" hidden="false" customHeight="true" outlineLevel="0" collapsed="false">
      <c r="A25" s="1" t="s">
        <v>698</v>
      </c>
      <c r="B25" s="1" t="s">
        <v>699</v>
      </c>
      <c r="C25" s="1" t="s">
        <v>103</v>
      </c>
      <c r="D25" s="1" t="s">
        <v>119</v>
      </c>
      <c r="E25" s="1" t="s">
        <v>92</v>
      </c>
      <c r="F25" s="1" t="s">
        <v>288</v>
      </c>
      <c r="G25" s="1" t="s">
        <v>947</v>
      </c>
      <c r="H25" s="1" t="s">
        <v>87</v>
      </c>
      <c r="I25" s="1" t="s">
        <v>421</v>
      </c>
      <c r="J25" s="1" t="s">
        <v>523</v>
      </c>
      <c r="K25" s="1" t="n">
        <v>3</v>
      </c>
    </row>
    <row r="26" customFormat="false" ht="15" hidden="false" customHeight="true" outlineLevel="0" collapsed="false">
      <c r="A26" s="1" t="s">
        <v>700</v>
      </c>
      <c r="B26" s="1" t="s">
        <v>701</v>
      </c>
      <c r="C26" s="1" t="s">
        <v>123</v>
      </c>
      <c r="D26" s="1" t="s">
        <v>702</v>
      </c>
      <c r="E26" s="1" t="s">
        <v>124</v>
      </c>
      <c r="F26" s="1" t="s">
        <v>288</v>
      </c>
      <c r="G26" s="1" t="s">
        <v>948</v>
      </c>
      <c r="H26" s="1" t="s">
        <v>87</v>
      </c>
      <c r="I26" s="1" t="s">
        <v>421</v>
      </c>
      <c r="J26" s="1" t="s">
        <v>531</v>
      </c>
      <c r="K26" s="1" t="n">
        <v>8</v>
      </c>
    </row>
    <row r="27" customFormat="false" ht="15" hidden="false" customHeight="true" outlineLevel="0" collapsed="false">
      <c r="A27" s="1" t="s">
        <v>703</v>
      </c>
      <c r="B27" s="1" t="s">
        <v>704</v>
      </c>
      <c r="C27" s="1" t="s">
        <v>123</v>
      </c>
      <c r="D27" s="1" t="s">
        <v>702</v>
      </c>
      <c r="E27" s="1" t="s">
        <v>124</v>
      </c>
      <c r="F27" s="1" t="s">
        <v>288</v>
      </c>
      <c r="H27" s="1" t="s">
        <v>87</v>
      </c>
      <c r="I27" s="1" t="s">
        <v>421</v>
      </c>
      <c r="K27" s="1" t="n">
        <v>5</v>
      </c>
    </row>
    <row r="28" customFormat="false" ht="15" hidden="false" customHeight="true" outlineLevel="0" collapsed="false">
      <c r="A28" s="1" t="s">
        <v>705</v>
      </c>
      <c r="B28" s="1" t="s">
        <v>706</v>
      </c>
      <c r="C28" s="1" t="s">
        <v>103</v>
      </c>
      <c r="D28" s="1" t="s">
        <v>84</v>
      </c>
      <c r="E28" s="1" t="s">
        <v>114</v>
      </c>
      <c r="F28" s="1" t="s">
        <v>288</v>
      </c>
      <c r="G28" s="1" t="s">
        <v>949</v>
      </c>
      <c r="H28" s="1" t="s">
        <v>87</v>
      </c>
      <c r="I28" s="1" t="s">
        <v>421</v>
      </c>
      <c r="J28" s="1" t="s">
        <v>458</v>
      </c>
      <c r="K28" s="1" t="n">
        <v>2</v>
      </c>
    </row>
    <row r="29" customFormat="false" ht="15" hidden="false" customHeight="true" outlineLevel="0" collapsed="false">
      <c r="A29" s="1" t="s">
        <v>707</v>
      </c>
      <c r="B29" s="1" t="s">
        <v>708</v>
      </c>
      <c r="C29" s="1" t="s">
        <v>110</v>
      </c>
      <c r="D29" s="1" t="s">
        <v>84</v>
      </c>
      <c r="E29" s="1" t="s">
        <v>85</v>
      </c>
      <c r="F29" s="1" t="s">
        <v>288</v>
      </c>
      <c r="H29" s="1" t="s">
        <v>87</v>
      </c>
      <c r="I29" s="1" t="s">
        <v>421</v>
      </c>
      <c r="J29" s="1" t="s">
        <v>458</v>
      </c>
      <c r="K29" s="1" t="n">
        <v>21</v>
      </c>
    </row>
    <row r="30" customFormat="false" ht="15" hidden="false" customHeight="true" outlineLevel="0" collapsed="false">
      <c r="A30" s="1" t="s">
        <v>709</v>
      </c>
      <c r="B30" s="1" t="s">
        <v>710</v>
      </c>
      <c r="C30" s="1" t="s">
        <v>110</v>
      </c>
      <c r="D30" s="1" t="s">
        <v>84</v>
      </c>
      <c r="E30" s="1" t="s">
        <v>85</v>
      </c>
      <c r="F30" s="1" t="s">
        <v>288</v>
      </c>
      <c r="H30" s="1" t="s">
        <v>87</v>
      </c>
      <c r="I30" s="1" t="s">
        <v>421</v>
      </c>
      <c r="J30" s="1" t="s">
        <v>458</v>
      </c>
      <c r="K30" s="1" t="n">
        <v>8</v>
      </c>
    </row>
    <row r="31" customFormat="false" ht="15" hidden="false" customHeight="true" outlineLevel="0" collapsed="false">
      <c r="A31" s="1" t="s">
        <v>711</v>
      </c>
      <c r="B31" s="1" t="s">
        <v>712</v>
      </c>
      <c r="C31" s="1" t="s">
        <v>103</v>
      </c>
      <c r="D31" s="1" t="s">
        <v>84</v>
      </c>
      <c r="E31" s="1" t="s">
        <v>92</v>
      </c>
      <c r="F31" s="1" t="s">
        <v>288</v>
      </c>
      <c r="G31" s="1" t="s">
        <v>950</v>
      </c>
      <c r="H31" s="1" t="s">
        <v>87</v>
      </c>
      <c r="I31" s="1" t="s">
        <v>421</v>
      </c>
      <c r="J31" s="1" t="s">
        <v>458</v>
      </c>
      <c r="K31" s="1" t="n">
        <v>3</v>
      </c>
    </row>
    <row r="32" customFormat="false" ht="15" hidden="false" customHeight="true" outlineLevel="0" collapsed="false">
      <c r="A32" s="1" t="s">
        <v>713</v>
      </c>
      <c r="B32" s="1" t="s">
        <v>714</v>
      </c>
      <c r="C32" s="1" t="s">
        <v>103</v>
      </c>
      <c r="D32" s="1" t="s">
        <v>84</v>
      </c>
      <c r="E32" s="1" t="s">
        <v>92</v>
      </c>
      <c r="F32" s="1" t="s">
        <v>288</v>
      </c>
      <c r="G32" s="1" t="s">
        <v>951</v>
      </c>
      <c r="H32" s="1" t="s">
        <v>87</v>
      </c>
      <c r="I32" s="1" t="s">
        <v>421</v>
      </c>
      <c r="J32" s="1" t="s">
        <v>458</v>
      </c>
      <c r="K32" s="1" t="n">
        <v>5</v>
      </c>
    </row>
    <row r="33" customFormat="false" ht="15" hidden="false" customHeight="true" outlineLevel="0" collapsed="false">
      <c r="A33" s="1" t="s">
        <v>715</v>
      </c>
      <c r="B33" s="1" t="s">
        <v>716</v>
      </c>
      <c r="C33" s="1" t="s">
        <v>103</v>
      </c>
      <c r="D33" s="1" t="s">
        <v>119</v>
      </c>
      <c r="E33" s="1" t="s">
        <v>92</v>
      </c>
      <c r="F33" s="1" t="s">
        <v>288</v>
      </c>
      <c r="G33" s="1" t="s">
        <v>952</v>
      </c>
      <c r="H33" s="1" t="s">
        <v>87</v>
      </c>
      <c r="I33" s="1" t="s">
        <v>421</v>
      </c>
      <c r="J33" s="1" t="s">
        <v>523</v>
      </c>
      <c r="K33" s="1" t="n">
        <v>2</v>
      </c>
    </row>
    <row r="34" customFormat="false" ht="15" hidden="false" customHeight="true" outlineLevel="0" collapsed="false">
      <c r="A34" s="1" t="s">
        <v>717</v>
      </c>
      <c r="B34" s="1" t="s">
        <v>718</v>
      </c>
      <c r="C34" s="1" t="s">
        <v>103</v>
      </c>
      <c r="D34" s="1" t="s">
        <v>119</v>
      </c>
      <c r="E34" s="1" t="s">
        <v>92</v>
      </c>
      <c r="F34" s="1" t="s">
        <v>288</v>
      </c>
      <c r="G34" s="1" t="s">
        <v>947</v>
      </c>
      <c r="H34" s="1" t="s">
        <v>87</v>
      </c>
      <c r="I34" s="1" t="s">
        <v>421</v>
      </c>
      <c r="K34" s="1" t="n">
        <v>3</v>
      </c>
    </row>
    <row r="35" customFormat="false" ht="15" hidden="false" customHeight="true" outlineLevel="0" collapsed="false">
      <c r="A35" s="1" t="s">
        <v>719</v>
      </c>
      <c r="B35" s="1" t="s">
        <v>720</v>
      </c>
      <c r="C35" s="1" t="s">
        <v>103</v>
      </c>
      <c r="D35" s="1" t="s">
        <v>119</v>
      </c>
      <c r="E35" s="1" t="s">
        <v>92</v>
      </c>
      <c r="F35" s="1" t="s">
        <v>288</v>
      </c>
      <c r="G35" s="1" t="s">
        <v>953</v>
      </c>
      <c r="H35" s="1" t="s">
        <v>87</v>
      </c>
      <c r="I35" s="1" t="s">
        <v>421</v>
      </c>
      <c r="J35" s="1" t="s">
        <v>531</v>
      </c>
      <c r="K35" s="1" t="n">
        <v>2</v>
      </c>
    </row>
    <row r="36" customFormat="false" ht="15" hidden="false" customHeight="true" outlineLevel="0" collapsed="false">
      <c r="A36" s="1" t="s">
        <v>721</v>
      </c>
      <c r="B36" s="1" t="s">
        <v>722</v>
      </c>
      <c r="C36" s="1" t="s">
        <v>103</v>
      </c>
      <c r="D36" s="1" t="s">
        <v>257</v>
      </c>
      <c r="E36" s="1" t="s">
        <v>85</v>
      </c>
      <c r="F36" s="1" t="s">
        <v>288</v>
      </c>
      <c r="G36" s="1" t="s">
        <v>954</v>
      </c>
      <c r="H36" s="1" t="s">
        <v>87</v>
      </c>
      <c r="I36" s="1" t="s">
        <v>421</v>
      </c>
      <c r="J36" s="1" t="s">
        <v>553</v>
      </c>
      <c r="K36" s="1" t="n">
        <v>5</v>
      </c>
    </row>
    <row r="37" customFormat="false" ht="15" hidden="false" customHeight="true" outlineLevel="0" collapsed="false">
      <c r="A37" s="1" t="s">
        <v>805</v>
      </c>
      <c r="B37" s="1" t="s">
        <v>806</v>
      </c>
      <c r="C37" s="1" t="s">
        <v>103</v>
      </c>
      <c r="D37" s="1" t="s">
        <v>104</v>
      </c>
      <c r="E37" s="1" t="s">
        <v>92</v>
      </c>
      <c r="F37" s="1" t="s">
        <v>288</v>
      </c>
      <c r="G37" s="1" t="s">
        <v>955</v>
      </c>
      <c r="H37" s="1" t="s">
        <v>320</v>
      </c>
      <c r="I37" s="1" t="s">
        <v>421</v>
      </c>
      <c r="J37" s="1" t="s">
        <v>531</v>
      </c>
      <c r="K37" s="1" t="n">
        <v>13</v>
      </c>
    </row>
    <row r="38" customFormat="false" ht="15" hidden="false" customHeight="true" outlineLevel="0" collapsed="false">
      <c r="A38" s="1" t="s">
        <v>807</v>
      </c>
      <c r="B38" s="1" t="s">
        <v>808</v>
      </c>
      <c r="C38" s="1" t="s">
        <v>103</v>
      </c>
      <c r="D38" s="1" t="s">
        <v>104</v>
      </c>
      <c r="E38" s="1" t="s">
        <v>92</v>
      </c>
      <c r="F38" s="1" t="s">
        <v>288</v>
      </c>
      <c r="G38" s="1" t="s">
        <v>956</v>
      </c>
      <c r="H38" s="1" t="s">
        <v>320</v>
      </c>
      <c r="I38" s="1" t="s">
        <v>421</v>
      </c>
      <c r="J38" s="1" t="s">
        <v>531</v>
      </c>
      <c r="K38" s="1" t="n">
        <v>5</v>
      </c>
    </row>
    <row r="39" customFormat="false" ht="15" hidden="false" customHeight="true" outlineLevel="0" collapsed="false">
      <c r="A39" s="1" t="s">
        <v>809</v>
      </c>
      <c r="B39" s="1" t="s">
        <v>810</v>
      </c>
      <c r="C39" s="1" t="s">
        <v>90</v>
      </c>
      <c r="D39" s="1" t="s">
        <v>91</v>
      </c>
      <c r="E39" s="1" t="s">
        <v>92</v>
      </c>
      <c r="F39" s="1" t="s">
        <v>288</v>
      </c>
      <c r="G39" s="1" t="s">
        <v>957</v>
      </c>
      <c r="H39" s="1" t="s">
        <v>87</v>
      </c>
      <c r="I39" s="1" t="s">
        <v>421</v>
      </c>
      <c r="J39" s="1" t="s">
        <v>531</v>
      </c>
      <c r="K39" s="1" t="n">
        <v>8</v>
      </c>
    </row>
    <row r="40" customFormat="false" ht="15" hidden="false" customHeight="true" outlineLevel="0" collapsed="false">
      <c r="A40" s="1" t="s">
        <v>632</v>
      </c>
      <c r="B40" s="1" t="s">
        <v>633</v>
      </c>
      <c r="C40" s="1" t="s">
        <v>103</v>
      </c>
      <c r="D40" s="1" t="s">
        <v>84</v>
      </c>
      <c r="E40" s="1" t="s">
        <v>114</v>
      </c>
      <c r="F40" s="1" t="s">
        <v>288</v>
      </c>
      <c r="G40" s="1" t="s">
        <v>958</v>
      </c>
      <c r="H40" s="1" t="s">
        <v>87</v>
      </c>
      <c r="I40" s="1" t="s">
        <v>420</v>
      </c>
      <c r="J40" s="1" t="s">
        <v>469</v>
      </c>
      <c r="K40" s="1" t="n">
        <v>8</v>
      </c>
    </row>
    <row r="41" customFormat="false" ht="15" hidden="false" customHeight="true" outlineLevel="0" collapsed="false">
      <c r="A41" s="1" t="s">
        <v>634</v>
      </c>
      <c r="B41" s="1" t="s">
        <v>635</v>
      </c>
      <c r="C41" s="1" t="s">
        <v>103</v>
      </c>
      <c r="D41" s="1" t="s">
        <v>84</v>
      </c>
      <c r="E41" s="1" t="s">
        <v>92</v>
      </c>
      <c r="F41" s="1" t="s">
        <v>288</v>
      </c>
      <c r="G41" s="1" t="s">
        <v>959</v>
      </c>
      <c r="H41" s="1" t="s">
        <v>87</v>
      </c>
      <c r="I41" s="1" t="s">
        <v>420</v>
      </c>
      <c r="J41" s="1" t="s">
        <v>469</v>
      </c>
      <c r="K41" s="1" t="n">
        <v>8</v>
      </c>
    </row>
    <row r="42" customFormat="false" ht="15" hidden="false" customHeight="true" outlineLevel="0" collapsed="false">
      <c r="A42" s="1" t="s">
        <v>636</v>
      </c>
      <c r="B42" s="1" t="s">
        <v>637</v>
      </c>
      <c r="C42" s="1" t="s">
        <v>103</v>
      </c>
      <c r="D42" s="1" t="s">
        <v>84</v>
      </c>
      <c r="E42" s="1" t="s">
        <v>92</v>
      </c>
      <c r="F42" s="1" t="s">
        <v>288</v>
      </c>
      <c r="H42" s="1" t="s">
        <v>87</v>
      </c>
      <c r="I42" s="1" t="s">
        <v>420</v>
      </c>
      <c r="J42" s="1" t="s">
        <v>458</v>
      </c>
      <c r="K42" s="1" t="n">
        <v>5</v>
      </c>
    </row>
    <row r="43" customFormat="false" ht="15" hidden="false" customHeight="true" outlineLevel="0" collapsed="false">
      <c r="A43" s="1" t="s">
        <v>638</v>
      </c>
      <c r="B43" s="1" t="s">
        <v>639</v>
      </c>
      <c r="C43" s="1" t="s">
        <v>103</v>
      </c>
      <c r="D43" s="1" t="s">
        <v>84</v>
      </c>
      <c r="E43" s="1" t="s">
        <v>92</v>
      </c>
      <c r="F43" s="1" t="s">
        <v>288</v>
      </c>
      <c r="H43" s="1" t="s">
        <v>87</v>
      </c>
      <c r="I43" s="1" t="s">
        <v>420</v>
      </c>
      <c r="J43" s="1" t="s">
        <v>458</v>
      </c>
      <c r="K43" s="1" t="n">
        <v>3</v>
      </c>
    </row>
    <row r="44" customFormat="false" ht="15" hidden="false" customHeight="true" outlineLevel="0" collapsed="false">
      <c r="A44" s="1" t="s">
        <v>640</v>
      </c>
      <c r="B44" s="1" t="s">
        <v>641</v>
      </c>
      <c r="C44" s="1" t="s">
        <v>110</v>
      </c>
      <c r="D44" s="1" t="s">
        <v>84</v>
      </c>
      <c r="E44" s="1" t="s">
        <v>114</v>
      </c>
      <c r="F44" s="1" t="s">
        <v>288</v>
      </c>
      <c r="G44" s="1" t="s">
        <v>960</v>
      </c>
      <c r="H44" s="1" t="s">
        <v>87</v>
      </c>
      <c r="I44" s="1" t="s">
        <v>420</v>
      </c>
      <c r="J44" s="1" t="s">
        <v>458</v>
      </c>
      <c r="K44" s="1" t="n">
        <v>5</v>
      </c>
    </row>
    <row r="45" customFormat="false" ht="15" hidden="false" customHeight="true" outlineLevel="0" collapsed="false">
      <c r="A45" s="1" t="s">
        <v>642</v>
      </c>
      <c r="B45" s="1" t="s">
        <v>643</v>
      </c>
      <c r="C45" s="1" t="s">
        <v>103</v>
      </c>
      <c r="D45" s="1" t="s">
        <v>104</v>
      </c>
      <c r="E45" s="1" t="s">
        <v>92</v>
      </c>
      <c r="F45" s="1" t="s">
        <v>288</v>
      </c>
      <c r="G45" s="1" t="s">
        <v>961</v>
      </c>
      <c r="H45" s="1" t="s">
        <v>87</v>
      </c>
      <c r="I45" s="1" t="s">
        <v>420</v>
      </c>
      <c r="J45" s="1" t="s">
        <v>523</v>
      </c>
      <c r="K45" s="1" t="n">
        <v>5</v>
      </c>
    </row>
    <row r="46" customFormat="false" ht="15" hidden="false" customHeight="true" outlineLevel="0" collapsed="false">
      <c r="A46" s="1" t="s">
        <v>644</v>
      </c>
      <c r="B46" s="1" t="s">
        <v>645</v>
      </c>
      <c r="C46" s="1" t="s">
        <v>103</v>
      </c>
      <c r="D46" s="1" t="s">
        <v>104</v>
      </c>
      <c r="E46" s="1" t="s">
        <v>92</v>
      </c>
      <c r="F46" s="1" t="s">
        <v>288</v>
      </c>
      <c r="G46" s="1" t="s">
        <v>962</v>
      </c>
      <c r="H46" s="1" t="s">
        <v>87</v>
      </c>
      <c r="I46" s="1" t="s">
        <v>420</v>
      </c>
      <c r="J46" s="1" t="s">
        <v>531</v>
      </c>
      <c r="K46" s="1" t="n">
        <v>8</v>
      </c>
    </row>
    <row r="47" customFormat="false" ht="15" hidden="false" customHeight="true" outlineLevel="0" collapsed="false">
      <c r="A47" s="1" t="s">
        <v>646</v>
      </c>
      <c r="B47" s="1" t="s">
        <v>647</v>
      </c>
      <c r="C47" s="1" t="s">
        <v>103</v>
      </c>
      <c r="D47" s="1" t="s">
        <v>119</v>
      </c>
      <c r="E47" s="1" t="s">
        <v>92</v>
      </c>
      <c r="F47" s="1" t="s">
        <v>288</v>
      </c>
      <c r="G47" s="1" t="s">
        <v>963</v>
      </c>
      <c r="H47" s="1" t="s">
        <v>87</v>
      </c>
      <c r="I47" s="1" t="s">
        <v>420</v>
      </c>
      <c r="J47" s="1" t="s">
        <v>523</v>
      </c>
      <c r="K47" s="1" t="n">
        <v>3</v>
      </c>
    </row>
    <row r="48" customFormat="false" ht="15" hidden="false" customHeight="true" outlineLevel="0" collapsed="false">
      <c r="A48" s="1" t="s">
        <v>648</v>
      </c>
      <c r="B48" s="1" t="s">
        <v>649</v>
      </c>
      <c r="C48" s="1" t="s">
        <v>103</v>
      </c>
      <c r="D48" s="1" t="s">
        <v>119</v>
      </c>
      <c r="E48" s="1" t="s">
        <v>92</v>
      </c>
      <c r="F48" s="1" t="s">
        <v>288</v>
      </c>
      <c r="G48" s="1" t="s">
        <v>945</v>
      </c>
      <c r="H48" s="1" t="s">
        <v>87</v>
      </c>
      <c r="I48" s="1" t="s">
        <v>420</v>
      </c>
      <c r="J48" s="1" t="s">
        <v>523</v>
      </c>
      <c r="K48" s="1" t="n">
        <v>8</v>
      </c>
    </row>
    <row r="49" customFormat="false" ht="15" hidden="false" customHeight="true" outlineLevel="0" collapsed="false">
      <c r="A49" s="1" t="s">
        <v>650</v>
      </c>
      <c r="B49" s="1" t="s">
        <v>651</v>
      </c>
      <c r="C49" s="1" t="s">
        <v>103</v>
      </c>
      <c r="D49" s="1" t="s">
        <v>119</v>
      </c>
      <c r="E49" s="1" t="s">
        <v>92</v>
      </c>
      <c r="F49" s="1" t="s">
        <v>288</v>
      </c>
      <c r="G49" s="1" t="s">
        <v>964</v>
      </c>
      <c r="H49" s="1" t="s">
        <v>87</v>
      </c>
      <c r="I49" s="1" t="s">
        <v>420</v>
      </c>
      <c r="J49" s="1" t="s">
        <v>523</v>
      </c>
      <c r="K49" s="1" t="n">
        <v>5</v>
      </c>
    </row>
    <row r="50" customFormat="false" ht="15" hidden="false" customHeight="true" outlineLevel="0" collapsed="false">
      <c r="A50" s="1" t="s">
        <v>652</v>
      </c>
      <c r="B50" s="1" t="s">
        <v>653</v>
      </c>
      <c r="C50" s="1" t="s">
        <v>103</v>
      </c>
      <c r="D50" s="1" t="s">
        <v>119</v>
      </c>
      <c r="E50" s="1" t="s">
        <v>92</v>
      </c>
      <c r="F50" s="1" t="s">
        <v>288</v>
      </c>
      <c r="H50" s="1" t="s">
        <v>87</v>
      </c>
      <c r="I50" s="1" t="s">
        <v>420</v>
      </c>
      <c r="K50" s="1" t="n">
        <v>3</v>
      </c>
    </row>
    <row r="51" customFormat="false" ht="15" hidden="false" customHeight="true" outlineLevel="0" collapsed="false">
      <c r="A51" s="1" t="s">
        <v>654</v>
      </c>
      <c r="B51" s="1" t="s">
        <v>655</v>
      </c>
      <c r="C51" s="1" t="s">
        <v>103</v>
      </c>
      <c r="D51" s="1" t="s">
        <v>84</v>
      </c>
      <c r="E51" s="1" t="s">
        <v>114</v>
      </c>
      <c r="F51" s="1" t="s">
        <v>288</v>
      </c>
      <c r="G51" s="1" t="s">
        <v>965</v>
      </c>
      <c r="H51" s="1" t="s">
        <v>87</v>
      </c>
      <c r="I51" s="1" t="s">
        <v>420</v>
      </c>
      <c r="J51" s="1" t="s">
        <v>469</v>
      </c>
      <c r="K51" s="1" t="n">
        <v>2</v>
      </c>
    </row>
    <row r="52" customFormat="false" ht="15" hidden="false" customHeight="true" outlineLevel="0" collapsed="false">
      <c r="A52" s="1" t="s">
        <v>656</v>
      </c>
      <c r="B52" s="1" t="s">
        <v>657</v>
      </c>
      <c r="C52" s="1" t="s">
        <v>110</v>
      </c>
      <c r="D52" s="1" t="s">
        <v>84</v>
      </c>
      <c r="E52" s="1" t="s">
        <v>114</v>
      </c>
      <c r="F52" s="1" t="s">
        <v>288</v>
      </c>
      <c r="G52" s="1" t="s">
        <v>966</v>
      </c>
      <c r="H52" s="1" t="s">
        <v>87</v>
      </c>
      <c r="I52" s="1" t="s">
        <v>420</v>
      </c>
      <c r="J52" s="1" t="s">
        <v>458</v>
      </c>
      <c r="K52" s="1" t="n">
        <v>5</v>
      </c>
    </row>
    <row r="53" customFormat="false" ht="15" hidden="false" customHeight="true" outlineLevel="0" collapsed="false">
      <c r="A53" s="1" t="s">
        <v>658</v>
      </c>
      <c r="B53" s="1" t="s">
        <v>659</v>
      </c>
      <c r="C53" s="1" t="s">
        <v>110</v>
      </c>
      <c r="D53" s="1" t="s">
        <v>84</v>
      </c>
      <c r="E53" s="1" t="s">
        <v>85</v>
      </c>
      <c r="F53" s="1" t="s">
        <v>288</v>
      </c>
      <c r="H53" s="1" t="s">
        <v>87</v>
      </c>
      <c r="I53" s="1" t="s">
        <v>420</v>
      </c>
      <c r="J53" s="1" t="s">
        <v>458</v>
      </c>
      <c r="K53" s="1" t="n">
        <v>5</v>
      </c>
    </row>
    <row r="54" customFormat="false" ht="15" hidden="false" customHeight="true" outlineLevel="0" collapsed="false">
      <c r="A54" s="1" t="s">
        <v>660</v>
      </c>
      <c r="B54" s="1" t="s">
        <v>661</v>
      </c>
      <c r="C54" s="1" t="s">
        <v>103</v>
      </c>
      <c r="D54" s="1" t="s">
        <v>84</v>
      </c>
      <c r="E54" s="1" t="s">
        <v>114</v>
      </c>
      <c r="F54" s="1" t="s">
        <v>288</v>
      </c>
      <c r="G54" s="1" t="s">
        <v>967</v>
      </c>
      <c r="H54" s="1" t="s">
        <v>87</v>
      </c>
      <c r="I54" s="1" t="s">
        <v>420</v>
      </c>
      <c r="J54" s="1" t="s">
        <v>458</v>
      </c>
      <c r="K54" s="1" t="n">
        <v>8</v>
      </c>
    </row>
    <row r="55" customFormat="false" ht="15" hidden="false" customHeight="true" outlineLevel="0" collapsed="false">
      <c r="A55" s="1" t="s">
        <v>662</v>
      </c>
      <c r="B55" s="1" t="s">
        <v>663</v>
      </c>
      <c r="C55" s="1" t="s">
        <v>110</v>
      </c>
      <c r="D55" s="1" t="s">
        <v>84</v>
      </c>
      <c r="E55" s="1" t="s">
        <v>114</v>
      </c>
      <c r="F55" s="1" t="s">
        <v>288</v>
      </c>
      <c r="H55" s="1" t="s">
        <v>87</v>
      </c>
      <c r="I55" s="1" t="s">
        <v>420</v>
      </c>
      <c r="J55" s="1" t="s">
        <v>458</v>
      </c>
      <c r="K55" s="1" t="n">
        <v>5</v>
      </c>
    </row>
    <row r="56" customFormat="false" ht="15" hidden="false" customHeight="true" outlineLevel="0" collapsed="false">
      <c r="A56" s="1" t="s">
        <v>664</v>
      </c>
      <c r="B56" s="1" t="s">
        <v>665</v>
      </c>
      <c r="C56" s="1" t="s">
        <v>103</v>
      </c>
      <c r="D56" s="1" t="s">
        <v>84</v>
      </c>
      <c r="E56" s="1" t="s">
        <v>114</v>
      </c>
      <c r="F56" s="1" t="s">
        <v>288</v>
      </c>
      <c r="G56" s="1" t="s">
        <v>968</v>
      </c>
      <c r="H56" s="1" t="s">
        <v>87</v>
      </c>
      <c r="I56" s="1" t="s">
        <v>420</v>
      </c>
      <c r="J56" s="1" t="s">
        <v>469</v>
      </c>
      <c r="K56" s="1" t="n">
        <v>5</v>
      </c>
    </row>
    <row r="57" customFormat="false" ht="15" hidden="false" customHeight="true" outlineLevel="0" collapsed="false">
      <c r="A57" s="1" t="s">
        <v>666</v>
      </c>
      <c r="B57" s="1" t="s">
        <v>667</v>
      </c>
      <c r="C57" s="1" t="s">
        <v>110</v>
      </c>
      <c r="D57" s="1" t="s">
        <v>119</v>
      </c>
      <c r="E57" s="1" t="s">
        <v>92</v>
      </c>
      <c r="F57" s="1" t="s">
        <v>288</v>
      </c>
      <c r="G57" s="1" t="s">
        <v>969</v>
      </c>
      <c r="H57" s="1" t="s">
        <v>87</v>
      </c>
      <c r="I57" s="1" t="s">
        <v>420</v>
      </c>
      <c r="J57" s="1" t="s">
        <v>523</v>
      </c>
      <c r="K57" s="1" t="n">
        <v>5</v>
      </c>
    </row>
    <row r="58" customFormat="false" ht="15" hidden="false" customHeight="true" outlineLevel="0" collapsed="false">
      <c r="A58" s="1" t="s">
        <v>668</v>
      </c>
      <c r="B58" s="1" t="s">
        <v>669</v>
      </c>
      <c r="C58" s="1" t="s">
        <v>103</v>
      </c>
      <c r="D58" s="1" t="s">
        <v>119</v>
      </c>
      <c r="E58" s="1" t="s">
        <v>92</v>
      </c>
      <c r="F58" s="1" t="s">
        <v>288</v>
      </c>
      <c r="H58" s="1" t="s">
        <v>87</v>
      </c>
      <c r="I58" s="1" t="s">
        <v>420</v>
      </c>
      <c r="K58" s="1" t="n">
        <v>5</v>
      </c>
    </row>
    <row r="59" customFormat="false" ht="15" hidden="false" customHeight="true" outlineLevel="0" collapsed="false">
      <c r="A59" s="1" t="s">
        <v>670</v>
      </c>
      <c r="B59" s="1" t="s">
        <v>671</v>
      </c>
      <c r="C59" s="1" t="s">
        <v>103</v>
      </c>
      <c r="D59" s="1" t="s">
        <v>119</v>
      </c>
      <c r="E59" s="1" t="s">
        <v>92</v>
      </c>
      <c r="F59" s="1" t="s">
        <v>288</v>
      </c>
      <c r="H59" s="1" t="s">
        <v>87</v>
      </c>
      <c r="I59" s="1" t="s">
        <v>420</v>
      </c>
      <c r="K59" s="1" t="n">
        <v>8</v>
      </c>
    </row>
    <row r="60" customFormat="false" ht="15" hidden="false" customHeight="true" outlineLevel="0" collapsed="false">
      <c r="A60" s="1" t="s">
        <v>672</v>
      </c>
      <c r="B60" s="1" t="s">
        <v>673</v>
      </c>
      <c r="C60" s="1" t="s">
        <v>103</v>
      </c>
      <c r="D60" s="1" t="s">
        <v>119</v>
      </c>
      <c r="E60" s="1" t="s">
        <v>92</v>
      </c>
      <c r="F60" s="1" t="s">
        <v>288</v>
      </c>
      <c r="G60" s="1" t="s">
        <v>970</v>
      </c>
      <c r="H60" s="1" t="s">
        <v>87</v>
      </c>
      <c r="I60" s="1" t="s">
        <v>420</v>
      </c>
      <c r="J60" s="1" t="s">
        <v>523</v>
      </c>
      <c r="K60" s="1" t="n">
        <v>3</v>
      </c>
    </row>
    <row r="61" customFormat="false" ht="15" hidden="false" customHeight="true" outlineLevel="0" collapsed="false">
      <c r="A61" s="1" t="s">
        <v>674</v>
      </c>
      <c r="B61" s="1" t="s">
        <v>675</v>
      </c>
      <c r="C61" s="1" t="s">
        <v>103</v>
      </c>
      <c r="D61" s="1" t="s">
        <v>119</v>
      </c>
      <c r="E61" s="1" t="s">
        <v>92</v>
      </c>
      <c r="F61" s="1" t="s">
        <v>288</v>
      </c>
      <c r="G61" s="1" t="s">
        <v>971</v>
      </c>
      <c r="H61" s="1" t="s">
        <v>87</v>
      </c>
      <c r="I61" s="1" t="s">
        <v>420</v>
      </c>
      <c r="J61" s="1" t="s">
        <v>523</v>
      </c>
      <c r="K61" s="1" t="n">
        <v>8</v>
      </c>
    </row>
    <row r="62" customFormat="false" ht="15" hidden="false" customHeight="true" outlineLevel="0" collapsed="false">
      <c r="A62" s="1" t="s">
        <v>676</v>
      </c>
      <c r="B62" s="1" t="s">
        <v>677</v>
      </c>
      <c r="C62" s="1" t="s">
        <v>103</v>
      </c>
      <c r="D62" s="1" t="s">
        <v>119</v>
      </c>
      <c r="E62" s="1" t="s">
        <v>92</v>
      </c>
      <c r="F62" s="1" t="s">
        <v>288</v>
      </c>
      <c r="G62" s="1" t="s">
        <v>972</v>
      </c>
      <c r="H62" s="1" t="s">
        <v>87</v>
      </c>
      <c r="I62" s="1" t="s">
        <v>420</v>
      </c>
      <c r="J62" s="1" t="s">
        <v>523</v>
      </c>
      <c r="K62" s="1" t="n">
        <v>2</v>
      </c>
    </row>
    <row r="63" customFormat="false" ht="15" hidden="false" customHeight="true" outlineLevel="0" collapsed="false">
      <c r="A63" s="1" t="s">
        <v>678</v>
      </c>
      <c r="B63" s="1" t="s">
        <v>679</v>
      </c>
      <c r="C63" s="1" t="s">
        <v>110</v>
      </c>
      <c r="D63" s="1" t="s">
        <v>104</v>
      </c>
      <c r="E63" s="1" t="s">
        <v>92</v>
      </c>
      <c r="F63" s="1" t="s">
        <v>288</v>
      </c>
      <c r="G63" s="1" t="s">
        <v>973</v>
      </c>
      <c r="H63" s="1" t="s">
        <v>87</v>
      </c>
      <c r="I63" s="1" t="s">
        <v>420</v>
      </c>
      <c r="J63" s="1" t="s">
        <v>531</v>
      </c>
      <c r="K63" s="1" t="n">
        <v>5</v>
      </c>
    </row>
    <row r="64" customFormat="false" ht="15" hidden="false" customHeight="true" outlineLevel="0" collapsed="false">
      <c r="A64" s="1" t="s">
        <v>680</v>
      </c>
      <c r="B64" s="1" t="s">
        <v>681</v>
      </c>
      <c r="C64" s="1" t="s">
        <v>103</v>
      </c>
      <c r="D64" s="1" t="s">
        <v>104</v>
      </c>
      <c r="E64" s="1" t="s">
        <v>92</v>
      </c>
      <c r="F64" s="1" t="s">
        <v>288</v>
      </c>
      <c r="G64" s="1" t="s">
        <v>974</v>
      </c>
      <c r="H64" s="1" t="s">
        <v>87</v>
      </c>
      <c r="I64" s="1" t="s">
        <v>420</v>
      </c>
      <c r="J64" s="1" t="s">
        <v>523</v>
      </c>
      <c r="K64" s="1" t="n">
        <v>21</v>
      </c>
    </row>
    <row r="65" customFormat="false" ht="15" hidden="false" customHeight="true" outlineLevel="0" collapsed="false">
      <c r="A65" s="1" t="s">
        <v>682</v>
      </c>
      <c r="B65" s="1" t="s">
        <v>683</v>
      </c>
      <c r="C65" s="1" t="s">
        <v>103</v>
      </c>
      <c r="D65" s="1" t="s">
        <v>257</v>
      </c>
      <c r="E65" s="1" t="s">
        <v>85</v>
      </c>
      <c r="F65" s="1" t="s">
        <v>288</v>
      </c>
      <c r="G65" s="1" t="s">
        <v>975</v>
      </c>
      <c r="H65" s="1" t="s">
        <v>87</v>
      </c>
      <c r="I65" s="1" t="s">
        <v>420</v>
      </c>
      <c r="J65" s="1" t="s">
        <v>523</v>
      </c>
      <c r="K65" s="1" t="n">
        <v>5</v>
      </c>
    </row>
    <row r="66" customFormat="false" ht="15" hidden="false" customHeight="true" outlineLevel="0" collapsed="false">
      <c r="A66" s="1" t="s">
        <v>589</v>
      </c>
      <c r="B66" s="1" t="s">
        <v>590</v>
      </c>
      <c r="C66" s="1" t="s">
        <v>103</v>
      </c>
      <c r="D66" s="1" t="s">
        <v>84</v>
      </c>
      <c r="E66" s="1" t="s">
        <v>114</v>
      </c>
      <c r="F66" s="1" t="s">
        <v>288</v>
      </c>
      <c r="G66" s="1" t="s">
        <v>976</v>
      </c>
      <c r="H66" s="1" t="s">
        <v>87</v>
      </c>
      <c r="I66" s="1" t="s">
        <v>418</v>
      </c>
      <c r="J66" s="1" t="s">
        <v>458</v>
      </c>
      <c r="K66" s="1" t="n">
        <v>5</v>
      </c>
    </row>
    <row r="67" customFormat="false" ht="15" hidden="false" customHeight="true" outlineLevel="0" collapsed="false">
      <c r="A67" s="1" t="s">
        <v>591</v>
      </c>
      <c r="B67" s="1" t="s">
        <v>592</v>
      </c>
      <c r="C67" s="1" t="s">
        <v>110</v>
      </c>
      <c r="D67" s="1" t="s">
        <v>84</v>
      </c>
      <c r="E67" s="1" t="s">
        <v>114</v>
      </c>
      <c r="F67" s="1" t="s">
        <v>288</v>
      </c>
      <c r="G67" s="1" t="s">
        <v>977</v>
      </c>
      <c r="H67" s="1" t="s">
        <v>87</v>
      </c>
      <c r="I67" s="1" t="s">
        <v>418</v>
      </c>
      <c r="J67" s="1" t="s">
        <v>469</v>
      </c>
      <c r="K67" s="1" t="n">
        <v>13</v>
      </c>
    </row>
    <row r="68" customFormat="false" ht="15" hidden="false" customHeight="true" outlineLevel="0" collapsed="false">
      <c r="A68" s="1" t="s">
        <v>593</v>
      </c>
      <c r="B68" s="1" t="s">
        <v>594</v>
      </c>
      <c r="C68" s="1" t="s">
        <v>103</v>
      </c>
      <c r="D68" s="1" t="s">
        <v>119</v>
      </c>
      <c r="E68" s="1" t="s">
        <v>92</v>
      </c>
      <c r="F68" s="1" t="s">
        <v>288</v>
      </c>
      <c r="G68" s="1" t="s">
        <v>978</v>
      </c>
      <c r="H68" s="1" t="s">
        <v>87</v>
      </c>
      <c r="I68" s="1" t="s">
        <v>418</v>
      </c>
      <c r="J68" s="1" t="s">
        <v>509</v>
      </c>
      <c r="K68" s="1" t="n">
        <v>3</v>
      </c>
    </row>
    <row r="69" customFormat="false" ht="15" hidden="false" customHeight="true" outlineLevel="0" collapsed="false">
      <c r="A69" s="1" t="s">
        <v>595</v>
      </c>
      <c r="B69" s="1" t="s">
        <v>596</v>
      </c>
      <c r="C69" s="1" t="s">
        <v>103</v>
      </c>
      <c r="D69" s="1" t="s">
        <v>119</v>
      </c>
      <c r="E69" s="1" t="s">
        <v>92</v>
      </c>
      <c r="F69" s="1" t="s">
        <v>288</v>
      </c>
      <c r="G69" s="1" t="s">
        <v>979</v>
      </c>
      <c r="H69" s="1" t="s">
        <v>87</v>
      </c>
      <c r="I69" s="1" t="s">
        <v>418</v>
      </c>
      <c r="J69" s="1" t="s">
        <v>509</v>
      </c>
      <c r="K69" s="1" t="n">
        <v>2</v>
      </c>
    </row>
    <row r="70" customFormat="false" ht="15" hidden="false" customHeight="true" outlineLevel="0" collapsed="false">
      <c r="A70" s="1" t="s">
        <v>597</v>
      </c>
      <c r="B70" s="1" t="s">
        <v>598</v>
      </c>
      <c r="C70" s="1" t="s">
        <v>110</v>
      </c>
      <c r="D70" s="1" t="s">
        <v>119</v>
      </c>
      <c r="E70" s="1" t="s">
        <v>92</v>
      </c>
      <c r="F70" s="1" t="s">
        <v>288</v>
      </c>
      <c r="G70" s="1" t="s">
        <v>980</v>
      </c>
      <c r="H70" s="1" t="s">
        <v>87</v>
      </c>
      <c r="I70" s="1" t="s">
        <v>418</v>
      </c>
      <c r="J70" s="1" t="s">
        <v>509</v>
      </c>
      <c r="K70" s="1" t="n">
        <v>8</v>
      </c>
    </row>
    <row r="71" customFormat="false" ht="15" hidden="false" customHeight="true" outlineLevel="0" collapsed="false">
      <c r="A71" s="1" t="s">
        <v>599</v>
      </c>
      <c r="B71" s="1" t="s">
        <v>600</v>
      </c>
      <c r="C71" s="1" t="s">
        <v>103</v>
      </c>
      <c r="D71" s="1" t="s">
        <v>119</v>
      </c>
      <c r="E71" s="1" t="s">
        <v>92</v>
      </c>
      <c r="F71" s="1" t="s">
        <v>288</v>
      </c>
      <c r="G71" s="1" t="s">
        <v>981</v>
      </c>
      <c r="H71" s="1" t="s">
        <v>87</v>
      </c>
      <c r="I71" s="1" t="s">
        <v>418</v>
      </c>
      <c r="J71" s="1" t="s">
        <v>509</v>
      </c>
      <c r="K71" s="1" t="n">
        <v>13</v>
      </c>
    </row>
    <row r="72" customFormat="false" ht="15" hidden="false" customHeight="true" outlineLevel="0" collapsed="false">
      <c r="A72" s="1" t="s">
        <v>601</v>
      </c>
      <c r="B72" s="1" t="s">
        <v>602</v>
      </c>
      <c r="C72" s="1" t="s">
        <v>110</v>
      </c>
      <c r="D72" s="1" t="s">
        <v>119</v>
      </c>
      <c r="E72" s="1" t="s">
        <v>92</v>
      </c>
      <c r="F72" s="1" t="s">
        <v>288</v>
      </c>
      <c r="G72" s="1" t="s">
        <v>982</v>
      </c>
      <c r="H72" s="1" t="s">
        <v>87</v>
      </c>
      <c r="I72" s="1" t="s">
        <v>418</v>
      </c>
      <c r="J72" s="1" t="s">
        <v>509</v>
      </c>
      <c r="K72" s="1" t="n">
        <v>5</v>
      </c>
    </row>
    <row r="73" customFormat="false" ht="15" hidden="false" customHeight="true" outlineLevel="0" collapsed="false">
      <c r="A73" s="1" t="s">
        <v>603</v>
      </c>
      <c r="B73" s="1" t="s">
        <v>604</v>
      </c>
      <c r="C73" s="1" t="s">
        <v>103</v>
      </c>
      <c r="D73" s="1" t="s">
        <v>119</v>
      </c>
      <c r="E73" s="1" t="s">
        <v>92</v>
      </c>
      <c r="F73" s="1" t="s">
        <v>288</v>
      </c>
      <c r="G73" s="1" t="s">
        <v>983</v>
      </c>
      <c r="H73" s="1" t="s">
        <v>87</v>
      </c>
      <c r="I73" s="1" t="s">
        <v>418</v>
      </c>
      <c r="J73" s="1" t="s">
        <v>509</v>
      </c>
      <c r="K73" s="1" t="n">
        <v>13</v>
      </c>
    </row>
    <row r="74" customFormat="false" ht="15" hidden="false" customHeight="true" outlineLevel="0" collapsed="false">
      <c r="A74" s="1" t="s">
        <v>605</v>
      </c>
      <c r="B74" s="1" t="s">
        <v>606</v>
      </c>
      <c r="C74" s="1" t="s">
        <v>103</v>
      </c>
      <c r="D74" s="1" t="s">
        <v>84</v>
      </c>
      <c r="E74" s="1" t="s">
        <v>85</v>
      </c>
      <c r="F74" s="1" t="s">
        <v>288</v>
      </c>
      <c r="G74" s="1" t="s">
        <v>984</v>
      </c>
      <c r="H74" s="1" t="s">
        <v>87</v>
      </c>
      <c r="I74" s="1" t="s">
        <v>418</v>
      </c>
      <c r="J74" s="1" t="s">
        <v>469</v>
      </c>
      <c r="K74" s="1" t="n">
        <v>3</v>
      </c>
    </row>
    <row r="75" customFormat="false" ht="15" hidden="false" customHeight="true" outlineLevel="0" collapsed="false">
      <c r="A75" s="1" t="s">
        <v>607</v>
      </c>
      <c r="B75" s="1" t="s">
        <v>608</v>
      </c>
      <c r="C75" s="1" t="s">
        <v>90</v>
      </c>
      <c r="D75" s="1" t="s">
        <v>91</v>
      </c>
      <c r="E75" s="1" t="s">
        <v>92</v>
      </c>
      <c r="F75" s="1" t="s">
        <v>288</v>
      </c>
      <c r="G75" s="1" t="s">
        <v>985</v>
      </c>
      <c r="H75" s="1" t="s">
        <v>87</v>
      </c>
      <c r="I75" s="1" t="s">
        <v>418</v>
      </c>
      <c r="J75" s="1" t="s">
        <v>513</v>
      </c>
      <c r="K75" s="1" t="n">
        <v>2</v>
      </c>
    </row>
    <row r="76" customFormat="false" ht="15" hidden="false" customHeight="true" outlineLevel="0" collapsed="false">
      <c r="A76" s="1" t="s">
        <v>609</v>
      </c>
      <c r="B76" s="1" t="s">
        <v>610</v>
      </c>
      <c r="C76" s="1" t="s">
        <v>123</v>
      </c>
      <c r="D76" s="1" t="s">
        <v>28</v>
      </c>
      <c r="E76" s="1" t="s">
        <v>124</v>
      </c>
      <c r="F76" s="1" t="s">
        <v>288</v>
      </c>
      <c r="G76" s="1" t="s">
        <v>986</v>
      </c>
      <c r="H76" s="1" t="s">
        <v>105</v>
      </c>
      <c r="I76" s="1" t="s">
        <v>418</v>
      </c>
      <c r="K76" s="1" t="n">
        <v>18</v>
      </c>
    </row>
    <row r="77" customFormat="false" ht="15" hidden="false" customHeight="true" outlineLevel="0" collapsed="false">
      <c r="A77" s="1" t="s">
        <v>611</v>
      </c>
      <c r="B77" s="1" t="s">
        <v>612</v>
      </c>
      <c r="C77" s="1" t="s">
        <v>103</v>
      </c>
      <c r="D77" s="1" t="s">
        <v>84</v>
      </c>
      <c r="E77" s="1" t="s">
        <v>85</v>
      </c>
      <c r="F77" s="1" t="s">
        <v>288</v>
      </c>
      <c r="G77" s="1" t="s">
        <v>987</v>
      </c>
      <c r="H77" s="1" t="s">
        <v>87</v>
      </c>
      <c r="I77" s="1" t="s">
        <v>418</v>
      </c>
      <c r="J77" s="1" t="s">
        <v>469</v>
      </c>
      <c r="K77" s="1" t="n">
        <v>21</v>
      </c>
    </row>
    <row r="78" customFormat="false" ht="15" hidden="false" customHeight="true" outlineLevel="0" collapsed="false">
      <c r="A78" s="1" t="s">
        <v>613</v>
      </c>
      <c r="B78" s="1" t="s">
        <v>614</v>
      </c>
      <c r="C78" s="1" t="s">
        <v>123</v>
      </c>
      <c r="D78" s="1" t="s">
        <v>119</v>
      </c>
      <c r="E78" s="1" t="s">
        <v>92</v>
      </c>
      <c r="F78" s="1" t="s">
        <v>288</v>
      </c>
      <c r="G78" s="1" t="s">
        <v>988</v>
      </c>
      <c r="H78" s="1" t="s">
        <v>87</v>
      </c>
      <c r="I78" s="1" t="s">
        <v>418</v>
      </c>
      <c r="K78" s="1" t="n">
        <v>2</v>
      </c>
    </row>
    <row r="79" customFormat="false" ht="15" hidden="false" customHeight="true" outlineLevel="0" collapsed="false">
      <c r="A79" s="1" t="s">
        <v>615</v>
      </c>
      <c r="B79" s="1" t="s">
        <v>616</v>
      </c>
      <c r="C79" s="1" t="s">
        <v>103</v>
      </c>
      <c r="D79" s="1" t="s">
        <v>84</v>
      </c>
      <c r="E79" s="1" t="s">
        <v>92</v>
      </c>
      <c r="F79" s="1" t="s">
        <v>288</v>
      </c>
      <c r="G79" s="1" t="s">
        <v>989</v>
      </c>
      <c r="H79" s="1" t="s">
        <v>87</v>
      </c>
      <c r="I79" s="1" t="s">
        <v>418</v>
      </c>
      <c r="J79" s="1" t="s">
        <v>469</v>
      </c>
      <c r="K79" s="1" t="n">
        <v>8</v>
      </c>
    </row>
    <row r="80" customFormat="false" ht="15" hidden="false" customHeight="true" outlineLevel="0" collapsed="false">
      <c r="A80" s="1" t="s">
        <v>617</v>
      </c>
      <c r="B80" s="1" t="s">
        <v>618</v>
      </c>
      <c r="C80" s="1" t="s">
        <v>103</v>
      </c>
      <c r="D80" s="1" t="s">
        <v>119</v>
      </c>
      <c r="E80" s="1" t="s">
        <v>92</v>
      </c>
      <c r="F80" s="1" t="s">
        <v>288</v>
      </c>
      <c r="G80" s="1" t="s">
        <v>990</v>
      </c>
      <c r="H80" s="1" t="s">
        <v>87</v>
      </c>
      <c r="I80" s="1" t="s">
        <v>418</v>
      </c>
      <c r="K80" s="1" t="n">
        <v>3</v>
      </c>
    </row>
    <row r="81" customFormat="false" ht="15" hidden="false" customHeight="true" outlineLevel="0" collapsed="false">
      <c r="A81" s="1" t="s">
        <v>619</v>
      </c>
      <c r="B81" s="1" t="s">
        <v>620</v>
      </c>
      <c r="C81" s="1" t="s">
        <v>103</v>
      </c>
      <c r="D81" s="1" t="s">
        <v>119</v>
      </c>
      <c r="E81" s="1" t="s">
        <v>92</v>
      </c>
      <c r="F81" s="1" t="s">
        <v>288</v>
      </c>
      <c r="G81" s="1" t="s">
        <v>991</v>
      </c>
      <c r="H81" s="1" t="s">
        <v>87</v>
      </c>
      <c r="I81" s="1" t="s">
        <v>418</v>
      </c>
      <c r="K81" s="1" t="n">
        <v>5</v>
      </c>
    </row>
    <row r="82" customFormat="false" ht="15" hidden="false" customHeight="true" outlineLevel="0" collapsed="false">
      <c r="A82" s="1" t="s">
        <v>621</v>
      </c>
      <c r="B82" s="1" t="s">
        <v>622</v>
      </c>
      <c r="C82" s="1" t="s">
        <v>103</v>
      </c>
      <c r="D82" s="1" t="s">
        <v>119</v>
      </c>
      <c r="E82" s="1" t="s">
        <v>92</v>
      </c>
      <c r="F82" s="1" t="s">
        <v>288</v>
      </c>
      <c r="G82" s="1" t="s">
        <v>983</v>
      </c>
      <c r="H82" s="1" t="s">
        <v>87</v>
      </c>
      <c r="I82" s="1" t="s">
        <v>418</v>
      </c>
      <c r="K82" s="1" t="n">
        <v>5</v>
      </c>
    </row>
    <row r="83" customFormat="false" ht="15" hidden="false" customHeight="true" outlineLevel="0" collapsed="false">
      <c r="A83" s="1" t="s">
        <v>623</v>
      </c>
      <c r="B83" s="1" t="s">
        <v>624</v>
      </c>
      <c r="C83" s="1" t="s">
        <v>103</v>
      </c>
      <c r="D83" s="1" t="s">
        <v>119</v>
      </c>
      <c r="E83" s="1" t="s">
        <v>92</v>
      </c>
      <c r="F83" s="1" t="s">
        <v>288</v>
      </c>
      <c r="G83" s="1" t="s">
        <v>978</v>
      </c>
      <c r="H83" s="1" t="s">
        <v>87</v>
      </c>
      <c r="I83" s="1" t="s">
        <v>418</v>
      </c>
      <c r="K83" s="1" t="n">
        <v>18</v>
      </c>
    </row>
    <row r="84" customFormat="false" ht="15" hidden="false" customHeight="true" outlineLevel="0" collapsed="false">
      <c r="A84" s="1" t="s">
        <v>625</v>
      </c>
      <c r="B84" s="1" t="s">
        <v>626</v>
      </c>
      <c r="C84" s="1" t="s">
        <v>110</v>
      </c>
      <c r="D84" s="1" t="s">
        <v>119</v>
      </c>
      <c r="E84" s="1" t="s">
        <v>92</v>
      </c>
      <c r="F84" s="1" t="s">
        <v>288</v>
      </c>
      <c r="G84" s="1" t="s">
        <v>982</v>
      </c>
      <c r="H84" s="1" t="s">
        <v>87</v>
      </c>
      <c r="I84" s="1" t="s">
        <v>418</v>
      </c>
      <c r="K84" s="1" t="n">
        <v>13</v>
      </c>
    </row>
    <row r="85" customFormat="false" ht="15" hidden="false" customHeight="true" outlineLevel="0" collapsed="false">
      <c r="A85" s="1" t="s">
        <v>627</v>
      </c>
      <c r="B85" s="1" t="s">
        <v>477</v>
      </c>
      <c r="C85" s="1" t="s">
        <v>103</v>
      </c>
      <c r="D85" s="1" t="s">
        <v>119</v>
      </c>
      <c r="E85" s="1" t="s">
        <v>92</v>
      </c>
      <c r="F85" s="1" t="s">
        <v>288</v>
      </c>
      <c r="G85" s="1" t="s">
        <v>992</v>
      </c>
      <c r="H85" s="1" t="s">
        <v>87</v>
      </c>
      <c r="I85" s="1" t="s">
        <v>418</v>
      </c>
      <c r="K85" s="1" t="n">
        <v>13</v>
      </c>
    </row>
    <row r="86" customFormat="false" ht="15" hidden="false" customHeight="true" outlineLevel="0" collapsed="false">
      <c r="A86" s="1" t="s">
        <v>628</v>
      </c>
      <c r="B86" s="1" t="s">
        <v>629</v>
      </c>
      <c r="C86" s="1" t="s">
        <v>103</v>
      </c>
      <c r="D86" s="1" t="s">
        <v>119</v>
      </c>
      <c r="E86" s="1" t="s">
        <v>92</v>
      </c>
      <c r="F86" s="1" t="s">
        <v>288</v>
      </c>
      <c r="G86" s="1" t="s">
        <v>993</v>
      </c>
      <c r="H86" s="1" t="s">
        <v>87</v>
      </c>
      <c r="I86" s="1" t="s">
        <v>418</v>
      </c>
      <c r="J86" s="1" t="s">
        <v>509</v>
      </c>
      <c r="K86" s="1" t="n">
        <v>21</v>
      </c>
    </row>
    <row r="87" customFormat="false" ht="15" hidden="false" customHeight="true" outlineLevel="0" collapsed="false">
      <c r="A87" s="1" t="s">
        <v>630</v>
      </c>
      <c r="B87" s="1" t="s">
        <v>631</v>
      </c>
      <c r="C87" s="1" t="s">
        <v>103</v>
      </c>
      <c r="D87" s="1" t="s">
        <v>257</v>
      </c>
      <c r="E87" s="1" t="s">
        <v>85</v>
      </c>
      <c r="F87" s="1" t="s">
        <v>288</v>
      </c>
      <c r="G87" s="1" t="s">
        <v>994</v>
      </c>
      <c r="H87" s="1" t="s">
        <v>87</v>
      </c>
      <c r="I87" s="1" t="s">
        <v>418</v>
      </c>
      <c r="K87" s="1" t="n">
        <v>8</v>
      </c>
    </row>
    <row r="88" customFormat="false" ht="15" hidden="false" customHeight="true" outlineLevel="0" collapsed="false">
      <c r="A88" s="1" t="s">
        <v>723</v>
      </c>
      <c r="B88" s="1" t="s">
        <v>724</v>
      </c>
      <c r="D88" s="1" t="s">
        <v>257</v>
      </c>
      <c r="F88" s="1" t="s">
        <v>288</v>
      </c>
      <c r="G88" s="1" t="s">
        <v>995</v>
      </c>
      <c r="H88" s="1" t="s">
        <v>87</v>
      </c>
      <c r="I88" s="1" t="s">
        <v>421</v>
      </c>
      <c r="J88" s="1" t="s">
        <v>553</v>
      </c>
      <c r="K88" s="1" t="n">
        <v>5</v>
      </c>
    </row>
    <row r="89" customFormat="false" ht="15" hidden="false" customHeight="true" outlineLevel="0" collapsed="false">
      <c r="A89" s="1" t="s">
        <v>739</v>
      </c>
      <c r="B89" s="1" t="s">
        <v>740</v>
      </c>
      <c r="C89" s="1" t="s">
        <v>103</v>
      </c>
      <c r="D89" s="1" t="s">
        <v>84</v>
      </c>
      <c r="E89" s="1" t="s">
        <v>85</v>
      </c>
      <c r="F89" s="1" t="s">
        <v>288</v>
      </c>
      <c r="G89" s="1" t="s">
        <v>927</v>
      </c>
      <c r="H89" s="1" t="s">
        <v>87</v>
      </c>
      <c r="I89" s="1" t="s">
        <v>423</v>
      </c>
      <c r="J89" s="1" t="s">
        <v>458</v>
      </c>
      <c r="K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c r="K94" s="1" t="n">
        <f aca="false">SUM(K$2:K$89)</f>
        <v>576</v>
      </c>
    </row>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 activePane="bottomLeft" state="frozen"/>
      <selection pane="topLeft" activeCell="A1" activeCellId="0" sqref="A1"/>
      <selection pane="bottomLeft" activeCell="D1" activeCellId="0" sqref="D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69.84"/>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t="s">
        <v>795</v>
      </c>
      <c r="B2" s="26" t="s">
        <v>796</v>
      </c>
      <c r="C2" s="26" t="s">
        <v>103</v>
      </c>
      <c r="D2" s="26" t="s">
        <v>119</v>
      </c>
      <c r="E2" s="26" t="s">
        <v>92</v>
      </c>
      <c r="F2" s="26" t="s">
        <v>288</v>
      </c>
      <c r="G2" s="26" t="s">
        <v>996</v>
      </c>
      <c r="H2" s="26" t="s">
        <v>87</v>
      </c>
      <c r="I2" s="26" t="s">
        <v>424</v>
      </c>
      <c r="J2" s="26"/>
      <c r="K2" s="26" t="n">
        <v>8</v>
      </c>
      <c r="L2" s="26"/>
      <c r="M2" s="26"/>
      <c r="N2" s="26"/>
      <c r="O2" s="26"/>
      <c r="P2" s="26"/>
      <c r="Q2" s="26"/>
    </row>
    <row r="3" customFormat="false" ht="15" hidden="false" customHeight="true" outlineLevel="0" collapsed="false">
      <c r="A3" s="1" t="s">
        <v>765</v>
      </c>
      <c r="B3" s="1" t="s">
        <v>766</v>
      </c>
      <c r="C3" s="1" t="s">
        <v>103</v>
      </c>
      <c r="D3" s="1" t="s">
        <v>104</v>
      </c>
      <c r="E3" s="1" t="s">
        <v>92</v>
      </c>
      <c r="F3" s="1" t="s">
        <v>288</v>
      </c>
      <c r="G3" s="1" t="s">
        <v>997</v>
      </c>
      <c r="H3" s="1" t="s">
        <v>105</v>
      </c>
      <c r="I3" s="1" t="s">
        <v>424</v>
      </c>
      <c r="J3" s="1" t="s">
        <v>458</v>
      </c>
      <c r="K3" s="1" t="n">
        <v>5</v>
      </c>
    </row>
    <row r="4" customFormat="false" ht="15" hidden="false" customHeight="true" outlineLevel="0" collapsed="false">
      <c r="A4" s="1" t="s">
        <v>769</v>
      </c>
      <c r="B4" s="1" t="s">
        <v>770</v>
      </c>
      <c r="C4" s="1" t="s">
        <v>103</v>
      </c>
      <c r="D4" s="1" t="s">
        <v>257</v>
      </c>
      <c r="E4" s="1" t="s">
        <v>258</v>
      </c>
      <c r="F4" s="1" t="s">
        <v>288</v>
      </c>
      <c r="G4" s="1" t="s">
        <v>998</v>
      </c>
      <c r="H4" s="1" t="s">
        <v>105</v>
      </c>
      <c r="I4" s="1" t="s">
        <v>424</v>
      </c>
      <c r="K4" s="1" t="n">
        <v>3</v>
      </c>
    </row>
    <row r="5" customFormat="false" ht="15" hidden="false" customHeight="true" outlineLevel="0" collapsed="false">
      <c r="A5" s="1" t="s">
        <v>797</v>
      </c>
      <c r="B5" s="1" t="s">
        <v>798</v>
      </c>
      <c r="C5" s="1" t="s">
        <v>103</v>
      </c>
      <c r="D5" s="1" t="s">
        <v>119</v>
      </c>
      <c r="E5" s="1" t="s">
        <v>92</v>
      </c>
      <c r="F5" s="1" t="s">
        <v>288</v>
      </c>
      <c r="G5" s="1" t="s">
        <v>999</v>
      </c>
      <c r="H5" s="1" t="s">
        <v>87</v>
      </c>
      <c r="I5" s="1" t="s">
        <v>424</v>
      </c>
      <c r="J5" s="1" t="s">
        <v>458</v>
      </c>
      <c r="K5" s="1" t="n">
        <v>5</v>
      </c>
    </row>
    <row r="6" customFormat="false" ht="15" hidden="false" customHeight="true" outlineLevel="0" collapsed="false">
      <c r="A6" s="1" t="s">
        <v>826</v>
      </c>
      <c r="B6" s="1" t="s">
        <v>827</v>
      </c>
      <c r="C6" s="1" t="s">
        <v>103</v>
      </c>
      <c r="D6" s="1" t="s">
        <v>257</v>
      </c>
      <c r="E6" s="1" t="s">
        <v>258</v>
      </c>
      <c r="F6" s="1" t="s">
        <v>288</v>
      </c>
      <c r="G6" s="1" t="s">
        <v>1000</v>
      </c>
      <c r="H6" s="1" t="s">
        <v>105</v>
      </c>
      <c r="I6" s="1" t="s">
        <v>424</v>
      </c>
      <c r="K6" s="1" t="n">
        <v>3</v>
      </c>
    </row>
    <row r="7" customFormat="false" ht="15" hidden="false" customHeight="true" outlineLevel="0" collapsed="false">
      <c r="A7" s="1" t="s">
        <v>828</v>
      </c>
      <c r="B7" s="1" t="s">
        <v>829</v>
      </c>
      <c r="C7" s="1" t="s">
        <v>103</v>
      </c>
      <c r="D7" s="1" t="s">
        <v>257</v>
      </c>
      <c r="E7" s="1" t="s">
        <v>258</v>
      </c>
      <c r="F7" s="1" t="s">
        <v>288</v>
      </c>
      <c r="G7" s="1" t="s">
        <v>1001</v>
      </c>
      <c r="H7" s="1" t="s">
        <v>105</v>
      </c>
      <c r="I7" s="1" t="s">
        <v>424</v>
      </c>
      <c r="K7" s="1" t="n">
        <v>3</v>
      </c>
    </row>
    <row r="8" customFormat="false" ht="15" hidden="false" customHeight="true" outlineLevel="0" collapsed="false">
      <c r="A8" s="1" t="s">
        <v>830</v>
      </c>
      <c r="B8" s="1" t="s">
        <v>831</v>
      </c>
      <c r="C8" s="1" t="s">
        <v>103</v>
      </c>
      <c r="D8" s="1" t="s">
        <v>257</v>
      </c>
      <c r="E8" s="1" t="s">
        <v>258</v>
      </c>
      <c r="F8" s="1" t="s">
        <v>288</v>
      </c>
      <c r="G8" s="1" t="s">
        <v>1002</v>
      </c>
      <c r="H8" s="1" t="s">
        <v>105</v>
      </c>
      <c r="I8" s="1" t="s">
        <v>424</v>
      </c>
      <c r="K8" s="1" t="n">
        <v>3</v>
      </c>
    </row>
    <row r="9" customFormat="false" ht="15" hidden="false" customHeight="true" outlineLevel="0" collapsed="false">
      <c r="A9" s="1" t="s">
        <v>832</v>
      </c>
      <c r="B9" s="1" t="s">
        <v>833</v>
      </c>
      <c r="C9" s="1" t="s">
        <v>90</v>
      </c>
      <c r="D9" s="1" t="s">
        <v>119</v>
      </c>
      <c r="E9" s="1" t="s">
        <v>92</v>
      </c>
      <c r="F9" s="1" t="s">
        <v>288</v>
      </c>
      <c r="G9" s="1" t="s">
        <v>1003</v>
      </c>
      <c r="H9" s="1" t="s">
        <v>87</v>
      </c>
      <c r="I9" s="1" t="s">
        <v>424</v>
      </c>
      <c r="K9" s="1" t="n">
        <v>8</v>
      </c>
    </row>
    <row r="10" customFormat="false" ht="15" hidden="false" customHeight="true" outlineLevel="0" collapsed="false">
      <c r="A10" s="1" t="s">
        <v>751</v>
      </c>
      <c r="B10" s="1" t="s">
        <v>752</v>
      </c>
      <c r="C10" s="1" t="s">
        <v>123</v>
      </c>
      <c r="D10" s="1" t="s">
        <v>84</v>
      </c>
      <c r="E10" s="1" t="s">
        <v>124</v>
      </c>
      <c r="F10" s="1" t="s">
        <v>288</v>
      </c>
      <c r="G10" s="1" t="s">
        <v>1004</v>
      </c>
      <c r="H10" s="1" t="s">
        <v>87</v>
      </c>
      <c r="I10" s="1" t="s">
        <v>424</v>
      </c>
      <c r="J10" s="1" t="s">
        <v>458</v>
      </c>
      <c r="K10" s="1" t="n">
        <v>40</v>
      </c>
    </row>
    <row r="11" customFormat="false" ht="15" hidden="false" customHeight="true" outlineLevel="0" collapsed="false">
      <c r="A11" s="1" t="s">
        <v>753</v>
      </c>
      <c r="B11" s="1" t="s">
        <v>754</v>
      </c>
      <c r="C11" s="1" t="s">
        <v>90</v>
      </c>
      <c r="D11" s="1" t="s">
        <v>84</v>
      </c>
      <c r="E11" s="1" t="s">
        <v>92</v>
      </c>
      <c r="F11" s="1" t="s">
        <v>288</v>
      </c>
      <c r="G11" s="1" t="s">
        <v>1005</v>
      </c>
      <c r="H11" s="1" t="s">
        <v>87</v>
      </c>
      <c r="I11" s="1" t="s">
        <v>424</v>
      </c>
      <c r="J11" s="1" t="s">
        <v>458</v>
      </c>
      <c r="K11" s="1" t="n">
        <v>8</v>
      </c>
    </row>
    <row r="12" customFormat="false" ht="15" hidden="false" customHeight="true" outlineLevel="0" collapsed="false">
      <c r="A12" s="1" t="s">
        <v>755</v>
      </c>
      <c r="B12" s="1" t="s">
        <v>756</v>
      </c>
      <c r="C12" s="1" t="s">
        <v>90</v>
      </c>
      <c r="D12" s="1" t="s">
        <v>84</v>
      </c>
      <c r="E12" s="1" t="s">
        <v>124</v>
      </c>
      <c r="F12" s="1" t="s">
        <v>288</v>
      </c>
      <c r="G12" s="1" t="s">
        <v>1006</v>
      </c>
      <c r="H12" s="1" t="s">
        <v>87</v>
      </c>
      <c r="I12" s="1" t="s">
        <v>424</v>
      </c>
      <c r="J12" s="1" t="s">
        <v>458</v>
      </c>
      <c r="K12" s="1" t="n">
        <v>8</v>
      </c>
    </row>
    <row r="13" customFormat="false" ht="15" hidden="false" customHeight="true" outlineLevel="0" collapsed="false">
      <c r="A13" s="1" t="s">
        <v>757</v>
      </c>
      <c r="B13" s="1" t="s">
        <v>758</v>
      </c>
      <c r="C13" s="1" t="s">
        <v>90</v>
      </c>
      <c r="D13" s="1" t="s">
        <v>84</v>
      </c>
      <c r="E13" s="1" t="s">
        <v>124</v>
      </c>
      <c r="F13" s="1" t="s">
        <v>288</v>
      </c>
      <c r="G13" s="1" t="s">
        <v>1007</v>
      </c>
      <c r="H13" s="1" t="s">
        <v>87</v>
      </c>
      <c r="I13" s="1" t="s">
        <v>424</v>
      </c>
      <c r="J13" s="1" t="s">
        <v>458</v>
      </c>
      <c r="K13" s="1" t="n">
        <v>13</v>
      </c>
    </row>
    <row r="14" customFormat="false" ht="15" hidden="false" customHeight="true" outlineLevel="0" collapsed="false">
      <c r="A14" s="1" t="s">
        <v>759</v>
      </c>
      <c r="B14" s="1" t="s">
        <v>760</v>
      </c>
      <c r="C14" s="1" t="s">
        <v>123</v>
      </c>
      <c r="D14" s="1" t="s">
        <v>84</v>
      </c>
      <c r="E14" s="1" t="s">
        <v>124</v>
      </c>
      <c r="F14" s="1" t="s">
        <v>288</v>
      </c>
      <c r="G14" s="1" t="s">
        <v>1008</v>
      </c>
      <c r="H14" s="1" t="s">
        <v>105</v>
      </c>
      <c r="I14" s="1" t="s">
        <v>424</v>
      </c>
      <c r="J14" s="1" t="s">
        <v>458</v>
      </c>
      <c r="K14" s="1" t="n">
        <v>5</v>
      </c>
    </row>
    <row r="15" customFormat="false" ht="15" hidden="false" customHeight="true" outlineLevel="0" collapsed="false">
      <c r="A15" s="1" t="s">
        <v>761</v>
      </c>
      <c r="B15" s="1" t="s">
        <v>762</v>
      </c>
      <c r="C15" s="1" t="s">
        <v>90</v>
      </c>
      <c r="D15" s="1" t="s">
        <v>119</v>
      </c>
      <c r="E15" s="1" t="s">
        <v>92</v>
      </c>
      <c r="F15" s="1" t="s">
        <v>288</v>
      </c>
      <c r="G15" s="1" t="s">
        <v>159</v>
      </c>
      <c r="H15" s="1" t="s">
        <v>87</v>
      </c>
      <c r="I15" s="1" t="s">
        <v>424</v>
      </c>
      <c r="J15" s="1" t="s">
        <v>458</v>
      </c>
      <c r="K15" s="1" t="n">
        <v>8</v>
      </c>
    </row>
    <row r="16" customFormat="false" ht="15" hidden="false" customHeight="true" outlineLevel="0" collapsed="false">
      <c r="A16" s="1" t="s">
        <v>763</v>
      </c>
      <c r="B16" s="1" t="s">
        <v>764</v>
      </c>
      <c r="C16" s="1" t="s">
        <v>123</v>
      </c>
      <c r="D16" s="1" t="s">
        <v>297</v>
      </c>
      <c r="E16" s="1" t="s">
        <v>124</v>
      </c>
      <c r="F16" s="1" t="s">
        <v>288</v>
      </c>
      <c r="G16" s="1" t="s">
        <v>1009</v>
      </c>
      <c r="H16" s="1" t="s">
        <v>105</v>
      </c>
      <c r="I16" s="1" t="s">
        <v>424</v>
      </c>
      <c r="J16" s="1" t="s">
        <v>458</v>
      </c>
      <c r="K16" s="1" t="n">
        <v>21</v>
      </c>
    </row>
    <row r="17" customFormat="false" ht="15" hidden="false" customHeight="true" outlineLevel="0" collapsed="false">
      <c r="A17" s="1" t="s">
        <v>1010</v>
      </c>
      <c r="B17" s="1" t="s">
        <v>1011</v>
      </c>
      <c r="C17" s="1" t="s">
        <v>90</v>
      </c>
      <c r="D17" s="1" t="s">
        <v>28</v>
      </c>
      <c r="E17" s="1" t="s">
        <v>85</v>
      </c>
      <c r="F17" s="1" t="s">
        <v>288</v>
      </c>
      <c r="H17" s="1" t="s">
        <v>87</v>
      </c>
      <c r="I17" s="1" t="s">
        <v>425</v>
      </c>
    </row>
    <row r="18" customFormat="false" ht="15" hidden="false" customHeight="true" outlineLevel="0" collapsed="false">
      <c r="A18" s="1" t="s">
        <v>1012</v>
      </c>
      <c r="B18" s="1" t="s">
        <v>1013</v>
      </c>
      <c r="C18" s="1" t="s">
        <v>90</v>
      </c>
      <c r="D18" s="1" t="s">
        <v>84</v>
      </c>
      <c r="E18" s="1" t="s">
        <v>85</v>
      </c>
      <c r="F18" s="1" t="s">
        <v>288</v>
      </c>
      <c r="H18" s="1" t="s">
        <v>87</v>
      </c>
      <c r="I18" s="1" t="s">
        <v>426</v>
      </c>
    </row>
    <row r="19" customFormat="false" ht="15" hidden="false" customHeight="true" outlineLevel="0" collapsed="false">
      <c r="A19" s="1" t="s">
        <v>771</v>
      </c>
      <c r="B19" s="1" t="s">
        <v>772</v>
      </c>
      <c r="C19" s="1" t="s">
        <v>90</v>
      </c>
      <c r="D19" s="1" t="s">
        <v>84</v>
      </c>
      <c r="E19" s="1" t="s">
        <v>92</v>
      </c>
      <c r="F19" s="1" t="s">
        <v>288</v>
      </c>
      <c r="G19" s="1" t="s">
        <v>1014</v>
      </c>
      <c r="H19" s="1" t="s">
        <v>105</v>
      </c>
      <c r="I19" s="1" t="s">
        <v>425</v>
      </c>
      <c r="J19" s="1" t="s">
        <v>469</v>
      </c>
      <c r="K19" s="1" t="n">
        <v>8</v>
      </c>
    </row>
    <row r="20" customFormat="false" ht="15" hidden="false" customHeight="true" outlineLevel="0" collapsed="false">
      <c r="A20" s="1" t="s">
        <v>773</v>
      </c>
      <c r="B20" s="1" t="s">
        <v>774</v>
      </c>
      <c r="C20" s="1" t="s">
        <v>103</v>
      </c>
      <c r="D20" s="1" t="s">
        <v>84</v>
      </c>
      <c r="E20" s="1" t="s">
        <v>85</v>
      </c>
      <c r="F20" s="1" t="s">
        <v>288</v>
      </c>
      <c r="G20" s="1" t="s">
        <v>1015</v>
      </c>
      <c r="H20" s="1" t="s">
        <v>87</v>
      </c>
      <c r="I20" s="1" t="s">
        <v>425</v>
      </c>
      <c r="J20" s="1" t="s">
        <v>469</v>
      </c>
      <c r="K20" s="1" t="n">
        <v>5</v>
      </c>
    </row>
    <row r="21" customFormat="false" ht="15" hidden="false" customHeight="true" outlineLevel="0" collapsed="false">
      <c r="A21" s="1" t="s">
        <v>775</v>
      </c>
      <c r="B21" s="1" t="s">
        <v>776</v>
      </c>
      <c r="C21" s="1" t="s">
        <v>90</v>
      </c>
      <c r="D21" s="1" t="s">
        <v>84</v>
      </c>
      <c r="E21" s="1" t="s">
        <v>92</v>
      </c>
      <c r="F21" s="1" t="s">
        <v>288</v>
      </c>
      <c r="G21" s="1" t="s">
        <v>1003</v>
      </c>
      <c r="H21" s="1" t="s">
        <v>105</v>
      </c>
      <c r="I21" s="1" t="s">
        <v>425</v>
      </c>
      <c r="J21" s="1" t="s">
        <v>469</v>
      </c>
      <c r="K21" s="1" t="n">
        <v>8</v>
      </c>
    </row>
    <row r="22" customFormat="false" ht="15" hidden="false" customHeight="true" outlineLevel="0" collapsed="false">
      <c r="A22" s="1" t="s">
        <v>777</v>
      </c>
      <c r="B22" s="1" t="s">
        <v>778</v>
      </c>
      <c r="C22" s="1" t="s">
        <v>123</v>
      </c>
      <c r="D22" s="1" t="s">
        <v>84</v>
      </c>
      <c r="E22" s="1" t="s">
        <v>124</v>
      </c>
      <c r="F22" s="1" t="s">
        <v>288</v>
      </c>
      <c r="G22" s="1" t="s">
        <v>1016</v>
      </c>
      <c r="H22" s="1" t="s">
        <v>105</v>
      </c>
      <c r="I22" s="1" t="s">
        <v>425</v>
      </c>
      <c r="J22" s="1" t="s">
        <v>469</v>
      </c>
      <c r="K22" s="1" t="n">
        <v>21</v>
      </c>
    </row>
    <row r="23" customFormat="false" ht="15" hidden="false" customHeight="true" outlineLevel="0" collapsed="false">
      <c r="A23" s="1" t="s">
        <v>783</v>
      </c>
      <c r="B23" s="1" t="s">
        <v>784</v>
      </c>
      <c r="C23" s="1" t="s">
        <v>123</v>
      </c>
      <c r="D23" s="1" t="s">
        <v>84</v>
      </c>
      <c r="E23" s="1" t="s">
        <v>124</v>
      </c>
      <c r="F23" s="1" t="s">
        <v>288</v>
      </c>
      <c r="G23" s="1" t="s">
        <v>1017</v>
      </c>
      <c r="H23" s="1" t="s">
        <v>105</v>
      </c>
      <c r="I23" s="1" t="s">
        <v>425</v>
      </c>
      <c r="J23" s="1" t="s">
        <v>469</v>
      </c>
      <c r="K23" s="1" t="n">
        <v>13</v>
      </c>
    </row>
    <row r="24" customFormat="false" ht="15" hidden="false" customHeight="true" outlineLevel="0" collapsed="false">
      <c r="A24" s="1" t="s">
        <v>785</v>
      </c>
      <c r="B24" s="1" t="s">
        <v>786</v>
      </c>
      <c r="C24" s="1" t="s">
        <v>123</v>
      </c>
      <c r="D24" s="1" t="s">
        <v>84</v>
      </c>
      <c r="E24" s="1" t="s">
        <v>85</v>
      </c>
      <c r="F24" s="1" t="s">
        <v>288</v>
      </c>
      <c r="G24" s="1" t="s">
        <v>1018</v>
      </c>
      <c r="H24" s="1" t="s">
        <v>87</v>
      </c>
      <c r="I24" s="1" t="s">
        <v>425</v>
      </c>
      <c r="J24" s="1" t="s">
        <v>469</v>
      </c>
      <c r="K24" s="1" t="n">
        <v>5</v>
      </c>
    </row>
    <row r="25" customFormat="false" ht="15" hidden="false" customHeight="true" outlineLevel="0" collapsed="false">
      <c r="A25" s="1" t="s">
        <v>787</v>
      </c>
      <c r="B25" s="1" t="s">
        <v>788</v>
      </c>
      <c r="C25" s="1" t="s">
        <v>103</v>
      </c>
      <c r="D25" s="1" t="s">
        <v>104</v>
      </c>
      <c r="E25" s="1" t="s">
        <v>85</v>
      </c>
      <c r="F25" s="1" t="s">
        <v>288</v>
      </c>
      <c r="G25" s="39" t="s">
        <v>1019</v>
      </c>
      <c r="H25" s="1" t="s">
        <v>105</v>
      </c>
      <c r="I25" s="1" t="s">
        <v>425</v>
      </c>
      <c r="J25" s="1" t="s">
        <v>469</v>
      </c>
      <c r="K25" s="1" t="n">
        <v>8</v>
      </c>
    </row>
    <row r="26" customFormat="false" ht="15" hidden="false" customHeight="true" outlineLevel="0" collapsed="false">
      <c r="A26" s="1" t="s">
        <v>767</v>
      </c>
      <c r="B26" s="1" t="s">
        <v>768</v>
      </c>
      <c r="C26" s="1" t="s">
        <v>103</v>
      </c>
      <c r="D26" s="1" t="s">
        <v>257</v>
      </c>
      <c r="E26" s="1" t="s">
        <v>92</v>
      </c>
      <c r="F26" s="1" t="s">
        <v>288</v>
      </c>
      <c r="G26" s="1" t="s">
        <v>1020</v>
      </c>
      <c r="H26" s="1" t="s">
        <v>87</v>
      </c>
      <c r="I26" s="1" t="s">
        <v>425</v>
      </c>
      <c r="K26" s="1" t="n">
        <v>8</v>
      </c>
    </row>
    <row r="27" customFormat="false" ht="15" hidden="false" customHeight="true" outlineLevel="0" collapsed="false">
      <c r="A27" s="1" t="s">
        <v>813</v>
      </c>
      <c r="B27" s="1" t="s">
        <v>814</v>
      </c>
      <c r="C27" s="1" t="s">
        <v>103</v>
      </c>
      <c r="D27" s="1" t="s">
        <v>104</v>
      </c>
      <c r="E27" s="1" t="s">
        <v>92</v>
      </c>
      <c r="F27" s="1" t="s">
        <v>288</v>
      </c>
      <c r="G27" s="1" t="s">
        <v>1021</v>
      </c>
      <c r="H27" s="1" t="s">
        <v>105</v>
      </c>
      <c r="I27" s="1" t="s">
        <v>425</v>
      </c>
      <c r="K27" s="1" t="n">
        <v>5</v>
      </c>
    </row>
    <row r="28" customFormat="false" ht="15" hidden="false" customHeight="true" outlineLevel="0" collapsed="false">
      <c r="A28" s="1" t="s">
        <v>818</v>
      </c>
      <c r="B28" s="1" t="s">
        <v>819</v>
      </c>
      <c r="C28" s="1" t="s">
        <v>123</v>
      </c>
      <c r="D28" s="1" t="s">
        <v>84</v>
      </c>
      <c r="E28" s="1" t="s">
        <v>124</v>
      </c>
      <c r="F28" s="1" t="s">
        <v>288</v>
      </c>
      <c r="G28" s="1" t="s">
        <v>1021</v>
      </c>
      <c r="H28" s="1" t="s">
        <v>105</v>
      </c>
      <c r="I28" s="1" t="s">
        <v>425</v>
      </c>
      <c r="K28" s="1" t="n">
        <v>21</v>
      </c>
    </row>
    <row r="29" customFormat="false" ht="15" hidden="false" customHeight="true" outlineLevel="0" collapsed="false">
      <c r="A29" s="1" t="s">
        <v>820</v>
      </c>
      <c r="B29" s="1" t="s">
        <v>821</v>
      </c>
      <c r="C29" s="1" t="s">
        <v>123</v>
      </c>
      <c r="D29" s="1" t="s">
        <v>297</v>
      </c>
      <c r="E29" s="1" t="s">
        <v>124</v>
      </c>
      <c r="F29" s="1" t="s">
        <v>288</v>
      </c>
      <c r="G29" s="1" t="s">
        <v>1022</v>
      </c>
      <c r="H29" s="1" t="s">
        <v>105</v>
      </c>
      <c r="I29" s="1" t="s">
        <v>425</v>
      </c>
      <c r="K29" s="1" t="n">
        <v>13</v>
      </c>
    </row>
    <row r="30" customFormat="false" ht="15" hidden="false" customHeight="true" outlineLevel="0" collapsed="false">
      <c r="A30" s="1" t="s">
        <v>1023</v>
      </c>
      <c r="B30" s="1" t="s">
        <v>1024</v>
      </c>
      <c r="C30" s="1" t="s">
        <v>103</v>
      </c>
      <c r="D30" s="1" t="s">
        <v>84</v>
      </c>
      <c r="E30" s="1" t="s">
        <v>92</v>
      </c>
      <c r="F30" s="1" t="s">
        <v>288</v>
      </c>
      <c r="G30" s="1" t="s">
        <v>1025</v>
      </c>
      <c r="H30" s="1" t="s">
        <v>105</v>
      </c>
      <c r="I30" s="1" t="s">
        <v>425</v>
      </c>
      <c r="K30" s="1" t="n">
        <v>5</v>
      </c>
    </row>
    <row r="31" customFormat="false" ht="15" hidden="false" customHeight="true" outlineLevel="0" collapsed="false">
      <c r="A31" s="1" t="s">
        <v>816</v>
      </c>
      <c r="B31" s="1" t="s">
        <v>817</v>
      </c>
      <c r="C31" s="1" t="s">
        <v>103</v>
      </c>
      <c r="D31" s="1" t="s">
        <v>104</v>
      </c>
      <c r="E31" s="1" t="s">
        <v>92</v>
      </c>
      <c r="F31" s="1" t="s">
        <v>288</v>
      </c>
      <c r="G31" s="1" t="s">
        <v>1026</v>
      </c>
      <c r="H31" s="1" t="s">
        <v>105</v>
      </c>
      <c r="I31" s="1" t="s">
        <v>426</v>
      </c>
      <c r="J31" s="1" t="s">
        <v>815</v>
      </c>
      <c r="K31" s="1" t="n">
        <v>13</v>
      </c>
    </row>
    <row r="32" customFormat="false" ht="15" hidden="false" customHeight="true" outlineLevel="0" collapsed="false">
      <c r="A32" s="1" t="s">
        <v>793</v>
      </c>
      <c r="B32" s="1" t="s">
        <v>794</v>
      </c>
      <c r="C32" s="1" t="s">
        <v>103</v>
      </c>
      <c r="D32" s="1" t="s">
        <v>119</v>
      </c>
      <c r="E32" s="1" t="s">
        <v>92</v>
      </c>
      <c r="F32" s="1" t="s">
        <v>288</v>
      </c>
      <c r="G32" s="1" t="s">
        <v>1027</v>
      </c>
      <c r="H32" s="1" t="s">
        <v>87</v>
      </c>
      <c r="I32" s="1" t="s">
        <v>426</v>
      </c>
      <c r="K32" s="1" t="n">
        <v>23</v>
      </c>
    </row>
    <row r="33" customFormat="false" ht="15" hidden="false" customHeight="true" outlineLevel="0" collapsed="false">
      <c r="A33" s="1" t="s">
        <v>279</v>
      </c>
      <c r="B33" s="1" t="s">
        <v>1028</v>
      </c>
      <c r="C33" s="1" t="s">
        <v>103</v>
      </c>
      <c r="D33" s="1" t="s">
        <v>104</v>
      </c>
      <c r="E33" s="1" t="s">
        <v>92</v>
      </c>
      <c r="F33" s="1" t="s">
        <v>288</v>
      </c>
      <c r="G33" s="1" t="s">
        <v>1029</v>
      </c>
      <c r="H33" s="1" t="s">
        <v>87</v>
      </c>
      <c r="I33" s="1" t="s">
        <v>426</v>
      </c>
      <c r="K33" s="1" t="n">
        <v>8</v>
      </c>
    </row>
    <row r="34" customFormat="false" ht="15" hidden="false" customHeight="true" outlineLevel="0" collapsed="false">
      <c r="A34" s="1" t="s">
        <v>282</v>
      </c>
      <c r="B34" s="1" t="s">
        <v>1030</v>
      </c>
      <c r="C34" s="1" t="s">
        <v>103</v>
      </c>
      <c r="D34" s="1" t="s">
        <v>104</v>
      </c>
      <c r="E34" s="1" t="s">
        <v>92</v>
      </c>
      <c r="F34" s="1" t="s">
        <v>288</v>
      </c>
      <c r="G34" s="1" t="s">
        <v>1031</v>
      </c>
      <c r="H34" s="1" t="s">
        <v>105</v>
      </c>
      <c r="I34" s="1" t="s">
        <v>426</v>
      </c>
      <c r="K34" s="1" t="n">
        <v>3</v>
      </c>
    </row>
    <row r="35" customFormat="false" ht="15" hidden="false" customHeight="true" outlineLevel="0" collapsed="false">
      <c r="A35" s="1" t="s">
        <v>286</v>
      </c>
      <c r="B35" s="1" t="s">
        <v>1032</v>
      </c>
      <c r="C35" s="1" t="s">
        <v>103</v>
      </c>
      <c r="D35" s="1" t="s">
        <v>84</v>
      </c>
      <c r="E35" s="1" t="s">
        <v>114</v>
      </c>
      <c r="F35" s="1" t="s">
        <v>288</v>
      </c>
      <c r="G35" s="1" t="s">
        <v>1033</v>
      </c>
      <c r="H35" s="1" t="s">
        <v>87</v>
      </c>
      <c r="I35" s="1" t="s">
        <v>426</v>
      </c>
      <c r="K35" s="1" t="n">
        <v>3</v>
      </c>
    </row>
    <row r="36" customFormat="false" ht="15" hidden="false" customHeight="true" outlineLevel="0" collapsed="false">
      <c r="A36" s="1" t="s">
        <v>290</v>
      </c>
      <c r="B36" s="1" t="s">
        <v>1034</v>
      </c>
      <c r="C36" s="1" t="s">
        <v>123</v>
      </c>
      <c r="D36" s="1" t="s">
        <v>297</v>
      </c>
      <c r="E36" s="1" t="s">
        <v>124</v>
      </c>
      <c r="F36" s="1" t="s">
        <v>288</v>
      </c>
      <c r="H36" s="1" t="s">
        <v>87</v>
      </c>
      <c r="I36" s="1" t="s">
        <v>426</v>
      </c>
      <c r="K36" s="1" t="n">
        <v>13</v>
      </c>
    </row>
    <row r="37" customFormat="false" ht="15" hidden="false" customHeight="true" outlineLevel="0" collapsed="false">
      <c r="A37" s="1" t="s">
        <v>293</v>
      </c>
      <c r="B37" s="1" t="s">
        <v>1035</v>
      </c>
      <c r="C37" s="1" t="s">
        <v>123</v>
      </c>
      <c r="D37" s="1" t="s">
        <v>84</v>
      </c>
      <c r="E37" s="1" t="s">
        <v>124</v>
      </c>
      <c r="F37" s="1" t="s">
        <v>288</v>
      </c>
      <c r="H37" s="1" t="s">
        <v>105</v>
      </c>
      <c r="I37" s="1" t="s">
        <v>426</v>
      </c>
      <c r="K37" s="1" t="n">
        <v>13</v>
      </c>
    </row>
    <row r="38" customFormat="false" ht="15" hidden="false" customHeight="true" outlineLevel="0" collapsed="false">
      <c r="A38" s="1" t="s">
        <v>295</v>
      </c>
      <c r="B38" s="1" t="s">
        <v>1036</v>
      </c>
      <c r="C38" s="1" t="s">
        <v>103</v>
      </c>
      <c r="D38" s="1" t="s">
        <v>119</v>
      </c>
      <c r="E38" s="1" t="s">
        <v>92</v>
      </c>
      <c r="F38" s="1" t="s">
        <v>288</v>
      </c>
      <c r="G38" s="1" t="s">
        <v>1037</v>
      </c>
      <c r="H38" s="1" t="s">
        <v>320</v>
      </c>
      <c r="I38" s="1" t="s">
        <v>426</v>
      </c>
      <c r="K38" s="1" t="n">
        <v>3</v>
      </c>
    </row>
    <row r="39" customFormat="false" ht="15" hidden="false" customHeight="true" outlineLevel="0" collapsed="false">
      <c r="A39" s="1" t="s">
        <v>298</v>
      </c>
      <c r="B39" s="1" t="s">
        <v>1038</v>
      </c>
      <c r="C39" s="1" t="s">
        <v>103</v>
      </c>
      <c r="D39" s="1" t="s">
        <v>258</v>
      </c>
      <c r="E39" s="1" t="s">
        <v>258</v>
      </c>
      <c r="F39" s="1" t="s">
        <v>288</v>
      </c>
      <c r="H39" s="1" t="s">
        <v>105</v>
      </c>
      <c r="I39" s="1" t="s">
        <v>426</v>
      </c>
      <c r="K39" s="1" t="n">
        <v>8</v>
      </c>
    </row>
    <row r="40" customFormat="false" ht="15" hidden="false" customHeight="true" outlineLevel="0" collapsed="false">
      <c r="A40" s="1" t="s">
        <v>1039</v>
      </c>
      <c r="B40" s="1" t="s">
        <v>1040</v>
      </c>
      <c r="C40" s="1" t="s">
        <v>103</v>
      </c>
      <c r="D40" s="1" t="s">
        <v>258</v>
      </c>
      <c r="E40" s="1" t="s">
        <v>258</v>
      </c>
      <c r="F40" s="1" t="s">
        <v>288</v>
      </c>
      <c r="G40" s="1" t="s">
        <v>1041</v>
      </c>
      <c r="H40" s="1" t="s">
        <v>105</v>
      </c>
      <c r="I40" s="1" t="s">
        <v>426</v>
      </c>
      <c r="K40" s="1" t="n">
        <v>3</v>
      </c>
    </row>
    <row r="41" customFormat="false" ht="15" hidden="false" customHeight="true" outlineLevel="0" collapsed="false">
      <c r="A41" s="1" t="s">
        <v>324</v>
      </c>
      <c r="B41" s="1" t="s">
        <v>1042</v>
      </c>
      <c r="C41" s="1" t="s">
        <v>90</v>
      </c>
      <c r="D41" s="1" t="s">
        <v>119</v>
      </c>
      <c r="E41" s="1" t="s">
        <v>85</v>
      </c>
      <c r="F41" s="1" t="s">
        <v>288</v>
      </c>
      <c r="H41" s="1" t="s">
        <v>320</v>
      </c>
      <c r="I41" s="1" t="s">
        <v>426</v>
      </c>
      <c r="K41" s="1" t="n">
        <v>2</v>
      </c>
    </row>
    <row r="42" customFormat="false" ht="15" hidden="false" customHeight="true" outlineLevel="0" collapsed="false">
      <c r="A42" s="1" t="s">
        <v>328</v>
      </c>
      <c r="B42" s="1" t="s">
        <v>1043</v>
      </c>
      <c r="C42" s="1" t="s">
        <v>103</v>
      </c>
      <c r="D42" s="1" t="s">
        <v>104</v>
      </c>
      <c r="E42" s="1" t="s">
        <v>92</v>
      </c>
      <c r="F42" s="1" t="s">
        <v>288</v>
      </c>
      <c r="H42" s="1" t="s">
        <v>320</v>
      </c>
      <c r="I42" s="1" t="s">
        <v>426</v>
      </c>
      <c r="K42" s="1" t="n">
        <v>3</v>
      </c>
    </row>
    <row r="43" customFormat="false" ht="15" hidden="false" customHeight="true" outlineLevel="0" collapsed="false">
      <c r="A43" s="1" t="s">
        <v>789</v>
      </c>
      <c r="B43" s="1" t="s">
        <v>790</v>
      </c>
      <c r="C43" s="1" t="s">
        <v>103</v>
      </c>
      <c r="D43" s="1" t="s">
        <v>128</v>
      </c>
      <c r="E43" s="1" t="s">
        <v>85</v>
      </c>
      <c r="F43" s="1" t="s">
        <v>288</v>
      </c>
      <c r="G43" s="1" t="s">
        <v>1044</v>
      </c>
      <c r="H43" s="1" t="s">
        <v>87</v>
      </c>
      <c r="I43" s="1" t="s">
        <v>422</v>
      </c>
      <c r="K43" s="1" t="n">
        <v>13</v>
      </c>
    </row>
    <row r="44" customFormat="false" ht="15" hidden="false" customHeight="true" outlineLevel="0" collapsed="false">
      <c r="A44" s="1" t="s">
        <v>791</v>
      </c>
      <c r="B44" s="1" t="s">
        <v>792</v>
      </c>
      <c r="C44" s="1" t="s">
        <v>103</v>
      </c>
      <c r="D44" s="1" t="s">
        <v>128</v>
      </c>
      <c r="E44" s="1" t="s">
        <v>85</v>
      </c>
      <c r="F44" s="1" t="s">
        <v>288</v>
      </c>
      <c r="G44" s="1" t="s">
        <v>1045</v>
      </c>
      <c r="H44" s="1" t="s">
        <v>87</v>
      </c>
      <c r="I44" s="1" t="s">
        <v>422</v>
      </c>
      <c r="K44" s="1" t="n">
        <v>13</v>
      </c>
    </row>
    <row r="45" customFormat="false" ht="15" hidden="false" customHeight="true" outlineLevel="0" collapsed="false">
      <c r="A45" s="1" t="s">
        <v>781</v>
      </c>
      <c r="B45" s="1" t="s">
        <v>782</v>
      </c>
      <c r="C45" s="1" t="s">
        <v>103</v>
      </c>
      <c r="D45" s="1" t="s">
        <v>128</v>
      </c>
      <c r="E45" s="1" t="s">
        <v>85</v>
      </c>
      <c r="F45" s="1" t="s">
        <v>288</v>
      </c>
      <c r="G45" s="1" t="s">
        <v>1046</v>
      </c>
      <c r="H45" s="1" t="s">
        <v>87</v>
      </c>
      <c r="I45" s="1" t="s">
        <v>422</v>
      </c>
      <c r="K45" s="1" t="n">
        <v>8</v>
      </c>
    </row>
    <row r="46" customFormat="false" ht="15" hidden="false" customHeight="true" outlineLevel="0" collapsed="false">
      <c r="A46" s="1" t="s">
        <v>316</v>
      </c>
      <c r="B46" s="1" t="s">
        <v>1047</v>
      </c>
      <c r="C46" s="1" t="s">
        <v>123</v>
      </c>
      <c r="D46" s="1" t="s">
        <v>297</v>
      </c>
      <c r="E46" s="1" t="s">
        <v>124</v>
      </c>
      <c r="F46" s="1" t="s">
        <v>288</v>
      </c>
      <c r="H46" s="1" t="s">
        <v>105</v>
      </c>
      <c r="I46" s="1" t="s">
        <v>422</v>
      </c>
      <c r="K46" s="1" t="n">
        <v>13</v>
      </c>
    </row>
    <row r="47" customFormat="false" ht="15" hidden="false" customHeight="true" outlineLevel="0" collapsed="false">
      <c r="A47" s="1" t="s">
        <v>318</v>
      </c>
      <c r="B47" s="1" t="s">
        <v>1048</v>
      </c>
      <c r="C47" s="1" t="s">
        <v>123</v>
      </c>
      <c r="D47" s="1" t="s">
        <v>297</v>
      </c>
      <c r="E47" s="1" t="s">
        <v>124</v>
      </c>
      <c r="F47" s="1" t="s">
        <v>288</v>
      </c>
      <c r="H47" s="1" t="s">
        <v>105</v>
      </c>
      <c r="I47" s="1" t="s">
        <v>422</v>
      </c>
      <c r="K47" s="1" t="n">
        <v>8</v>
      </c>
    </row>
    <row r="48" customFormat="false" ht="15" hidden="false" customHeight="true" outlineLevel="0" collapsed="false">
      <c r="A48" s="1" t="s">
        <v>322</v>
      </c>
      <c r="B48" s="1" t="s">
        <v>1049</v>
      </c>
      <c r="C48" s="1" t="s">
        <v>123</v>
      </c>
      <c r="D48" s="1" t="s">
        <v>297</v>
      </c>
      <c r="E48" s="1" t="s">
        <v>124</v>
      </c>
      <c r="F48" s="1" t="s">
        <v>288</v>
      </c>
      <c r="H48" s="1" t="s">
        <v>105</v>
      </c>
      <c r="I48" s="1" t="s">
        <v>422</v>
      </c>
      <c r="K48" s="1" t="n">
        <v>8</v>
      </c>
    </row>
    <row r="49" customFormat="false" ht="15" hidden="false" customHeight="true" outlineLevel="0" collapsed="false">
      <c r="A49" s="1" t="s">
        <v>346</v>
      </c>
      <c r="B49" s="1" t="s">
        <v>1050</v>
      </c>
      <c r="C49" s="1" t="s">
        <v>103</v>
      </c>
      <c r="D49" s="1" t="s">
        <v>119</v>
      </c>
      <c r="E49" s="1" t="s">
        <v>92</v>
      </c>
      <c r="F49" s="1" t="s">
        <v>288</v>
      </c>
      <c r="H49" s="1" t="s">
        <v>320</v>
      </c>
      <c r="I49" s="1" t="s">
        <v>422</v>
      </c>
      <c r="K49" s="1" t="n">
        <v>3</v>
      </c>
    </row>
    <row r="50" customFormat="false" ht="15" hidden="false" customHeight="true" outlineLevel="0" collapsed="false">
      <c r="A50" s="1" t="s">
        <v>348</v>
      </c>
      <c r="B50" s="1" t="s">
        <v>1051</v>
      </c>
      <c r="C50" s="1" t="s">
        <v>103</v>
      </c>
      <c r="D50" s="1" t="s">
        <v>119</v>
      </c>
      <c r="E50" s="1" t="s">
        <v>92</v>
      </c>
      <c r="F50" s="1" t="s">
        <v>288</v>
      </c>
      <c r="G50" s="1" t="s">
        <v>1052</v>
      </c>
      <c r="H50" s="1" t="s">
        <v>320</v>
      </c>
      <c r="I50" s="1" t="s">
        <v>422</v>
      </c>
      <c r="K50" s="1" t="n">
        <v>5</v>
      </c>
    </row>
    <row r="51" customFormat="false" ht="15" hidden="false" customHeight="true" outlineLevel="0" collapsed="false">
      <c r="A51" s="1" t="s">
        <v>357</v>
      </c>
      <c r="B51" s="1" t="s">
        <v>1053</v>
      </c>
      <c r="C51" s="1" t="s">
        <v>103</v>
      </c>
      <c r="D51" s="1" t="s">
        <v>119</v>
      </c>
      <c r="E51" s="1" t="s">
        <v>92</v>
      </c>
      <c r="F51" s="1" t="s">
        <v>288</v>
      </c>
      <c r="G51" s="1" t="s">
        <v>1054</v>
      </c>
      <c r="H51" s="1" t="s">
        <v>320</v>
      </c>
      <c r="I51" s="1" t="s">
        <v>422</v>
      </c>
      <c r="K51" s="1" t="n">
        <v>3</v>
      </c>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c r="K62" s="1" t="n">
        <f aca="false">SUM(K2:K51)</f>
        <v>430</v>
      </c>
    </row>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autoFilter ref="D1:D1000"/>
  <conditionalFormatting sqref="A2:R18 A19:K51 A52:R1000 L19:L28 L30 M19:R51">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hyperlinks>
    <hyperlink ref="G25" r:id="rId1" display="https://smartship.atlassian.net/browse/MDTTPU-1492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72</v>
      </c>
      <c r="I1" s="21" t="s">
        <v>74</v>
      </c>
      <c r="J1" s="21" t="s">
        <v>48</v>
      </c>
      <c r="K1" s="21" t="s">
        <v>75</v>
      </c>
      <c r="L1" s="88"/>
      <c r="M1" s="88"/>
      <c r="N1" s="88"/>
      <c r="O1" s="88"/>
      <c r="P1" s="88"/>
      <c r="Q1" s="88"/>
    </row>
    <row r="2" customFormat="false" ht="15" hidden="false" customHeight="true" outlineLevel="0" collapsed="false">
      <c r="A2" s="26"/>
      <c r="B2" s="26"/>
      <c r="C2" s="26"/>
      <c r="D2" s="26"/>
      <c r="E2" s="26"/>
      <c r="F2" s="26"/>
      <c r="G2" s="26"/>
      <c r="H2" s="26"/>
      <c r="I2" s="26"/>
      <c r="J2" s="26"/>
      <c r="K2" s="26"/>
      <c r="L2" s="26"/>
      <c r="M2" s="26"/>
      <c r="N2" s="26"/>
      <c r="O2" s="26"/>
      <c r="P2" s="26"/>
      <c r="Q2" s="26"/>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0">
      <formula>$D2="US"</formula>
    </cfRule>
    <cfRule type="expression" priority="3" aboveAverage="0" equalAverage="0" bottom="0" percent="0" rank="0" text="" dxfId="11">
      <formula>$D2="MyMSC"</formula>
    </cfRule>
    <cfRule type="expression" priority="4" aboveAverage="0" equalAverage="0" bottom="0" percent="0" rank="0" text="" dxfId="12">
      <formula>$D2="Rollout"</formula>
    </cfRule>
    <cfRule type="expression" priority="5" aboveAverage="0" equalAverage="0" bottom="0" percent="0" rank="0" text="" dxfId="12">
      <formula>$D2="MVP Rollout"</formula>
    </cfRule>
    <cfRule type="expression" priority="6" aboveAverage="0" equalAverage="0" bottom="0" percent="0" rank="0" text="" dxfId="13">
      <formula>$D2="Backlog"</formula>
    </cfRule>
    <cfRule type="expression" priority="7" aboveAverage="0" equalAverage="0" bottom="0" percent="0" rank="0" text="" dxfId="13">
      <formula>$D2="Growth"</formula>
    </cfRule>
    <cfRule type="expression" priority="8" aboveAverage="0" equalAverage="0" bottom="0" percent="0" rank="0" text="" dxfId="14">
      <formula>$D2="Tech Enhancements"</formula>
    </cfRule>
    <cfRule type="expression" priority="9" aboveAverage="0" equalAverage="0" bottom="0" percent="0" rank="0" text="" dxfId="15">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3" activeCellId="0" sqref="D13"/>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s>
  <sheetData>
    <row r="1" customFormat="false" ht="15" hidden="false" customHeight="true" outlineLevel="0" collapsed="false">
      <c r="A1" s="21" t="s">
        <v>66</v>
      </c>
      <c r="B1" s="21" t="s">
        <v>67</v>
      </c>
      <c r="C1" s="21" t="s">
        <v>68</v>
      </c>
      <c r="D1" s="21" t="s">
        <v>69</v>
      </c>
      <c r="E1" s="21" t="s">
        <v>70</v>
      </c>
      <c r="F1" s="21" t="s">
        <v>71</v>
      </c>
      <c r="G1" s="21" t="s">
        <v>78</v>
      </c>
      <c r="H1" s="21" t="s">
        <v>72</v>
      </c>
      <c r="I1" s="21" t="s">
        <v>74</v>
      </c>
      <c r="J1" s="21" t="s">
        <v>48</v>
      </c>
      <c r="K1" s="21" t="s">
        <v>75</v>
      </c>
    </row>
    <row r="2" customFormat="false" ht="15" hidden="false" customHeight="true" outlineLevel="0" collapsed="false">
      <c r="A2" s="1" t="s">
        <v>1055</v>
      </c>
      <c r="B2" s="1" t="s">
        <v>1056</v>
      </c>
      <c r="C2" s="1" t="s">
        <v>90</v>
      </c>
      <c r="D2" s="1" t="s">
        <v>91</v>
      </c>
      <c r="E2" s="1" t="s">
        <v>92</v>
      </c>
      <c r="F2" s="1" t="s">
        <v>132</v>
      </c>
      <c r="G2" s="1" t="s">
        <v>95</v>
      </c>
      <c r="H2" s="1" t="s">
        <v>87</v>
      </c>
      <c r="I2" s="1" t="s">
        <v>411</v>
      </c>
    </row>
    <row r="3" customFormat="false" ht="15" hidden="false" customHeight="true" outlineLevel="0" collapsed="false">
      <c r="A3" s="1" t="s">
        <v>1057</v>
      </c>
      <c r="B3" s="1" t="s">
        <v>1058</v>
      </c>
      <c r="C3" s="1" t="s">
        <v>103</v>
      </c>
      <c r="D3" s="1" t="s">
        <v>84</v>
      </c>
      <c r="E3" s="1" t="s">
        <v>85</v>
      </c>
      <c r="F3" s="1" t="s">
        <v>132</v>
      </c>
      <c r="H3" s="1" t="s">
        <v>87</v>
      </c>
    </row>
    <row r="4" customFormat="false" ht="15" hidden="false" customHeight="true" outlineLevel="0" collapsed="false">
      <c r="A4" s="1" t="s">
        <v>1059</v>
      </c>
      <c r="B4" s="1" t="s">
        <v>1060</v>
      </c>
      <c r="C4" s="1" t="s">
        <v>83</v>
      </c>
      <c r="D4" s="1" t="s">
        <v>84</v>
      </c>
      <c r="E4" s="1" t="s">
        <v>85</v>
      </c>
      <c r="F4" s="1" t="s">
        <v>132</v>
      </c>
      <c r="H4" s="1" t="s">
        <v>87</v>
      </c>
    </row>
    <row r="5" customFormat="false" ht="15" hidden="false" customHeight="true" outlineLevel="0" collapsed="false">
      <c r="A5" s="1" t="s">
        <v>1061</v>
      </c>
      <c r="B5" s="1" t="s">
        <v>1062</v>
      </c>
      <c r="C5" s="1" t="s">
        <v>83</v>
      </c>
      <c r="D5" s="1" t="s">
        <v>84</v>
      </c>
      <c r="E5" s="1" t="s">
        <v>85</v>
      </c>
      <c r="F5" s="1" t="s">
        <v>132</v>
      </c>
      <c r="H5" s="1" t="s">
        <v>87</v>
      </c>
    </row>
    <row r="6" customFormat="false" ht="15" hidden="false" customHeight="true" outlineLevel="0" collapsed="false">
      <c r="A6" s="1" t="s">
        <v>867</v>
      </c>
      <c r="B6" s="1" t="s">
        <v>1063</v>
      </c>
      <c r="C6" s="1" t="s">
        <v>103</v>
      </c>
      <c r="D6" s="1" t="s">
        <v>257</v>
      </c>
      <c r="E6" s="1" t="s">
        <v>1064</v>
      </c>
      <c r="F6" s="1" t="s">
        <v>132</v>
      </c>
      <c r="H6" s="1"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38" activeCellId="0" sqref="A38"/>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9" t="s">
        <v>1065</v>
      </c>
    </row>
    <row r="3" customFormat="false" ht="15" hidden="false" customHeight="true" outlineLevel="0" collapsed="false">
      <c r="A3" s="90" t="s">
        <v>1066</v>
      </c>
    </row>
    <row r="4" customFormat="false" ht="60" hidden="false" customHeight="true" outlineLevel="0" collapsed="false">
      <c r="A4" s="5" t="s">
        <v>1067</v>
      </c>
    </row>
    <row r="5" customFormat="false" ht="15" hidden="false" customHeight="true" outlineLevel="0" collapsed="false">
      <c r="A5" s="5" t="s">
        <v>1068</v>
      </c>
    </row>
    <row r="6" customFormat="false" ht="15" hidden="false" customHeight="true" outlineLevel="0" collapsed="false">
      <c r="A6" s="91" t="s">
        <v>1069</v>
      </c>
    </row>
    <row r="7" customFormat="false" ht="30" hidden="false" customHeight="true" outlineLevel="0" collapsed="false">
      <c r="A7" s="5" t="s">
        <v>1070</v>
      </c>
    </row>
    <row r="8" customFormat="false" ht="30" hidden="false" customHeight="true" outlineLevel="0" collapsed="false">
      <c r="A8" s="5" t="s">
        <v>1071</v>
      </c>
    </row>
    <row r="9" customFormat="false" ht="30" hidden="false" customHeight="true" outlineLevel="0" collapsed="false">
      <c r="A9" s="5"/>
    </row>
    <row r="10" customFormat="false" ht="15" hidden="false" customHeight="true" outlineLevel="0" collapsed="false">
      <c r="A10" s="92" t="s">
        <v>1072</v>
      </c>
    </row>
    <row r="11" customFormat="false" ht="15" hidden="false" customHeight="true" outlineLevel="0" collapsed="false">
      <c r="A11" s="93" t="s">
        <v>1073</v>
      </c>
    </row>
    <row r="12" customFormat="false" ht="15" hidden="false" customHeight="true" outlineLevel="0" collapsed="false">
      <c r="A12" s="5" t="s">
        <v>1074</v>
      </c>
    </row>
    <row r="13" customFormat="false" ht="15" hidden="false" customHeight="true" outlineLevel="0" collapsed="false">
      <c r="A13" s="5"/>
    </row>
    <row r="14" customFormat="false" ht="15" hidden="false" customHeight="true" outlineLevel="0" collapsed="false">
      <c r="A14" s="5" t="s">
        <v>1075</v>
      </c>
    </row>
    <row r="15" customFormat="false" ht="15" hidden="false" customHeight="true" outlineLevel="0" collapsed="false">
      <c r="A15" s="5" t="s">
        <v>1076</v>
      </c>
    </row>
    <row r="16" customFormat="false" ht="15" hidden="false" customHeight="true" outlineLevel="0" collapsed="false">
      <c r="A16" s="5" t="s">
        <v>1077</v>
      </c>
    </row>
    <row r="17" customFormat="false" ht="15" hidden="false" customHeight="true" outlineLevel="0" collapsed="false">
      <c r="A17" s="93" t="s">
        <v>1078</v>
      </c>
    </row>
    <row r="18" customFormat="false" ht="15" hidden="false" customHeight="true" outlineLevel="0" collapsed="false">
      <c r="A18" s="5" t="s">
        <v>1079</v>
      </c>
    </row>
    <row r="19" customFormat="false" ht="15" hidden="false" customHeight="true" outlineLevel="0" collapsed="false">
      <c r="A19" s="5"/>
    </row>
    <row r="20" customFormat="false" ht="15" hidden="false" customHeight="true" outlineLevel="0" collapsed="false">
      <c r="A20" s="5" t="s">
        <v>1080</v>
      </c>
    </row>
    <row r="21" customFormat="false" ht="15" hidden="false" customHeight="true" outlineLevel="0" collapsed="false">
      <c r="A21" s="5"/>
    </row>
    <row r="22" customFormat="false" ht="15" hidden="false" customHeight="true" outlineLevel="0" collapsed="false">
      <c r="A22" s="5" t="s">
        <v>1075</v>
      </c>
    </row>
    <row r="23" customFormat="false" ht="15" hidden="false" customHeight="true" outlineLevel="0" collapsed="false">
      <c r="A23" s="5" t="s">
        <v>1081</v>
      </c>
    </row>
    <row r="24" customFormat="false" ht="15" hidden="false" customHeight="true" outlineLevel="0" collapsed="false">
      <c r="A24" s="5" t="s">
        <v>1082</v>
      </c>
    </row>
    <row r="25" customFormat="false" ht="15" hidden="false" customHeight="true" outlineLevel="0" collapsed="false">
      <c r="A25" s="92"/>
    </row>
    <row r="26" customFormat="false" ht="15" hidden="false" customHeight="true" outlineLevel="0" collapsed="false">
      <c r="A26" s="91" t="s">
        <v>1083</v>
      </c>
    </row>
    <row r="27" customFormat="false" ht="15" hidden="false" customHeight="true" outlineLevel="0" collapsed="false">
      <c r="A27" s="5" t="s">
        <v>1084</v>
      </c>
    </row>
    <row r="28" customFormat="false" ht="15" hidden="false" customHeight="true" outlineLevel="0" collapsed="false">
      <c r="A28" s="94" t="s">
        <v>1085</v>
      </c>
    </row>
    <row r="29" customFormat="false" ht="15" hidden="false" customHeight="true" outlineLevel="0" collapsed="false">
      <c r="A29" s="5" t="s">
        <v>1086</v>
      </c>
    </row>
    <row r="30" customFormat="false" ht="15" hidden="false" customHeight="true" outlineLevel="0" collapsed="false">
      <c r="A30" s="5" t="s">
        <v>1087</v>
      </c>
    </row>
    <row r="31" customFormat="false" ht="15" hidden="false" customHeight="true" outlineLevel="0" collapsed="false">
      <c r="A31" s="5"/>
    </row>
    <row r="32" customFormat="false" ht="19.5" hidden="false" customHeight="true" outlineLevel="0" collapsed="false">
      <c r="A32" s="95" t="s">
        <v>1088</v>
      </c>
    </row>
    <row r="33" customFormat="false" ht="199.5" hidden="false" customHeight="true" outlineLevel="0" collapsed="false">
      <c r="A33" s="96" t="s">
        <v>1089</v>
      </c>
    </row>
    <row r="34" customFormat="false" ht="199.5" hidden="false" customHeight="true" outlineLevel="0" collapsed="false">
      <c r="A34" s="96" t="s">
        <v>1090</v>
      </c>
    </row>
    <row r="35" customFormat="false" ht="199.5" hidden="false" customHeight="true" outlineLevel="0" collapsed="false">
      <c r="A35" s="96" t="s">
        <v>1091</v>
      </c>
    </row>
    <row r="36" customFormat="false" ht="199.5" hidden="false" customHeight="true" outlineLevel="0" collapsed="false">
      <c r="A36" s="97" t="s">
        <v>1092</v>
      </c>
    </row>
    <row r="37" customFormat="false" ht="199.5" hidden="false" customHeight="true" outlineLevel="0" collapsed="false">
      <c r="A37" s="96" t="s">
        <v>1093</v>
      </c>
    </row>
    <row r="38" customFormat="false" ht="199.5" hidden="false" customHeight="true" outlineLevel="0" collapsed="false">
      <c r="A38" s="96" t="s">
        <v>1094</v>
      </c>
    </row>
    <row r="39" customFormat="false" ht="199.5" hidden="false" customHeight="true" outlineLevel="0" collapsed="false">
      <c r="A39" s="96" t="s">
        <v>1095</v>
      </c>
    </row>
    <row r="40" customFormat="false" ht="199.5" hidden="false" customHeight="true" outlineLevel="0" collapsed="false">
      <c r="A40" s="96" t="s">
        <v>1096</v>
      </c>
    </row>
    <row r="41" customFormat="false" ht="199.5" hidden="false" customHeight="true" outlineLevel="0" collapsed="false">
      <c r="A41" s="96" t="s">
        <v>1097</v>
      </c>
    </row>
    <row r="42" customFormat="false" ht="199.5" hidden="false" customHeight="true" outlineLevel="0" collapsed="false">
      <c r="A42" s="96" t="s">
        <v>1098</v>
      </c>
    </row>
    <row r="43" customFormat="false" ht="199.5" hidden="false" customHeight="true" outlineLevel="0" collapsed="false">
      <c r="A43" s="96" t="s">
        <v>1099</v>
      </c>
    </row>
    <row r="44" customFormat="false" ht="199.5" hidden="false" customHeight="true" outlineLevel="0" collapsed="false">
      <c r="A44" s="96"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429</v>
      </c>
      <c r="G1" s="1" t="s">
        <v>48</v>
      </c>
      <c r="H1" s="1" t="s">
        <v>431</v>
      </c>
      <c r="I1" s="1" t="s">
        <v>70</v>
      </c>
      <c r="K1" s="1" t="s">
        <v>1101</v>
      </c>
      <c r="L1" s="1" t="s">
        <v>1102</v>
      </c>
      <c r="M1" s="1" t="s">
        <v>1103</v>
      </c>
      <c r="N1" s="1" t="s">
        <v>1104</v>
      </c>
    </row>
    <row r="2" customFormat="false" ht="15" hidden="false" customHeight="true" outlineLevel="0" collapsed="false">
      <c r="A2" s="1" t="s">
        <v>90</v>
      </c>
      <c r="B2" s="1" t="s">
        <v>84</v>
      </c>
      <c r="C2" s="1" t="s">
        <v>93</v>
      </c>
      <c r="D2" s="1" t="s">
        <v>320</v>
      </c>
      <c r="E2" s="1" t="s">
        <v>411</v>
      </c>
      <c r="F2" s="1" t="s">
        <v>395</v>
      </c>
      <c r="G2" s="1" t="s">
        <v>466</v>
      </c>
      <c r="H2" s="1" t="s">
        <v>1105</v>
      </c>
      <c r="I2" s="1" t="s">
        <v>124</v>
      </c>
      <c r="K2" s="1" t="s">
        <v>413</v>
      </c>
      <c r="L2" s="1" t="s">
        <v>1106</v>
      </c>
      <c r="M2" s="1" t="s">
        <v>1107</v>
      </c>
      <c r="N2" s="1" t="n">
        <v>452</v>
      </c>
    </row>
    <row r="3" customFormat="false" ht="15" hidden="false" customHeight="true" outlineLevel="0" collapsed="false">
      <c r="A3" s="1" t="s">
        <v>103</v>
      </c>
      <c r="B3" s="1" t="s">
        <v>119</v>
      </c>
      <c r="C3" s="1" t="s">
        <v>125</v>
      </c>
      <c r="D3" s="1" t="s">
        <v>105</v>
      </c>
      <c r="E3" s="1" t="s">
        <v>413</v>
      </c>
      <c r="F3" s="1" t="s">
        <v>396</v>
      </c>
      <c r="G3" s="1" t="s">
        <v>470</v>
      </c>
      <c r="H3" s="1" t="s">
        <v>439</v>
      </c>
      <c r="I3" s="1" t="s">
        <v>391</v>
      </c>
      <c r="K3" s="1" t="s">
        <v>414</v>
      </c>
      <c r="L3" s="1" t="s">
        <v>1106</v>
      </c>
      <c r="M3" s="1" t="s">
        <v>1108</v>
      </c>
    </row>
    <row r="4" customFormat="false" ht="15" hidden="false" customHeight="true" outlineLevel="0" collapsed="false">
      <c r="A4" s="1" t="s">
        <v>110</v>
      </c>
      <c r="B4" s="1" t="s">
        <v>104</v>
      </c>
      <c r="C4" s="1" t="s">
        <v>288</v>
      </c>
      <c r="D4" s="1" t="s">
        <v>87</v>
      </c>
      <c r="E4" s="1" t="s">
        <v>414</v>
      </c>
      <c r="F4" s="1" t="s">
        <v>83</v>
      </c>
      <c r="G4" s="1" t="s">
        <v>465</v>
      </c>
      <c r="H4" s="1" t="s">
        <v>445</v>
      </c>
      <c r="I4" s="1" t="s">
        <v>85</v>
      </c>
      <c r="K4" s="1" t="s">
        <v>415</v>
      </c>
      <c r="L4" s="1" t="s">
        <v>1106</v>
      </c>
      <c r="M4" s="1" t="s">
        <v>1109</v>
      </c>
    </row>
    <row r="5" customFormat="false" ht="15" hidden="false" customHeight="true" outlineLevel="0" collapsed="false">
      <c r="A5" s="1" t="s">
        <v>83</v>
      </c>
      <c r="B5" s="1" t="s">
        <v>91</v>
      </c>
      <c r="C5" s="1" t="s">
        <v>86</v>
      </c>
      <c r="D5" s="1" t="s">
        <v>305</v>
      </c>
      <c r="E5" s="1" t="s">
        <v>415</v>
      </c>
      <c r="G5" s="1" t="s">
        <v>475</v>
      </c>
      <c r="H5" s="1" t="s">
        <v>1110</v>
      </c>
      <c r="I5" s="1" t="s">
        <v>92</v>
      </c>
      <c r="K5" s="1" t="s">
        <v>416</v>
      </c>
      <c r="L5" s="1" t="s">
        <v>1106</v>
      </c>
      <c r="M5" s="1" t="s">
        <v>1111</v>
      </c>
    </row>
    <row r="6" customFormat="false" ht="15" hidden="false" customHeight="true" outlineLevel="0" collapsed="false">
      <c r="A6" s="1" t="s">
        <v>184</v>
      </c>
      <c r="B6" s="1" t="s">
        <v>297</v>
      </c>
      <c r="C6" s="1" t="s">
        <v>132</v>
      </c>
      <c r="E6" s="1" t="s">
        <v>416</v>
      </c>
      <c r="G6" s="1" t="s">
        <v>479</v>
      </c>
      <c r="I6" s="1" t="s">
        <v>114</v>
      </c>
      <c r="K6" s="1" t="s">
        <v>418</v>
      </c>
      <c r="L6" s="1" t="s">
        <v>1112</v>
      </c>
      <c r="M6" s="1" t="s">
        <v>1113</v>
      </c>
    </row>
    <row r="7" customFormat="false" ht="15" hidden="false" customHeight="true" outlineLevel="0" collapsed="false">
      <c r="A7" s="1" t="s">
        <v>123</v>
      </c>
      <c r="B7" s="1" t="s">
        <v>128</v>
      </c>
      <c r="E7" s="1" t="s">
        <v>418</v>
      </c>
      <c r="G7" s="1" t="s">
        <v>482</v>
      </c>
      <c r="I7" s="1" t="s">
        <v>1114</v>
      </c>
      <c r="K7" s="1" t="s">
        <v>420</v>
      </c>
      <c r="L7" s="1" t="s">
        <v>1112</v>
      </c>
      <c r="M7" s="1" t="s">
        <v>1115</v>
      </c>
    </row>
    <row r="8" customFormat="false" ht="15" hidden="false" customHeight="true" outlineLevel="0" collapsed="false">
      <c r="A8" s="1" t="s">
        <v>256</v>
      </c>
      <c r="B8" s="1" t="s">
        <v>28</v>
      </c>
      <c r="E8" s="1" t="s">
        <v>420</v>
      </c>
      <c r="G8" s="1" t="s">
        <v>478</v>
      </c>
      <c r="I8" s="1" t="s">
        <v>389</v>
      </c>
      <c r="K8" s="1" t="s">
        <v>421</v>
      </c>
      <c r="L8" s="1" t="s">
        <v>1112</v>
      </c>
      <c r="M8" s="1" t="s">
        <v>1116</v>
      </c>
    </row>
    <row r="9" customFormat="false" ht="15" hidden="false" customHeight="true" outlineLevel="0" collapsed="false">
      <c r="B9" s="1" t="s">
        <v>449</v>
      </c>
      <c r="E9" s="1" t="s">
        <v>421</v>
      </c>
      <c r="G9" s="1" t="s">
        <v>487</v>
      </c>
      <c r="I9" s="1" t="s">
        <v>1064</v>
      </c>
      <c r="K9" s="1" t="s">
        <v>423</v>
      </c>
      <c r="L9" s="1" t="s">
        <v>1112</v>
      </c>
      <c r="M9" s="1" t="s">
        <v>1117</v>
      </c>
    </row>
    <row r="10" customFormat="false" ht="15" hidden="false" customHeight="true" outlineLevel="0" collapsed="false">
      <c r="B10" s="1" t="s">
        <v>450</v>
      </c>
      <c r="E10" s="1" t="s">
        <v>423</v>
      </c>
      <c r="G10" s="1" t="s">
        <v>490</v>
      </c>
      <c r="I10" s="1" t="s">
        <v>258</v>
      </c>
      <c r="K10" s="1" t="s">
        <v>424</v>
      </c>
      <c r="L10" s="1" t="s">
        <v>1118</v>
      </c>
      <c r="M10" s="1" t="s">
        <v>1119</v>
      </c>
    </row>
    <row r="11" customFormat="false" ht="15" hidden="false" customHeight="true" outlineLevel="0" collapsed="false">
      <c r="B11" s="1" t="s">
        <v>451</v>
      </c>
      <c r="E11" s="1" t="s">
        <v>424</v>
      </c>
      <c r="G11" s="1" t="s">
        <v>493</v>
      </c>
      <c r="K11" s="1" t="s">
        <v>425</v>
      </c>
      <c r="L11" s="1" t="s">
        <v>1118</v>
      </c>
      <c r="M11" s="1" t="s">
        <v>1120</v>
      </c>
    </row>
    <row r="12" customFormat="false" ht="15" hidden="false" customHeight="true" outlineLevel="0" collapsed="false">
      <c r="B12" s="1" t="s">
        <v>452</v>
      </c>
      <c r="E12" s="1" t="s">
        <v>425</v>
      </c>
      <c r="G12" s="1" t="s">
        <v>496</v>
      </c>
      <c r="K12" s="1" t="s">
        <v>426</v>
      </c>
      <c r="L12" s="1" t="s">
        <v>1118</v>
      </c>
      <c r="M12" s="1" t="s">
        <v>1121</v>
      </c>
    </row>
    <row r="13" customFormat="false" ht="15" hidden="false" customHeight="true" outlineLevel="0" collapsed="false">
      <c r="B13" s="1" t="s">
        <v>257</v>
      </c>
      <c r="E13" s="1" t="s">
        <v>426</v>
      </c>
      <c r="G13" s="1" t="s">
        <v>500</v>
      </c>
      <c r="K13" s="1" t="s">
        <v>422</v>
      </c>
      <c r="L13" s="1" t="s">
        <v>1118</v>
      </c>
      <c r="M13" s="1" t="s">
        <v>1122</v>
      </c>
    </row>
    <row r="14" customFormat="false" ht="15" hidden="false" customHeight="true" outlineLevel="0" collapsed="false">
      <c r="B14" s="1" t="s">
        <v>258</v>
      </c>
      <c r="E14" s="1" t="s">
        <v>422</v>
      </c>
      <c r="G14" s="1" t="s">
        <v>503</v>
      </c>
      <c r="K14" s="1" t="s">
        <v>419</v>
      </c>
      <c r="L14" s="1" t="s">
        <v>1123</v>
      </c>
      <c r="M14" s="1" t="s">
        <v>1124</v>
      </c>
    </row>
    <row r="15" customFormat="false" ht="15" hidden="false" customHeight="true" outlineLevel="0" collapsed="false">
      <c r="E15" s="1" t="s">
        <v>419</v>
      </c>
      <c r="G15" s="1" t="s">
        <v>506</v>
      </c>
      <c r="K15" s="1" t="s">
        <v>417</v>
      </c>
      <c r="L15" s="1" t="s">
        <v>1123</v>
      </c>
      <c r="M15" s="1" t="s">
        <v>1125</v>
      </c>
    </row>
    <row r="16" customFormat="false" ht="15" hidden="false" customHeight="true" outlineLevel="0" collapsed="false">
      <c r="E16" s="1" t="s">
        <v>417</v>
      </c>
      <c r="G16" s="1" t="s">
        <v>510</v>
      </c>
      <c r="K16" s="1" t="s">
        <v>427</v>
      </c>
      <c r="L16" s="1" t="s">
        <v>1123</v>
      </c>
      <c r="M16" s="1" t="s">
        <v>1126</v>
      </c>
    </row>
    <row r="17" customFormat="false" ht="15" hidden="false" customHeight="true" outlineLevel="0" collapsed="false">
      <c r="E17" s="1" t="s">
        <v>427</v>
      </c>
      <c r="G17" s="1" t="s">
        <v>513</v>
      </c>
      <c r="K17" s="1" t="s">
        <v>428</v>
      </c>
      <c r="L17" s="1" t="s">
        <v>1123</v>
      </c>
      <c r="M17" s="1" t="s">
        <v>1127</v>
      </c>
    </row>
    <row r="18" customFormat="false" ht="15" hidden="false" customHeight="true" outlineLevel="0" collapsed="false">
      <c r="E18" s="1" t="s">
        <v>428</v>
      </c>
      <c r="G18" s="1" t="s">
        <v>517</v>
      </c>
    </row>
    <row r="19" customFormat="false" ht="15" hidden="false" customHeight="true" outlineLevel="0" collapsed="false">
      <c r="G19" s="1" t="s">
        <v>509</v>
      </c>
    </row>
    <row r="20" customFormat="false" ht="15" hidden="false" customHeight="true" outlineLevel="0" collapsed="false">
      <c r="G20" s="1" t="s">
        <v>523</v>
      </c>
    </row>
    <row r="21" customFormat="false" ht="15" hidden="false" customHeight="true" outlineLevel="0" collapsed="false">
      <c r="G21" s="1" t="s">
        <v>528</v>
      </c>
    </row>
    <row r="22" customFormat="false" ht="15" hidden="false" customHeight="true" outlineLevel="0" collapsed="false">
      <c r="G22" s="1" t="s">
        <v>532</v>
      </c>
    </row>
    <row r="23" customFormat="false" ht="15" hidden="false" customHeight="true" outlineLevel="0" collapsed="false">
      <c r="G23" s="1" t="s">
        <v>535</v>
      </c>
    </row>
    <row r="24" customFormat="false" ht="15" hidden="false" customHeight="true" outlineLevel="0" collapsed="false">
      <c r="G24" s="1" t="s">
        <v>538</v>
      </c>
    </row>
    <row r="25" customFormat="false" ht="15" hidden="false" customHeight="true" outlineLevel="0" collapsed="false">
      <c r="G25" s="1" t="s">
        <v>541</v>
      </c>
    </row>
    <row r="26" customFormat="false" ht="15" hidden="false" customHeight="true" outlineLevel="0" collapsed="false">
      <c r="G26" s="1" t="s">
        <v>531</v>
      </c>
    </row>
    <row r="27" customFormat="false" ht="15" hidden="false" customHeight="true" outlineLevel="0" collapsed="false">
      <c r="G27" s="1" t="s">
        <v>547</v>
      </c>
    </row>
    <row r="28" customFormat="false" ht="15" hidden="false" customHeight="true" outlineLevel="0" collapsed="false">
      <c r="G28" s="1" t="s">
        <v>550</v>
      </c>
    </row>
    <row r="29" customFormat="false" ht="15" hidden="false" customHeight="true" outlineLevel="0" collapsed="false">
      <c r="G29" s="1" t="s">
        <v>553</v>
      </c>
    </row>
    <row r="30" customFormat="false" ht="15" hidden="false" customHeight="true" outlineLevel="0" collapsed="false">
      <c r="G30" s="1" t="s">
        <v>557</v>
      </c>
    </row>
    <row r="31" customFormat="false" ht="15" hidden="false" customHeight="true" outlineLevel="0" collapsed="false">
      <c r="G31" s="1" t="s">
        <v>527</v>
      </c>
    </row>
    <row r="32" customFormat="false" ht="15" hidden="false" customHeight="true" outlineLevel="0" collapsed="false">
      <c r="G32" s="1" t="s">
        <v>458</v>
      </c>
    </row>
    <row r="33" customFormat="false" ht="15" hidden="false" customHeight="true" outlineLevel="0" collapsed="false">
      <c r="G33" s="1" t="s">
        <v>469</v>
      </c>
    </row>
    <row r="34" customFormat="false" ht="15" hidden="false" customHeight="true" outlineLevel="0" collapsed="false">
      <c r="G34" s="1" t="s">
        <v>1128</v>
      </c>
    </row>
    <row r="35" customFormat="false" ht="15" hidden="false" customHeight="true" outlineLevel="0" collapsed="false">
      <c r="G35" s="1" t="s">
        <v>815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2026-10-12T07:15:19Z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